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drawings/drawing11.xml" ContentType="application/vnd.openxmlformats-officedocument.drawing+xml"/>
  <Override PartName="/xl/ctrlProps/ctrlProp39.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4.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N:\STC\Students\26A STC\Individual Grade Sheets\DOYLE, DEVIN\"/>
    </mc:Choice>
  </mc:AlternateContent>
  <xr:revisionPtr revIDLastSave="0" documentId="13_ncr:1_{E114061E-0833-4C6D-B94C-A28BF15373F5}" xr6:coauthVersionLast="47" xr6:coauthVersionMax="47" xr10:uidLastSave="{00000000-0000-0000-0000-000000000000}"/>
  <bookViews>
    <workbookView xWindow="32190" yWindow="2700" windowWidth="21600" windowHeight="11145" tabRatio="809" firstSheet="3" activeTab="10" xr2:uid="{00000000-000D-0000-FFFF-FFFF00000000}"/>
  </bookViews>
  <sheets>
    <sheet name="Review" sheetId="9" r:id="rId1"/>
    <sheet name="Alibis" sheetId="10" r:id="rId2"/>
    <sheet name="Probations" sheetId="11" r:id="rId3"/>
    <sheet name="Restrictions" sheetId="12" r:id="rId4"/>
    <sheet name="Color list" sheetId="13" state="hidden" r:id="rId5"/>
    <sheet name="Updater" sheetId="24" state="hidden" r:id="rId6"/>
    <sheet name="Link to Class Gradebook" sheetId="14" state="hidden" r:id="rId7"/>
    <sheet name="AS" sheetId="5" r:id="rId8"/>
    <sheet name="SY" sheetId="7" r:id="rId9"/>
    <sheet name="TF" sheetId="8" r:id="rId10"/>
    <sheet name="SO 6140S" sheetId="102" r:id="rId11"/>
    <sheet name="AS 7130L" sheetId="74" r:id="rId12"/>
    <sheet name="AS 7140S FQ" sheetId="103" r:id="rId13"/>
    <sheet name="AS 7140S HQ" sheetId="104" r:id="rId14"/>
    <sheet name="AS 7150S" sheetId="76" r:id="rId15"/>
    <sheet name="AS 7160S" sheetId="105" r:id="rId16"/>
    <sheet name="AS 7310A" sheetId="77" r:id="rId17"/>
    <sheet name="AS 7314W" sheetId="78" r:id="rId18"/>
    <sheet name="AS 7316R" sheetId="91" r:id="rId19"/>
    <sheet name="SY 7213C" sheetId="80" r:id="rId20"/>
    <sheet name="SY 752xx" sheetId="100" r:id="rId21"/>
    <sheet name="SY 7521O" sheetId="81" r:id="rId22"/>
    <sheet name="SY 7522Y" sheetId="101" r:id="rId23"/>
    <sheet name="TF 5310Y" sheetId="82" r:id="rId24"/>
    <sheet name="TF 6221C" sheetId="87" r:id="rId25"/>
    <sheet name="TF 6233C" sheetId="64" r:id="rId26"/>
    <sheet name="TF 6241F" sheetId="65" r:id="rId27"/>
    <sheet name="TF 6265R" sheetId="96" r:id="rId28"/>
    <sheet name="TF 6268R" sheetId="97" r:id="rId29"/>
    <sheet name="TF 6402R" sheetId="98" r:id="rId30"/>
    <sheet name="TF 6403R" sheetId="99" r:id="rId31"/>
    <sheet name="TF 7113R" sheetId="95" r:id="rId32"/>
    <sheet name="TF 7123R" sheetId="94" r:id="rId33"/>
    <sheet name="TF 7133R" sheetId="93" r:id="rId34"/>
    <sheet name="TF 7502R" sheetId="70" r:id="rId35"/>
  </sheets>
  <externalReferences>
    <externalReference r:id="rId36"/>
    <externalReference r:id="rId37"/>
    <externalReference r:id="rId38"/>
    <externalReference r:id="rId39"/>
  </externalReferences>
  <definedNames>
    <definedName name="_xleta.AVERAGE" hidden="1" xlm="1">#NAME?</definedName>
    <definedName name="_xleta.OR" hidden="1" xlm="1">#NAME?</definedName>
    <definedName name="amnshp_pct" localSheetId="12">'AS 7140S FQ'!#REF!</definedName>
    <definedName name="amnshp_pct" localSheetId="13">'AS 7140S HQ'!#REF!</definedName>
    <definedName name="amnshp_pct" localSheetId="14">'AS 7150S'!#REF!</definedName>
    <definedName name="amnshp_pct" localSheetId="15">'AS 7160S'!#REF!</definedName>
    <definedName name="amnshp_pct" localSheetId="17">'AS 7314W'!#REF!</definedName>
    <definedName name="amnshp_pct" localSheetId="18">'AS 7316R'!#REF!</definedName>
    <definedName name="amnshp_pct" localSheetId="10">'SO 6140S'!#REF!</definedName>
    <definedName name="amnshp_pct" localSheetId="19">'SY 7213C'!#REF!</definedName>
    <definedName name="amnshp_pct" localSheetId="21">'SY 7521O'!#REF!</definedName>
    <definedName name="amnshp_pct" localSheetId="20">'SY 752xx'!#REF!</definedName>
    <definedName name="amnshp_pct" localSheetId="24">'TF 6221C'!#REF!</definedName>
    <definedName name="amnshp_pct" localSheetId="25">'TF 6233C'!#REF!</definedName>
    <definedName name="amnshp_pct" localSheetId="26">'TF 6241F'!#REF!</definedName>
    <definedName name="amnshp_pct" localSheetId="27">'TF 6265R'!#REF!</definedName>
    <definedName name="amnshp_pct" localSheetId="28">'TF 6268R'!#REF!</definedName>
    <definedName name="amnshp_pct" localSheetId="29">'TF 6402R'!#REF!</definedName>
    <definedName name="amnshp_pct" localSheetId="30">'TF 6403R'!#REF!</definedName>
    <definedName name="amnshp_pct" localSheetId="31">'TF 7113R'!#REF!</definedName>
    <definedName name="amnshp_pct" localSheetId="32">'TF 7123R'!#REF!</definedName>
    <definedName name="amnshp_pct" localSheetId="33">'TF 7133R'!#REF!</definedName>
    <definedName name="amnshp_pct" localSheetId="34">'TF 7502R'!#REF!</definedName>
    <definedName name="Binary" localSheetId="24">#REF!</definedName>
    <definedName name="Binary">#REF!</definedName>
    <definedName name="c_no_grade" localSheetId="12">'AS 7140S FQ'!$BC$5</definedName>
    <definedName name="c_no_grade" localSheetId="13">'AS 7140S HQ'!$BC$5</definedName>
    <definedName name="c_no_grade" localSheetId="14">'AS 7150S'!$BC$4</definedName>
    <definedName name="c_no_grade" localSheetId="15">'AS 7160S'!$BC$5</definedName>
    <definedName name="c_no_grade" localSheetId="17">'AS 7314W'!$BC$4</definedName>
    <definedName name="c_no_grade" localSheetId="18">'AS 7316R'!$BC$7</definedName>
    <definedName name="c_no_grade" localSheetId="10">'SO 6140S'!$BC$5</definedName>
    <definedName name="c_no_grade" localSheetId="19">'SY 7213C'!$BC$4</definedName>
    <definedName name="c_no_grade" localSheetId="21">'SY 7521O'!$BC$4</definedName>
    <definedName name="c_no_grade" localSheetId="20">'SY 752xx'!$BC$4</definedName>
    <definedName name="c_no_grade" localSheetId="24">'TF 6221C'!$BC$4</definedName>
    <definedName name="c_no_grade" localSheetId="25">'TF 6233C'!$BC$4</definedName>
    <definedName name="c_no_grade" localSheetId="26">'TF 6241F'!$BC$4</definedName>
    <definedName name="c_no_grade" localSheetId="27">'TF 6265R'!$BC$7</definedName>
    <definedName name="c_no_grade" localSheetId="28">'TF 6268R'!$BC$7</definedName>
    <definedName name="c_no_grade" localSheetId="29">'TF 6402R'!$BC$5</definedName>
    <definedName name="c_no_grade" localSheetId="30">'TF 6403R'!$BC$7</definedName>
    <definedName name="c_no_grade" localSheetId="31">'TF 7113R'!$BC$5</definedName>
    <definedName name="c_no_grade" localSheetId="32">'TF 7123R'!$BC$5</definedName>
    <definedName name="c_no_grade" localSheetId="33">'TF 7133R'!$BC$5</definedName>
    <definedName name="c_no_grade" localSheetId="34">'TF 7502R'!$BC$4</definedName>
    <definedName name="c_no_grade">#REF!</definedName>
    <definedName name="CandS" localSheetId="12">'AS 7140S FQ'!$J$9:$K$40</definedName>
    <definedName name="CandS" localSheetId="13">'AS 7140S HQ'!$J$9:$K$40</definedName>
    <definedName name="CandS" localSheetId="14">'AS 7150S'!$J$8:$K$39</definedName>
    <definedName name="CandS" localSheetId="15">'AS 7160S'!$J$9:$K$40</definedName>
    <definedName name="CandS" localSheetId="17">'AS 7314W'!$J$8:$K$39</definedName>
    <definedName name="CandS" localSheetId="18">'AS 7316R'!$J$11:$K$42</definedName>
    <definedName name="CandS" localSheetId="10">'SO 6140S'!$J$9:$K$40</definedName>
    <definedName name="CandS" localSheetId="19">'SY 7213C'!$J$8:$K$39</definedName>
    <definedName name="CandS" localSheetId="21">'SY 7521O'!$J$8:$K$39</definedName>
    <definedName name="CandS" localSheetId="20">'SY 752xx'!$J$8:$K$39</definedName>
    <definedName name="CandS" localSheetId="24">'TF 6221C'!$J$8:$K$39</definedName>
    <definedName name="CandS" localSheetId="25">'TF 6233C'!$J$8:$K$39</definedName>
    <definedName name="CandS" localSheetId="26">'TF 6241F'!$J$8:$K$39</definedName>
    <definedName name="CandS" localSheetId="27">'TF 6265R'!$J$11:$K$42</definedName>
    <definedName name="CandS" localSheetId="28">'TF 6268R'!$J$11:$K$42</definedName>
    <definedName name="CandS" localSheetId="29">'TF 6402R'!$J$9:$K$40</definedName>
    <definedName name="CandS" localSheetId="30">'TF 6403R'!$J$11:$K$42</definedName>
    <definedName name="CandS" localSheetId="31">'TF 7113R'!$J$9:$K$40</definedName>
    <definedName name="CandS" localSheetId="32">'TF 7123R'!$J$9:$K$40</definedName>
    <definedName name="CandS" localSheetId="33">'TF 7133R'!$J$9:$K$40</definedName>
    <definedName name="CandS" localSheetId="34">'TF 7502R'!$J$8:$K$39</definedName>
    <definedName name="CandS">#REF!</definedName>
    <definedName name="comment_mand" localSheetId="12">'AS 7140S FQ'!$BG$9:$BG$40</definedName>
    <definedName name="comment_mand" localSheetId="13">'AS 7140S HQ'!$BG$9:$BG$40</definedName>
    <definedName name="comment_mand" localSheetId="14">'AS 7150S'!$BG$8:$BG$39</definedName>
    <definedName name="comment_mand" localSheetId="15">'AS 7160S'!$BG$9:$BG$40</definedName>
    <definedName name="comment_mand" localSheetId="17">'AS 7314W'!$BG$8:$BG$39</definedName>
    <definedName name="comment_mand" localSheetId="18">'AS 7316R'!$BG$11:$BG$42</definedName>
    <definedName name="comment_mand" localSheetId="10">'SO 6140S'!$BG$9:$BG$40</definedName>
    <definedName name="comment_mand" localSheetId="19">'SY 7213C'!$BG$8:$BG$39</definedName>
    <definedName name="comment_mand" localSheetId="21">'SY 7521O'!$BG$8:$BG$39</definedName>
    <definedName name="comment_mand" localSheetId="20">'SY 752xx'!$BG$8:$BG$39</definedName>
    <definedName name="comment_mand" localSheetId="24">'TF 6221C'!$BG$8:$BG$39</definedName>
    <definedName name="comment_mand" localSheetId="25">'TF 6233C'!$BG$8:$BG$39</definedName>
    <definedName name="comment_mand" localSheetId="26">'TF 6241F'!$BG$8:$BG$39</definedName>
    <definedName name="comment_mand" localSheetId="27">'TF 6265R'!$BG$11:$BG$42</definedName>
    <definedName name="comment_mand" localSheetId="28">'TF 6268R'!$BG$11:$BG$42</definedName>
    <definedName name="comment_mand" localSheetId="29">'TF 6402R'!$BG$9:$BG$40</definedName>
    <definedName name="comment_mand" localSheetId="30">'TF 6403R'!$BG$11:$BG$42</definedName>
    <definedName name="comment_mand" localSheetId="31">'TF 7113R'!$BG$9:$BG$40</definedName>
    <definedName name="comment_mand" localSheetId="32">'TF 7123R'!$BG$9:$BG$40</definedName>
    <definedName name="comment_mand" localSheetId="33">'TF 7133R'!$BG$9:$BG$40</definedName>
    <definedName name="comment_mand" localSheetId="34">'TF 7502R'!$BG$8:$BG$39</definedName>
    <definedName name="comment_mand">#REF!</definedName>
    <definedName name="comments" localSheetId="12">'AS 7140S FQ'!$L$9</definedName>
    <definedName name="comments" localSheetId="13">'AS 7140S HQ'!$L$9</definedName>
    <definedName name="comments" localSheetId="14">'AS 7150S'!$L$8</definedName>
    <definedName name="comments" localSheetId="15">'AS 7160S'!$L$9</definedName>
    <definedName name="comments" localSheetId="17">'AS 7314W'!$L$8</definedName>
    <definedName name="comments" localSheetId="18">'AS 7316R'!$L$11</definedName>
    <definedName name="comments" localSheetId="10">'SO 6140S'!$L$9</definedName>
    <definedName name="comments" localSheetId="19">'SY 7213C'!$L$8</definedName>
    <definedName name="comments" localSheetId="21">'SY 7521O'!$L$8</definedName>
    <definedName name="comments" localSheetId="20">'SY 752xx'!$L$8</definedName>
    <definedName name="comments" localSheetId="24">'TF 6221C'!$L$8</definedName>
    <definedName name="comments" localSheetId="25">'TF 6233C'!$L$8</definedName>
    <definedName name="comments" localSheetId="26">'TF 6241F'!$L$8</definedName>
    <definedName name="comments" localSheetId="27">'TF 6265R'!$L$11</definedName>
    <definedName name="comments" localSheetId="28">'TF 6268R'!$L$11</definedName>
    <definedName name="comments" localSheetId="29">'TF 6402R'!$L$9</definedName>
    <definedName name="comments" localSheetId="30">'TF 6403R'!$L$11</definedName>
    <definedName name="comments" localSheetId="31">'TF 7113R'!$L$9</definedName>
    <definedName name="comments" localSheetId="32">'TF 7123R'!$L$9</definedName>
    <definedName name="comments" localSheetId="33">'TF 7133R'!$L$9</definedName>
    <definedName name="comments" localSheetId="34">'TF 7502R'!$L$8</definedName>
    <definedName name="CrewSoloQual" localSheetId="11">'[1]Extra 300'!$P$5</definedName>
    <definedName name="CrewSoloQual" localSheetId="12">'AS 7140S FQ'!$F$7</definedName>
    <definedName name="CrewSoloQual" localSheetId="13">'AS 7140S HQ'!$F$7</definedName>
    <definedName name="CrewSoloQual" localSheetId="14">'AS 7150S'!$F$6</definedName>
    <definedName name="CrewSoloQual" localSheetId="15">'AS 7160S'!$F$7</definedName>
    <definedName name="CrewSoloQual" localSheetId="16">'[1]Extra 300'!$P$5</definedName>
    <definedName name="CrewSoloQual" localSheetId="17">'AS 7314W'!$F$6</definedName>
    <definedName name="CrewSoloQual" localSheetId="18">'AS 7316R'!$F$9</definedName>
    <definedName name="CrewSoloQual" localSheetId="10">'SO 6140S'!$F$7</definedName>
    <definedName name="CrewSoloQual" localSheetId="19">'SY 7213C'!$F$6</definedName>
    <definedName name="CrewSoloQual" localSheetId="21">'SY 7521O'!$F$6</definedName>
    <definedName name="CrewSoloQual" localSheetId="22">'[1]Extra 300'!$P$5</definedName>
    <definedName name="CrewSoloQual" localSheetId="20">'SY 752xx'!$F$6</definedName>
    <definedName name="CrewSoloQual" localSheetId="23">'[1]Extra 300'!$P$5</definedName>
    <definedName name="CrewSoloQual" localSheetId="24">'TF 6221C'!$F$6</definedName>
    <definedName name="CrewSoloQual" localSheetId="25">'TF 6233C'!$F$6</definedName>
    <definedName name="CrewSoloQual" localSheetId="26">'TF 6241F'!$F$6</definedName>
    <definedName name="CrewSoloQual" localSheetId="27">'TF 6265R'!$F$9</definedName>
    <definedName name="CrewSoloQual" localSheetId="28">'TF 6268R'!$F$9</definedName>
    <definedName name="CrewSoloQual" localSheetId="29">'TF 6402R'!$F$7</definedName>
    <definedName name="CrewSoloQual" localSheetId="30">'TF 6403R'!$F$9</definedName>
    <definedName name="CrewSoloQual" localSheetId="31">'TF 7113R'!$F$7</definedName>
    <definedName name="CrewSoloQual" localSheetId="32">'TF 7123R'!$F$7</definedName>
    <definedName name="CrewSoloQual" localSheetId="33">'TF 7133R'!$F$7</definedName>
    <definedName name="CrewSoloQual" localSheetId="34">'TF 7502R'!$F$6</definedName>
    <definedName name="CrewSoloQual">#REF!</definedName>
    <definedName name="crit_input_data" localSheetId="12">'AS 7140S FQ'!#REF!</definedName>
    <definedName name="crit_input_data" localSheetId="13">'AS 7140S HQ'!#REF!</definedName>
    <definedName name="crit_input_data" localSheetId="14">'AS 7150S'!#REF!</definedName>
    <definedName name="crit_input_data" localSheetId="15">'AS 7160S'!#REF!</definedName>
    <definedName name="crit_input_data" localSheetId="17">'AS 7314W'!#REF!</definedName>
    <definedName name="crit_input_data" localSheetId="18">'AS 7316R'!#REF!</definedName>
    <definedName name="crit_input_data" localSheetId="10">'SO 6140S'!#REF!</definedName>
    <definedName name="crit_input_data" localSheetId="19">'SY 7213C'!#REF!</definedName>
    <definedName name="crit_input_data" localSheetId="21">'SY 7521O'!#REF!</definedName>
    <definedName name="crit_input_data" localSheetId="20">'SY 752xx'!#REF!</definedName>
    <definedName name="crit_input_data" localSheetId="24">'TF 6221C'!#REF!</definedName>
    <definedName name="crit_input_data" localSheetId="25">'TF 6233C'!#REF!</definedName>
    <definedName name="crit_input_data" localSheetId="26">'TF 6241F'!#REF!</definedName>
    <definedName name="crit_input_data" localSheetId="27">'TF 6265R'!#REF!</definedName>
    <definedName name="crit_input_data" localSheetId="28">'TF 6268R'!#REF!</definedName>
    <definedName name="crit_input_data" localSheetId="29">'TF 6402R'!#REF!</definedName>
    <definedName name="crit_input_data" localSheetId="30">'TF 6403R'!#REF!</definedName>
    <definedName name="crit_input_data" localSheetId="31">'TF 7113R'!#REF!</definedName>
    <definedName name="crit_input_data" localSheetId="32">'TF 7123R'!#REF!</definedName>
    <definedName name="crit_input_data" localSheetId="33">'TF 7133R'!#REF!</definedName>
    <definedName name="crit_input_data" localSheetId="34">'TF 7502R'!#REF!</definedName>
    <definedName name="D_and_count" localSheetId="12">'AS 7140S FQ'!$BE$5</definedName>
    <definedName name="D_and_count" localSheetId="13">'AS 7140S HQ'!$BE$5</definedName>
    <definedName name="D_and_count" localSheetId="14">'AS 7150S'!$BE$4</definedName>
    <definedName name="D_and_count" localSheetId="15">'AS 7160S'!$BE$5</definedName>
    <definedName name="D_and_count" localSheetId="17">'AS 7314W'!$BE$4</definedName>
    <definedName name="D_and_count" localSheetId="18">'AS 7316R'!$BE$7</definedName>
    <definedName name="D_and_count" localSheetId="10">'SO 6140S'!$BE$5</definedName>
    <definedName name="D_and_count" localSheetId="19">'SY 7213C'!$BE$4</definedName>
    <definedName name="D_and_count" localSheetId="21">'SY 7521O'!$BE$4</definedName>
    <definedName name="D_and_count" localSheetId="20">'SY 752xx'!$BE$4</definedName>
    <definedName name="D_and_count" localSheetId="24">'TF 6221C'!$BE$4</definedName>
    <definedName name="D_and_count" localSheetId="25">'TF 6233C'!$BE$4</definedName>
    <definedName name="D_and_count" localSheetId="26">'TF 6241F'!$BE$4</definedName>
    <definedName name="D_and_count" localSheetId="27">'TF 6265R'!$BE$7</definedName>
    <definedName name="D_and_count" localSheetId="28">'TF 6268R'!$BE$7</definedName>
    <definedName name="D_and_count" localSheetId="29">'TF 6402R'!$BE$5</definedName>
    <definedName name="D_and_count" localSheetId="30">'TF 6403R'!$BE$7</definedName>
    <definedName name="D_and_count" localSheetId="31">'TF 7113R'!$BE$5</definedName>
    <definedName name="D_and_count" localSheetId="32">'TF 7123R'!$BE$5</definedName>
    <definedName name="D_and_count" localSheetId="33">'TF 7133R'!$BE$5</definedName>
    <definedName name="D_and_count" localSheetId="34">'TF 7502R'!$BE$4</definedName>
    <definedName name="D_and_count">#REF!</definedName>
    <definedName name="date" localSheetId="11">'AS 7130L'!$K$3</definedName>
    <definedName name="date" localSheetId="16">'AS 7310A'!$K$4</definedName>
    <definedName name="date" localSheetId="17">'AS 7314W'!$Q$4</definedName>
    <definedName name="date" localSheetId="18">'AS 7316R'!$Q$7</definedName>
    <definedName name="date" localSheetId="22">'SY 7522Y'!$H$8</definedName>
    <definedName name="date" localSheetId="20">'SY 752xx'!$Q$4</definedName>
    <definedName name="date" localSheetId="23">'TF 5310Y'!$H$8</definedName>
    <definedName name="date" localSheetId="27">'TF 6265R'!$Q$7</definedName>
    <definedName name="date" localSheetId="28">'TF 6268R'!$Q$7</definedName>
    <definedName name="date" localSheetId="29">'TF 6402R'!$Q$5</definedName>
    <definedName name="date" localSheetId="30">'TF 6403R'!$Q$7</definedName>
    <definedName name="date" localSheetId="31">'TF 7113R'!$Q$5</definedName>
    <definedName name="date" localSheetId="32">'TF 7123R'!$Q$5</definedName>
    <definedName name="date" localSheetId="33">'TF 7133R'!$Q$5</definedName>
    <definedName name="date" localSheetId="34">'TF 7502R'!$Q$4</definedName>
    <definedName name="date">#REF!</definedName>
    <definedName name="desds" localSheetId="12">'AS 7140S FQ'!$BN$9:$BN$40</definedName>
    <definedName name="desds" localSheetId="13">'AS 7140S HQ'!$BN$9:$BN$40</definedName>
    <definedName name="desds" localSheetId="14">'AS 7150S'!$BN$8:$BN$39</definedName>
    <definedName name="desds" localSheetId="15">'AS 7160S'!$BN$9:$BN$40</definedName>
    <definedName name="desds" localSheetId="17">'AS 7314W'!$BN$8:$BN$39</definedName>
    <definedName name="desds" localSheetId="18">'AS 7316R'!$BN$11:$BN$42</definedName>
    <definedName name="desds" localSheetId="10">'SO 6140S'!$BN$9:$BN$40</definedName>
    <definedName name="desds" localSheetId="19">'SY 7213C'!$BN$8:$BN$39</definedName>
    <definedName name="desds" localSheetId="21">'SY 7521O'!$BN$8:$BN$39</definedName>
    <definedName name="desds" localSheetId="20">'SY 752xx'!$BN$8:$BN$39</definedName>
    <definedName name="desds" localSheetId="24">'TF 6221C'!$BN$8:$BN$39</definedName>
    <definedName name="desds" localSheetId="25">'TF 6233C'!$BN$8:$BN$39</definedName>
    <definedName name="desds" localSheetId="26">'TF 6241F'!$BN$8:$BN$39</definedName>
    <definedName name="desds" localSheetId="27">'TF 6265R'!$BN$11:$BN$42</definedName>
    <definedName name="desds" localSheetId="28">'TF 6268R'!$BN$11:$BN$42</definedName>
    <definedName name="desds" localSheetId="29">'TF 6402R'!$BN$9:$BN$40</definedName>
    <definedName name="desds" localSheetId="30">'TF 6403R'!$BN$11:$BN$42</definedName>
    <definedName name="desds" localSheetId="31">'TF 7113R'!$BN$9:$BN$40</definedName>
    <definedName name="desds" localSheetId="32">'TF 7123R'!$BN$9:$BN$40</definedName>
    <definedName name="desds" localSheetId="33">'TF 7133R'!$BN$9:$BN$40</definedName>
    <definedName name="desds" localSheetId="34">'TF 7502R'!$BN$8:$BN$39</definedName>
    <definedName name="desds">#REF!</definedName>
    <definedName name="DO_comments" localSheetId="12">'AS 7140S FQ'!$BO$35</definedName>
    <definedName name="DO_comments" localSheetId="13">'AS 7140S HQ'!$BO$35</definedName>
    <definedName name="DO_comments" localSheetId="14">'AS 7150S'!$BO$34</definedName>
    <definedName name="DO_comments" localSheetId="15">'AS 7160S'!$BO$35</definedName>
    <definedName name="DO_comments" localSheetId="17">'AS 7314W'!$BO$34</definedName>
    <definedName name="DO_comments" localSheetId="18">'AS 7316R'!$BO$37</definedName>
    <definedName name="DO_comments" localSheetId="10">'SO 6140S'!$BO$35</definedName>
    <definedName name="DO_comments" localSheetId="19">'SY 7213C'!$BO$34</definedName>
    <definedName name="DO_comments" localSheetId="21">'SY 7521O'!$BO$34</definedName>
    <definedName name="DO_comments" localSheetId="20">'SY 752xx'!$BO$34</definedName>
    <definedName name="DO_comments" localSheetId="24">'TF 6221C'!$BO$34</definedName>
    <definedName name="DO_comments" localSheetId="25">'TF 6233C'!$BO$34</definedName>
    <definedName name="DO_comments" localSheetId="26">'TF 6241F'!$BO$34</definedName>
    <definedName name="DO_comments" localSheetId="27">'TF 6265R'!$BO$37</definedName>
    <definedName name="DO_comments" localSheetId="28">'TF 6268R'!$BO$37</definedName>
    <definedName name="DO_comments" localSheetId="29">'TF 6402R'!$BO$35</definedName>
    <definedName name="DO_comments" localSheetId="30">'TF 6403R'!$BO$37</definedName>
    <definedName name="DO_comments" localSheetId="31">'TF 7113R'!$BO$35</definedName>
    <definedName name="DO_comments" localSheetId="32">'TF 7123R'!$BO$35</definedName>
    <definedName name="DO_comments" localSheetId="33">'TF 7133R'!$BO$35</definedName>
    <definedName name="DO_comments" localSheetId="34">'TF 7502R'!$BO$34</definedName>
    <definedName name="DO_comments">#REF!</definedName>
    <definedName name="DO_sig" localSheetId="12">'AS 7140S FQ'!$O$42</definedName>
    <definedName name="DO_sig" localSheetId="13">'AS 7140S HQ'!$O$42</definedName>
    <definedName name="DO_sig" localSheetId="14">'AS 7150S'!$O$41</definedName>
    <definedName name="DO_sig" localSheetId="15">'AS 7160S'!$O$42</definedName>
    <definedName name="DO_sig" localSheetId="17">'AS 7314W'!$O$41</definedName>
    <definedName name="DO_sig" localSheetId="18">'AS 7316R'!$O$44</definedName>
    <definedName name="DO_sig" localSheetId="10">'SO 6140S'!$O$42</definedName>
    <definedName name="DO_sig" localSheetId="19">'SY 7213C'!$O$41</definedName>
    <definedName name="DO_sig" localSheetId="21">'SY 7521O'!$O$41</definedName>
    <definedName name="DO_sig" localSheetId="20">'SY 752xx'!$O$41</definedName>
    <definedName name="DO_sig" localSheetId="24">'TF 6221C'!$O$41</definedName>
    <definedName name="DO_sig" localSheetId="25">'TF 6233C'!$O$41</definedName>
    <definedName name="DO_sig" localSheetId="26">'TF 6241F'!$O$41</definedName>
    <definedName name="DO_sig" localSheetId="27">'TF 6265R'!$O$44</definedName>
    <definedName name="DO_sig" localSheetId="28">'TF 6268R'!$O$44</definedName>
    <definedName name="DO_sig" localSheetId="29">'TF 6402R'!$O$42</definedName>
    <definedName name="DO_sig" localSheetId="30">'TF 6403R'!$O$44</definedName>
    <definedName name="DO_sig" localSheetId="31">'TF 7113R'!$O$42</definedName>
    <definedName name="DO_sig" localSheetId="32">'TF 7123R'!$O$42</definedName>
    <definedName name="DO_sig" localSheetId="33">'TF 7133R'!$O$42</definedName>
    <definedName name="DO_sig" localSheetId="34">'TF 7502R'!$O$41</definedName>
    <definedName name="DO_sig">#REF!</definedName>
    <definedName name="ED_comments" localSheetId="12">'AS 7140S FQ'!$BO$40</definedName>
    <definedName name="ED_comments" localSheetId="13">'AS 7140S HQ'!$BO$40</definedName>
    <definedName name="ED_comments" localSheetId="14">'AS 7150S'!$BO$39</definedName>
    <definedName name="ED_comments" localSheetId="15">'AS 7160S'!$BO$40</definedName>
    <definedName name="ED_comments" localSheetId="17">'AS 7314W'!$BO$39</definedName>
    <definedName name="ED_comments" localSheetId="18">'AS 7316R'!$BO$42</definedName>
    <definedName name="ED_comments" localSheetId="10">'SO 6140S'!$BO$40</definedName>
    <definedName name="ED_comments" localSheetId="19">'SY 7213C'!$BO$39</definedName>
    <definedName name="ED_comments" localSheetId="21">'SY 7521O'!$BO$39</definedName>
    <definedName name="ED_comments" localSheetId="20">'SY 752xx'!$BO$39</definedName>
    <definedName name="ED_comments" localSheetId="24">'TF 6221C'!$BO$39</definedName>
    <definedName name="ED_comments" localSheetId="25">'TF 6233C'!$BO$39</definedName>
    <definedName name="ED_comments" localSheetId="26">'TF 6241F'!$BO$39</definedName>
    <definedName name="ED_comments" localSheetId="27">'TF 6265R'!$BO$42</definedName>
    <definedName name="ED_comments" localSheetId="28">'TF 6268R'!$BO$42</definedName>
    <definedName name="ED_comments" localSheetId="29">'TF 6402R'!$BO$40</definedName>
    <definedName name="ED_comments" localSheetId="30">'TF 6403R'!$BO$42</definedName>
    <definedName name="ED_comments" localSheetId="31">'TF 7113R'!$BO$40</definedName>
    <definedName name="ED_comments" localSheetId="32">'TF 7123R'!$BO$40</definedName>
    <definedName name="ED_comments" localSheetId="33">'TF 7133R'!$BO$40</definedName>
    <definedName name="ED_comments" localSheetId="34">'TF 7502R'!$BO$39</definedName>
    <definedName name="ED_comments">#REF!</definedName>
    <definedName name="ED_sig" localSheetId="12">'AS 7140S FQ'!$Q$42</definedName>
    <definedName name="ED_sig" localSheetId="13">'AS 7140S HQ'!$Q$42</definedName>
    <definedName name="ED_sig" localSheetId="14">'AS 7150S'!$Q$41</definedName>
    <definedName name="ED_sig" localSheetId="15">'AS 7160S'!$Q$42</definedName>
    <definedName name="ED_sig" localSheetId="17">'AS 7314W'!$Q$41</definedName>
    <definedName name="ED_sig" localSheetId="18">'AS 7316R'!$Q$44</definedName>
    <definedName name="ED_sig" localSheetId="10">'SO 6140S'!$Q$42</definedName>
    <definedName name="ED_sig" localSheetId="19">'SY 7213C'!$Q$41</definedName>
    <definedName name="ED_sig" localSheetId="21">'SY 7521O'!$Q$41</definedName>
    <definedName name="ED_sig" localSheetId="20">'SY 752xx'!$Q$41</definedName>
    <definedName name="ED_sig" localSheetId="24">'TF 6221C'!$Q$41</definedName>
    <definedName name="ED_sig" localSheetId="25">'TF 6233C'!$Q$41</definedName>
    <definedName name="ED_sig" localSheetId="26">'TF 6241F'!$Q$41</definedName>
    <definedName name="ED_sig" localSheetId="27">'TF 6265R'!$Q$44</definedName>
    <definedName name="ED_sig" localSheetId="28">'TF 6268R'!$Q$44</definedName>
    <definedName name="ED_sig" localSheetId="29">'TF 6402R'!$Q$42</definedName>
    <definedName name="ED_sig" localSheetId="30">'TF 6403R'!$Q$44</definedName>
    <definedName name="ED_sig" localSheetId="31">'TF 7113R'!$Q$42</definedName>
    <definedName name="ED_sig" localSheetId="32">'TF 7123R'!$Q$42</definedName>
    <definedName name="ED_sig" localSheetId="33">'TF 7133R'!$Q$42</definedName>
    <definedName name="ED_sig" localSheetId="34">'TF 7502R'!$Q$41</definedName>
    <definedName name="ED_sig">#REF!</definedName>
    <definedName name="events" localSheetId="12">'AS 7140S FQ'!#REF!</definedName>
    <definedName name="events" localSheetId="13">'AS 7140S HQ'!#REF!</definedName>
    <definedName name="events" localSheetId="14">'AS 7150S'!#REF!</definedName>
    <definedName name="events" localSheetId="15">'AS 7160S'!#REF!</definedName>
    <definedName name="events" localSheetId="17">'AS 7314W'!#REF!</definedName>
    <definedName name="events" localSheetId="18">'AS 7316R'!#REF!</definedName>
    <definedName name="events" localSheetId="10">'SO 6140S'!#REF!</definedName>
    <definedName name="events" localSheetId="19">'SY 7213C'!#REF!</definedName>
    <definedName name="events" localSheetId="21">'SY 7521O'!#REF!</definedName>
    <definedName name="events" localSheetId="20">'SY 752xx'!#REF!</definedName>
    <definedName name="events" localSheetId="24">'TF 6221C'!#REF!</definedName>
    <definedName name="events" localSheetId="25">'TF 6233C'!#REF!</definedName>
    <definedName name="events" localSheetId="26">'TF 6241F'!#REF!</definedName>
    <definedName name="events" localSheetId="27">'TF 6265R'!#REF!</definedName>
    <definedName name="events" localSheetId="28">'TF 6268R'!#REF!</definedName>
    <definedName name="events" localSheetId="29">'TF 6402R'!#REF!</definedName>
    <definedName name="events" localSheetId="30">'TF 6403R'!#REF!</definedName>
    <definedName name="events" localSheetId="31">'TF 7113R'!#REF!</definedName>
    <definedName name="events" localSheetId="32">'TF 7123R'!#REF!</definedName>
    <definedName name="events" localSheetId="33">'TF 7133R'!#REF!</definedName>
    <definedName name="events" localSheetId="34">'TF 7502R'!#REF!</definedName>
    <definedName name="events">#REF!</definedName>
    <definedName name="exam_event" localSheetId="12">'AS 7140S FQ'!#REF!</definedName>
    <definedName name="exam_event" localSheetId="13">'AS 7140S HQ'!#REF!</definedName>
    <definedName name="exam_event" localSheetId="14">'AS 7150S'!#REF!</definedName>
    <definedName name="exam_event" localSheetId="15">'AS 7160S'!#REF!</definedName>
    <definedName name="exam_event" localSheetId="17">'AS 7314W'!#REF!</definedName>
    <definedName name="exam_event" localSheetId="18">'AS 7316R'!#REF!</definedName>
    <definedName name="exam_event" localSheetId="10">'SO 6140S'!#REF!</definedName>
    <definedName name="exam_event" localSheetId="19">'SY 7213C'!#REF!</definedName>
    <definedName name="exam_event" localSheetId="21">'SY 7521O'!#REF!</definedName>
    <definedName name="exam_event" localSheetId="20">'SY 752xx'!#REF!</definedName>
    <definedName name="exam_event" localSheetId="24">'TF 6221C'!#REF!</definedName>
    <definedName name="exam_event" localSheetId="25">'TF 6233C'!#REF!</definedName>
    <definedName name="exam_event" localSheetId="26">'TF 6241F'!#REF!</definedName>
    <definedName name="exam_event" localSheetId="27">'TF 6265R'!#REF!</definedName>
    <definedName name="exam_event" localSheetId="28">'TF 6268R'!#REF!</definedName>
    <definedName name="exam_event" localSheetId="29">'TF 6402R'!#REF!</definedName>
    <definedName name="exam_event" localSheetId="30">'TF 6403R'!#REF!</definedName>
    <definedName name="exam_event" localSheetId="31">'TF 7113R'!#REF!</definedName>
    <definedName name="exam_event" localSheetId="32">'TF 7123R'!#REF!</definedName>
    <definedName name="exam_event" localSheetId="33">'TF 7133R'!#REF!</definedName>
    <definedName name="exam_event" localSheetId="34">'TF 7502R'!#REF!</definedName>
    <definedName name="Flight" localSheetId="24">#REF!</definedName>
    <definedName name="Flight">#REF!</definedName>
    <definedName name="Flight?" localSheetId="12">'AS 7140S FQ'!$AU$5</definedName>
    <definedName name="Flight?" localSheetId="13">'AS 7140S HQ'!$AU$5</definedName>
    <definedName name="Flight?" localSheetId="14">'AS 7150S'!$AU$4</definedName>
    <definedName name="Flight?" localSheetId="15">'AS 7160S'!$AU$5</definedName>
    <definedName name="Flight?" localSheetId="17">'AS 7314W'!$AU$4</definedName>
    <definedName name="Flight?" localSheetId="18">'AS 7316R'!$AU$7</definedName>
    <definedName name="Flight?" localSheetId="10">'SO 6140S'!$AU$5</definedName>
    <definedName name="Flight?" localSheetId="19">'SY 7213C'!$AU$4</definedName>
    <definedName name="Flight?" localSheetId="21">'SY 7521O'!$AU$4</definedName>
    <definedName name="Flight?" localSheetId="20">'SY 752xx'!$AU$4</definedName>
    <definedName name="Flight?" localSheetId="24">'TF 6221C'!$AU$4</definedName>
    <definedName name="Flight?" localSheetId="25">'TF 6233C'!$AU$4</definedName>
    <definedName name="Flight?" localSheetId="26">'TF 6241F'!$AU$4</definedName>
    <definedName name="Flight?" localSheetId="27">'TF 6265R'!$AU$7</definedName>
    <definedName name="Flight?" localSheetId="28">'TF 6268R'!$AU$7</definedName>
    <definedName name="Flight?" localSheetId="29">'TF 6402R'!$AU$5</definedName>
    <definedName name="Flight?" localSheetId="30">'TF 6403R'!$AU$7</definedName>
    <definedName name="Flight?" localSheetId="31">'TF 7113R'!$AU$5</definedName>
    <definedName name="Flight?" localSheetId="32">'TF 7123R'!$AU$5</definedName>
    <definedName name="Flight?" localSheetId="33">'TF 7133R'!$AU$5</definedName>
    <definedName name="Flight?" localSheetId="34">'TF 7502R'!$AU$4</definedName>
    <definedName name="Flight_CRoom_Sim" localSheetId="12">'AS 7140S FQ'!#REF!</definedName>
    <definedName name="Flight_CRoom_Sim" localSheetId="13">'AS 7140S HQ'!#REF!</definedName>
    <definedName name="Flight_CRoom_Sim" localSheetId="15">'AS 7160S'!#REF!</definedName>
    <definedName name="Flight_CRoom_Sim" localSheetId="17">'AS 7314W'!#REF!</definedName>
    <definedName name="Flight_CRoom_Sim" localSheetId="18">'AS 7316R'!#REF!</definedName>
    <definedName name="Flight_CRoom_Sim" localSheetId="10">'SO 6140S'!#REF!</definedName>
    <definedName name="Flight_CRoom_Sim" localSheetId="19">'SY 7213C'!#REF!</definedName>
    <definedName name="Flight_CRoom_Sim" localSheetId="21">'SY 7521O'!#REF!</definedName>
    <definedName name="Flight_CRoom_Sim" localSheetId="20">'SY 752xx'!#REF!</definedName>
    <definedName name="Flight_CRoom_Sim" localSheetId="24">'TF 6221C'!#REF!</definedName>
    <definedName name="Flight_CRoom_Sim" localSheetId="25">'TF 6233C'!#REF!</definedName>
    <definedName name="Flight_CRoom_Sim" localSheetId="26">'TF 6241F'!#REF!</definedName>
    <definedName name="Flight_CRoom_Sim" localSheetId="27">'TF 6265R'!#REF!</definedName>
    <definedName name="Flight_CRoom_Sim" localSheetId="28">'TF 6268R'!#REF!</definedName>
    <definedName name="Flight_CRoom_Sim" localSheetId="29">'TF 6402R'!#REF!</definedName>
    <definedName name="Flight_CRoom_Sim" localSheetId="30">'TF 6403R'!#REF!</definedName>
    <definedName name="Flight_CRoom_Sim" localSheetId="31">'TF 7113R'!#REF!</definedName>
    <definedName name="Flight_CRoom_Sim" localSheetId="32">'TF 7123R'!#REF!</definedName>
    <definedName name="Flight_CRoom_Sim" localSheetId="33">'TF 7133R'!#REF!</definedName>
    <definedName name="Flight_CRoom_Sim" localSheetId="34">'TF 7502R'!#REF!</definedName>
    <definedName name="g_no_count" localSheetId="12">'AS 7140S FQ'!$BD$5</definedName>
    <definedName name="g_no_count" localSheetId="13">'AS 7140S HQ'!$BD$5</definedName>
    <definedName name="g_no_count" localSheetId="14">'AS 7150S'!$BD$4</definedName>
    <definedName name="g_no_count" localSheetId="15">'AS 7160S'!$BD$5</definedName>
    <definedName name="g_no_count" localSheetId="17">'AS 7314W'!$BD$4</definedName>
    <definedName name="g_no_count" localSheetId="18">'AS 7316R'!$BD$7</definedName>
    <definedName name="g_no_count" localSheetId="10">'SO 6140S'!$BD$5</definedName>
    <definedName name="g_no_count" localSheetId="19">'SY 7213C'!$BD$4</definedName>
    <definedName name="g_no_count" localSheetId="21">'SY 7521O'!$BD$4</definedName>
    <definedName name="g_no_count" localSheetId="20">'SY 752xx'!$BD$4</definedName>
    <definedName name="g_no_count" localSheetId="24">'TF 6221C'!$BD$4</definedName>
    <definedName name="g_no_count" localSheetId="25">'TF 6233C'!$BD$4</definedName>
    <definedName name="g_no_count" localSheetId="26">'TF 6241F'!$BD$4</definedName>
    <definedName name="g_no_count" localSheetId="27">'TF 6265R'!$BD$7</definedName>
    <definedName name="g_no_count" localSheetId="28">'TF 6268R'!$BD$7</definedName>
    <definedName name="g_no_count" localSheetId="29">'TF 6402R'!$BD$5</definedName>
    <definedName name="g_no_count" localSheetId="30">'TF 6403R'!$BD$7</definedName>
    <definedName name="g_no_count" localSheetId="31">'TF 7113R'!$BD$5</definedName>
    <definedName name="g_no_count" localSheetId="32">'TF 7123R'!$BD$5</definedName>
    <definedName name="g_no_count" localSheetId="33">'TF 7133R'!$BD$5</definedName>
    <definedName name="g_no_count" localSheetId="34">'TF 7502R'!$BD$4</definedName>
    <definedName name="g_no_count">#REF!</definedName>
    <definedName name="grade" localSheetId="12">'AS 7140S FQ'!$Q$7</definedName>
    <definedName name="grade" localSheetId="13">'AS 7140S HQ'!$Q$7</definedName>
    <definedName name="grade" localSheetId="14">'AS 7150S'!$Q$6</definedName>
    <definedName name="grade" localSheetId="15">'AS 7160S'!$Q$7</definedName>
    <definedName name="grade" localSheetId="18">'AS 7316R'!$Q$9</definedName>
    <definedName name="grade" localSheetId="10">'SO 6140S'!$Q$7</definedName>
    <definedName name="grade" localSheetId="19">'SY 7213C'!$Q$6</definedName>
    <definedName name="grade" localSheetId="21">'SY 7521O'!$Q$6</definedName>
    <definedName name="grade" localSheetId="24">'TF 6221C'!$Q$6</definedName>
    <definedName name="grade" localSheetId="25">'TF 6233C'!$Q$6</definedName>
    <definedName name="grade" localSheetId="26">'TF 6241F'!$Q$6</definedName>
    <definedName name="grade" localSheetId="27">'TF 6265R'!$Q$9</definedName>
    <definedName name="grade" localSheetId="28">'TF 6268R'!$Q$9</definedName>
    <definedName name="grade" localSheetId="29">'TF 6402R'!$Q$7</definedName>
    <definedName name="grade" localSheetId="30">'TF 6403R'!$Q$9</definedName>
    <definedName name="grade" localSheetId="31">'TF 7113R'!$Q$7</definedName>
    <definedName name="grade" localSheetId="32">'TF 7123R'!$Q$7</definedName>
    <definedName name="grade" localSheetId="33">'TF 7133R'!$Q$7</definedName>
    <definedName name="grade">#REF!</definedName>
    <definedName name="graded_aca_events" localSheetId="11">'AS 7130L'!$AM$20</definedName>
    <definedName name="graded_aca_events" localSheetId="12">'AS 7140S FQ'!$AM$42</definedName>
    <definedName name="graded_aca_events" localSheetId="13">'AS 7140S HQ'!$AM$42</definedName>
    <definedName name="graded_aca_events" localSheetId="14">'AS 7150S'!$AM$41</definedName>
    <definedName name="graded_aca_events" localSheetId="15">'AS 7160S'!$AM$42</definedName>
    <definedName name="graded_aca_events" localSheetId="17">'AS 7314W'!$AM$41</definedName>
    <definedName name="graded_aca_events" localSheetId="18">'AS 7316R'!$AM$44</definedName>
    <definedName name="graded_aca_events" localSheetId="10">'SO 6140S'!$AM$42</definedName>
    <definedName name="graded_aca_events" localSheetId="19">'SY 7213C'!$AM$41</definedName>
    <definedName name="graded_aca_events" localSheetId="21">'SY 7521O'!$AM$41</definedName>
    <definedName name="graded_aca_events" localSheetId="20">'SY 752xx'!$AM$41</definedName>
    <definedName name="graded_aca_events" localSheetId="24">'TF 6221C'!$AM$41</definedName>
    <definedName name="graded_aca_events" localSheetId="25">'TF 6233C'!$AM$41</definedName>
    <definedName name="graded_aca_events" localSheetId="26">'TF 6241F'!$AM$41</definedName>
    <definedName name="graded_aca_events" localSheetId="27">'TF 6265R'!$AM$44</definedName>
    <definedName name="graded_aca_events" localSheetId="28">'TF 6268R'!$AM$44</definedName>
    <definedName name="graded_aca_events" localSheetId="29">'TF 6402R'!$AM$42</definedName>
    <definedName name="graded_aca_events" localSheetId="30">'TF 6403R'!$AM$44</definedName>
    <definedName name="graded_aca_events" localSheetId="31">'TF 7113R'!$AM$42</definedName>
    <definedName name="graded_aca_events" localSheetId="32">'TF 7123R'!$AM$42</definedName>
    <definedName name="graded_aca_events" localSheetId="33">'TF 7133R'!$AM$42</definedName>
    <definedName name="graded_aca_events" localSheetId="34">'TF 7502R'!$AM$41</definedName>
    <definedName name="graded_amn_events" localSheetId="11">'AS 7130L'!$AN$20</definedName>
    <definedName name="graded_amn_events" localSheetId="12">'AS 7140S FQ'!$AN$42</definedName>
    <definedName name="graded_amn_events" localSheetId="13">'AS 7140S HQ'!$AN$42</definedName>
    <definedName name="graded_amn_events" localSheetId="14">'AS 7150S'!$AN$41</definedName>
    <definedName name="graded_amn_events" localSheetId="15">'AS 7160S'!$AN$42</definedName>
    <definedName name="graded_amn_events" localSheetId="17">'AS 7314W'!$AN$41</definedName>
    <definedName name="graded_amn_events" localSheetId="18">'AS 7316R'!$AN$44</definedName>
    <definedName name="graded_amn_events" localSheetId="10">'SO 6140S'!$AN$42</definedName>
    <definedName name="graded_amn_events" localSheetId="19">'SY 7213C'!$AN$41</definedName>
    <definedName name="graded_amn_events" localSheetId="21">'SY 7521O'!$AN$41</definedName>
    <definedName name="graded_amn_events" localSheetId="20">'SY 752xx'!$AN$41</definedName>
    <definedName name="graded_amn_events" localSheetId="24">'TF 6221C'!$AN$41</definedName>
    <definedName name="graded_amn_events" localSheetId="25">'TF 6233C'!$AN$41</definedName>
    <definedName name="graded_amn_events" localSheetId="26">'TF 6241F'!$AN$41</definedName>
    <definedName name="graded_amn_events" localSheetId="27">'TF 6265R'!$AN$44</definedName>
    <definedName name="graded_amn_events" localSheetId="28">'TF 6268R'!$AN$44</definedName>
    <definedName name="graded_amn_events" localSheetId="29">'TF 6402R'!$AN$42</definedName>
    <definedName name="graded_amn_events" localSheetId="30">'TF 6403R'!$AN$44</definedName>
    <definedName name="graded_amn_events" localSheetId="31">'TF 7113R'!$AN$42</definedName>
    <definedName name="graded_amn_events" localSheetId="32">'TF 7123R'!$AN$42</definedName>
    <definedName name="graded_amn_events" localSheetId="33">'TF 7133R'!$AN$42</definedName>
    <definedName name="graded_amn_events" localSheetId="34">'TF 7502R'!$AN$41</definedName>
    <definedName name="GS_Logic" localSheetId="12">'AS 7140S FQ'!#REF!</definedName>
    <definedName name="GS_Logic" localSheetId="13">'AS 7140S HQ'!#REF!</definedName>
    <definedName name="GS_Logic" localSheetId="14">'AS 7150S'!#REF!</definedName>
    <definedName name="GS_Logic" localSheetId="15">'AS 7160S'!#REF!</definedName>
    <definedName name="GS_Logic" localSheetId="17">'AS 7314W'!#REF!</definedName>
    <definedName name="GS_Logic" localSheetId="18">'AS 7316R'!#REF!</definedName>
    <definedName name="GS_Logic" localSheetId="10">'SO 6140S'!#REF!</definedName>
    <definedName name="GS_Logic" localSheetId="19">'SY 7213C'!#REF!</definedName>
    <definedName name="GS_Logic" localSheetId="21">'SY 7521O'!#REF!</definedName>
    <definedName name="GS_Logic" localSheetId="22">'[2]AS 7316R'!#REF!</definedName>
    <definedName name="GS_Logic" localSheetId="20">'SY 752xx'!#REF!</definedName>
    <definedName name="GS_Logic" localSheetId="24">'TF 6221C'!#REF!</definedName>
    <definedName name="GS_Logic" localSheetId="25">'TF 6233C'!#REF!</definedName>
    <definedName name="GS_Logic" localSheetId="26">'TF 6241F'!#REF!</definedName>
    <definedName name="GS_Logic" localSheetId="27">'TF 6265R'!#REF!</definedName>
    <definedName name="GS_Logic" localSheetId="28">'TF 6268R'!#REF!</definedName>
    <definedName name="GS_Logic" localSheetId="29">'TF 6402R'!#REF!</definedName>
    <definedName name="GS_Logic" localSheetId="30">'TF 6403R'!#REF!</definedName>
    <definedName name="GS_Logic" localSheetId="31">'TF 7113R'!#REF!</definedName>
    <definedName name="GS_Logic" localSheetId="32">'TF 7123R'!#REF!</definedName>
    <definedName name="GS_Logic" localSheetId="33">'TF 7133R'!#REF!</definedName>
    <definedName name="GS_Logic" localSheetId="34">'TF 7502R'!#REF!</definedName>
    <definedName name="GS_Logic">#REF!</definedName>
    <definedName name="hdr_acft" localSheetId="12">'AS 7140S FQ'!$M$7</definedName>
    <definedName name="hdr_acft" localSheetId="13">'AS 7140S HQ'!$M$7</definedName>
    <definedName name="hdr_acft" localSheetId="14">'AS 7150S'!$M$6</definedName>
    <definedName name="hdr_acft" localSheetId="15">'AS 7160S'!$M$7</definedName>
    <definedName name="hdr_acft" localSheetId="17">'AS 7314W'!$M$6</definedName>
    <definedName name="hdr_acft" localSheetId="18">'AS 7316R'!$M$9</definedName>
    <definedName name="hdr_acft" localSheetId="10">'SO 6140S'!$M$7</definedName>
    <definedName name="hdr_acft" localSheetId="19">'SY 7213C'!$M$6</definedName>
    <definedName name="hdr_acft" localSheetId="21">'SY 7521O'!$M$6</definedName>
    <definedName name="hdr_acft" localSheetId="20">'SY 752xx'!$M$6</definedName>
    <definedName name="hdr_acft" localSheetId="24">'TF 6221C'!$M$6</definedName>
    <definedName name="hdr_acft" localSheetId="25">'TF 6233C'!$M$6</definedName>
    <definedName name="hdr_acft" localSheetId="26">'TF 6241F'!$M$6</definedName>
    <definedName name="hdr_acft" localSheetId="27">'TF 6265R'!$M$9</definedName>
    <definedName name="hdr_acft" localSheetId="28">'TF 6268R'!$M$9</definedName>
    <definedName name="hdr_acft" localSheetId="29">'TF 6402R'!$M$7</definedName>
    <definedName name="hdr_acft" localSheetId="30">'TF 6403R'!$M$9</definedName>
    <definedName name="hdr_acft" localSheetId="31">'TF 7113R'!$M$7</definedName>
    <definedName name="hdr_acft" localSheetId="32">'TF 7123R'!$M$7</definedName>
    <definedName name="hdr_acft" localSheetId="33">'TF 7133R'!$M$7</definedName>
    <definedName name="hdr_acft" localSheetId="34">'TF 7502R'!$M$6</definedName>
    <definedName name="hdr_acft">#REF!</definedName>
    <definedName name="hdr_class" localSheetId="12">'AS 7140S FQ'!$O$5</definedName>
    <definedName name="hdr_class" localSheetId="13">'AS 7140S HQ'!$O$5</definedName>
    <definedName name="hdr_class" localSheetId="14">'AS 7150S'!$O$4</definedName>
    <definedName name="hdr_class" localSheetId="15">'AS 7160S'!$O$5</definedName>
    <definedName name="hdr_class" localSheetId="17">'AS 7314W'!$O$4</definedName>
    <definedName name="hdr_class" localSheetId="18">'AS 7316R'!$O$7</definedName>
    <definedName name="hdr_class" localSheetId="10">'SO 6140S'!$O$5</definedName>
    <definedName name="hdr_class" localSheetId="19">'SY 7213C'!$O$4</definedName>
    <definedName name="hdr_class" localSheetId="21">'SY 7521O'!$O$4</definedName>
    <definedName name="hdr_class" localSheetId="20">'SY 752xx'!$O$4</definedName>
    <definedName name="hdr_class" localSheetId="24">'TF 6221C'!$O$4</definedName>
    <definedName name="hdr_class" localSheetId="25">'TF 6233C'!$O$4</definedName>
    <definedName name="hdr_class" localSheetId="26">'TF 6241F'!$O$4</definedName>
    <definedName name="hdr_class" localSheetId="27">'TF 6265R'!$O$7</definedName>
    <definedName name="hdr_class" localSheetId="28">'TF 6268R'!$O$7</definedName>
    <definedName name="hdr_class" localSheetId="29">'TF 6402R'!$O$5</definedName>
    <definedName name="hdr_class" localSheetId="30">'TF 6403R'!$O$7</definedName>
    <definedName name="hdr_class" localSheetId="31">'TF 7113R'!$O$5</definedName>
    <definedName name="hdr_class" localSheetId="32">'TF 7123R'!$O$5</definedName>
    <definedName name="hdr_class" localSheetId="33">'TF 7133R'!$O$5</definedName>
    <definedName name="hdr_class" localSheetId="34">'TF 7502R'!$O$4</definedName>
    <definedName name="hdr_date" localSheetId="12">'AS 7140S FQ'!$Q$5</definedName>
    <definedName name="hdr_date" localSheetId="13">'AS 7140S HQ'!$Q$5</definedName>
    <definedName name="hdr_date" localSheetId="14">'AS 7150S'!$Q$4</definedName>
    <definedName name="hdr_date" localSheetId="15">'AS 7160S'!$Q$5</definedName>
    <definedName name="hdr_date" localSheetId="18">'AS 7316R'!$Q$7</definedName>
    <definedName name="hdr_date" localSheetId="10">'SO 6140S'!$Q$5</definedName>
    <definedName name="hdr_date" localSheetId="19">'SY 7213C'!$Q$4</definedName>
    <definedName name="hdr_date" localSheetId="21">'SY 7521O'!$Q$4</definedName>
    <definedName name="hdr_date" localSheetId="24">'TF 6221C'!$Q$4</definedName>
    <definedName name="hdr_date" localSheetId="25">'TF 6233C'!$Q$4</definedName>
    <definedName name="hdr_date" localSheetId="26">'TF 6241F'!$Q$4</definedName>
    <definedName name="hdr_date" localSheetId="27">'TF 6265R'!$Q$7</definedName>
    <definedName name="hdr_date" localSheetId="28">'TF 6268R'!$Q$7</definedName>
    <definedName name="hdr_date" localSheetId="29">'TF 6402R'!$Q$5</definedName>
    <definedName name="hdr_date" localSheetId="30">'TF 6403R'!$Q$7</definedName>
    <definedName name="hdr_date" localSheetId="31">'TF 7113R'!$Q$5</definedName>
    <definedName name="hdr_date" localSheetId="32">'TF 7123R'!$Q$5</definedName>
    <definedName name="hdr_date" localSheetId="33">'TF 7133R'!$Q$5</definedName>
    <definedName name="hdr_date">#REF!</definedName>
    <definedName name="hdr_instr" localSheetId="12">'AS 7140S FQ'!$H$7</definedName>
    <definedName name="hdr_instr" localSheetId="13">'AS 7140S HQ'!$H$7</definedName>
    <definedName name="hdr_instr" localSheetId="14">'AS 7150S'!$H$6</definedName>
    <definedName name="hdr_instr" localSheetId="15">'AS 7160S'!$H$7</definedName>
    <definedName name="hdr_instr" localSheetId="18">'AS 7316R'!$H$9</definedName>
    <definedName name="hdr_instr" localSheetId="10">'SO 6140S'!$H$7</definedName>
    <definedName name="hdr_instr" localSheetId="19">'SY 7213C'!$H$6</definedName>
    <definedName name="hdr_instr" localSheetId="21">'SY 7521O'!$H$6</definedName>
    <definedName name="hdr_instr" localSheetId="24">'TF 6221C'!$H$6</definedName>
    <definedName name="hdr_instr" localSheetId="25">'TF 6233C'!$H$6</definedName>
    <definedName name="hdr_instr" localSheetId="26">'TF 6241F'!$H$6</definedName>
    <definedName name="hdr_instr" localSheetId="27">'TF 6265R'!$H$9</definedName>
    <definedName name="hdr_instr" localSheetId="28">'TF 6268R'!$H$9</definedName>
    <definedName name="hdr_instr" localSheetId="29">'TF 6402R'!$H$7</definedName>
    <definedName name="hdr_instr" localSheetId="30">'TF 6403R'!$H$9</definedName>
    <definedName name="hdr_instr" localSheetId="31">'TF 7113R'!$H$7</definedName>
    <definedName name="hdr_instr" localSheetId="32">'TF 7123R'!$H$7</definedName>
    <definedName name="hdr_instr" localSheetId="33">'TF 7133R'!$H$7</definedName>
    <definedName name="hdr_instr">#REF!</definedName>
    <definedName name="hdr_stud" localSheetId="12">'AS 7140S FQ'!$B$7</definedName>
    <definedName name="hdr_stud" localSheetId="13">'AS 7140S HQ'!$B$7</definedName>
    <definedName name="hdr_stud" localSheetId="14">'AS 7150S'!$B$6</definedName>
    <definedName name="hdr_stud" localSheetId="15">'AS 7160S'!$B$7</definedName>
    <definedName name="hdr_stud" localSheetId="17">'AS 7314W'!$B$6</definedName>
    <definedName name="hdr_stud" localSheetId="18">'AS 7316R'!$B$9</definedName>
    <definedName name="hdr_stud" localSheetId="10">'SO 6140S'!$B$7</definedName>
    <definedName name="hdr_stud" localSheetId="19">'SY 7213C'!$B$6</definedName>
    <definedName name="hdr_stud" localSheetId="21">'SY 7521O'!$B$6</definedName>
    <definedName name="hdr_stud" localSheetId="20">'SY 752xx'!$B$6</definedName>
    <definedName name="hdr_stud" localSheetId="24">'TF 6221C'!$B$6</definedName>
    <definedName name="hdr_stud" localSheetId="25">'TF 6233C'!$B$6</definedName>
    <definedName name="hdr_stud" localSheetId="26">'TF 6241F'!$B$6</definedName>
    <definedName name="hdr_stud" localSheetId="27">'TF 6265R'!$B$9</definedName>
    <definedName name="hdr_stud" localSheetId="28">'TF 6268R'!$B$9</definedName>
    <definedName name="hdr_stud" localSheetId="29">'TF 6402R'!$B$7</definedName>
    <definedName name="hdr_stud" localSheetId="30">'TF 6403R'!$B$9</definedName>
    <definedName name="hdr_stud" localSheetId="31">'TF 7113R'!$B$7</definedName>
    <definedName name="hdr_stud" localSheetId="32">'TF 7123R'!$B$7</definedName>
    <definedName name="hdr_stud" localSheetId="33">'TF 7133R'!$B$7</definedName>
    <definedName name="hdr_stud" localSheetId="34">'TF 7502R'!$B$6</definedName>
    <definedName name="hdr_time" localSheetId="12">'AS 7140S FQ'!$O$7</definedName>
    <definedName name="hdr_time" localSheetId="13">'AS 7140S HQ'!$O$7</definedName>
    <definedName name="hdr_time" localSheetId="14">'AS 7150S'!$O$6</definedName>
    <definedName name="hdr_time" localSheetId="15">'AS 7160S'!$O$7</definedName>
    <definedName name="hdr_time" localSheetId="17">'AS 7314W'!$O$6</definedName>
    <definedName name="hdr_time" localSheetId="18">'AS 7316R'!$O$9</definedName>
    <definedName name="hdr_time" localSheetId="10">'SO 6140S'!$O$7</definedName>
    <definedName name="hdr_time" localSheetId="19">'SY 7213C'!$O$6</definedName>
    <definedName name="hdr_time" localSheetId="21">'SY 7521O'!$O$6</definedName>
    <definedName name="hdr_time" localSheetId="20">'SY 752xx'!$O$6</definedName>
    <definedName name="hdr_time" localSheetId="24">'TF 6221C'!$O$6</definedName>
    <definedName name="hdr_time" localSheetId="25">'TF 6233C'!$O$6</definedName>
    <definedName name="hdr_time" localSheetId="26">'TF 6241F'!$O$6</definedName>
    <definedName name="hdr_time" localSheetId="27">'TF 6265R'!$O$9</definedName>
    <definedName name="hdr_time" localSheetId="28">'TF 6268R'!$O$9</definedName>
    <definedName name="hdr_time" localSheetId="29">'TF 6402R'!$O$7</definedName>
    <definedName name="hdr_time" localSheetId="30">'TF 6403R'!$O$9</definedName>
    <definedName name="hdr_time" localSheetId="31">'TF 7113R'!$O$7</definedName>
    <definedName name="hdr_time" localSheetId="32">'TF 7123R'!$O$7</definedName>
    <definedName name="hdr_time" localSheetId="33">'TF 7133R'!$O$7</definedName>
    <definedName name="hdr_time" localSheetId="34">'TF 7502R'!$O$6</definedName>
    <definedName name="hdr_time">#REF!</definedName>
    <definedName name="input_data" localSheetId="12">'AS 7140S FQ'!$T$9:$AF$40</definedName>
    <definedName name="input_data" localSheetId="13">'AS 7140S HQ'!$T$9:$AF$40</definedName>
    <definedName name="input_data" localSheetId="14">'AS 7150S'!$T$8:$AF$39</definedName>
    <definedName name="input_data" localSheetId="15">'AS 7160S'!$T$9:$AF$40</definedName>
    <definedName name="input_data" localSheetId="17">'AS 7314W'!$T$8:$AF$39</definedName>
    <definedName name="input_data" localSheetId="18">'AS 7316R'!$T$11:$AF$42</definedName>
    <definedName name="input_data" localSheetId="10">'SO 6140S'!$T$9:$AF$40</definedName>
    <definedName name="input_data" localSheetId="19">'SY 7213C'!$T$8:$AF$39</definedName>
    <definedName name="input_data" localSheetId="21">'SY 7521O'!$T$8:$AF$39</definedName>
    <definedName name="input_data" localSheetId="20">'SY 752xx'!$T$8:$AF$39</definedName>
    <definedName name="input_data" localSheetId="24">'TF 6221C'!$T$8:$AF$39</definedName>
    <definedName name="input_data" localSheetId="25">'TF 6233C'!$T$8:$AF$39</definedName>
    <definedName name="input_data" localSheetId="26">'TF 6241F'!$T$8:$AF$39</definedName>
    <definedName name="input_data" localSheetId="27">'TF 6265R'!$T$11:$AF$42</definedName>
    <definedName name="input_data" localSheetId="28">'TF 6268R'!$T$11:$AF$42</definedName>
    <definedName name="input_data" localSheetId="29">'TF 6402R'!$T$9:$AF$40</definedName>
    <definedName name="input_data" localSheetId="30">'TF 6403R'!$T$11:$AF$42</definedName>
    <definedName name="input_data" localSheetId="31">'TF 7113R'!$T$9:$AF$40</definedName>
    <definedName name="input_data" localSheetId="32">'TF 7123R'!$T$9:$AF$40</definedName>
    <definedName name="input_data" localSheetId="33">'TF 7133R'!$T$9:$AF$40</definedName>
    <definedName name="input_data" localSheetId="34">'TF 7502R'!$T$8:$AF$39</definedName>
    <definedName name="input_data">#REF!</definedName>
    <definedName name="input_flt" localSheetId="11">'[1]Extra 300'!$AD$40</definedName>
    <definedName name="input_flt" localSheetId="14">'[1]Extra 300'!$AD$40</definedName>
    <definedName name="input_flt" localSheetId="16">'[1]Extra 300'!$AD$40</definedName>
    <definedName name="input_flt" localSheetId="17">'[1]Extra 300'!$AD$40</definedName>
    <definedName name="input_flt" localSheetId="21">'[1]Extra 300'!$AD$40</definedName>
    <definedName name="input_flt" localSheetId="22">'[1]Extra 300'!$AD$40</definedName>
    <definedName name="input_flt" localSheetId="23">'[1]Extra 300'!$AD$40</definedName>
    <definedName name="input_flt" localSheetId="24">#REF!</definedName>
    <definedName name="input_flt">#REF!</definedName>
    <definedName name="input_max_amnshp" localSheetId="12">'AS 7140S FQ'!$AT$7</definedName>
    <definedName name="input_max_amnshp" localSheetId="13">'AS 7140S HQ'!$AT$7</definedName>
    <definedName name="input_max_amnshp" localSheetId="14">'AS 7150S'!$AT$6</definedName>
    <definedName name="input_max_amnshp" localSheetId="15">'AS 7160S'!$AT$7</definedName>
    <definedName name="input_max_amnshp" localSheetId="17">'AS 7314W'!$AT$6</definedName>
    <definedName name="input_max_amnshp" localSheetId="18">'AS 7316R'!$AT$9</definedName>
    <definedName name="input_max_amnshp" localSheetId="10">'SO 6140S'!$AT$7</definedName>
    <definedName name="input_max_amnshp" localSheetId="19">'SY 7213C'!$AT$6</definedName>
    <definedName name="input_max_amnshp" localSheetId="21">'SY 7521O'!$AT$6</definedName>
    <definedName name="input_max_amnshp" localSheetId="20">'SY 752xx'!$AT$6</definedName>
    <definedName name="input_max_amnshp" localSheetId="24">'TF 6221C'!$AT$6</definedName>
    <definedName name="input_max_amnshp" localSheetId="25">'TF 6233C'!$AT$6</definedName>
    <definedName name="input_max_amnshp" localSheetId="26">'TF 6241F'!$AT$6</definedName>
    <definedName name="input_max_amnshp" localSheetId="27">'TF 6265R'!$AT$9</definedName>
    <definedName name="input_max_amnshp" localSheetId="28">'TF 6268R'!$AT$9</definedName>
    <definedName name="input_max_amnshp" localSheetId="29">'TF 6402R'!$AT$7</definedName>
    <definedName name="input_max_amnshp" localSheetId="30">'TF 6403R'!$AT$9</definedName>
    <definedName name="input_max_amnshp" localSheetId="31">'TF 7113R'!$AT$7</definedName>
    <definedName name="input_max_amnshp" localSheetId="32">'TF 7123R'!$AT$7</definedName>
    <definedName name="input_max_amnshp" localSheetId="33">'TF 7133R'!$AT$7</definedName>
    <definedName name="input_max_amnshp" localSheetId="34">'TF 7502R'!$AT$6</definedName>
    <definedName name="input_max_amnshp">#REF!</definedName>
    <definedName name="input_maxb" localSheetId="11">'[1]Extra 300'!$AT$3</definedName>
    <definedName name="input_maxb" localSheetId="12">'AS 7140S FQ'!$AV$5</definedName>
    <definedName name="input_maxb" localSheetId="13">'AS 7140S HQ'!$AV$5</definedName>
    <definedName name="input_maxb" localSheetId="14">'AS 7150S'!$AV$4</definedName>
    <definedName name="input_maxb" localSheetId="15">'AS 7160S'!$AV$5</definedName>
    <definedName name="input_maxb" localSheetId="16">'[1]Extra 300'!$AT$3</definedName>
    <definedName name="input_maxb" localSheetId="17">'AS 7314W'!$AV$4</definedName>
    <definedName name="input_maxb" localSheetId="18">'AS 7316R'!$AV$7</definedName>
    <definedName name="input_maxb" localSheetId="10">'SO 6140S'!$AV$5</definedName>
    <definedName name="input_maxb" localSheetId="19">'SY 7213C'!$AV$4</definedName>
    <definedName name="input_maxb" localSheetId="21">'SY 7521O'!$AV$4</definedName>
    <definedName name="input_maxb" localSheetId="22">'[1]Extra 300'!$AT$3</definedName>
    <definedName name="input_maxb" localSheetId="20">'SY 752xx'!$AV$4</definedName>
    <definedName name="input_maxb" localSheetId="23">'[1]Extra 300'!$AT$3</definedName>
    <definedName name="input_maxb" localSheetId="24">'TF 6221C'!$AV$4</definedName>
    <definedName name="input_maxb" localSheetId="25">'TF 6233C'!$AV$4</definedName>
    <definedName name="input_maxb" localSheetId="26">'TF 6241F'!$AV$4</definedName>
    <definedName name="input_maxb" localSheetId="27">'TF 6265R'!$AV$7</definedName>
    <definedName name="input_maxb" localSheetId="28">'TF 6268R'!$AV$7</definedName>
    <definedName name="input_maxb" localSheetId="29">'TF 6402R'!$AV$5</definedName>
    <definedName name="input_maxb" localSheetId="30">'TF 6403R'!$AV$7</definedName>
    <definedName name="input_maxb" localSheetId="31">'TF 7113R'!$AV$5</definedName>
    <definedName name="input_maxb" localSheetId="32">'TF 7123R'!$AV$5</definedName>
    <definedName name="input_maxb" localSheetId="33">'TF 7133R'!$AV$5</definedName>
    <definedName name="input_maxb" localSheetId="34">'TF 7502R'!$AV$4</definedName>
    <definedName name="input_maxb">#REF!</definedName>
    <definedName name="input_rubric" localSheetId="12">'AS 7140S FQ'!$BO$12:$BP$15</definedName>
    <definedName name="input_rubric" localSheetId="13">'AS 7140S HQ'!$BO$12:$BP$15</definedName>
    <definedName name="input_rubric" localSheetId="14">'AS 7150S'!$BO$8:$BP$14</definedName>
    <definedName name="input_rubric" localSheetId="15">'AS 7160S'!$BO$12:$BP$15</definedName>
    <definedName name="input_rubric" localSheetId="17">'AS 7314W'!$BO$8:$BP$14</definedName>
    <definedName name="input_rubric" localSheetId="18">'AS 7316R'!$BO$11:$BP$17</definedName>
    <definedName name="input_rubric" localSheetId="10">'SO 6140S'!$BO$12:$BP$15</definedName>
    <definedName name="input_rubric" localSheetId="19">'SY 7213C'!$BO$8:$BP$14</definedName>
    <definedName name="input_rubric" localSheetId="21">'SY 7521O'!$BO$8:$BP$14</definedName>
    <definedName name="input_rubric" localSheetId="20">'SY 752xx'!$BO$8:$BP$14</definedName>
    <definedName name="input_rubric" localSheetId="24">'TF 6221C'!$BO$8:$BP$14</definedName>
    <definedName name="input_rubric" localSheetId="25">'TF 6233C'!$BO$8:$BP$14</definedName>
    <definedName name="input_rubric" localSheetId="26">'TF 6241F'!$BO$8:$BP$14</definedName>
    <definedName name="input_rubric" localSheetId="27">'TF 6265R'!$BO$11:$BP$17</definedName>
    <definedName name="input_rubric" localSheetId="28">'TF 6268R'!$BO$11:$BP$17</definedName>
    <definedName name="input_rubric" localSheetId="29">'TF 6402R'!$BO$9:$BP$15</definedName>
    <definedName name="input_rubric" localSheetId="30">'TF 6403R'!$BO$11:$BP$17</definedName>
    <definedName name="input_rubric" localSheetId="31">'TF 7113R'!$BO$9:$BP$15</definedName>
    <definedName name="input_rubric" localSheetId="32">'TF 7123R'!$BO$9:$BP$15</definedName>
    <definedName name="input_rubric" localSheetId="33">'TF 7133R'!$BO$9:$BP$15</definedName>
    <definedName name="input_rubric" localSheetId="34">'TF 7502R'!$BO$8:$BP$14</definedName>
    <definedName name="input_rubric">#REF!</definedName>
    <definedName name="input_sc2g" localSheetId="12">'AS 7140S FQ'!$AR$51:$AV$59</definedName>
    <definedName name="input_sc2g" localSheetId="13">'AS 7140S HQ'!$AR$51:$AV$59</definedName>
    <definedName name="input_sc2g" localSheetId="14">'AS 7150S'!$AR$50:$AV$58</definedName>
    <definedName name="input_sc2g" localSheetId="15">'AS 7160S'!$AR$51:$AV$59</definedName>
    <definedName name="input_sc2g" localSheetId="17">'AS 7314W'!$AR$50:$AV$58</definedName>
    <definedName name="input_sc2g" localSheetId="18">'AS 7316R'!$AR$53:$AV$61</definedName>
    <definedName name="input_sc2g" localSheetId="10">'SO 6140S'!$AR$51:$AV$59</definedName>
    <definedName name="input_sc2g" localSheetId="19">'SY 7213C'!$AR$50:$AV$58</definedName>
    <definedName name="input_sc2g" localSheetId="21">'SY 7521O'!$AR$50:$AV$58</definedName>
    <definedName name="input_sc2g" localSheetId="20">'SY 752xx'!$AR$50:$AV$58</definedName>
    <definedName name="input_sc2g" localSheetId="24">'TF 6221C'!$AR$50:$AV$58</definedName>
    <definedName name="input_sc2g" localSheetId="25">'TF 6233C'!$AR$50:$AV$58</definedName>
    <definedName name="input_sc2g" localSheetId="26">'TF 6241F'!$AR$50:$AV$58</definedName>
    <definedName name="input_sc2g" localSheetId="27">'TF 6265R'!$AR$53:$AV$61</definedName>
    <definedName name="input_sc2g" localSheetId="28">'TF 6268R'!$AR$53:$AV$61</definedName>
    <definedName name="input_sc2g" localSheetId="29">'TF 6402R'!$AR$51:$AV$59</definedName>
    <definedName name="input_sc2g" localSheetId="30">'TF 6403R'!$AR$53:$AV$61</definedName>
    <definedName name="input_sc2g" localSheetId="31">'TF 7113R'!$AR$51:$AV$59</definedName>
    <definedName name="input_sc2g" localSheetId="32">'TF 7123R'!$AR$51:$AV$59</definedName>
    <definedName name="input_sc2g" localSheetId="33">'TF 7133R'!$AR$51:$AV$59</definedName>
    <definedName name="input_sc2g" localSheetId="34">'TF 7502R'!$AR$50:$AV$58</definedName>
    <definedName name="input_sc2g">#REF!</definedName>
    <definedName name="input_studs" localSheetId="12">'AS 7140S FQ'!$H$5</definedName>
    <definedName name="input_studs" localSheetId="13">'AS 7140S HQ'!$H$5</definedName>
    <definedName name="input_studs" localSheetId="14">'AS 7150S'!$H$4</definedName>
    <definedName name="input_studs" localSheetId="15">'AS 7160S'!$H$5</definedName>
    <definedName name="input_studs" localSheetId="17">'AS 7314W'!$H$4</definedName>
    <definedName name="input_studs" localSheetId="18">'AS 7316R'!$H$7</definedName>
    <definedName name="input_studs" localSheetId="10">'SO 6140S'!$H$5</definedName>
    <definedName name="input_studs" localSheetId="19">'SY 7213C'!$H$4</definedName>
    <definedName name="input_studs" localSheetId="21">'SY 7521O'!$H$4</definedName>
    <definedName name="input_studs" localSheetId="20">'SY 752xx'!$H$4</definedName>
    <definedName name="input_studs" localSheetId="24">'TF 6221C'!$H$4</definedName>
    <definedName name="input_studs" localSheetId="25">'TF 6233C'!$H$4</definedName>
    <definedName name="input_studs" localSheetId="26">'TF 6241F'!$H$4</definedName>
    <definedName name="input_studs" localSheetId="27">'TF 6265R'!$H$7</definedName>
    <definedName name="input_studs" localSheetId="28">'TF 6268R'!$H$7</definedName>
    <definedName name="input_studs" localSheetId="29">'TF 6402R'!$H$5</definedName>
    <definedName name="input_studs" localSheetId="30">'TF 6403R'!$H$7</definedName>
    <definedName name="input_studs" localSheetId="31">'TF 7113R'!$H$5</definedName>
    <definedName name="input_studs" localSheetId="32">'TF 7123R'!$H$5</definedName>
    <definedName name="input_studs" localSheetId="33">'TF 7133R'!$H$5</definedName>
    <definedName name="input_studs" localSheetId="34">'TF 7502R'!$H$4</definedName>
    <definedName name="input_studs">#REF!</definedName>
    <definedName name="input_test" localSheetId="12">'AS 7140S FQ'!$U$44</definedName>
    <definedName name="input_test" localSheetId="13">'AS 7140S HQ'!$U$44</definedName>
    <definedName name="input_test" localSheetId="14">'AS 7150S'!$U$43</definedName>
    <definedName name="input_test" localSheetId="15">'AS 7160S'!$U$44</definedName>
    <definedName name="input_test" localSheetId="17">'AS 7314W'!$U$43</definedName>
    <definedName name="input_test" localSheetId="18">'AS 7316R'!$U$46</definedName>
    <definedName name="input_test" localSheetId="10">'SO 6140S'!$U$44</definedName>
    <definedName name="input_test" localSheetId="19">'SY 7213C'!$U$43</definedName>
    <definedName name="input_test" localSheetId="21">'SY 7521O'!$U$43</definedName>
    <definedName name="input_test" localSheetId="20">'SY 752xx'!$U$43</definedName>
    <definedName name="input_test" localSheetId="24">'TF 6221C'!$U$43</definedName>
    <definedName name="input_test" localSheetId="25">'TF 6233C'!$U$43</definedName>
    <definedName name="input_test" localSheetId="26">'TF 6241F'!$U$43</definedName>
    <definedName name="input_test" localSheetId="27">'TF 6265R'!$U$46</definedName>
    <definedName name="input_test" localSheetId="28">'TF 6268R'!$U$46</definedName>
    <definedName name="input_test" localSheetId="29">'TF 6402R'!$U$44</definedName>
    <definedName name="input_test" localSheetId="30">'TF 6403R'!$U$46</definedName>
    <definedName name="input_test" localSheetId="31">'TF 7113R'!$U$44</definedName>
    <definedName name="input_test" localSheetId="32">'TF 7123R'!$U$44</definedName>
    <definedName name="input_test" localSheetId="33">'TF 7133R'!$U$44</definedName>
    <definedName name="input_test" localSheetId="34">'TF 7502R'!$U$43</definedName>
    <definedName name="input_title" localSheetId="12">'AS 7140S FQ'!$H$4</definedName>
    <definedName name="input_title" localSheetId="13">'AS 7140S HQ'!$H$4</definedName>
    <definedName name="input_title" localSheetId="14">'AS 7150S'!$H$3</definedName>
    <definedName name="input_title" localSheetId="15">'AS 7160S'!$H$4</definedName>
    <definedName name="input_title" localSheetId="18">'AS 7316R'!$H$6</definedName>
    <definedName name="input_title" localSheetId="10">'SO 6140S'!$H$4</definedName>
    <definedName name="input_title" localSheetId="19">'SY 7213C'!$H$3</definedName>
    <definedName name="input_title" localSheetId="21">'SY 7521O'!$H$3</definedName>
    <definedName name="input_title" localSheetId="20">#REF!</definedName>
    <definedName name="input_title" localSheetId="24">'TF 6221C'!$H$3</definedName>
    <definedName name="input_title" localSheetId="25">'TF 6233C'!$H$3</definedName>
    <definedName name="input_title" localSheetId="26">'TF 6241F'!$H$3</definedName>
    <definedName name="input_title" localSheetId="27">'TF 6265R'!$H$6</definedName>
    <definedName name="input_title" localSheetId="28">'TF 6268R'!$H$6</definedName>
    <definedName name="input_title" localSheetId="29">'TF 6402R'!$H$4</definedName>
    <definedName name="input_title" localSheetId="30">'TF 6403R'!$H$6</definedName>
    <definedName name="input_title" localSheetId="31">'TF 7113R'!$H$4</definedName>
    <definedName name="input_title" localSheetId="32">'TF 7123R'!$H$4</definedName>
    <definedName name="input_title" localSheetId="33">'TF 7133R'!$H$4</definedName>
    <definedName name="input_title">#REF!</definedName>
    <definedName name="input_type" localSheetId="12">'AS 7140S FQ'!$B$5</definedName>
    <definedName name="input_type" localSheetId="13">'AS 7140S HQ'!$B$5</definedName>
    <definedName name="input_type" localSheetId="14">'AS 7150S'!$B$4</definedName>
    <definedName name="input_type" localSheetId="15">'AS 7160S'!$B$5</definedName>
    <definedName name="input_type" localSheetId="17">'AS 7314W'!$B$4</definedName>
    <definedName name="input_type" localSheetId="18">'AS 7316R'!$B$7</definedName>
    <definedName name="input_type" localSheetId="10">'SO 6140S'!$B$5</definedName>
    <definedName name="input_type" localSheetId="19">'SY 7213C'!$B$4</definedName>
    <definedName name="input_type" localSheetId="21">'SY 7521O'!$B$4</definedName>
    <definedName name="input_type" localSheetId="20">'SY 752xx'!$B$4</definedName>
    <definedName name="input_type" localSheetId="24">'TF 6221C'!$B$4</definedName>
    <definedName name="input_type" localSheetId="25">'TF 6233C'!$B$4</definedName>
    <definedName name="input_type" localSheetId="26">'TF 6241F'!$B$4</definedName>
    <definedName name="input_type" localSheetId="27">'TF 6265R'!$B$7</definedName>
    <definedName name="input_type" localSheetId="28">'TF 6268R'!$B$7</definedName>
    <definedName name="input_type" localSheetId="29">'TF 6402R'!$B$5</definedName>
    <definedName name="input_type" localSheetId="30">'TF 6403R'!$B$7</definedName>
    <definedName name="input_type" localSheetId="31">'TF 7113R'!$B$5</definedName>
    <definedName name="input_type" localSheetId="32">'TF 7123R'!$B$5</definedName>
    <definedName name="input_type" localSheetId="33">'TF 7133R'!$B$5</definedName>
    <definedName name="input_type" localSheetId="34">'TF 7502R'!$B$4</definedName>
    <definedName name="input_type">#REF!</definedName>
    <definedName name="input_version" localSheetId="12">'AS 7140S FQ'!$L$43</definedName>
    <definedName name="input_version" localSheetId="13">'AS 7140S HQ'!$L$43</definedName>
    <definedName name="input_version" localSheetId="14">'AS 7150S'!$L$42</definedName>
    <definedName name="input_version" localSheetId="15">'AS 7160S'!$L$43</definedName>
    <definedName name="input_version" localSheetId="17">'AS 7314W'!$L$42</definedName>
    <definedName name="input_version" localSheetId="18">'AS 7316R'!$L$45</definedName>
    <definedName name="input_version" localSheetId="10">'SO 6140S'!$L$43</definedName>
    <definedName name="input_version" localSheetId="19">'SY 7213C'!$L$42</definedName>
    <definedName name="input_version" localSheetId="21">'SY 7521O'!$L$42</definedName>
    <definedName name="input_version" localSheetId="20">'SY 752xx'!$L$42</definedName>
    <definedName name="input_version" localSheetId="24">'TF 6221C'!$L$42</definedName>
    <definedName name="input_version" localSheetId="25">'TF 6233C'!$L$42</definedName>
    <definedName name="input_version" localSheetId="26">'TF 6241F'!$L$42</definedName>
    <definedName name="input_version" localSheetId="27">'TF 6265R'!$L$45</definedName>
    <definedName name="input_version" localSheetId="28">'TF 6268R'!$L$45</definedName>
    <definedName name="input_version" localSheetId="29">'TF 6402R'!$L$43</definedName>
    <definedName name="input_version" localSheetId="30">'TF 6403R'!$L$45</definedName>
    <definedName name="input_version" localSheetId="31">'TF 7113R'!$L$43</definedName>
    <definedName name="input_version" localSheetId="32">'TF 7123R'!$L$43</definedName>
    <definedName name="input_version" localSheetId="33">'TF 7133R'!$L$43</definedName>
    <definedName name="input_version" localSheetId="34">'TF 7502R'!$L$42</definedName>
    <definedName name="input_version">#REF!</definedName>
    <definedName name="instr_sign" localSheetId="11">'AS 7130L'!$J$9</definedName>
    <definedName name="instr_sign" localSheetId="16">'AS 7310A'!$J$28</definedName>
    <definedName name="instr_sign" localSheetId="17">'AS 7314W'!$L$41</definedName>
    <definedName name="instr_sign" localSheetId="18">'AS 7316R'!$L$44</definedName>
    <definedName name="instr_sign" localSheetId="22">'SY 7522Y'!$E$46</definedName>
    <definedName name="instr_sign" localSheetId="20">'SY 752xx'!$L$41</definedName>
    <definedName name="instr_sign" localSheetId="23">'TF 5310Y'!$E$46</definedName>
    <definedName name="instr_sign" localSheetId="27">'TF 6265R'!$L$44</definedName>
    <definedName name="instr_sign" localSheetId="28">'TF 6268R'!$L$44</definedName>
    <definedName name="instr_sign" localSheetId="29">'TF 6402R'!$L$42</definedName>
    <definedName name="instr_sign" localSheetId="30">'TF 6403R'!$L$44</definedName>
    <definedName name="instr_sign" localSheetId="31">'TF 7113R'!$L$42</definedName>
    <definedName name="instr_sign" localSheetId="32">'TF 7123R'!$L$42</definedName>
    <definedName name="instr_sign" localSheetId="33">'TF 7133R'!$L$42</definedName>
    <definedName name="instr_sign" localSheetId="34">'TF 7502R'!$L$41</definedName>
    <definedName name="instr_sign">#REF!</definedName>
    <definedName name="instructor" localSheetId="11">'AS 7130L'!$D$5</definedName>
    <definedName name="instructor" localSheetId="16">'AS 7310A'!$E$4</definedName>
    <definedName name="instructor" localSheetId="17">'AS 7314W'!$H$6</definedName>
    <definedName name="instructor" localSheetId="18">'AS 7316R'!$H$9</definedName>
    <definedName name="instructor" localSheetId="22">'SY 7522Y'!$E$4</definedName>
    <definedName name="instructor" localSheetId="20">'SY 752xx'!$H$6</definedName>
    <definedName name="instructor" localSheetId="23">'TF 5310Y'!$E$4</definedName>
    <definedName name="instructor" localSheetId="27">'TF 6265R'!$H$9</definedName>
    <definedName name="instructor" localSheetId="28">'TF 6268R'!$H$9</definedName>
    <definedName name="instructor" localSheetId="29">'TF 6402R'!$H$7</definedName>
    <definedName name="instructor" localSheetId="30">'TF 6403R'!$H$9</definedName>
    <definedName name="instructor" localSheetId="31">'TF 7113R'!$H$7</definedName>
    <definedName name="instructor" localSheetId="32">'TF 7123R'!$H$7</definedName>
    <definedName name="instructor" localSheetId="33">'TF 7133R'!$H$7</definedName>
    <definedName name="instructor" localSheetId="34">'TF 7502R'!$H$6</definedName>
    <definedName name="instructor">#REF!</definedName>
    <definedName name="IP_sig" localSheetId="12">'AS 7140S FQ'!$AVW$42</definedName>
    <definedName name="IP_sig" localSheetId="13">'AS 7140S HQ'!$AVW$42</definedName>
    <definedName name="IP_sig" localSheetId="14">'AS 7150S'!$L$41</definedName>
    <definedName name="IP_sig" localSheetId="15">'AS 7160S'!$AVW$42</definedName>
    <definedName name="IP_sig" localSheetId="18">'AS 7316R'!$AVW$44</definedName>
    <definedName name="IP_sig" localSheetId="10">'SO 6140S'!$AVW$42</definedName>
    <definedName name="IP_sig" localSheetId="19">'SY 7213C'!$L$41</definedName>
    <definedName name="IP_sig" localSheetId="21">'SY 7521O'!$L$41</definedName>
    <definedName name="IP_sig" localSheetId="20">#REF!</definedName>
    <definedName name="IP_sig" localSheetId="24">'TF 6221C'!$L$41</definedName>
    <definedName name="IP_sig" localSheetId="25">'TF 6233C'!$L$41</definedName>
    <definedName name="IP_sig" localSheetId="26">'TF 6241F'!$L$41</definedName>
    <definedName name="IP_sig" localSheetId="27">'TF 6265R'!$AVW$44</definedName>
    <definedName name="IP_sig" localSheetId="28">'TF 6268R'!$AVW$44</definedName>
    <definedName name="IP_sig" localSheetId="29">'TF 6402R'!$AVW$42</definedName>
    <definedName name="IP_sig" localSheetId="30">'TF 6403R'!$AVW$44</definedName>
    <definedName name="IP_sig" localSheetId="31">'TF 7113R'!$AVW$42</definedName>
    <definedName name="IP_sig" localSheetId="32">'TF 7123R'!$AVW$42</definedName>
    <definedName name="IP_sig" localSheetId="33">'TF 7133R'!$AVW$42</definedName>
    <definedName name="IP_sig">#REF!</definedName>
    <definedName name="levels" localSheetId="12">'AS 7140S FQ'!#REF!</definedName>
    <definedName name="levels" localSheetId="13">'AS 7140S HQ'!#REF!</definedName>
    <definedName name="levels" localSheetId="14">'AS 7150S'!#REF!</definedName>
    <definedName name="levels" localSheetId="15">'AS 7160S'!#REF!</definedName>
    <definedName name="levels" localSheetId="17">'AS 7314W'!#REF!</definedName>
    <definedName name="levels" localSheetId="18">'AS 7316R'!#REF!</definedName>
    <definedName name="levels" localSheetId="10">'SO 6140S'!#REF!</definedName>
    <definedName name="levels" localSheetId="19">'SY 7213C'!#REF!</definedName>
    <definedName name="levels" localSheetId="21">'SY 7521O'!#REF!</definedName>
    <definedName name="levels" localSheetId="20">'SY 752xx'!#REF!</definedName>
    <definedName name="levels" localSheetId="24">'TF 6221C'!#REF!</definedName>
    <definedName name="levels" localSheetId="25">'TF 6233C'!#REF!</definedName>
    <definedName name="levels" localSheetId="26">'TF 6241F'!#REF!</definedName>
    <definedName name="levels" localSheetId="27">'TF 6265R'!#REF!</definedName>
    <definedName name="levels" localSheetId="28">'TF 6268R'!#REF!</definedName>
    <definedName name="levels" localSheetId="29">'TF 6402R'!#REF!</definedName>
    <definedName name="levels" localSheetId="30">'TF 6403R'!#REF!</definedName>
    <definedName name="levels" localSheetId="31">'TF 7113R'!#REF!</definedName>
    <definedName name="levels" localSheetId="32">'TF 7123R'!#REF!</definedName>
    <definedName name="levels" localSheetId="33">'TF 7133R'!#REF!</definedName>
    <definedName name="levels" localSheetId="34">'TF 7502R'!#REF!</definedName>
    <definedName name="levels">#REF!</definedName>
    <definedName name="line_numbers" localSheetId="12">'AS 7140S FQ'!$B$9:$B$40</definedName>
    <definedName name="line_numbers" localSheetId="13">'AS 7140S HQ'!$B$9:$B$40</definedName>
    <definedName name="line_numbers" localSheetId="14">'AS 7150S'!$B$8:$B$39</definedName>
    <definedName name="line_numbers" localSheetId="15">'AS 7160S'!$B$9:$B$40</definedName>
    <definedName name="line_numbers" localSheetId="17">'AS 7314W'!$B$8:$B$39</definedName>
    <definedName name="line_numbers" localSheetId="18">'AS 7316R'!$B$11:$B$42</definedName>
    <definedName name="line_numbers" localSheetId="10">'SO 6140S'!$B$9:$B$40</definedName>
    <definedName name="line_numbers" localSheetId="19">'SY 7213C'!$B$8:$B$39</definedName>
    <definedName name="line_numbers" localSheetId="21">'SY 7521O'!$B$8:$B$39</definedName>
    <definedName name="line_numbers" localSheetId="20">'SY 752xx'!$B$8:$B$39</definedName>
    <definedName name="line_numbers" localSheetId="24">'TF 6221C'!$B$8:$B$39</definedName>
    <definedName name="line_numbers" localSheetId="25">'TF 6233C'!$B$8:$B$39</definedName>
    <definedName name="line_numbers" localSheetId="26">'TF 6241F'!$B$8:$B$39</definedName>
    <definedName name="line_numbers" localSheetId="27">'TF 6265R'!$B$11:$B$42</definedName>
    <definedName name="line_numbers" localSheetId="28">'TF 6268R'!$B$11:$B$42</definedName>
    <definedName name="line_numbers" localSheetId="29">'TF 6402R'!$B$9:$B$40</definedName>
    <definedName name="line_numbers" localSheetId="30">'TF 6403R'!$B$11:$B$42</definedName>
    <definedName name="line_numbers" localSheetId="31">'TF 7113R'!$B$9:$B$40</definedName>
    <definedName name="line_numbers" localSheetId="32">'TF 7123R'!$B$9:$B$40</definedName>
    <definedName name="line_numbers" localSheetId="33">'TF 7133R'!$B$9:$B$40</definedName>
    <definedName name="line_numbers" localSheetId="34">'TF 7502R'!$B$8:$B$39</definedName>
    <definedName name="line_numbers">#REF!</definedName>
    <definedName name="Locked" localSheetId="12">'AS 7140S FQ'!$U$47</definedName>
    <definedName name="Locked" localSheetId="13">'AS 7140S HQ'!$U$47</definedName>
    <definedName name="Locked" localSheetId="14">'AS 7150S'!$U$46</definedName>
    <definedName name="Locked" localSheetId="15">'AS 7160S'!$U$47</definedName>
    <definedName name="Locked" localSheetId="17">'AS 7314W'!$U$46</definedName>
    <definedName name="Locked" localSheetId="18">'AS 7316R'!$U$49</definedName>
    <definedName name="Locked" localSheetId="10">'SO 6140S'!$U$47</definedName>
    <definedName name="Locked" localSheetId="19">'SY 7213C'!$U$46</definedName>
    <definedName name="Locked" localSheetId="21">'SY 7521O'!$U$46</definedName>
    <definedName name="Locked" localSheetId="20">'SY 752xx'!$U$46</definedName>
    <definedName name="Locked" localSheetId="24">'TF 6221C'!$U$46</definedName>
    <definedName name="Locked" localSheetId="25">'TF 6233C'!$U$46</definedName>
    <definedName name="Locked" localSheetId="26">'TF 6241F'!$U$46</definedName>
    <definedName name="Locked" localSheetId="27">'TF 6265R'!$U$49</definedName>
    <definedName name="Locked" localSheetId="28">'TF 6268R'!$U$49</definedName>
    <definedName name="Locked" localSheetId="29">'TF 6402R'!$U$47</definedName>
    <definedName name="Locked" localSheetId="30">'TF 6403R'!$U$49</definedName>
    <definedName name="Locked" localSheetId="31">'TF 7113R'!$U$47</definedName>
    <definedName name="Locked" localSheetId="32">'TF 7123R'!$U$47</definedName>
    <definedName name="Locked" localSheetId="33">'TF 7133R'!$U$47</definedName>
    <definedName name="Locked" localSheetId="34">'TF 7502R'!$U$46</definedName>
    <definedName name="Locked">#REF!</definedName>
    <definedName name="Made" localSheetId="12">'AS 7140S FQ'!$U$42</definedName>
    <definedName name="Made" localSheetId="13">'AS 7140S HQ'!$U$42</definedName>
    <definedName name="Made" localSheetId="14">'AS 7150S'!$U$41</definedName>
    <definedName name="Made" localSheetId="15">'AS 7160S'!$U$42</definedName>
    <definedName name="Made" localSheetId="17">'AS 7314W'!$U$41</definedName>
    <definedName name="Made" localSheetId="18">'AS 7316R'!$U$44</definedName>
    <definedName name="Made" localSheetId="10">'SO 6140S'!$U$42</definedName>
    <definedName name="Made" localSheetId="19">'SY 7213C'!$U$41</definedName>
    <definedName name="Made" localSheetId="21">'SY 7521O'!$U$41</definedName>
    <definedName name="Made" localSheetId="20">'SY 752xx'!$U$41</definedName>
    <definedName name="Made" localSheetId="24">'TF 6221C'!$U$41</definedName>
    <definedName name="Made" localSheetId="25">'TF 6233C'!$U$41</definedName>
    <definedName name="Made" localSheetId="26">'TF 6241F'!$U$41</definedName>
    <definedName name="Made" localSheetId="27">'TF 6265R'!$U$44</definedName>
    <definedName name="Made" localSheetId="28">'TF 6268R'!$U$44</definedName>
    <definedName name="Made" localSheetId="29">'TF 6402R'!$U$42</definedName>
    <definedName name="Made" localSheetId="30">'TF 6403R'!$U$44</definedName>
    <definedName name="Made" localSheetId="31">'TF 7113R'!$U$42</definedName>
    <definedName name="Made" localSheetId="32">'TF 7123R'!$U$42</definedName>
    <definedName name="Made" localSheetId="33">'TF 7133R'!$U$42</definedName>
    <definedName name="Made" localSheetId="34">'TF 7502R'!$U$41</definedName>
    <definedName name="Made">#REF!</definedName>
    <definedName name="mins" localSheetId="12">'AS 7140S FQ'!$BM$9:$BM$40</definedName>
    <definedName name="mins" localSheetId="13">'AS 7140S HQ'!$BM$9:$BM$40</definedName>
    <definedName name="mins" localSheetId="14">'AS 7150S'!$BM$8:$BM$39</definedName>
    <definedName name="mins" localSheetId="15">'AS 7160S'!$BM$9:$BM$40</definedName>
    <definedName name="mins" localSheetId="17">'AS 7314W'!$BM$8:$BM$39</definedName>
    <definedName name="mins" localSheetId="18">'AS 7316R'!$BM$11:$BM$42</definedName>
    <definedName name="mins" localSheetId="10">'SO 6140S'!$BM$9:$BM$40</definedName>
    <definedName name="mins" localSheetId="19">'SY 7213C'!$BM$8:$BM$39</definedName>
    <definedName name="mins" localSheetId="21">'SY 7521O'!$BM$8:$BM$39</definedName>
    <definedName name="mins" localSheetId="20">'SY 752xx'!$BM$8:$BM$39</definedName>
    <definedName name="mins" localSheetId="24">'TF 6221C'!$BM$8:$BM$39</definedName>
    <definedName name="mins" localSheetId="25">'TF 6233C'!$BM$8:$BM$39</definedName>
    <definedName name="mins" localSheetId="26">'TF 6241F'!$BM$8:$BM$39</definedName>
    <definedName name="mins" localSheetId="27">'TF 6265R'!$BM$11:$BM$42</definedName>
    <definedName name="mins" localSheetId="28">'TF 6268R'!$BM$11:$BM$42</definedName>
    <definedName name="mins" localSheetId="29">'TF 6402R'!$BM$9:$BM$40</definedName>
    <definedName name="mins" localSheetId="30">'TF 6403R'!$BM$11:$BM$42</definedName>
    <definedName name="mins" localSheetId="31">'TF 7113R'!$BM$9:$BM$40</definedName>
    <definedName name="mins" localSheetId="32">'TF 7123R'!$BM$9:$BM$40</definedName>
    <definedName name="mins" localSheetId="33">'TF 7133R'!$BM$9:$BM$40</definedName>
    <definedName name="mins" localSheetId="34">'TF 7502R'!$BM$8:$BM$39</definedName>
    <definedName name="mins">#REF!</definedName>
    <definedName name="name" localSheetId="11">'AS 7130L'!$D$2</definedName>
    <definedName name="name" localSheetId="16">'AS 7310A'!$C$2</definedName>
    <definedName name="name" localSheetId="17">'AS 7314W'!$H$3</definedName>
    <definedName name="name" localSheetId="22">'SY 7522Y'!$B$2</definedName>
    <definedName name="name" localSheetId="20">'SY 752xx'!$H$3</definedName>
    <definedName name="name" localSheetId="23">'TF 5310Y'!$B$2</definedName>
    <definedName name="name" localSheetId="27">'TF 6265R'!$H$6</definedName>
    <definedName name="name" localSheetId="28">'TF 6268R'!$H$6</definedName>
    <definedName name="name" localSheetId="29">'TF 6402R'!$H$4</definedName>
    <definedName name="name" localSheetId="30">'TF 6403R'!$H$6</definedName>
    <definedName name="name" localSheetId="31">'TF 7113R'!$H$4</definedName>
    <definedName name="name" localSheetId="32">'TF 7123R'!$H$4</definedName>
    <definedName name="name" localSheetId="33">'TF 7133R'!$H$4</definedName>
    <definedName name="name" localSheetId="34">'TF 7502R'!$H$3</definedName>
    <definedName name="name">'AS 7316R'!$H$6</definedName>
    <definedName name="numreq" localSheetId="12">'AS 7140S FQ'!$BL$9:$BL$40</definedName>
    <definedName name="numreq" localSheetId="13">'AS 7140S HQ'!$BL$9:$BL$40</definedName>
    <definedName name="numreq" localSheetId="14">'AS 7150S'!$BL$8:$BL$39</definedName>
    <definedName name="numreq" localSheetId="15">'AS 7160S'!$BL$9:$BL$40</definedName>
    <definedName name="numreq" localSheetId="17">'AS 7314W'!$BL$8:$BL$39</definedName>
    <definedName name="numreq" localSheetId="18">'AS 7316R'!$BL$11:$BL$42</definedName>
    <definedName name="numreq" localSheetId="10">'SO 6140S'!$BL$9:$BL$40</definedName>
    <definedName name="numreq" localSheetId="19">'SY 7213C'!$BL$8:$BL$39</definedName>
    <definedName name="numreq" localSheetId="21">'SY 7521O'!$BL$8:$BL$39</definedName>
    <definedName name="numreq" localSheetId="20">'SY 752xx'!$BL$8:$BL$39</definedName>
    <definedName name="numreq" localSheetId="24">'TF 6221C'!$BL$8:$BL$39</definedName>
    <definedName name="numreq" localSheetId="25">'TF 6233C'!$BL$8:$BL$39</definedName>
    <definedName name="numreq" localSheetId="26">'TF 6241F'!$BL$8:$BL$39</definedName>
    <definedName name="numreq" localSheetId="27">'TF 6265R'!$BL$11:$BL$42</definedName>
    <definedName name="numreq" localSheetId="28">'TF 6268R'!$BL$11:$BL$42</definedName>
    <definedName name="numreq" localSheetId="29">'TF 6402R'!$BL$9:$BL$40</definedName>
    <definedName name="numreq" localSheetId="30">'TF 6403R'!$BL$11:$BL$42</definedName>
    <definedName name="numreq" localSheetId="31">'TF 7113R'!$BL$9:$BL$40</definedName>
    <definedName name="numreq" localSheetId="32">'TF 7123R'!$BL$9:$BL$40</definedName>
    <definedName name="numreq" localSheetId="33">'TF 7133R'!$BL$9:$BL$40</definedName>
    <definedName name="numreq" localSheetId="34">'TF 7502R'!$BL$8:$BL$39</definedName>
    <definedName name="numreq">#REF!</definedName>
    <definedName name="Ops_CRoom_Sim" localSheetId="12">'AS 7140S FQ'!#REF!</definedName>
    <definedName name="Ops_CRoom_Sim" localSheetId="13">'AS 7140S HQ'!#REF!</definedName>
    <definedName name="Ops_CRoom_Sim" localSheetId="14">'AS 7150S'!#REF!</definedName>
    <definedName name="Ops_CRoom_Sim" localSheetId="15">'AS 7160S'!#REF!</definedName>
    <definedName name="Ops_CRoom_Sim" localSheetId="10">'SO 6140S'!#REF!</definedName>
    <definedName name="Pilot" localSheetId="12">'AS 7140S FQ'!#REF!</definedName>
    <definedName name="Pilot" localSheetId="13">'AS 7140S HQ'!#REF!</definedName>
    <definedName name="Pilot" localSheetId="14">'AS 7150S'!#REF!</definedName>
    <definedName name="Pilot" localSheetId="15">'AS 7160S'!#REF!</definedName>
    <definedName name="Pilot" localSheetId="17">'AS 7314W'!#REF!</definedName>
    <definedName name="Pilot" localSheetId="18">'AS 7316R'!#REF!</definedName>
    <definedName name="Pilot" localSheetId="10">'SO 6140S'!#REF!</definedName>
    <definedName name="Pilot" localSheetId="19">'SY 7213C'!#REF!</definedName>
    <definedName name="Pilot" localSheetId="21">'SY 7521O'!#REF!</definedName>
    <definedName name="Pilot" localSheetId="20">'SY 752xx'!#REF!</definedName>
    <definedName name="Pilot" localSheetId="24">'TF 6221C'!#REF!</definedName>
    <definedName name="Pilot" localSheetId="25">'TF 6233C'!#REF!</definedName>
    <definedName name="Pilot" localSheetId="26">'TF 6241F'!#REF!</definedName>
    <definedName name="Pilot" localSheetId="27">'TF 6265R'!#REF!</definedName>
    <definedName name="Pilot" localSheetId="28">'TF 6268R'!#REF!</definedName>
    <definedName name="Pilot" localSheetId="29">'TF 6402R'!#REF!</definedName>
    <definedName name="Pilot" localSheetId="30">'TF 6403R'!#REF!</definedName>
    <definedName name="Pilot" localSheetId="31">'TF 7113R'!#REF!</definedName>
    <definedName name="Pilot" localSheetId="32">'TF 7123R'!#REF!</definedName>
    <definedName name="Pilot" localSheetId="33">'TF 7133R'!#REF!</definedName>
    <definedName name="Pilot" localSheetId="34">'TF 7502R'!#REF!</definedName>
    <definedName name="Pilot">#REF!</definedName>
    <definedName name="_xlnm.Print_Area" localSheetId="11">'AS 7130L'!$A$1:$L$41</definedName>
    <definedName name="_xlnm.Print_Area" localSheetId="12">'AS 7140S FQ'!$B$4:$R$43</definedName>
    <definedName name="_xlnm.Print_Area" localSheetId="13">'AS 7140S HQ'!$B$4:$R$43</definedName>
    <definedName name="_xlnm.Print_Area" localSheetId="14">'AS 7150S'!$B$3:$R$42</definedName>
    <definedName name="_xlnm.Print_Area" localSheetId="15">'AS 7160S'!$B$4:$R$43</definedName>
    <definedName name="_xlnm.Print_Area" localSheetId="17">'AS 7314W'!$B$3:$R$42</definedName>
    <definedName name="_xlnm.Print_Area" localSheetId="18">'AS 7316R'!$B$6:$R$45</definedName>
    <definedName name="_xlnm.Print_Area" localSheetId="10">'SO 6140S'!$B$4:$R$43</definedName>
    <definedName name="_xlnm.Print_Area" localSheetId="19">'SY 7213C'!$B$3:$R$42</definedName>
    <definedName name="_xlnm.Print_Area" localSheetId="21">'SY 7521O'!$B$3:$R$42</definedName>
    <definedName name="_xlnm.Print_Area" localSheetId="20">'SY 752xx'!$B$3:$R$42</definedName>
    <definedName name="_xlnm.Print_Area" localSheetId="24">'TF 6221C'!$B$3:$R$42</definedName>
    <definedName name="_xlnm.Print_Area" localSheetId="25">'TF 6233C'!$B$3:$R$42</definedName>
    <definedName name="_xlnm.Print_Area" localSheetId="26">'TF 6241F'!$B$3:$R$42</definedName>
    <definedName name="_xlnm.Print_Area" localSheetId="27">'TF 6265R'!$B$6:$R$45</definedName>
    <definedName name="_xlnm.Print_Area" localSheetId="28">'TF 6268R'!$B$6:$R$45</definedName>
    <definedName name="_xlnm.Print_Area" localSheetId="29">'TF 6402R'!$B$4:$R$43</definedName>
    <definedName name="_xlnm.Print_Area" localSheetId="30">'TF 6403R'!$B$6:$R$45</definedName>
    <definedName name="_xlnm.Print_Area" localSheetId="31">'TF 7113R'!$B$4:$R$43</definedName>
    <definedName name="_xlnm.Print_Area" localSheetId="32">'TF 7123R'!$B$4:$R$43</definedName>
    <definedName name="_xlnm.Print_Area" localSheetId="33">'TF 7133R'!$B$4:$R$43</definedName>
    <definedName name="_xlnm.Print_Area" localSheetId="34">'TF 7502R'!$B$3:$R$42</definedName>
    <definedName name="_xlnm.Print_Area">#REF!</definedName>
    <definedName name="ready_for_sig" localSheetId="12">'AS 7140S FQ'!$U$50</definedName>
    <definedName name="ready_for_sig" localSheetId="13">'AS 7140S HQ'!$U$50</definedName>
    <definedName name="ready_for_sig" localSheetId="14">'AS 7150S'!$U$49</definedName>
    <definedName name="ready_for_sig" localSheetId="15">'AS 7160S'!$U$50</definedName>
    <definedName name="ready_for_sig" localSheetId="17">'AS 7314W'!$U$49</definedName>
    <definedName name="ready_for_sig" localSheetId="18">'AS 7316R'!$U$52</definedName>
    <definedName name="ready_for_sig" localSheetId="10">'SO 6140S'!$U$50</definedName>
    <definedName name="ready_for_sig" localSheetId="19">'SY 7213C'!$U$49</definedName>
    <definedName name="ready_for_sig" localSheetId="21">'SY 7521O'!$U$49</definedName>
    <definedName name="ready_for_sig" localSheetId="20">'SY 752xx'!$U$49</definedName>
    <definedName name="ready_for_sig" localSheetId="24">'TF 6221C'!$U$49</definedName>
    <definedName name="ready_for_sig" localSheetId="25">'TF 6233C'!$U$49</definedName>
    <definedName name="ready_for_sig" localSheetId="26">'TF 6241F'!$U$49</definedName>
    <definedName name="ready_for_sig" localSheetId="27">'TF 6265R'!$U$52</definedName>
    <definedName name="ready_for_sig" localSheetId="28">'TF 6268R'!$U$52</definedName>
    <definedName name="ready_for_sig" localSheetId="29">'TF 6402R'!$U$50</definedName>
    <definedName name="ready_for_sig" localSheetId="30">'TF 6403R'!$U$52</definedName>
    <definedName name="ready_for_sig" localSheetId="31">'TF 7113R'!$U$50</definedName>
    <definedName name="ready_for_sig" localSheetId="32">'TF 7123R'!$U$50</definedName>
    <definedName name="ready_for_sig" localSheetId="33">'TF 7133R'!$U$50</definedName>
    <definedName name="ready_for_sig" localSheetId="34">'TF 7502R'!$U$49</definedName>
    <definedName name="ready_for_sig">#REF!</definedName>
    <definedName name="report_grade" localSheetId="11">'AS 7130L'!$K$5</definedName>
    <definedName name="report_grade" localSheetId="16">'AS 7310A'!$E$23</definedName>
    <definedName name="report_grade" localSheetId="17">'AS 7314W'!$Q$6</definedName>
    <definedName name="report_grade" localSheetId="18">'AS 7316R'!$Q$9</definedName>
    <definedName name="report_grade" localSheetId="22">'SY 7522Y'!$E$31</definedName>
    <definedName name="report_grade" localSheetId="20">'SY 752xx'!$Q$6</definedName>
    <definedName name="report_grade" localSheetId="23">'TF 5310Y'!$E$31</definedName>
    <definedName name="report_grade" localSheetId="27">'TF 6265R'!$Q$9</definedName>
    <definedName name="report_grade" localSheetId="28">'TF 6268R'!$Q$9</definedName>
    <definedName name="report_grade" localSheetId="29">'TF 6402R'!$Q$7</definedName>
    <definedName name="report_grade" localSheetId="30">'TF 6403R'!$Q$9</definedName>
    <definedName name="report_grade" localSheetId="31">'TF 7113R'!$Q$7</definedName>
    <definedName name="report_grade" localSheetId="32">'TF 7123R'!$Q$7</definedName>
    <definedName name="report_grade" localSheetId="33">'TF 7133R'!$Q$7</definedName>
    <definedName name="report_grade" localSheetId="34">'TF 7502R'!$Q$6</definedName>
    <definedName name="report_grade">#REF!</definedName>
    <definedName name="scores" localSheetId="12">'AS 7140S FQ'!$K$9:$K$40</definedName>
    <definedName name="scores" localSheetId="13">'AS 7140S HQ'!$K$9:$K$40</definedName>
    <definedName name="scores" localSheetId="14">'AS 7150S'!$K$8:$K$39</definedName>
    <definedName name="scores" localSheetId="15">'AS 7160S'!$K$9:$K$40</definedName>
    <definedName name="scores" localSheetId="17">'AS 7314W'!$K$8:$K$39</definedName>
    <definedName name="scores" localSheetId="18">'AS 7316R'!$K$11:$K$42</definedName>
    <definedName name="scores" localSheetId="10">'SO 6140S'!$K$9:$K$40</definedName>
    <definedName name="scores" localSheetId="19">'SY 7213C'!$K$8:$K$39</definedName>
    <definedName name="scores" localSheetId="21">'SY 7521O'!$K$8:$K$39</definedName>
    <definedName name="scores" localSheetId="20">'SY 752xx'!$K$8:$K$39</definedName>
    <definedName name="scores" localSheetId="24">'TF 6221C'!$K$8:$K$39</definedName>
    <definedName name="scores" localSheetId="25">'TF 6233C'!$K$8:$K$39</definedName>
    <definedName name="scores" localSheetId="26">'TF 6241F'!$K$8:$K$39</definedName>
    <definedName name="scores" localSheetId="27">'TF 6265R'!$K$11:$K$42</definedName>
    <definedName name="scores" localSheetId="28">'TF 6268R'!$K$11:$K$42</definedName>
    <definedName name="scores" localSheetId="29">'TF 6402R'!$K$9:$K$40</definedName>
    <definedName name="scores" localSheetId="30">'TF 6403R'!$K$11:$K$42</definedName>
    <definedName name="scores" localSheetId="31">'TF 7113R'!$K$9:$K$40</definedName>
    <definedName name="scores" localSheetId="32">'TF 7123R'!$K$9:$K$40</definedName>
    <definedName name="scores" localSheetId="33">'TF 7133R'!$K$9:$K$40</definedName>
    <definedName name="scores" localSheetId="34">'TF 7502R'!$K$8:$K$39</definedName>
    <definedName name="scores">#REF!</definedName>
    <definedName name="stud_sig" localSheetId="12">'AS 7140S FQ'!$M$42</definedName>
    <definedName name="stud_sig" localSheetId="13">'AS 7140S HQ'!$M$42</definedName>
    <definedName name="stud_sig" localSheetId="14">'AS 7150S'!$M$41</definedName>
    <definedName name="stud_sig" localSheetId="15">'AS 7160S'!$M$42</definedName>
    <definedName name="stud_sig" localSheetId="17">'AS 7314W'!$M$41</definedName>
    <definedName name="stud_sig" localSheetId="18">'AS 7316R'!$M$44</definedName>
    <definedName name="stud_sig" localSheetId="10">'SO 6140S'!$M$42</definedName>
    <definedName name="stud_sig" localSheetId="19">'SY 7213C'!$M$41</definedName>
    <definedName name="stud_sig" localSheetId="21">'SY 7521O'!$M$41</definedName>
    <definedName name="stud_sig" localSheetId="20">'SY 752xx'!$M$41</definedName>
    <definedName name="stud_sig" localSheetId="24">'TF 6221C'!$M$41</definedName>
    <definedName name="stud_sig" localSheetId="25">'TF 6233C'!$M$41</definedName>
    <definedName name="stud_sig" localSheetId="26">'TF 6241F'!$M$41</definedName>
    <definedName name="stud_sig" localSheetId="27">'TF 6265R'!$M$44</definedName>
    <definedName name="stud_sig" localSheetId="28">'TF 6268R'!$M$44</definedName>
    <definedName name="stud_sig" localSheetId="29">'TF 6402R'!$M$42</definedName>
    <definedName name="stud_sig" localSheetId="30">'TF 6403R'!$M$44</definedName>
    <definedName name="stud_sig" localSheetId="31">'TF 7113R'!$M$42</definedName>
    <definedName name="stud_sig" localSheetId="32">'TF 7123R'!$M$42</definedName>
    <definedName name="stud_sig" localSheetId="33">'TF 7133R'!$M$42</definedName>
    <definedName name="stud_sig" localSheetId="34">'TF 7502R'!$M$41</definedName>
    <definedName name="stud_sig">#REF!</definedName>
    <definedName name="student" localSheetId="12">'AS 7140S FQ'!#REF!</definedName>
    <definedName name="student" localSheetId="13">'AS 7140S HQ'!#REF!</definedName>
    <definedName name="student" localSheetId="14">'AS 7150S'!#REF!</definedName>
    <definedName name="student" localSheetId="15">'AS 7160S'!#REF!</definedName>
    <definedName name="student" localSheetId="17">'AS 7314W'!#REF!</definedName>
    <definedName name="student" localSheetId="18">'AS 7316R'!#REF!</definedName>
    <definedName name="student" localSheetId="10">'SO 6140S'!#REF!</definedName>
    <definedName name="student" localSheetId="19">'SY 7213C'!#REF!</definedName>
    <definedName name="student" localSheetId="21">'SY 7521O'!#REF!</definedName>
    <definedName name="student" localSheetId="20">'SY 752xx'!#REF!</definedName>
    <definedName name="student" localSheetId="24">'TF 6221C'!#REF!</definedName>
    <definedName name="student" localSheetId="25">'TF 6233C'!#REF!</definedName>
    <definedName name="student" localSheetId="26">'TF 6241F'!#REF!</definedName>
    <definedName name="student" localSheetId="27">'TF 6265R'!#REF!</definedName>
    <definedName name="student" localSheetId="28">'TF 6268R'!#REF!</definedName>
    <definedName name="student" localSheetId="29">'TF 6402R'!#REF!</definedName>
    <definedName name="student" localSheetId="30">'TF 6403R'!#REF!</definedName>
    <definedName name="student" localSheetId="31">'TF 7113R'!#REF!</definedName>
    <definedName name="student" localSheetId="32">'TF 7123R'!#REF!</definedName>
    <definedName name="student" localSheetId="33">'TF 7133R'!#REF!</definedName>
    <definedName name="student" localSheetId="34">'TF 7502R'!#REF!</definedName>
    <definedName name="student">#REF!</definedName>
    <definedName name="studs" localSheetId="12">'AS 7140S FQ'!#REF!</definedName>
    <definedName name="studs" localSheetId="13">'AS 7140S HQ'!#REF!</definedName>
    <definedName name="studs" localSheetId="14">'AS 7150S'!#REF!</definedName>
    <definedName name="studs" localSheetId="15">'AS 7160S'!#REF!</definedName>
    <definedName name="studs" localSheetId="17">'AS 7314W'!#REF!</definedName>
    <definedName name="studs" localSheetId="18">'AS 7316R'!#REF!</definedName>
    <definedName name="studs" localSheetId="10">'SO 6140S'!#REF!</definedName>
    <definedName name="studs" localSheetId="19">'SY 7213C'!#REF!</definedName>
    <definedName name="studs" localSheetId="21">'SY 7521O'!#REF!</definedName>
    <definedName name="studs" localSheetId="20">'SY 752xx'!#REF!</definedName>
    <definedName name="studs" localSheetId="24">'TF 6221C'!#REF!</definedName>
    <definedName name="studs" localSheetId="25">'TF 6233C'!#REF!</definedName>
    <definedName name="studs" localSheetId="26">'TF 6241F'!#REF!</definedName>
    <definedName name="studs" localSheetId="27">'TF 6265R'!#REF!</definedName>
    <definedName name="studs" localSheetId="28">'TF 6268R'!#REF!</definedName>
    <definedName name="studs" localSheetId="29">'TF 6402R'!#REF!</definedName>
    <definedName name="studs" localSheetId="30">'TF 6403R'!#REF!</definedName>
    <definedName name="studs" localSheetId="31">'TF 7113R'!#REF!</definedName>
    <definedName name="studs" localSheetId="32">'TF 7123R'!#REF!</definedName>
    <definedName name="studs" localSheetId="33">'TF 7133R'!#REF!</definedName>
    <definedName name="studs" localSheetId="34">'TF 7502R'!#REF!</definedName>
    <definedName name="task_options" localSheetId="12">'AS 7140S FQ'!#REF!</definedName>
    <definedName name="task_options" localSheetId="13">'AS 7140S HQ'!#REF!</definedName>
    <definedName name="task_options" localSheetId="14">'AS 7150S'!#REF!</definedName>
    <definedName name="task_options" localSheetId="15">'AS 7160S'!#REF!</definedName>
    <definedName name="task_options" localSheetId="17">'AS 7314W'!#REF!</definedName>
    <definedName name="task_options" localSheetId="18">'AS 7316R'!#REF!</definedName>
    <definedName name="task_options" localSheetId="10">'SO 6140S'!#REF!</definedName>
    <definedName name="task_options" localSheetId="19">'SY 7213C'!#REF!</definedName>
    <definedName name="task_options" localSheetId="21">'SY 7521O'!#REF!</definedName>
    <definedName name="task_options" localSheetId="20">'SY 752xx'!#REF!</definedName>
    <definedName name="task_options" localSheetId="24">'TF 6221C'!#REF!</definedName>
    <definedName name="task_options" localSheetId="25">'TF 6233C'!#REF!</definedName>
    <definedName name="task_options" localSheetId="26">'TF 6241F'!#REF!</definedName>
    <definedName name="task_options" localSheetId="27">'TF 6265R'!#REF!</definedName>
    <definedName name="task_options" localSheetId="28">'TF 6268R'!#REF!</definedName>
    <definedName name="task_options" localSheetId="29">'TF 6402R'!#REF!</definedName>
    <definedName name="task_options" localSheetId="30">'TF 6403R'!#REF!</definedName>
    <definedName name="task_options" localSheetId="31">'TF 7113R'!#REF!</definedName>
    <definedName name="task_options" localSheetId="32">'TF 7123R'!#REF!</definedName>
    <definedName name="task_options" localSheetId="33">'TF 7133R'!#REF!</definedName>
    <definedName name="task_options" localSheetId="34">'TF 7502R'!#REF!</definedName>
    <definedName name="task_prefills" localSheetId="12">'AS 7140S FQ'!#REF!</definedName>
    <definedName name="task_prefills" localSheetId="13">'AS 7140S HQ'!#REF!</definedName>
    <definedName name="task_prefills" localSheetId="14">'AS 7150S'!#REF!</definedName>
    <definedName name="task_prefills" localSheetId="15">'AS 7160S'!#REF!</definedName>
    <definedName name="task_prefills" localSheetId="17">'AS 7314W'!#REF!</definedName>
    <definedName name="task_prefills" localSheetId="18">'AS 7316R'!#REF!</definedName>
    <definedName name="task_prefills" localSheetId="10">'SO 6140S'!#REF!</definedName>
    <definedName name="task_prefills" localSheetId="19">'SY 7213C'!#REF!</definedName>
    <definedName name="task_prefills" localSheetId="21">'SY 7521O'!#REF!</definedName>
    <definedName name="task_prefills" localSheetId="20">'SY 752xx'!#REF!</definedName>
    <definedName name="task_prefills" localSheetId="24">'TF 6221C'!#REF!</definedName>
    <definedName name="task_prefills" localSheetId="25">'TF 6233C'!#REF!</definedName>
    <definedName name="task_prefills" localSheetId="26">'TF 6241F'!#REF!</definedName>
    <definedName name="task_prefills" localSheetId="27">'TF 6265R'!#REF!</definedName>
    <definedName name="task_prefills" localSheetId="28">'TF 6268R'!#REF!</definedName>
    <definedName name="task_prefills" localSheetId="29">'TF 6402R'!#REF!</definedName>
    <definedName name="task_prefills" localSheetId="30">'TF 6403R'!#REF!</definedName>
    <definedName name="task_prefills" localSheetId="31">'TF 7113R'!#REF!</definedName>
    <definedName name="task_prefills" localSheetId="32">'TF 7123R'!#REF!</definedName>
    <definedName name="task_prefills" localSheetId="33">'TF 7133R'!#REF!</definedName>
    <definedName name="task_prefills" localSheetId="34">'TF 7502R'!#REF!</definedName>
    <definedName name="task_type" localSheetId="12">'AS 7140S FQ'!#REF!</definedName>
    <definedName name="task_type" localSheetId="13">'AS 7140S HQ'!#REF!</definedName>
    <definedName name="task_type" localSheetId="14">'AS 7150S'!#REF!</definedName>
    <definedName name="task_type" localSheetId="15">'AS 7160S'!#REF!</definedName>
    <definedName name="task_type" localSheetId="17">'AS 7314W'!#REF!</definedName>
    <definedName name="task_type" localSheetId="18">'AS 7316R'!#REF!</definedName>
    <definedName name="task_type" localSheetId="10">'SO 6140S'!#REF!</definedName>
    <definedName name="task_type" localSheetId="19">'SY 7213C'!#REF!</definedName>
    <definedName name="task_type" localSheetId="21">'SY 7521O'!#REF!</definedName>
    <definedName name="task_type" localSheetId="22">'[2]AS 7316R'!#REF!</definedName>
    <definedName name="task_type" localSheetId="20">'SY 752xx'!#REF!</definedName>
    <definedName name="task_type" localSheetId="24">'TF 6221C'!#REF!</definedName>
    <definedName name="task_type" localSheetId="25">'TF 6233C'!#REF!</definedName>
    <definedName name="task_type" localSheetId="26">'TF 6241F'!#REF!</definedName>
    <definedName name="task_type" localSheetId="27">'TF 6265R'!#REF!</definedName>
    <definedName name="task_type" localSheetId="28">'TF 6268R'!#REF!</definedName>
    <definedName name="task_type" localSheetId="29">'TF 6402R'!#REF!</definedName>
    <definedName name="task_type" localSheetId="30">'TF 6403R'!#REF!</definedName>
    <definedName name="task_type" localSheetId="31">'TF 7113R'!#REF!</definedName>
    <definedName name="task_type" localSheetId="32">'TF 7123R'!#REF!</definedName>
    <definedName name="task_type" localSheetId="33">'TF 7133R'!#REF!</definedName>
    <definedName name="task_type" localSheetId="34">'TF 7502R'!#REF!</definedName>
    <definedName name="task_type">#REF!</definedName>
    <definedName name="TF_6324W_Rocket_Test_Report__STC">'[3]TF 6324W'!$AT$76</definedName>
    <definedName name="title" localSheetId="12">'AS 7140S FQ'!#REF!</definedName>
    <definedName name="title" localSheetId="13">'AS 7140S HQ'!#REF!</definedName>
    <definedName name="title" localSheetId="14">'AS 7150S'!#REF!</definedName>
    <definedName name="title" localSheetId="15">'AS 7160S'!#REF!</definedName>
    <definedName name="title" localSheetId="17">'AS 7314W'!#REF!</definedName>
    <definedName name="title" localSheetId="18">'AS 7316R'!#REF!</definedName>
    <definedName name="title" localSheetId="10">'SO 6140S'!#REF!</definedName>
    <definedName name="title" localSheetId="19">'SY 7213C'!#REF!</definedName>
    <definedName name="title" localSheetId="21">'SY 7521O'!#REF!</definedName>
    <definedName name="title" localSheetId="20">'SY 752xx'!#REF!</definedName>
    <definedName name="title" localSheetId="24">'TF 6221C'!#REF!</definedName>
    <definedName name="title" localSheetId="25">'TF 6233C'!#REF!</definedName>
    <definedName name="title" localSheetId="26">'TF 6241F'!#REF!</definedName>
    <definedName name="title" localSheetId="27">'TF 6265R'!#REF!</definedName>
    <definedName name="title" localSheetId="28">'TF 6268R'!#REF!</definedName>
    <definedName name="title" localSheetId="29">'TF 6402R'!#REF!</definedName>
    <definedName name="title" localSheetId="30">'TF 6403R'!#REF!</definedName>
    <definedName name="title" localSheetId="31">'TF 7113R'!#REF!</definedName>
    <definedName name="title" localSheetId="32">'TF 7123R'!#REF!</definedName>
    <definedName name="title" localSheetId="33">'TF 7133R'!#REF!</definedName>
    <definedName name="title" localSheetId="34">'TF 7502R'!#REF!</definedName>
    <definedName name="ulstart" localSheetId="12">'AS 7140S FQ'!$J$9</definedName>
    <definedName name="ulstart" localSheetId="13">'AS 7140S HQ'!$J$9</definedName>
    <definedName name="ulstart" localSheetId="14">'AS 7150S'!$J$8</definedName>
    <definedName name="ulstart" localSheetId="15">'AS 7160S'!$J$9</definedName>
    <definedName name="ulstart" localSheetId="17">'AS 7314W'!$J$8</definedName>
    <definedName name="ulstart" localSheetId="18">'AS 7316R'!$J$11</definedName>
    <definedName name="ulstart" localSheetId="10">'SO 6140S'!$J$9</definedName>
    <definedName name="ulstart" localSheetId="19">'SY 7213C'!$J$8</definedName>
    <definedName name="ulstart" localSheetId="21">'SY 7521O'!$J$8</definedName>
    <definedName name="ulstart" localSheetId="20">'SY 752xx'!$J$8</definedName>
    <definedName name="ulstart" localSheetId="24">'TF 6221C'!$J$8</definedName>
    <definedName name="ulstart" localSheetId="25">'TF 6233C'!$J$8</definedName>
    <definedName name="ulstart" localSheetId="26">'TF 6241F'!$J$8</definedName>
    <definedName name="ulstart" localSheetId="27">'TF 6265R'!$J$11</definedName>
    <definedName name="ulstart" localSheetId="28">'TF 6268R'!$J$11</definedName>
    <definedName name="ulstart" localSheetId="29">'TF 6402R'!$J$9</definedName>
    <definedName name="ulstart" localSheetId="30">'TF 6403R'!$J$11</definedName>
    <definedName name="ulstart" localSheetId="31">'TF 7113R'!$J$9</definedName>
    <definedName name="ulstart" localSheetId="32">'TF 7123R'!$J$9</definedName>
    <definedName name="ulstart" localSheetId="33">'TF 7133R'!$J$9</definedName>
    <definedName name="ulstart" localSheetId="34">'TF 7502R'!$J$8</definedName>
    <definedName name="ulstart">#REF!</definedName>
    <definedName name="Z_02167FE6_14A1_41F9_8E10_ABA62C3090BE_.wvu.Cols" localSheetId="12" hidden="1">'AS 7140S FQ'!#REF!,'AS 7140S FQ'!$T:$BN</definedName>
    <definedName name="Z_02167FE6_14A1_41F9_8E10_ABA62C3090BE_.wvu.Cols" localSheetId="13" hidden="1">'AS 7140S HQ'!#REF!,'AS 7140S HQ'!$T:$BN</definedName>
    <definedName name="Z_02167FE6_14A1_41F9_8E10_ABA62C3090BE_.wvu.Cols" localSheetId="15" hidden="1">'AS 7160S'!#REF!,'AS 7160S'!$T:$BN</definedName>
    <definedName name="Z_02167FE6_14A1_41F9_8E10_ABA62C3090BE_.wvu.Cols" localSheetId="18" hidden="1">'AS 7316R'!#REF!,'AS 7316R'!$T:$BN</definedName>
    <definedName name="Z_02167FE6_14A1_41F9_8E10_ABA62C3090BE_.wvu.Cols" localSheetId="10" hidden="1">'SO 6140S'!#REF!,'SO 6140S'!$T:$BN</definedName>
    <definedName name="Z_02167FE6_14A1_41F9_8E10_ABA62C3090BE_.wvu.Cols" localSheetId="27" hidden="1">'TF 6265R'!#REF!,'TF 6265R'!$T:$BN</definedName>
    <definedName name="Z_02167FE6_14A1_41F9_8E10_ABA62C3090BE_.wvu.Cols" localSheetId="28" hidden="1">'TF 6268R'!#REF!,'TF 6268R'!$T:$BN</definedName>
    <definedName name="Z_02167FE6_14A1_41F9_8E10_ABA62C3090BE_.wvu.Cols" localSheetId="29" hidden="1">'TF 6402R'!#REF!,'TF 6402R'!$T:$BN</definedName>
    <definedName name="Z_02167FE6_14A1_41F9_8E10_ABA62C3090BE_.wvu.Cols" localSheetId="30" hidden="1">'TF 6403R'!#REF!,'TF 6403R'!$T:$BN</definedName>
    <definedName name="Z_02167FE6_14A1_41F9_8E10_ABA62C3090BE_.wvu.Cols" localSheetId="31" hidden="1">'TF 7113R'!#REF!,'TF 7113R'!$T:$BN</definedName>
    <definedName name="Z_02167FE6_14A1_41F9_8E10_ABA62C3090BE_.wvu.Cols" localSheetId="32" hidden="1">'TF 7123R'!#REF!,'TF 7123R'!$T:$BN</definedName>
    <definedName name="Z_02167FE6_14A1_41F9_8E10_ABA62C3090BE_.wvu.Cols" localSheetId="33" hidden="1">'TF 7133R'!#REF!,'TF 7133R'!$T:$BN</definedName>
    <definedName name="Z_02167FE6_14A1_41F9_8E10_ABA62C3090BE_.wvu.Rows" localSheetId="12" hidden="1">'AS 7140S FQ'!#REF!,'AS 7140S FQ'!$1:$2</definedName>
    <definedName name="Z_02167FE6_14A1_41F9_8E10_ABA62C3090BE_.wvu.Rows" localSheetId="13" hidden="1">'AS 7140S HQ'!#REF!,'AS 7140S HQ'!$1:$2</definedName>
    <definedName name="Z_02167FE6_14A1_41F9_8E10_ABA62C3090BE_.wvu.Rows" localSheetId="15" hidden="1">'AS 7160S'!#REF!,'AS 7160S'!$1:$2</definedName>
    <definedName name="Z_02167FE6_14A1_41F9_8E10_ABA62C3090BE_.wvu.Rows" localSheetId="18" hidden="1">'AS 7316R'!#REF!,'AS 7316R'!$1:$4</definedName>
    <definedName name="Z_02167FE6_14A1_41F9_8E10_ABA62C3090BE_.wvu.Rows" localSheetId="10" hidden="1">'SO 6140S'!#REF!,'SO 6140S'!$1:$2</definedName>
    <definedName name="Z_02167FE6_14A1_41F9_8E10_ABA62C3090BE_.wvu.Rows" localSheetId="27" hidden="1">'TF 6265R'!#REF!,'TF 6265R'!$1:$4</definedName>
    <definedName name="Z_02167FE6_14A1_41F9_8E10_ABA62C3090BE_.wvu.Rows" localSheetId="28" hidden="1">'TF 6268R'!#REF!,'TF 6268R'!$1:$4</definedName>
    <definedName name="Z_02167FE6_14A1_41F9_8E10_ABA62C3090BE_.wvu.Rows" localSheetId="29" hidden="1">'TF 6402R'!#REF!,'TF 6402R'!$1:$2</definedName>
    <definedName name="Z_02167FE6_14A1_41F9_8E10_ABA62C3090BE_.wvu.Rows" localSheetId="30" hidden="1">'TF 6403R'!#REF!,'TF 6403R'!$1:$4</definedName>
    <definedName name="Z_02167FE6_14A1_41F9_8E10_ABA62C3090BE_.wvu.Rows" localSheetId="31" hidden="1">'TF 7113R'!#REF!,'TF 7113R'!$1:$2</definedName>
    <definedName name="Z_02167FE6_14A1_41F9_8E10_ABA62C3090BE_.wvu.Rows" localSheetId="32" hidden="1">'TF 7123R'!#REF!,'TF 7123R'!$1:$2</definedName>
    <definedName name="Z_02167FE6_14A1_41F9_8E10_ABA62C3090BE_.wvu.Rows" localSheetId="33" hidden="1">'TF 7133R'!#REF!,'TF 7133R'!$1:$2</definedName>
    <definedName name="Z_260A4A42_DC1D_4D31_BD57_1656952E0E95_.wvu.Cols" localSheetId="12" hidden="1">'AS 7140S FQ'!#REF!,'AS 7140S FQ'!$T:$BN</definedName>
    <definedName name="Z_260A4A42_DC1D_4D31_BD57_1656952E0E95_.wvu.Cols" localSheetId="13" hidden="1">'AS 7140S HQ'!#REF!,'AS 7140S HQ'!$T:$BN</definedName>
    <definedName name="Z_260A4A42_DC1D_4D31_BD57_1656952E0E95_.wvu.Cols" localSheetId="15" hidden="1">'AS 7160S'!#REF!,'AS 7160S'!$T:$BN</definedName>
    <definedName name="Z_260A4A42_DC1D_4D31_BD57_1656952E0E95_.wvu.Cols" localSheetId="18" hidden="1">'AS 7316R'!#REF!,'AS 7316R'!$T:$BN</definedName>
    <definedName name="Z_260A4A42_DC1D_4D31_BD57_1656952E0E95_.wvu.Cols" localSheetId="10" hidden="1">'SO 6140S'!#REF!,'SO 6140S'!$T:$BN</definedName>
    <definedName name="Z_260A4A42_DC1D_4D31_BD57_1656952E0E95_.wvu.Cols" localSheetId="27" hidden="1">'TF 6265R'!#REF!,'TF 6265R'!$T:$BN</definedName>
    <definedName name="Z_260A4A42_DC1D_4D31_BD57_1656952E0E95_.wvu.Cols" localSheetId="28" hidden="1">'TF 6268R'!#REF!,'TF 6268R'!$T:$BN</definedName>
    <definedName name="Z_260A4A42_DC1D_4D31_BD57_1656952E0E95_.wvu.Cols" localSheetId="29" hidden="1">'TF 6402R'!#REF!,'TF 6402R'!$T:$BN</definedName>
    <definedName name="Z_260A4A42_DC1D_4D31_BD57_1656952E0E95_.wvu.Cols" localSheetId="30" hidden="1">'TF 6403R'!#REF!,'TF 6403R'!$T:$BN</definedName>
    <definedName name="Z_260A4A42_DC1D_4D31_BD57_1656952E0E95_.wvu.Cols" localSheetId="31" hidden="1">'TF 7113R'!#REF!,'TF 7113R'!$T:$BN</definedName>
    <definedName name="Z_260A4A42_DC1D_4D31_BD57_1656952E0E95_.wvu.Cols" localSheetId="32" hidden="1">'TF 7123R'!#REF!,'TF 7123R'!$T:$BN</definedName>
    <definedName name="Z_260A4A42_DC1D_4D31_BD57_1656952E0E95_.wvu.Cols" localSheetId="33" hidden="1">'TF 7133R'!#REF!,'TF 7133R'!$T:$BN</definedName>
    <definedName name="Z_260A4A42_DC1D_4D31_BD57_1656952E0E95_.wvu.Rows" localSheetId="12" hidden="1">'AS 7140S FQ'!#REF!,'AS 7140S FQ'!$1:$2</definedName>
    <definedName name="Z_260A4A42_DC1D_4D31_BD57_1656952E0E95_.wvu.Rows" localSheetId="13" hidden="1">'AS 7140S HQ'!#REF!,'AS 7140S HQ'!$1:$2</definedName>
    <definedName name="Z_260A4A42_DC1D_4D31_BD57_1656952E0E95_.wvu.Rows" localSheetId="15" hidden="1">'AS 7160S'!#REF!,'AS 7160S'!$1:$2</definedName>
    <definedName name="Z_260A4A42_DC1D_4D31_BD57_1656952E0E95_.wvu.Rows" localSheetId="18" hidden="1">'AS 7316R'!#REF!,'AS 7316R'!$1:$4</definedName>
    <definedName name="Z_260A4A42_DC1D_4D31_BD57_1656952E0E95_.wvu.Rows" localSheetId="10" hidden="1">'SO 6140S'!#REF!,'SO 6140S'!$1:$2</definedName>
    <definedName name="Z_260A4A42_DC1D_4D31_BD57_1656952E0E95_.wvu.Rows" localSheetId="27" hidden="1">'TF 6265R'!#REF!,'TF 6265R'!$1:$4</definedName>
    <definedName name="Z_260A4A42_DC1D_4D31_BD57_1656952E0E95_.wvu.Rows" localSheetId="28" hidden="1">'TF 6268R'!#REF!,'TF 6268R'!$1:$4</definedName>
    <definedName name="Z_260A4A42_DC1D_4D31_BD57_1656952E0E95_.wvu.Rows" localSheetId="29" hidden="1">'TF 6402R'!#REF!,'TF 6402R'!$1:$2</definedName>
    <definedName name="Z_260A4A42_DC1D_4D31_BD57_1656952E0E95_.wvu.Rows" localSheetId="30" hidden="1">'TF 6403R'!#REF!,'TF 6403R'!$1:$4</definedName>
    <definedName name="Z_260A4A42_DC1D_4D31_BD57_1656952E0E95_.wvu.Rows" localSheetId="31" hidden="1">'TF 7113R'!#REF!,'TF 7113R'!$1:$2</definedName>
    <definedName name="Z_260A4A42_DC1D_4D31_BD57_1656952E0E95_.wvu.Rows" localSheetId="32" hidden="1">'TF 7123R'!#REF!,'TF 7123R'!$1:$2</definedName>
    <definedName name="Z_260A4A42_DC1D_4D31_BD57_1656952E0E95_.wvu.Rows" localSheetId="33" hidden="1">'TF 7133R'!#REF!,'TF 7133R'!$1:$2</definedName>
    <definedName name="Z_9A2E4652_C60C_4D05_B4BD_B40CD0454F4E_.wvu.Cols" localSheetId="14" hidden="1">'AS 7150S'!#REF!,'AS 7150S'!$T:$BN</definedName>
    <definedName name="Z_9A2E4652_C60C_4D05_B4BD_B40CD0454F4E_.wvu.Cols" localSheetId="17" hidden="1">'AS 7314W'!#REF!,'AS 7314W'!$T:$BN</definedName>
    <definedName name="Z_9A2E4652_C60C_4D05_B4BD_B40CD0454F4E_.wvu.Cols" localSheetId="19" hidden="1">'SY 7213C'!#REF!,'SY 7213C'!$T:$BN</definedName>
    <definedName name="Z_9A2E4652_C60C_4D05_B4BD_B40CD0454F4E_.wvu.Cols" localSheetId="21" hidden="1">'SY 7521O'!#REF!,'SY 7521O'!$T:$BN</definedName>
    <definedName name="Z_9A2E4652_C60C_4D05_B4BD_B40CD0454F4E_.wvu.Cols" localSheetId="20" hidden="1">'SY 752xx'!#REF!,'SY 752xx'!$T:$BN</definedName>
    <definedName name="Z_9A2E4652_C60C_4D05_B4BD_B40CD0454F4E_.wvu.Cols" localSheetId="24" hidden="1">'TF 6221C'!#REF!,'TF 6221C'!$T:$BN</definedName>
    <definedName name="Z_9A2E4652_C60C_4D05_B4BD_B40CD0454F4E_.wvu.Cols" localSheetId="25" hidden="1">'TF 6233C'!#REF!,'TF 6233C'!$T:$BN</definedName>
    <definedName name="Z_9A2E4652_C60C_4D05_B4BD_B40CD0454F4E_.wvu.Cols" localSheetId="26" hidden="1">'TF 6241F'!#REF!,'TF 6241F'!$T:$BN</definedName>
    <definedName name="Z_9A2E4652_C60C_4D05_B4BD_B40CD0454F4E_.wvu.Cols" localSheetId="34" hidden="1">'TF 7502R'!#REF!,'TF 7502R'!$T:$BN</definedName>
    <definedName name="Z_9A2E4652_C60C_4D05_B4BD_B40CD0454F4E_.wvu.PrintArea" localSheetId="14" hidden="1">'AS 7150S'!$B$3:$R$42</definedName>
    <definedName name="Z_9A2E4652_C60C_4D05_B4BD_B40CD0454F4E_.wvu.PrintArea" localSheetId="17" hidden="1">'AS 7314W'!$B$3:$R$42</definedName>
    <definedName name="Z_9A2E4652_C60C_4D05_B4BD_B40CD0454F4E_.wvu.PrintArea" localSheetId="19" hidden="1">'SY 7213C'!$B$3:$R$42</definedName>
    <definedName name="Z_9A2E4652_C60C_4D05_B4BD_B40CD0454F4E_.wvu.PrintArea" localSheetId="21" hidden="1">'SY 7521O'!$B$3:$R$42</definedName>
    <definedName name="Z_9A2E4652_C60C_4D05_B4BD_B40CD0454F4E_.wvu.PrintArea" localSheetId="20" hidden="1">'SY 752xx'!$B$3:$R$42</definedName>
    <definedName name="Z_9A2E4652_C60C_4D05_B4BD_B40CD0454F4E_.wvu.PrintArea" localSheetId="24" hidden="1">'TF 6221C'!$B$3:$R$42</definedName>
    <definedName name="Z_9A2E4652_C60C_4D05_B4BD_B40CD0454F4E_.wvu.PrintArea" localSheetId="25" hidden="1">'TF 6233C'!$B$3:$R$42</definedName>
    <definedName name="Z_9A2E4652_C60C_4D05_B4BD_B40CD0454F4E_.wvu.PrintArea" localSheetId="26" hidden="1">'TF 6241F'!$B$3:$R$42</definedName>
    <definedName name="Z_9A2E4652_C60C_4D05_B4BD_B40CD0454F4E_.wvu.PrintArea" localSheetId="34" hidden="1">'TF 7502R'!$B$3:$R$42</definedName>
    <definedName name="Z_9A2E4652_C60C_4D05_B4BD_B40CD0454F4E_.wvu.Rows" localSheetId="14" hidden="1">'AS 7150S'!#REF!,'AS 7150S'!$1:$1</definedName>
    <definedName name="Z_9A2E4652_C60C_4D05_B4BD_B40CD0454F4E_.wvu.Rows" localSheetId="17" hidden="1">'AS 7314W'!#REF!,'AS 7314W'!$1:$1</definedName>
    <definedName name="Z_9A2E4652_C60C_4D05_B4BD_B40CD0454F4E_.wvu.Rows" localSheetId="19" hidden="1">'SY 7213C'!#REF!,'SY 7213C'!$1:$1</definedName>
    <definedName name="Z_9A2E4652_C60C_4D05_B4BD_B40CD0454F4E_.wvu.Rows" localSheetId="21" hidden="1">'SY 7521O'!#REF!,'SY 7521O'!$1:$1</definedName>
    <definedName name="Z_9A2E4652_C60C_4D05_B4BD_B40CD0454F4E_.wvu.Rows" localSheetId="20" hidden="1">'SY 752xx'!#REF!,'SY 752xx'!$1:$1</definedName>
    <definedName name="Z_9A2E4652_C60C_4D05_B4BD_B40CD0454F4E_.wvu.Rows" localSheetId="24" hidden="1">'TF 6221C'!#REF!,'TF 6221C'!$1:$1</definedName>
    <definedName name="Z_9A2E4652_C60C_4D05_B4BD_B40CD0454F4E_.wvu.Rows" localSheetId="25" hidden="1">'TF 6233C'!#REF!,'TF 6233C'!$1:$1</definedName>
    <definedName name="Z_9A2E4652_C60C_4D05_B4BD_B40CD0454F4E_.wvu.Rows" localSheetId="26" hidden="1">'TF 6241F'!#REF!,'TF 6241F'!$1:$1</definedName>
    <definedName name="Z_9A2E4652_C60C_4D05_B4BD_B40CD0454F4E_.wvu.Rows" localSheetId="34" hidden="1">'TF 7502R'!#REF!,'TF 7502R'!$1:$1</definedName>
    <definedName name="Z_AA06D535_8AC1_4049_A373_0F129ACECEE4_.wvu.Cols" localSheetId="14" hidden="1">'AS 7150S'!#REF!,'AS 7150S'!$T:$BN</definedName>
    <definedName name="Z_AA06D535_8AC1_4049_A373_0F129ACECEE4_.wvu.Cols" localSheetId="17" hidden="1">'AS 7314W'!#REF!,'AS 7314W'!$T:$BN</definedName>
    <definedName name="Z_AA06D535_8AC1_4049_A373_0F129ACECEE4_.wvu.Cols" localSheetId="19" hidden="1">'SY 7213C'!#REF!,'SY 7213C'!$T:$BN</definedName>
    <definedName name="Z_AA06D535_8AC1_4049_A373_0F129ACECEE4_.wvu.Cols" localSheetId="21" hidden="1">'SY 7521O'!#REF!,'SY 7521O'!$T:$BN</definedName>
    <definedName name="Z_AA06D535_8AC1_4049_A373_0F129ACECEE4_.wvu.Cols" localSheetId="20" hidden="1">'SY 752xx'!#REF!,'SY 752xx'!$T:$BN</definedName>
    <definedName name="Z_AA06D535_8AC1_4049_A373_0F129ACECEE4_.wvu.Cols" localSheetId="24" hidden="1">'TF 6221C'!#REF!,'TF 6221C'!$T:$BN</definedName>
    <definedName name="Z_AA06D535_8AC1_4049_A373_0F129ACECEE4_.wvu.Cols" localSheetId="25" hidden="1">'TF 6233C'!#REF!,'TF 6233C'!$T:$BN</definedName>
    <definedName name="Z_AA06D535_8AC1_4049_A373_0F129ACECEE4_.wvu.Cols" localSheetId="26" hidden="1">'TF 6241F'!#REF!,'TF 6241F'!$T:$BN</definedName>
    <definedName name="Z_AA06D535_8AC1_4049_A373_0F129ACECEE4_.wvu.Cols" localSheetId="34" hidden="1">'TF 7502R'!#REF!,'TF 7502R'!$T:$BN</definedName>
    <definedName name="Z_AA06D535_8AC1_4049_A373_0F129ACECEE4_.wvu.PrintArea" localSheetId="14" hidden="1">'AS 7150S'!$B$3:$R$42</definedName>
    <definedName name="Z_AA06D535_8AC1_4049_A373_0F129ACECEE4_.wvu.PrintArea" localSheetId="17" hidden="1">'AS 7314W'!$B$3:$R$42</definedName>
    <definedName name="Z_AA06D535_8AC1_4049_A373_0F129ACECEE4_.wvu.PrintArea" localSheetId="19" hidden="1">'SY 7213C'!$B$3:$R$42</definedName>
    <definedName name="Z_AA06D535_8AC1_4049_A373_0F129ACECEE4_.wvu.PrintArea" localSheetId="21" hidden="1">'SY 7521O'!$B$3:$R$42</definedName>
    <definedName name="Z_AA06D535_8AC1_4049_A373_0F129ACECEE4_.wvu.PrintArea" localSheetId="20" hidden="1">'SY 752xx'!$B$3:$R$42</definedName>
    <definedName name="Z_AA06D535_8AC1_4049_A373_0F129ACECEE4_.wvu.PrintArea" localSheetId="24" hidden="1">'TF 6221C'!$B$3:$R$42</definedName>
    <definedName name="Z_AA06D535_8AC1_4049_A373_0F129ACECEE4_.wvu.PrintArea" localSheetId="25" hidden="1">'TF 6233C'!$B$3:$R$42</definedName>
    <definedName name="Z_AA06D535_8AC1_4049_A373_0F129ACECEE4_.wvu.PrintArea" localSheetId="26" hidden="1">'TF 6241F'!$B$3:$R$42</definedName>
    <definedName name="Z_AA06D535_8AC1_4049_A373_0F129ACECEE4_.wvu.PrintArea" localSheetId="34" hidden="1">'TF 7502R'!$B$3:$R$42</definedName>
    <definedName name="Z_AA06D535_8AC1_4049_A373_0F129ACECEE4_.wvu.Rows" localSheetId="14" hidden="1">'AS 7150S'!#REF!,'AS 7150S'!$1:$1</definedName>
    <definedName name="Z_AA06D535_8AC1_4049_A373_0F129ACECEE4_.wvu.Rows" localSheetId="17" hidden="1">'AS 7314W'!#REF!,'AS 7314W'!$1:$1</definedName>
    <definedName name="Z_AA06D535_8AC1_4049_A373_0F129ACECEE4_.wvu.Rows" localSheetId="19" hidden="1">'SY 7213C'!#REF!,'SY 7213C'!$1:$1</definedName>
    <definedName name="Z_AA06D535_8AC1_4049_A373_0F129ACECEE4_.wvu.Rows" localSheetId="21" hidden="1">'SY 7521O'!#REF!,'SY 7521O'!$1:$1</definedName>
    <definedName name="Z_AA06D535_8AC1_4049_A373_0F129ACECEE4_.wvu.Rows" localSheetId="20" hidden="1">'SY 752xx'!#REF!,'SY 752xx'!$1:$1</definedName>
    <definedName name="Z_AA06D535_8AC1_4049_A373_0F129ACECEE4_.wvu.Rows" localSheetId="24" hidden="1">'TF 6221C'!#REF!,'TF 6221C'!$1:$1</definedName>
    <definedName name="Z_AA06D535_8AC1_4049_A373_0F129ACECEE4_.wvu.Rows" localSheetId="25" hidden="1">'TF 6233C'!#REF!,'TF 6233C'!$1:$1</definedName>
    <definedName name="Z_AA06D535_8AC1_4049_A373_0F129ACECEE4_.wvu.Rows" localSheetId="26" hidden="1">'TF 6241F'!#REF!,'TF 6241F'!$1:$1</definedName>
    <definedName name="Z_AA06D535_8AC1_4049_A373_0F129ACECEE4_.wvu.Rows" localSheetId="34" hidden="1">'TF 7502R'!#REF!,'TF 7502R'!$1:$1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19" i="5" l="1"/>
  <c r="E19" i="5"/>
  <c r="D19" i="5"/>
  <c r="F18" i="5"/>
  <c r="E18" i="5"/>
  <c r="D18" i="5"/>
  <c r="F17" i="5"/>
  <c r="E17" i="5"/>
  <c r="D17" i="5"/>
  <c r="F16" i="5"/>
  <c r="E16" i="5"/>
  <c r="D16" i="5"/>
  <c r="F11" i="5"/>
  <c r="E11" i="5"/>
  <c r="D11" i="5"/>
  <c r="C11" i="5"/>
  <c r="B11" i="5"/>
  <c r="F10" i="5"/>
  <c r="E10" i="5"/>
  <c r="D10" i="5"/>
  <c r="C10" i="5"/>
  <c r="B10" i="5"/>
  <c r="F9" i="5"/>
  <c r="E9" i="5"/>
  <c r="D9" i="5"/>
  <c r="C9" i="5"/>
  <c r="B9" i="5"/>
  <c r="E8" i="5"/>
  <c r="D8" i="5"/>
  <c r="C8" i="5"/>
  <c r="B8" i="5"/>
  <c r="C3" i="5"/>
  <c r="A3" i="5"/>
  <c r="C2" i="5"/>
  <c r="A2" i="5"/>
  <c r="C1" i="5"/>
  <c r="A1" i="5"/>
  <c r="U49" i="105"/>
  <c r="AT45" i="105"/>
  <c r="AR45" i="105"/>
  <c r="BE44" i="105"/>
  <c r="AT44" i="105"/>
  <c r="BN40" i="105"/>
  <c r="BM40" i="105"/>
  <c r="BL40" i="105"/>
  <c r="BK40" i="105"/>
  <c r="BJ40" i="105"/>
  <c r="BI40" i="105"/>
  <c r="BH40" i="105"/>
  <c r="BG40" i="105"/>
  <c r="BE40" i="105"/>
  <c r="BD40" i="105"/>
  <c r="BC40" i="105"/>
  <c r="BB40" i="105"/>
  <c r="BA40" i="105"/>
  <c r="AZ40" i="105"/>
  <c r="AY40" i="105"/>
  <c r="AX40" i="105"/>
  <c r="AW40" i="105"/>
  <c r="AU40" i="105"/>
  <c r="AT40" i="105"/>
  <c r="AS40" i="105"/>
  <c r="AR40" i="105"/>
  <c r="AV40" i="105" s="1"/>
  <c r="AQ40" i="105"/>
  <c r="AP40" i="105"/>
  <c r="AO40" i="105"/>
  <c r="AN40" i="105"/>
  <c r="AM40" i="105"/>
  <c r="AL40" i="105"/>
  <c r="AK40" i="105"/>
  <c r="AJ40" i="105"/>
  <c r="AI40" i="105"/>
  <c r="AH40" i="105"/>
  <c r="AG40" i="105"/>
  <c r="I40" i="105"/>
  <c r="H40" i="105"/>
  <c r="BF40" i="105" s="1"/>
  <c r="G40" i="105"/>
  <c r="C40" i="105"/>
  <c r="B40" i="105"/>
  <c r="BN39" i="105"/>
  <c r="BM39" i="105"/>
  <c r="BK39" i="105"/>
  <c r="BJ39" i="105"/>
  <c r="BI39" i="105"/>
  <c r="BH39" i="105"/>
  <c r="BL39" i="105" s="1"/>
  <c r="BG39" i="105"/>
  <c r="BE39" i="105"/>
  <c r="BD39" i="105"/>
  <c r="BC39" i="105"/>
  <c r="BB39" i="105"/>
  <c r="BA39" i="105"/>
  <c r="AZ39" i="105"/>
  <c r="AY39" i="105"/>
  <c r="AX39" i="105"/>
  <c r="AW39" i="105"/>
  <c r="AU39" i="105"/>
  <c r="AT39" i="105"/>
  <c r="AS39" i="105"/>
  <c r="AR39" i="105"/>
  <c r="AV39" i="105" s="1"/>
  <c r="AQ39" i="105"/>
  <c r="AP39" i="105"/>
  <c r="AO39" i="105"/>
  <c r="AM39" i="105"/>
  <c r="AL39" i="105"/>
  <c r="AK39" i="105"/>
  <c r="AJ39" i="105"/>
  <c r="AI39" i="105"/>
  <c r="AH39" i="105"/>
  <c r="AN39" i="105" s="1"/>
  <c r="AG39" i="105"/>
  <c r="I39" i="105"/>
  <c r="H39" i="105"/>
  <c r="BF39" i="105" s="1"/>
  <c r="G39" i="105"/>
  <c r="C39" i="105"/>
  <c r="B39" i="105"/>
  <c r="BN38" i="105"/>
  <c r="BK38" i="105"/>
  <c r="BJ38" i="105"/>
  <c r="H38" i="105" s="1"/>
  <c r="BF38" i="105" s="1"/>
  <c r="BI38" i="105"/>
  <c r="BH38" i="105"/>
  <c r="G38" i="105" s="1"/>
  <c r="BG38" i="105"/>
  <c r="BE38" i="105"/>
  <c r="BD38" i="105"/>
  <c r="BC38" i="105"/>
  <c r="BB38" i="105"/>
  <c r="BA38" i="105"/>
  <c r="AZ38" i="105"/>
  <c r="AY38" i="105"/>
  <c r="AX38" i="105"/>
  <c r="AW38" i="105"/>
  <c r="AV38" i="105"/>
  <c r="AU38" i="105"/>
  <c r="AT38" i="105"/>
  <c r="AS38" i="105"/>
  <c r="AR38" i="105"/>
  <c r="AQ38" i="105"/>
  <c r="AP38" i="105"/>
  <c r="AO38" i="105"/>
  <c r="AL38" i="105"/>
  <c r="AK38" i="105"/>
  <c r="AM38" i="105" s="1"/>
  <c r="AJ38" i="105"/>
  <c r="AI38" i="105"/>
  <c r="AH38" i="105"/>
  <c r="AN38" i="105" s="1"/>
  <c r="AG38" i="105"/>
  <c r="I38" i="105"/>
  <c r="C38" i="105"/>
  <c r="B38" i="105"/>
  <c r="BN37" i="105"/>
  <c r="BL37" i="105"/>
  <c r="BK37" i="105"/>
  <c r="I37" i="105" s="1"/>
  <c r="BJ37" i="105"/>
  <c r="H37" i="105" s="1"/>
  <c r="BF37" i="105" s="1"/>
  <c r="BI37" i="105"/>
  <c r="BM37" i="105" s="1"/>
  <c r="BH37" i="105"/>
  <c r="G37" i="105" s="1"/>
  <c r="BG37" i="105"/>
  <c r="BE37" i="105"/>
  <c r="BD37" i="105"/>
  <c r="BC37" i="105"/>
  <c r="BB37" i="105"/>
  <c r="BA37" i="105"/>
  <c r="AZ37" i="105"/>
  <c r="AY37" i="105"/>
  <c r="AX37" i="105"/>
  <c r="AW37" i="105"/>
  <c r="AV37" i="105"/>
  <c r="AU37" i="105"/>
  <c r="AT37" i="105"/>
  <c r="AS37" i="105"/>
  <c r="AR37" i="105"/>
  <c r="AQ37" i="105"/>
  <c r="AP37" i="105"/>
  <c r="AO37" i="105"/>
  <c r="AN37" i="105"/>
  <c r="AL37" i="105"/>
  <c r="AJ37" i="105"/>
  <c r="AI37" i="105"/>
  <c r="AH37" i="105"/>
  <c r="AG37" i="105"/>
  <c r="C37" i="105"/>
  <c r="B37" i="105"/>
  <c r="BN36" i="105"/>
  <c r="BM36" i="105"/>
  <c r="BL36" i="105"/>
  <c r="BK36" i="105"/>
  <c r="BJ36" i="105"/>
  <c r="BI36" i="105"/>
  <c r="BH36" i="105"/>
  <c r="BG36" i="105"/>
  <c r="BE36" i="105"/>
  <c r="BD36" i="105"/>
  <c r="BC36" i="105"/>
  <c r="BB36" i="105"/>
  <c r="BA36" i="105"/>
  <c r="AZ36" i="105"/>
  <c r="AY36" i="105"/>
  <c r="AX36" i="105"/>
  <c r="AW36" i="105"/>
  <c r="AU36" i="105"/>
  <c r="AT36" i="105"/>
  <c r="AS36" i="105"/>
  <c r="AR36" i="105"/>
  <c r="AV36" i="105" s="1"/>
  <c r="AQ36" i="105"/>
  <c r="AP36" i="105"/>
  <c r="AO36" i="105"/>
  <c r="AN36" i="105"/>
  <c r="AM36" i="105"/>
  <c r="AL36" i="105"/>
  <c r="AK36" i="105"/>
  <c r="AJ36" i="105"/>
  <c r="AI36" i="105"/>
  <c r="AH36" i="105"/>
  <c r="AG36" i="105"/>
  <c r="I36" i="105"/>
  <c r="H36" i="105"/>
  <c r="BF36" i="105" s="1"/>
  <c r="G36" i="105"/>
  <c r="C36" i="105"/>
  <c r="B36" i="105"/>
  <c r="BN35" i="105"/>
  <c r="BK35" i="105"/>
  <c r="BJ35" i="105"/>
  <c r="BI35" i="105"/>
  <c r="BH35" i="105"/>
  <c r="G35" i="105" s="1"/>
  <c r="BG35" i="105"/>
  <c r="BF35" i="105"/>
  <c r="BE35" i="105"/>
  <c r="BD35" i="105"/>
  <c r="BC35" i="105"/>
  <c r="BB35" i="105"/>
  <c r="BA35" i="105"/>
  <c r="AZ35" i="105"/>
  <c r="AY35" i="105"/>
  <c r="AX35" i="105"/>
  <c r="AW35" i="105"/>
  <c r="AU35" i="105"/>
  <c r="AT35" i="105"/>
  <c r="AS35" i="105"/>
  <c r="AR35" i="105"/>
  <c r="AV35" i="105" s="1"/>
  <c r="AQ35" i="105"/>
  <c r="AP35" i="105"/>
  <c r="AO35" i="105"/>
  <c r="AL35" i="105"/>
  <c r="AK35" i="105"/>
  <c r="AM35" i="105" s="1"/>
  <c r="AJ35" i="105"/>
  <c r="AI35" i="105"/>
  <c r="AH35" i="105"/>
  <c r="AN35" i="105" s="1"/>
  <c r="AG35" i="105"/>
  <c r="I35" i="105"/>
  <c r="H35" i="105"/>
  <c r="C35" i="105"/>
  <c r="B35" i="105"/>
  <c r="BN34" i="105"/>
  <c r="BK34" i="105"/>
  <c r="I34" i="105" s="1"/>
  <c r="BJ34" i="105"/>
  <c r="H34" i="105" s="1"/>
  <c r="BF34" i="105" s="1"/>
  <c r="BI34" i="105"/>
  <c r="BH34" i="105"/>
  <c r="BG34" i="105"/>
  <c r="BE34" i="105"/>
  <c r="BD34" i="105"/>
  <c r="BC34" i="105"/>
  <c r="BB34" i="105"/>
  <c r="BA34" i="105"/>
  <c r="AZ34" i="105"/>
  <c r="AY34" i="105"/>
  <c r="AX34" i="105"/>
  <c r="AW34" i="105"/>
  <c r="AV34" i="105"/>
  <c r="AU34" i="105"/>
  <c r="AT34" i="105"/>
  <c r="AS34" i="105"/>
  <c r="AR34" i="105"/>
  <c r="AQ34" i="105"/>
  <c r="AP34" i="105"/>
  <c r="AO34" i="105"/>
  <c r="AL34" i="105"/>
  <c r="AK34" i="105"/>
  <c r="AM34" i="105" s="1"/>
  <c r="AJ34" i="105"/>
  <c r="AI34" i="105"/>
  <c r="AH34" i="105"/>
  <c r="AN34" i="105" s="1"/>
  <c r="AG34" i="105"/>
  <c r="C34" i="105"/>
  <c r="B34" i="105"/>
  <c r="BN33" i="105"/>
  <c r="BM33" i="105"/>
  <c r="BL33" i="105"/>
  <c r="BK33" i="105"/>
  <c r="I33" i="105" s="1"/>
  <c r="BJ33" i="105"/>
  <c r="H33" i="105" s="1"/>
  <c r="BF33" i="105" s="1"/>
  <c r="BI33" i="105"/>
  <c r="BH33" i="105"/>
  <c r="BG33" i="105"/>
  <c r="BE33" i="105"/>
  <c r="BD33" i="105"/>
  <c r="BC33" i="105"/>
  <c r="BB33" i="105"/>
  <c r="BA33" i="105"/>
  <c r="AZ33" i="105"/>
  <c r="AY33" i="105"/>
  <c r="AX33" i="105"/>
  <c r="AW33" i="105"/>
  <c r="AV33" i="105"/>
  <c r="AU33" i="105"/>
  <c r="AT33" i="105"/>
  <c r="AS33" i="105"/>
  <c r="AR33" i="105"/>
  <c r="AQ33" i="105"/>
  <c r="AP33" i="105"/>
  <c r="AO33" i="105"/>
  <c r="AN33" i="105"/>
  <c r="AM33" i="105"/>
  <c r="AL33" i="105"/>
  <c r="AK33" i="105"/>
  <c r="AJ33" i="105"/>
  <c r="AI33" i="105"/>
  <c r="AH33" i="105"/>
  <c r="AG33" i="105"/>
  <c r="G33" i="105"/>
  <c r="C33" i="105"/>
  <c r="B33" i="105"/>
  <c r="BN32" i="105"/>
  <c r="BM32" i="105"/>
  <c r="BL32" i="105"/>
  <c r="BK32" i="105"/>
  <c r="BJ32" i="105"/>
  <c r="BI32" i="105"/>
  <c r="BH32" i="105"/>
  <c r="BG32" i="105"/>
  <c r="BE32" i="105"/>
  <c r="BD32" i="105"/>
  <c r="BC32" i="105"/>
  <c r="BB32" i="105"/>
  <c r="BA32" i="105"/>
  <c r="AZ32" i="105"/>
  <c r="AY32" i="105"/>
  <c r="AX32" i="105"/>
  <c r="AW32" i="105"/>
  <c r="AU32" i="105"/>
  <c r="AT32" i="105"/>
  <c r="AS32" i="105"/>
  <c r="AR32" i="105"/>
  <c r="AV32" i="105" s="1"/>
  <c r="AQ32" i="105"/>
  <c r="AP32" i="105"/>
  <c r="AO32" i="105"/>
  <c r="AN32" i="105"/>
  <c r="AL32" i="105"/>
  <c r="AK32" i="105"/>
  <c r="AM32" i="105" s="1"/>
  <c r="AJ32" i="105"/>
  <c r="AI32" i="105"/>
  <c r="AH32" i="105"/>
  <c r="AG32" i="105"/>
  <c r="I32" i="105"/>
  <c r="H32" i="105"/>
  <c r="BF32" i="105" s="1"/>
  <c r="G32" i="105"/>
  <c r="C32" i="105"/>
  <c r="B32" i="105"/>
  <c r="BN31" i="105"/>
  <c r="BK31" i="105"/>
  <c r="BJ31" i="105"/>
  <c r="BI31" i="105"/>
  <c r="BH31" i="105"/>
  <c r="G31" i="105" s="1"/>
  <c r="BG31" i="105"/>
  <c r="BF31" i="105"/>
  <c r="BE31" i="105"/>
  <c r="BD31" i="105"/>
  <c r="BC31" i="105"/>
  <c r="BB31" i="105"/>
  <c r="BA31" i="105"/>
  <c r="AZ31" i="105"/>
  <c r="AY31" i="105"/>
  <c r="AX31" i="105"/>
  <c r="AW31" i="105"/>
  <c r="AU31" i="105"/>
  <c r="AT31" i="105"/>
  <c r="AS31" i="105"/>
  <c r="AR31" i="105"/>
  <c r="AV31" i="105" s="1"/>
  <c r="AQ31" i="105"/>
  <c r="AP31" i="105"/>
  <c r="AO31" i="105"/>
  <c r="AL31" i="105"/>
  <c r="AK31" i="105"/>
  <c r="AM31" i="105" s="1"/>
  <c r="AJ31" i="105"/>
  <c r="AI31" i="105"/>
  <c r="AH31" i="105"/>
  <c r="AN31" i="105" s="1"/>
  <c r="AG31" i="105"/>
  <c r="I31" i="105"/>
  <c r="H31" i="105"/>
  <c r="C31" i="105"/>
  <c r="B31" i="105"/>
  <c r="BU30" i="105"/>
  <c r="BT30" i="105"/>
  <c r="BS30" i="105"/>
  <c r="BR30" i="105"/>
  <c r="BQ30" i="105"/>
  <c r="BN30" i="105"/>
  <c r="BM30" i="105"/>
  <c r="BL30" i="105"/>
  <c r="BK30" i="105"/>
  <c r="BJ30" i="105"/>
  <c r="BI30" i="105"/>
  <c r="BH30" i="105"/>
  <c r="BG30" i="105"/>
  <c r="BE30" i="105"/>
  <c r="BD30" i="105"/>
  <c r="BC30" i="105"/>
  <c r="BB30" i="105"/>
  <c r="BA30" i="105"/>
  <c r="AZ30" i="105"/>
  <c r="AY30" i="105"/>
  <c r="AX30" i="105"/>
  <c r="AW30" i="105"/>
  <c r="AV30" i="105"/>
  <c r="AU30" i="105"/>
  <c r="AT30" i="105"/>
  <c r="AS30" i="105"/>
  <c r="AR30" i="105"/>
  <c r="AQ30" i="105"/>
  <c r="AP30" i="105"/>
  <c r="AO30" i="105"/>
  <c r="AN30" i="105"/>
  <c r="AM30" i="105"/>
  <c r="AL30" i="105"/>
  <c r="AK30" i="105"/>
  <c r="AJ30" i="105"/>
  <c r="AI30" i="105"/>
  <c r="AH30" i="105"/>
  <c r="AG30" i="105"/>
  <c r="I30" i="105"/>
  <c r="H30" i="105"/>
  <c r="BF30" i="105" s="1"/>
  <c r="G30" i="105"/>
  <c r="C30" i="105"/>
  <c r="B30" i="105"/>
  <c r="BU29" i="105"/>
  <c r="BT29" i="105"/>
  <c r="BS29" i="105"/>
  <c r="BR29" i="105"/>
  <c r="BQ29" i="105"/>
  <c r="BN29" i="105"/>
  <c r="BK29" i="105"/>
  <c r="I29" i="105" s="1"/>
  <c r="BJ29" i="105"/>
  <c r="H29" i="105" s="1"/>
  <c r="BF29" i="105" s="1"/>
  <c r="BI29" i="105"/>
  <c r="AK29" i="105" s="1"/>
  <c r="AM29" i="105" s="1"/>
  <c r="BH29" i="105"/>
  <c r="BG29" i="105"/>
  <c r="BE29" i="105"/>
  <c r="BD29" i="105"/>
  <c r="BC29" i="105"/>
  <c r="BB29" i="105"/>
  <c r="BA29" i="105"/>
  <c r="AZ29" i="105"/>
  <c r="AY29" i="105"/>
  <c r="AX29" i="105"/>
  <c r="AW29" i="105"/>
  <c r="AV29" i="105"/>
  <c r="AU29" i="105"/>
  <c r="AT29" i="105"/>
  <c r="AS29" i="105"/>
  <c r="AR29" i="105"/>
  <c r="AQ29" i="105"/>
  <c r="AP29" i="105"/>
  <c r="AO29" i="105"/>
  <c r="AN29" i="105"/>
  <c r="AL29" i="105"/>
  <c r="AJ29" i="105"/>
  <c r="AI29" i="105"/>
  <c r="AH29" i="105"/>
  <c r="AG29" i="105"/>
  <c r="C29" i="105"/>
  <c r="B29" i="105"/>
  <c r="BU28" i="105"/>
  <c r="BT28" i="105"/>
  <c r="BS28" i="105"/>
  <c r="BR28" i="105"/>
  <c r="BQ28" i="105"/>
  <c r="BN28" i="105"/>
  <c r="BK28" i="105"/>
  <c r="BJ28" i="105"/>
  <c r="BI28" i="105"/>
  <c r="BH28" i="105"/>
  <c r="G28" i="105" s="1"/>
  <c r="BG28" i="105"/>
  <c r="BF28" i="105"/>
  <c r="BE28" i="105"/>
  <c r="BD28" i="105"/>
  <c r="BC28" i="105"/>
  <c r="BB28" i="105"/>
  <c r="BA28" i="105"/>
  <c r="AZ28" i="105"/>
  <c r="AY28" i="105"/>
  <c r="AX28" i="105"/>
  <c r="AW28" i="105"/>
  <c r="AU28" i="105"/>
  <c r="AT28" i="105"/>
  <c r="AS28" i="105"/>
  <c r="AR28" i="105"/>
  <c r="AV28" i="105" s="1"/>
  <c r="AQ28" i="105"/>
  <c r="AP28" i="105"/>
  <c r="AO28" i="105"/>
  <c r="AL28" i="105"/>
  <c r="AK28" i="105"/>
  <c r="AM28" i="105" s="1"/>
  <c r="AJ28" i="105"/>
  <c r="AI28" i="105"/>
  <c r="AH28" i="105"/>
  <c r="AN28" i="105" s="1"/>
  <c r="AG28" i="105"/>
  <c r="I28" i="105"/>
  <c r="H28" i="105"/>
  <c r="C28" i="105"/>
  <c r="B28" i="105"/>
  <c r="BU27" i="105"/>
  <c r="BT27" i="105"/>
  <c r="BS27" i="105"/>
  <c r="BR27" i="105"/>
  <c r="BQ27" i="105"/>
  <c r="BN27" i="105"/>
  <c r="BM27" i="105"/>
  <c r="BL27" i="105"/>
  <c r="BK27" i="105"/>
  <c r="BJ27" i="105"/>
  <c r="BI27" i="105"/>
  <c r="BH27" i="105"/>
  <c r="BG27" i="105"/>
  <c r="BE27" i="105"/>
  <c r="BD27" i="105"/>
  <c r="BC27" i="105"/>
  <c r="BB27" i="105"/>
  <c r="BA27" i="105"/>
  <c r="AZ27" i="105"/>
  <c r="AY27" i="105"/>
  <c r="AX27" i="105"/>
  <c r="AW27" i="105"/>
  <c r="AU27" i="105"/>
  <c r="AT27" i="105"/>
  <c r="AS27" i="105"/>
  <c r="AR27" i="105"/>
  <c r="AV27" i="105" s="1"/>
  <c r="AQ27" i="105"/>
  <c r="AP27" i="105"/>
  <c r="AO27" i="105"/>
  <c r="AN27" i="105"/>
  <c r="AM27" i="105"/>
  <c r="AL27" i="105"/>
  <c r="AK27" i="105"/>
  <c r="AJ27" i="105"/>
  <c r="AI27" i="105"/>
  <c r="AH27" i="105"/>
  <c r="AG27" i="105"/>
  <c r="I27" i="105"/>
  <c r="H27" i="105"/>
  <c r="BF27" i="105" s="1"/>
  <c r="G27" i="105"/>
  <c r="C27" i="105"/>
  <c r="B27" i="105"/>
  <c r="BU26" i="105"/>
  <c r="BT26" i="105"/>
  <c r="BS26" i="105"/>
  <c r="BR26" i="105"/>
  <c r="BQ26" i="105"/>
  <c r="BN26" i="105"/>
  <c r="BK26" i="105"/>
  <c r="I26" i="105" s="1"/>
  <c r="BJ26" i="105"/>
  <c r="H26" i="105" s="1"/>
  <c r="BF26" i="105" s="1"/>
  <c r="BI26" i="105"/>
  <c r="BH26" i="105"/>
  <c r="BG26" i="105"/>
  <c r="BE26" i="105"/>
  <c r="BD26" i="105"/>
  <c r="BC26" i="105"/>
  <c r="BB26" i="105"/>
  <c r="BA26" i="105"/>
  <c r="AZ26" i="105"/>
  <c r="AY26" i="105"/>
  <c r="AX26" i="105"/>
  <c r="AW26" i="105"/>
  <c r="AV26" i="105"/>
  <c r="AU26" i="105"/>
  <c r="AT26" i="105"/>
  <c r="AS26" i="105"/>
  <c r="AR26" i="105"/>
  <c r="AQ26" i="105"/>
  <c r="AP26" i="105"/>
  <c r="AO26" i="105"/>
  <c r="AN26" i="105"/>
  <c r="AL26" i="105"/>
  <c r="AK26" i="105"/>
  <c r="AM26" i="105" s="1"/>
  <c r="AJ26" i="105"/>
  <c r="AI26" i="105"/>
  <c r="AH26" i="105"/>
  <c r="AG26" i="105"/>
  <c r="C26" i="105"/>
  <c r="B26" i="105"/>
  <c r="BU25" i="105"/>
  <c r="BT25" i="105"/>
  <c r="BS25" i="105"/>
  <c r="BR25" i="105"/>
  <c r="BQ25" i="105"/>
  <c r="BN25" i="105"/>
  <c r="BK25" i="105"/>
  <c r="BJ25" i="105"/>
  <c r="BI25" i="105"/>
  <c r="BH25" i="105"/>
  <c r="G25" i="105" s="1"/>
  <c r="BG25" i="105"/>
  <c r="BF25" i="105"/>
  <c r="BE25" i="105"/>
  <c r="BD25" i="105"/>
  <c r="BC25" i="105"/>
  <c r="BB25" i="105"/>
  <c r="BA25" i="105"/>
  <c r="AZ25" i="105"/>
  <c r="AY25" i="105"/>
  <c r="AX25" i="105"/>
  <c r="AW25" i="105"/>
  <c r="AU25" i="105"/>
  <c r="AT25" i="105"/>
  <c r="AS25" i="105"/>
  <c r="AR25" i="105"/>
  <c r="AV25" i="105" s="1"/>
  <c r="AQ25" i="105"/>
  <c r="AP25" i="105"/>
  <c r="AO25" i="105"/>
  <c r="AL25" i="105"/>
  <c r="AK25" i="105"/>
  <c r="AM25" i="105" s="1"/>
  <c r="AJ25" i="105"/>
  <c r="AI25" i="105"/>
  <c r="AH25" i="105"/>
  <c r="AN25" i="105" s="1"/>
  <c r="AG25" i="105"/>
  <c r="I25" i="105"/>
  <c r="H25" i="105"/>
  <c r="C25" i="105"/>
  <c r="B25" i="105"/>
  <c r="BU24" i="105"/>
  <c r="BT24" i="105"/>
  <c r="BS24" i="105"/>
  <c r="BR24" i="105"/>
  <c r="BQ24" i="105"/>
  <c r="BN24" i="105"/>
  <c r="BM24" i="105"/>
  <c r="BL24" i="105"/>
  <c r="BK24" i="105"/>
  <c r="BJ24" i="105"/>
  <c r="BI24" i="105"/>
  <c r="BH24" i="105"/>
  <c r="BG24" i="105"/>
  <c r="BE24" i="105"/>
  <c r="BD24" i="105"/>
  <c r="BC24" i="105"/>
  <c r="BB24" i="105"/>
  <c r="BA24" i="105"/>
  <c r="AZ24" i="105"/>
  <c r="AY24" i="105"/>
  <c r="AX24" i="105"/>
  <c r="AW24" i="105"/>
  <c r="AU24" i="105"/>
  <c r="AT24" i="105"/>
  <c r="AS24" i="105"/>
  <c r="AR24" i="105"/>
  <c r="AV24" i="105" s="1"/>
  <c r="AQ24" i="105"/>
  <c r="AP24" i="105"/>
  <c r="AO24" i="105"/>
  <c r="AN24" i="105"/>
  <c r="AM24" i="105"/>
  <c r="AL24" i="105"/>
  <c r="AK24" i="105"/>
  <c r="AJ24" i="105"/>
  <c r="AI24" i="105"/>
  <c r="AH24" i="105"/>
  <c r="AG24" i="105"/>
  <c r="I24" i="105"/>
  <c r="H24" i="105"/>
  <c r="BF24" i="105" s="1"/>
  <c r="G24" i="105"/>
  <c r="C24" i="105"/>
  <c r="B24" i="105"/>
  <c r="BU23" i="105"/>
  <c r="BT23" i="105"/>
  <c r="BS23" i="105"/>
  <c r="BR23" i="105"/>
  <c r="BQ23" i="105"/>
  <c r="BN23" i="105"/>
  <c r="BK23" i="105"/>
  <c r="I23" i="105" s="1"/>
  <c r="BJ23" i="105"/>
  <c r="H23" i="105" s="1"/>
  <c r="BF23" i="105" s="1"/>
  <c r="BI23" i="105"/>
  <c r="BH23" i="105"/>
  <c r="BG23" i="105"/>
  <c r="BE23" i="105"/>
  <c r="BD23" i="105"/>
  <c r="BC23" i="105"/>
  <c r="BB23" i="105"/>
  <c r="BA23" i="105"/>
  <c r="AZ23" i="105"/>
  <c r="AY23" i="105"/>
  <c r="AX23" i="105"/>
  <c r="AW23" i="105"/>
  <c r="AV23" i="105"/>
  <c r="AU23" i="105"/>
  <c r="AT23" i="105"/>
  <c r="AS23" i="105"/>
  <c r="AR23" i="105"/>
  <c r="AQ23" i="105"/>
  <c r="AP23" i="105"/>
  <c r="AO23" i="105"/>
  <c r="AN23" i="105"/>
  <c r="AL23" i="105"/>
  <c r="AK23" i="105"/>
  <c r="AM23" i="105" s="1"/>
  <c r="AJ23" i="105"/>
  <c r="AI23" i="105"/>
  <c r="AH23" i="105"/>
  <c r="AG23" i="105"/>
  <c r="C23" i="105"/>
  <c r="B23" i="105"/>
  <c r="BU22" i="105"/>
  <c r="BT22" i="105"/>
  <c r="BS22" i="105"/>
  <c r="BR22" i="105"/>
  <c r="BQ22" i="105"/>
  <c r="BN22" i="105"/>
  <c r="BK22" i="105"/>
  <c r="BJ22" i="105"/>
  <c r="BI22" i="105"/>
  <c r="BH22" i="105"/>
  <c r="G22" i="105" s="1"/>
  <c r="BG22" i="105"/>
  <c r="BF22" i="105"/>
  <c r="BE22" i="105"/>
  <c r="BD22" i="105"/>
  <c r="BC22" i="105"/>
  <c r="BB22" i="105"/>
  <c r="BA22" i="105"/>
  <c r="AZ22" i="105"/>
  <c r="AY22" i="105"/>
  <c r="AX22" i="105"/>
  <c r="AW22" i="105"/>
  <c r="AU22" i="105"/>
  <c r="AT22" i="105"/>
  <c r="AS22" i="105"/>
  <c r="AR22" i="105"/>
  <c r="AV22" i="105" s="1"/>
  <c r="AQ22" i="105"/>
  <c r="AP22" i="105"/>
  <c r="AO22" i="105"/>
  <c r="AL22" i="105"/>
  <c r="AK22" i="105"/>
  <c r="AM22" i="105" s="1"/>
  <c r="AJ22" i="105"/>
  <c r="AI22" i="105"/>
  <c r="AH22" i="105"/>
  <c r="AN22" i="105" s="1"/>
  <c r="AG22" i="105"/>
  <c r="I22" i="105"/>
  <c r="H22" i="105"/>
  <c r="C22" i="105"/>
  <c r="B22" i="105"/>
  <c r="BN21" i="105"/>
  <c r="BK21" i="105"/>
  <c r="I21" i="105" s="1"/>
  <c r="BJ21" i="105"/>
  <c r="H21" i="105" s="1"/>
  <c r="BF21" i="105" s="1"/>
  <c r="BI21" i="105"/>
  <c r="BH21" i="105"/>
  <c r="BG21" i="105"/>
  <c r="BE21" i="105"/>
  <c r="BD21" i="105"/>
  <c r="BC21" i="105"/>
  <c r="BB21" i="105"/>
  <c r="BA21" i="105"/>
  <c r="AZ21" i="105"/>
  <c r="AY21" i="105"/>
  <c r="AX21" i="105"/>
  <c r="AW21" i="105"/>
  <c r="AV21" i="105"/>
  <c r="AU21" i="105"/>
  <c r="AT21" i="105"/>
  <c r="AS21" i="105"/>
  <c r="AR21" i="105"/>
  <c r="AQ21" i="105"/>
  <c r="AP21" i="105"/>
  <c r="AO21" i="105"/>
  <c r="AL21" i="105"/>
  <c r="AK21" i="105"/>
  <c r="AM21" i="105" s="1"/>
  <c r="AJ21" i="105"/>
  <c r="AI21" i="105"/>
  <c r="AH21" i="105"/>
  <c r="AN21" i="105" s="1"/>
  <c r="AG21" i="105"/>
  <c r="C21" i="105"/>
  <c r="B21" i="105"/>
  <c r="BN20" i="105"/>
  <c r="BM20" i="105"/>
  <c r="BL20" i="105"/>
  <c r="BK20" i="105"/>
  <c r="I20" i="105" s="1"/>
  <c r="BJ20" i="105"/>
  <c r="H20" i="105" s="1"/>
  <c r="BF20" i="105" s="1"/>
  <c r="BI20" i="105"/>
  <c r="BH20" i="105"/>
  <c r="BG20" i="105"/>
  <c r="BE20" i="105"/>
  <c r="BD20" i="105"/>
  <c r="BC20" i="105"/>
  <c r="BB20" i="105"/>
  <c r="BA20" i="105"/>
  <c r="AZ20" i="105"/>
  <c r="AY20" i="105"/>
  <c r="AX20" i="105"/>
  <c r="AW20" i="105"/>
  <c r="AV20" i="105"/>
  <c r="AU20" i="105"/>
  <c r="AT20" i="105"/>
  <c r="AS20" i="105"/>
  <c r="AR20" i="105"/>
  <c r="AQ20" i="105"/>
  <c r="AP20" i="105"/>
  <c r="AO20" i="105"/>
  <c r="AN20" i="105"/>
  <c r="AM20" i="105"/>
  <c r="AL20" i="105"/>
  <c r="AK20" i="105"/>
  <c r="AJ20" i="105"/>
  <c r="AI20" i="105"/>
  <c r="AH20" i="105"/>
  <c r="AG20" i="105"/>
  <c r="G20" i="105"/>
  <c r="C20" i="105"/>
  <c r="B20" i="105"/>
  <c r="BN19" i="105"/>
  <c r="BM19" i="105"/>
  <c r="BL19" i="105"/>
  <c r="BK19" i="105"/>
  <c r="BJ19" i="105"/>
  <c r="BI19" i="105"/>
  <c r="BH19" i="105"/>
  <c r="BG19" i="105"/>
  <c r="BE19" i="105"/>
  <c r="BD19" i="105"/>
  <c r="BC19" i="105"/>
  <c r="BB19" i="105"/>
  <c r="BA19" i="105"/>
  <c r="AZ19" i="105"/>
  <c r="AY19" i="105"/>
  <c r="AX19" i="105"/>
  <c r="AW19" i="105"/>
  <c r="AU19" i="105"/>
  <c r="AT19" i="105"/>
  <c r="AS19" i="105"/>
  <c r="AR19" i="105"/>
  <c r="AV19" i="105" s="1"/>
  <c r="AQ19" i="105"/>
  <c r="AP19" i="105"/>
  <c r="AO19" i="105"/>
  <c r="AN19" i="105"/>
  <c r="AL19" i="105"/>
  <c r="AK19" i="105"/>
  <c r="AM19" i="105" s="1"/>
  <c r="AJ19" i="105"/>
  <c r="AI19" i="105"/>
  <c r="AH19" i="105"/>
  <c r="AG19" i="105"/>
  <c r="I19" i="105"/>
  <c r="H19" i="105"/>
  <c r="BF19" i="105" s="1"/>
  <c r="G19" i="105"/>
  <c r="C19" i="105"/>
  <c r="B19" i="105"/>
  <c r="BN18" i="105"/>
  <c r="BK18" i="105"/>
  <c r="BJ18" i="105"/>
  <c r="BI18" i="105"/>
  <c r="BH18" i="105"/>
  <c r="G18" i="105" s="1"/>
  <c r="BG18" i="105"/>
  <c r="BF18" i="105"/>
  <c r="BE18" i="105"/>
  <c r="BD18" i="105"/>
  <c r="BC18" i="105"/>
  <c r="BB18" i="105"/>
  <c r="BA18" i="105"/>
  <c r="AZ18" i="105"/>
  <c r="AY18" i="105"/>
  <c r="AX18" i="105"/>
  <c r="AW18" i="105"/>
  <c r="AU18" i="105"/>
  <c r="AT18" i="105"/>
  <c r="AS18" i="105"/>
  <c r="AR18" i="105"/>
  <c r="AV18" i="105" s="1"/>
  <c r="AQ18" i="105"/>
  <c r="AP18" i="105"/>
  <c r="AO18" i="105"/>
  <c r="AL18" i="105"/>
  <c r="AK18" i="105"/>
  <c r="AM18" i="105" s="1"/>
  <c r="AJ18" i="105"/>
  <c r="AI18" i="105"/>
  <c r="AH18" i="105"/>
  <c r="AN18" i="105" s="1"/>
  <c r="AG18" i="105"/>
  <c r="I18" i="105"/>
  <c r="H18" i="105"/>
  <c r="C18" i="105"/>
  <c r="B18" i="105"/>
  <c r="BN17" i="105"/>
  <c r="BK17" i="105"/>
  <c r="I17" i="105" s="1"/>
  <c r="BJ17" i="105"/>
  <c r="H17" i="105" s="1"/>
  <c r="BF17" i="105" s="1"/>
  <c r="BI17" i="105"/>
  <c r="BH17" i="105"/>
  <c r="BG17" i="105"/>
  <c r="BE17" i="105"/>
  <c r="BD17" i="105"/>
  <c r="BC17" i="105"/>
  <c r="BB17" i="105"/>
  <c r="BA17" i="105"/>
  <c r="AZ17" i="105"/>
  <c r="AY17" i="105"/>
  <c r="AX17" i="105"/>
  <c r="AW17" i="105"/>
  <c r="AV17" i="105"/>
  <c r="AU17" i="105"/>
  <c r="AT17" i="105"/>
  <c r="AS17" i="105"/>
  <c r="AR17" i="105"/>
  <c r="AQ17" i="105"/>
  <c r="AP17" i="105"/>
  <c r="AO17" i="105"/>
  <c r="AL17" i="105"/>
  <c r="AK17" i="105"/>
  <c r="AM17" i="105" s="1"/>
  <c r="AJ17" i="105"/>
  <c r="AI17" i="105"/>
  <c r="AH17" i="105"/>
  <c r="AN17" i="105" s="1"/>
  <c r="AG17" i="105"/>
  <c r="C17" i="105"/>
  <c r="B17" i="105"/>
  <c r="BN16" i="105"/>
  <c r="BM16" i="105"/>
  <c r="BL16" i="105"/>
  <c r="BK16" i="105"/>
  <c r="I16" i="105" s="1"/>
  <c r="BJ16" i="105"/>
  <c r="H16" i="105" s="1"/>
  <c r="BF16" i="105" s="1"/>
  <c r="BI16" i="105"/>
  <c r="BH16" i="105"/>
  <c r="BG16" i="105"/>
  <c r="BE16" i="105"/>
  <c r="BD16" i="105"/>
  <c r="BC16" i="105"/>
  <c r="BB16" i="105"/>
  <c r="BA16" i="105"/>
  <c r="AZ16" i="105"/>
  <c r="AY16" i="105"/>
  <c r="AX16" i="105"/>
  <c r="AW16" i="105"/>
  <c r="AV16" i="105"/>
  <c r="AU16" i="105"/>
  <c r="AT16" i="105"/>
  <c r="AS16" i="105"/>
  <c r="AR16" i="105"/>
  <c r="AQ16" i="105"/>
  <c r="AP16" i="105"/>
  <c r="AO16" i="105"/>
  <c r="AN16" i="105"/>
  <c r="AM16" i="105"/>
  <c r="AL16" i="105"/>
  <c r="AK16" i="105"/>
  <c r="AJ16" i="105"/>
  <c r="AI16" i="105"/>
  <c r="AH16" i="105"/>
  <c r="AG16" i="105"/>
  <c r="G16" i="105"/>
  <c r="C16" i="105"/>
  <c r="B16" i="105"/>
  <c r="BN15" i="105"/>
  <c r="BM15" i="105"/>
  <c r="BL15" i="105"/>
  <c r="BK15" i="105"/>
  <c r="BJ15" i="105"/>
  <c r="BI15" i="105"/>
  <c r="BH15" i="105"/>
  <c r="BG15" i="105"/>
  <c r="BE15" i="105"/>
  <c r="BD15" i="105"/>
  <c r="BC15" i="105"/>
  <c r="BB15" i="105"/>
  <c r="BA15" i="105"/>
  <c r="AZ15" i="105"/>
  <c r="AY15" i="105"/>
  <c r="AX15" i="105"/>
  <c r="AW15" i="105"/>
  <c r="AU15" i="105"/>
  <c r="AT15" i="105"/>
  <c r="AS15" i="105"/>
  <c r="AR15" i="105"/>
  <c r="AV15" i="105" s="1"/>
  <c r="AQ15" i="105"/>
  <c r="AP15" i="105"/>
  <c r="AO15" i="105"/>
  <c r="AN15" i="105"/>
  <c r="AL15" i="105"/>
  <c r="AK15" i="105"/>
  <c r="AM15" i="105" s="1"/>
  <c r="AJ15" i="105"/>
  <c r="AI15" i="105"/>
  <c r="AH15" i="105"/>
  <c r="AG15" i="105"/>
  <c r="I15" i="105"/>
  <c r="H15" i="105"/>
  <c r="BF15" i="105" s="1"/>
  <c r="G15" i="105"/>
  <c r="C15" i="105"/>
  <c r="B15" i="105"/>
  <c r="BH14" i="105"/>
  <c r="BE14" i="105"/>
  <c r="BD14" i="105"/>
  <c r="BC14" i="105"/>
  <c r="AU14" i="105"/>
  <c r="AS14" i="105"/>
  <c r="AQ14" i="105"/>
  <c r="AO14" i="105"/>
  <c r="AL14" i="105"/>
  <c r="AH14" i="105"/>
  <c r="AN14" i="105" s="1"/>
  <c r="AG14" i="105"/>
  <c r="BH13" i="105"/>
  <c r="BE13" i="105"/>
  <c r="BD13" i="105"/>
  <c r="BC13" i="105"/>
  <c r="AU13" i="105"/>
  <c r="AS13" i="105"/>
  <c r="AQ13" i="105"/>
  <c r="AO13" i="105"/>
  <c r="AL13" i="105"/>
  <c r="AI13" i="105"/>
  <c r="C13" i="105" s="1"/>
  <c r="AH13" i="105"/>
  <c r="AN13" i="105" s="1"/>
  <c r="AG13" i="105"/>
  <c r="BL12" i="105"/>
  <c r="BK12" i="105"/>
  <c r="I12" i="105" s="1"/>
  <c r="BH12" i="105"/>
  <c r="BE12" i="105"/>
  <c r="BD12" i="105"/>
  <c r="BC12" i="105"/>
  <c r="BA12" i="105"/>
  <c r="AY12" i="105"/>
  <c r="AU12" i="105"/>
  <c r="AS12" i="105"/>
  <c r="AQ12" i="105"/>
  <c r="AI12" i="105" s="1"/>
  <c r="C12" i="105" s="1"/>
  <c r="AO12" i="105"/>
  <c r="AL12" i="105"/>
  <c r="AN12" i="105" s="1"/>
  <c r="AH12" i="105"/>
  <c r="AG12" i="105"/>
  <c r="G12" i="105"/>
  <c r="BI12" i="105" s="1"/>
  <c r="BL11" i="105"/>
  <c r="BH11" i="105"/>
  <c r="BE11" i="105"/>
  <c r="BD11" i="105"/>
  <c r="BC11" i="105"/>
  <c r="BA11" i="105"/>
  <c r="AU11" i="105"/>
  <c r="AS11" i="105"/>
  <c r="AQ11" i="105"/>
  <c r="AO11" i="105"/>
  <c r="AN11" i="105"/>
  <c r="AL11" i="105"/>
  <c r="AH11" i="105"/>
  <c r="AG11" i="105"/>
  <c r="G11" i="105"/>
  <c r="BH10" i="105"/>
  <c r="BE10" i="105"/>
  <c r="BD10" i="105"/>
  <c r="BC10" i="105"/>
  <c r="AU10" i="105"/>
  <c r="AU42" i="105" s="1"/>
  <c r="Q6" i="105" s="1"/>
  <c r="AS10" i="105"/>
  <c r="AQ10" i="105"/>
  <c r="AO10" i="105"/>
  <c r="AL10" i="105"/>
  <c r="AH10" i="105"/>
  <c r="AN10" i="105" s="1"/>
  <c r="AG10" i="105"/>
  <c r="B10" i="105"/>
  <c r="B11" i="105" s="1"/>
  <c r="B12" i="105" s="1"/>
  <c r="BH9" i="105"/>
  <c r="BE9" i="105"/>
  <c r="BD9" i="105"/>
  <c r="BC9" i="105"/>
  <c r="AU9" i="105"/>
  <c r="AV44" i="105" s="1"/>
  <c r="AV45" i="105" s="1"/>
  <c r="AS9" i="105"/>
  <c r="AQ9" i="105"/>
  <c r="AO9" i="105"/>
  <c r="AL9" i="105"/>
  <c r="AJ9" i="105"/>
  <c r="AI9" i="105"/>
  <c r="C9" i="105" s="1"/>
  <c r="AH9" i="105"/>
  <c r="AN9" i="105" s="1"/>
  <c r="AG9" i="105"/>
  <c r="B9" i="105"/>
  <c r="AV7" i="105"/>
  <c r="BE5" i="105" l="1"/>
  <c r="AI11" i="105"/>
  <c r="C11" i="105" s="1"/>
  <c r="AQ42" i="105"/>
  <c r="AK12" i="105"/>
  <c r="AZ12" i="105"/>
  <c r="BM12" i="105"/>
  <c r="BN12" i="105"/>
  <c r="BL26" i="105"/>
  <c r="G26" i="105"/>
  <c r="BM26" i="105"/>
  <c r="AJ10" i="105"/>
  <c r="AJ11" i="105" s="1"/>
  <c r="AJ12" i="105" s="1"/>
  <c r="AJ13" i="105" s="1"/>
  <c r="AJ14" i="105" s="1"/>
  <c r="BD5" i="105"/>
  <c r="AS42" i="105"/>
  <c r="AT42" i="105" s="1"/>
  <c r="G17" i="105"/>
  <c r="BM17" i="105"/>
  <c r="BL17" i="105"/>
  <c r="G34" i="105"/>
  <c r="BM34" i="105"/>
  <c r="BL34" i="105"/>
  <c r="AN7" i="105"/>
  <c r="AN42" i="105"/>
  <c r="G9" i="105"/>
  <c r="BL9" i="105"/>
  <c r="G13" i="105"/>
  <c r="BL13" i="105"/>
  <c r="G29" i="105"/>
  <c r="BM29" i="105"/>
  <c r="BL29" i="105"/>
  <c r="AK37" i="105"/>
  <c r="AM37" i="105" s="1"/>
  <c r="G23" i="105"/>
  <c r="BL23" i="105"/>
  <c r="BM23" i="105"/>
  <c r="AI14" i="105"/>
  <c r="C14" i="105" s="1"/>
  <c r="BK11" i="105"/>
  <c r="I11" i="105" s="1"/>
  <c r="AY11" i="105"/>
  <c r="BI11" i="105"/>
  <c r="AW11" i="105"/>
  <c r="BB11" i="105"/>
  <c r="BJ12" i="105"/>
  <c r="H12" i="105" s="1"/>
  <c r="BF12" i="105" s="1"/>
  <c r="AV42" i="105"/>
  <c r="AV46" i="105" s="1"/>
  <c r="E42" i="105"/>
  <c r="BC5" i="105"/>
  <c r="G21" i="105"/>
  <c r="BM21" i="105"/>
  <c r="BL21" i="105"/>
  <c r="AI10" i="105"/>
  <c r="C10" i="105" s="1"/>
  <c r="B13" i="105"/>
  <c r="BB12" i="105"/>
  <c r="BL38" i="105"/>
  <c r="BM38" i="105"/>
  <c r="BL10" i="105"/>
  <c r="BL14" i="105"/>
  <c r="BL18" i="105"/>
  <c r="BL22" i="105"/>
  <c r="BL25" i="105"/>
  <c r="BL28" i="105"/>
  <c r="BL31" i="105"/>
  <c r="BL35" i="105"/>
  <c r="BM18" i="105"/>
  <c r="BM22" i="105"/>
  <c r="BM25" i="105"/>
  <c r="BM28" i="105"/>
  <c r="BM31" i="105"/>
  <c r="BM35" i="105"/>
  <c r="G10" i="105"/>
  <c r="G14" i="105"/>
  <c r="AW12" i="105"/>
  <c r="BI13" i="105" l="1"/>
  <c r="AW13" i="105"/>
  <c r="BB13" i="105"/>
  <c r="BA13" i="105"/>
  <c r="AY13" i="105"/>
  <c r="AZ13" i="105"/>
  <c r="BK13" i="105"/>
  <c r="I13" i="105" s="1"/>
  <c r="AT12" i="105"/>
  <c r="AR12" i="105"/>
  <c r="AV12" i="105" s="1"/>
  <c r="AM12" i="105"/>
  <c r="AX12" i="105"/>
  <c r="BJ11" i="105"/>
  <c r="H11" i="105" s="1"/>
  <c r="AK11" i="105"/>
  <c r="BM11" i="105"/>
  <c r="BN11" i="105"/>
  <c r="BB14" i="105"/>
  <c r="BA14" i="105"/>
  <c r="AZ14" i="105"/>
  <c r="BK14" i="105"/>
  <c r="I14" i="105" s="1"/>
  <c r="AY14" i="105"/>
  <c r="BI14" i="105"/>
  <c r="AW14" i="105"/>
  <c r="AZ11" i="105"/>
  <c r="B14" i="105"/>
  <c r="AZ10" i="105"/>
  <c r="BB10" i="105"/>
  <c r="BA10" i="105"/>
  <c r="BK10" i="105"/>
  <c r="I10" i="105" s="1"/>
  <c r="AY10" i="105"/>
  <c r="BI10" i="105"/>
  <c r="AW10" i="105"/>
  <c r="BB9" i="105"/>
  <c r="AY9" i="105"/>
  <c r="BA9" i="105"/>
  <c r="BK9" i="105"/>
  <c r="I9" i="105" s="1"/>
  <c r="AW9" i="105"/>
  <c r="BI9" i="105"/>
  <c r="AZ9" i="105" s="1"/>
  <c r="AI44" i="105"/>
  <c r="AP12" i="105"/>
  <c r="BG12" i="105" s="1"/>
  <c r="AZ5" i="105" l="1"/>
  <c r="BB5" i="105"/>
  <c r="BF11" i="105"/>
  <c r="AP11" i="105"/>
  <c r="BG11" i="105" s="1"/>
  <c r="BJ13" i="105"/>
  <c r="H13" i="105" s="1"/>
  <c r="AK13" i="105"/>
  <c r="BN13" i="105"/>
  <c r="BM13" i="105"/>
  <c r="BJ14" i="105"/>
  <c r="H14" i="105" s="1"/>
  <c r="BF14" i="105" s="1"/>
  <c r="AK14" i="105"/>
  <c r="BM14" i="105"/>
  <c r="BN14" i="105"/>
  <c r="BJ10" i="105"/>
  <c r="H10" i="105" s="1"/>
  <c r="AK10" i="105"/>
  <c r="BN10" i="105"/>
  <c r="BM10" i="105"/>
  <c r="AP14" i="105"/>
  <c r="BA5" i="105"/>
  <c r="AY5" i="105"/>
  <c r="AR11" i="105"/>
  <c r="AV11" i="105" s="1"/>
  <c r="AM11" i="105"/>
  <c r="AT11" i="105"/>
  <c r="AX11" i="105"/>
  <c r="BJ9" i="105"/>
  <c r="H9" i="105" s="1"/>
  <c r="AK9" i="105"/>
  <c r="BN9" i="105"/>
  <c r="BM9" i="105"/>
  <c r="AT13" i="105" l="1"/>
  <c r="AR13" i="105"/>
  <c r="AV13" i="105" s="1"/>
  <c r="AM13" i="105"/>
  <c r="AX13" i="105"/>
  <c r="BF13" i="105"/>
  <c r="AP13" i="105"/>
  <c r="AM14" i="105"/>
  <c r="AT14" i="105"/>
  <c r="AR14" i="105"/>
  <c r="AV14" i="105" s="1"/>
  <c r="AX14" i="105"/>
  <c r="BG14" i="105" s="1"/>
  <c r="H42" i="105"/>
  <c r="BF9" i="105"/>
  <c r="AP9" i="105"/>
  <c r="AM10" i="105"/>
  <c r="AR10" i="105"/>
  <c r="AV10" i="105" s="1"/>
  <c r="AT10" i="105"/>
  <c r="AX10" i="105"/>
  <c r="BG10" i="105" s="1"/>
  <c r="AT9" i="105"/>
  <c r="AR9" i="105"/>
  <c r="AM9" i="105"/>
  <c r="AX9" i="105"/>
  <c r="BF10" i="105"/>
  <c r="AP10" i="105"/>
  <c r="BG9" i="105" l="1"/>
  <c r="AV9" i="105"/>
  <c r="AR42" i="105"/>
  <c r="AR46" i="105" s="1"/>
  <c r="BG13" i="105"/>
  <c r="AM7" i="105"/>
  <c r="J42" i="105" s="1"/>
  <c r="AM42" i="105"/>
  <c r="F42" i="105" l="1"/>
  <c r="U48" i="105" s="1"/>
  <c r="U50" i="105" s="1"/>
  <c r="Q7" i="105"/>
  <c r="AW5" i="105"/>
  <c r="AX5" i="105"/>
  <c r="U46" i="105" s="1"/>
  <c r="U45" i="105"/>
  <c r="AR47" i="105"/>
  <c r="B42" i="105" s="1"/>
  <c r="BO40" i="105" l="1"/>
  <c r="Q41" i="105"/>
  <c r="Q42" i="105"/>
  <c r="O42" i="105"/>
  <c r="BO35" i="105"/>
  <c r="O41" i="105"/>
  <c r="U49" i="104" l="1"/>
  <c r="AT45" i="104"/>
  <c r="AR45" i="104"/>
  <c r="AI13" i="104" s="1"/>
  <c r="C13" i="104" s="1"/>
  <c r="BE44" i="104"/>
  <c r="AT44" i="104"/>
  <c r="BN40" i="104"/>
  <c r="BM40" i="104"/>
  <c r="BL40" i="104"/>
  <c r="BK40" i="104"/>
  <c r="BJ40" i="104"/>
  <c r="BI40" i="104"/>
  <c r="AK40" i="104" s="1"/>
  <c r="AM40" i="104" s="1"/>
  <c r="BH40" i="104"/>
  <c r="BG40" i="104"/>
  <c r="BE40" i="104"/>
  <c r="BD40" i="104"/>
  <c r="BC40" i="104"/>
  <c r="BB40" i="104"/>
  <c r="BA40" i="104"/>
  <c r="AZ40" i="104"/>
  <c r="AY40" i="104"/>
  <c r="AX40" i="104"/>
  <c r="AW40" i="104"/>
  <c r="AU40" i="104"/>
  <c r="AT40" i="104"/>
  <c r="AS40" i="104"/>
  <c r="AR40" i="104"/>
  <c r="AV40" i="104" s="1"/>
  <c r="AQ40" i="104"/>
  <c r="AP40" i="104"/>
  <c r="AO40" i="104"/>
  <c r="AN40" i="104"/>
  <c r="AL40" i="104"/>
  <c r="AJ40" i="104"/>
  <c r="AI40" i="104"/>
  <c r="AH40" i="104"/>
  <c r="AG40" i="104"/>
  <c r="I40" i="104"/>
  <c r="H40" i="104"/>
  <c r="BF40" i="104" s="1"/>
  <c r="G40" i="104"/>
  <c r="C40" i="104"/>
  <c r="B40" i="104"/>
  <c r="BN39" i="104"/>
  <c r="BK39" i="104"/>
  <c r="I39" i="104" s="1"/>
  <c r="BJ39" i="104"/>
  <c r="BI39" i="104"/>
  <c r="AK39" i="104" s="1"/>
  <c r="AM39" i="104" s="1"/>
  <c r="BH39" i="104"/>
  <c r="BG39" i="104"/>
  <c r="BE39" i="104"/>
  <c r="BD39" i="104"/>
  <c r="BC39" i="104"/>
  <c r="BB39" i="104"/>
  <c r="BA39" i="104"/>
  <c r="AZ39" i="104"/>
  <c r="AY39" i="104"/>
  <c r="AX39" i="104"/>
  <c r="AW39" i="104"/>
  <c r="AU39" i="104"/>
  <c r="AT39" i="104"/>
  <c r="AS39" i="104"/>
  <c r="AR39" i="104"/>
  <c r="AV39" i="104" s="1"/>
  <c r="AQ39" i="104"/>
  <c r="AP39" i="104"/>
  <c r="AO39" i="104"/>
  <c r="AL39" i="104"/>
  <c r="AJ39" i="104"/>
  <c r="AI39" i="104"/>
  <c r="AH39" i="104"/>
  <c r="AN39" i="104" s="1"/>
  <c r="AG39" i="104"/>
  <c r="H39" i="104"/>
  <c r="BF39" i="104" s="1"/>
  <c r="C39" i="104"/>
  <c r="B39" i="104"/>
  <c r="BN38" i="104"/>
  <c r="BK38" i="104"/>
  <c r="I38" i="104" s="1"/>
  <c r="BJ38" i="104"/>
  <c r="H38" i="104" s="1"/>
  <c r="BF38" i="104" s="1"/>
  <c r="BI38" i="104"/>
  <c r="AK38" i="104" s="1"/>
  <c r="AM38" i="104" s="1"/>
  <c r="BH38" i="104"/>
  <c r="BL38" i="104" s="1"/>
  <c r="BG38" i="104"/>
  <c r="BE38" i="104"/>
  <c r="BD38" i="104"/>
  <c r="BC38" i="104"/>
  <c r="BB38" i="104"/>
  <c r="BA38" i="104"/>
  <c r="AZ38" i="104"/>
  <c r="AY38" i="104"/>
  <c r="AX38" i="104"/>
  <c r="AW38" i="104"/>
  <c r="AV38" i="104"/>
  <c r="AU38" i="104"/>
  <c r="AT38" i="104"/>
  <c r="AS38" i="104"/>
  <c r="AR38" i="104"/>
  <c r="AQ38" i="104"/>
  <c r="AP38" i="104"/>
  <c r="AO38" i="104"/>
  <c r="AL38" i="104"/>
  <c r="AJ38" i="104"/>
  <c r="AI38" i="104"/>
  <c r="AH38" i="104"/>
  <c r="AN38" i="104" s="1"/>
  <c r="AG38" i="104"/>
  <c r="C38" i="104"/>
  <c r="B38" i="104"/>
  <c r="BN37" i="104"/>
  <c r="BL37" i="104"/>
  <c r="BK37" i="104"/>
  <c r="I37" i="104" s="1"/>
  <c r="BJ37" i="104"/>
  <c r="H37" i="104" s="1"/>
  <c r="BF37" i="104" s="1"/>
  <c r="BI37" i="104"/>
  <c r="BM37" i="104" s="1"/>
  <c r="BH37" i="104"/>
  <c r="BG37" i="104"/>
  <c r="BE37" i="104"/>
  <c r="BD37" i="104"/>
  <c r="BC37" i="104"/>
  <c r="BB37" i="104"/>
  <c r="BA37" i="104"/>
  <c r="AZ37" i="104"/>
  <c r="AY37" i="104"/>
  <c r="AX37" i="104"/>
  <c r="AW37" i="104"/>
  <c r="AU37" i="104"/>
  <c r="AT37" i="104"/>
  <c r="AS37" i="104"/>
  <c r="AR37" i="104"/>
  <c r="AV37" i="104" s="1"/>
  <c r="AQ37" i="104"/>
  <c r="AP37" i="104"/>
  <c r="AO37" i="104"/>
  <c r="AL37" i="104"/>
  <c r="AJ37" i="104"/>
  <c r="AI37" i="104"/>
  <c r="AH37" i="104"/>
  <c r="AN37" i="104" s="1"/>
  <c r="AG37" i="104"/>
  <c r="G37" i="104"/>
  <c r="C37" i="104"/>
  <c r="B37" i="104"/>
  <c r="BN36" i="104"/>
  <c r="BM36" i="104"/>
  <c r="BL36" i="104"/>
  <c r="BK36" i="104"/>
  <c r="BJ36" i="104"/>
  <c r="H36" i="104" s="1"/>
  <c r="BF36" i="104" s="1"/>
  <c r="BI36" i="104"/>
  <c r="BH36" i="104"/>
  <c r="BG36" i="104"/>
  <c r="BE36" i="104"/>
  <c r="BD36" i="104"/>
  <c r="BC36" i="104"/>
  <c r="BB36" i="104"/>
  <c r="BA36" i="104"/>
  <c r="AZ36" i="104"/>
  <c r="AY36" i="104"/>
  <c r="AX36" i="104"/>
  <c r="AW36" i="104"/>
  <c r="AU36" i="104"/>
  <c r="AT36" i="104"/>
  <c r="AS36" i="104"/>
  <c r="AR36" i="104"/>
  <c r="AV36" i="104" s="1"/>
  <c r="AQ36" i="104"/>
  <c r="AP36" i="104"/>
  <c r="AO36" i="104"/>
  <c r="AL36" i="104"/>
  <c r="AK36" i="104"/>
  <c r="AM36" i="104" s="1"/>
  <c r="AJ36" i="104"/>
  <c r="AI36" i="104"/>
  <c r="AH36" i="104"/>
  <c r="AN36" i="104" s="1"/>
  <c r="AG36" i="104"/>
  <c r="I36" i="104"/>
  <c r="G36" i="104"/>
  <c r="C36" i="104"/>
  <c r="B36" i="104"/>
  <c r="BN35" i="104"/>
  <c r="BK35" i="104"/>
  <c r="I35" i="104" s="1"/>
  <c r="BJ35" i="104"/>
  <c r="H35" i="104" s="1"/>
  <c r="BF35" i="104" s="1"/>
  <c r="BI35" i="104"/>
  <c r="AK35" i="104" s="1"/>
  <c r="AM35" i="104" s="1"/>
  <c r="BH35" i="104"/>
  <c r="BG35" i="104"/>
  <c r="BE35" i="104"/>
  <c r="BD35" i="104"/>
  <c r="BC35" i="104"/>
  <c r="BB35" i="104"/>
  <c r="BA35" i="104"/>
  <c r="AZ35" i="104"/>
  <c r="AY35" i="104"/>
  <c r="AX35" i="104"/>
  <c r="AW35" i="104"/>
  <c r="AU35" i="104"/>
  <c r="AT35" i="104"/>
  <c r="AS35" i="104"/>
  <c r="AR35" i="104"/>
  <c r="AV35" i="104" s="1"/>
  <c r="AQ35" i="104"/>
  <c r="AP35" i="104"/>
  <c r="AO35" i="104"/>
  <c r="AL35" i="104"/>
  <c r="AJ35" i="104"/>
  <c r="AI35" i="104"/>
  <c r="AH35" i="104"/>
  <c r="AN35" i="104" s="1"/>
  <c r="AG35" i="104"/>
  <c r="C35" i="104"/>
  <c r="B35" i="104"/>
  <c r="BN34" i="104"/>
  <c r="BL34" i="104"/>
  <c r="BK34" i="104"/>
  <c r="I34" i="104" s="1"/>
  <c r="BJ34" i="104"/>
  <c r="H34" i="104" s="1"/>
  <c r="BF34" i="104" s="1"/>
  <c r="BI34" i="104"/>
  <c r="AK34" i="104" s="1"/>
  <c r="AM34" i="104" s="1"/>
  <c r="BH34" i="104"/>
  <c r="G34" i="104" s="1"/>
  <c r="BG34" i="104"/>
  <c r="BE34" i="104"/>
  <c r="BD34" i="104"/>
  <c r="BC34" i="104"/>
  <c r="BB34" i="104"/>
  <c r="BA34" i="104"/>
  <c r="AZ34" i="104"/>
  <c r="AY34" i="104"/>
  <c r="AX34" i="104"/>
  <c r="AW34" i="104"/>
  <c r="AV34" i="104"/>
  <c r="AU34" i="104"/>
  <c r="AT34" i="104"/>
  <c r="AS34" i="104"/>
  <c r="AR34" i="104"/>
  <c r="AQ34" i="104"/>
  <c r="AP34" i="104"/>
  <c r="AO34" i="104"/>
  <c r="AL34" i="104"/>
  <c r="AJ34" i="104"/>
  <c r="AI34" i="104"/>
  <c r="AH34" i="104"/>
  <c r="AN34" i="104" s="1"/>
  <c r="AG34" i="104"/>
  <c r="C34" i="104"/>
  <c r="B34" i="104"/>
  <c r="BN33" i="104"/>
  <c r="BM33" i="104"/>
  <c r="BL33" i="104"/>
  <c r="BK33" i="104"/>
  <c r="I33" i="104" s="1"/>
  <c r="BJ33" i="104"/>
  <c r="BI33" i="104"/>
  <c r="BH33" i="104"/>
  <c r="BG33" i="104"/>
  <c r="BE33" i="104"/>
  <c r="BD33" i="104"/>
  <c r="BC33" i="104"/>
  <c r="BB33" i="104"/>
  <c r="BA33" i="104"/>
  <c r="AZ33" i="104"/>
  <c r="AY33" i="104"/>
  <c r="AX33" i="104"/>
  <c r="AW33" i="104"/>
  <c r="AU33" i="104"/>
  <c r="AT33" i="104"/>
  <c r="AS33" i="104"/>
  <c r="AR33" i="104"/>
  <c r="AV33" i="104" s="1"/>
  <c r="AQ33" i="104"/>
  <c r="AP33" i="104"/>
  <c r="AO33" i="104"/>
  <c r="AN33" i="104"/>
  <c r="AL33" i="104"/>
  <c r="AK33" i="104"/>
  <c r="AM33" i="104" s="1"/>
  <c r="AJ33" i="104"/>
  <c r="AI33" i="104"/>
  <c r="AH33" i="104"/>
  <c r="AG33" i="104"/>
  <c r="H33" i="104"/>
  <c r="BF33" i="104" s="1"/>
  <c r="G33" i="104"/>
  <c r="C33" i="104"/>
  <c r="B33" i="104"/>
  <c r="BN32" i="104"/>
  <c r="BM32" i="104"/>
  <c r="BK32" i="104"/>
  <c r="BJ32" i="104"/>
  <c r="H32" i="104" s="1"/>
  <c r="BF32" i="104" s="1"/>
  <c r="BI32" i="104"/>
  <c r="BH32" i="104"/>
  <c r="BL32" i="104" s="1"/>
  <c r="BG32" i="104"/>
  <c r="BE32" i="104"/>
  <c r="BD32" i="104"/>
  <c r="BC32" i="104"/>
  <c r="BB32" i="104"/>
  <c r="BA32" i="104"/>
  <c r="AZ32" i="104"/>
  <c r="AY32" i="104"/>
  <c r="AX32" i="104"/>
  <c r="AW32" i="104"/>
  <c r="AU32" i="104"/>
  <c r="AT32" i="104"/>
  <c r="AS32" i="104"/>
  <c r="AR32" i="104"/>
  <c r="AV32" i="104" s="1"/>
  <c r="AQ32" i="104"/>
  <c r="AP32" i="104"/>
  <c r="AO32" i="104"/>
  <c r="AL32" i="104"/>
  <c r="AK32" i="104"/>
  <c r="AM32" i="104" s="1"/>
  <c r="AJ32" i="104"/>
  <c r="AI32" i="104"/>
  <c r="AH32" i="104"/>
  <c r="AN32" i="104" s="1"/>
  <c r="AG32" i="104"/>
  <c r="I32" i="104"/>
  <c r="G32" i="104"/>
  <c r="C32" i="104"/>
  <c r="B32" i="104"/>
  <c r="BN31" i="104"/>
  <c r="BK31" i="104"/>
  <c r="BJ31" i="104"/>
  <c r="H31" i="104" s="1"/>
  <c r="BF31" i="104" s="1"/>
  <c r="BI31" i="104"/>
  <c r="BH31" i="104"/>
  <c r="BG31" i="104"/>
  <c r="BE31" i="104"/>
  <c r="BD31" i="104"/>
  <c r="BC31" i="104"/>
  <c r="BB31" i="104"/>
  <c r="BA31" i="104"/>
  <c r="AZ31" i="104"/>
  <c r="AY31" i="104"/>
  <c r="AX31" i="104"/>
  <c r="AW31" i="104"/>
  <c r="AU31" i="104"/>
  <c r="AT31" i="104"/>
  <c r="AS31" i="104"/>
  <c r="AR31" i="104"/>
  <c r="AV31" i="104" s="1"/>
  <c r="AQ31" i="104"/>
  <c r="AP31" i="104"/>
  <c r="AO31" i="104"/>
  <c r="AL31" i="104"/>
  <c r="AK31" i="104"/>
  <c r="AM31" i="104" s="1"/>
  <c r="AJ31" i="104"/>
  <c r="AI31" i="104"/>
  <c r="AH31" i="104"/>
  <c r="AN31" i="104" s="1"/>
  <c r="AG31" i="104"/>
  <c r="I31" i="104"/>
  <c r="C31" i="104"/>
  <c r="B31" i="104"/>
  <c r="BU30" i="104"/>
  <c r="BT30" i="104"/>
  <c r="BS30" i="104"/>
  <c r="BR30" i="104"/>
  <c r="BQ30" i="104"/>
  <c r="BN30" i="104"/>
  <c r="BM30" i="104"/>
  <c r="BL30" i="104"/>
  <c r="BK30" i="104"/>
  <c r="BJ30" i="104"/>
  <c r="H30" i="104" s="1"/>
  <c r="BF30" i="104" s="1"/>
  <c r="BI30" i="104"/>
  <c r="BH30" i="104"/>
  <c r="BG30" i="104"/>
  <c r="BE30" i="104"/>
  <c r="BD30" i="104"/>
  <c r="BC30" i="104"/>
  <c r="BB30" i="104"/>
  <c r="BA30" i="104"/>
  <c r="AZ30" i="104"/>
  <c r="AY30" i="104"/>
  <c r="AX30" i="104"/>
  <c r="AW30" i="104"/>
  <c r="AU30" i="104"/>
  <c r="AT30" i="104"/>
  <c r="AS30" i="104"/>
  <c r="AR30" i="104"/>
  <c r="AV30" i="104" s="1"/>
  <c r="AQ30" i="104"/>
  <c r="AP30" i="104"/>
  <c r="AO30" i="104"/>
  <c r="AL30" i="104"/>
  <c r="AK30" i="104"/>
  <c r="AM30" i="104" s="1"/>
  <c r="AJ30" i="104"/>
  <c r="AI30" i="104"/>
  <c r="AH30" i="104"/>
  <c r="AN30" i="104" s="1"/>
  <c r="AG30" i="104"/>
  <c r="I30" i="104"/>
  <c r="G30" i="104"/>
  <c r="C30" i="104"/>
  <c r="B30" i="104"/>
  <c r="BU29" i="104"/>
  <c r="BT29" i="104"/>
  <c r="BS29" i="104"/>
  <c r="BR29" i="104"/>
  <c r="BQ29" i="104"/>
  <c r="BN29" i="104"/>
  <c r="BK29" i="104"/>
  <c r="I29" i="104" s="1"/>
  <c r="BJ29" i="104"/>
  <c r="H29" i="104" s="1"/>
  <c r="BF29" i="104" s="1"/>
  <c r="BI29" i="104"/>
  <c r="AK29" i="104" s="1"/>
  <c r="AM29" i="104" s="1"/>
  <c r="BH29" i="104"/>
  <c r="BG29" i="104"/>
  <c r="BE29" i="104"/>
  <c r="BD29" i="104"/>
  <c r="BC29" i="104"/>
  <c r="BB29" i="104"/>
  <c r="BA29" i="104"/>
  <c r="AZ29" i="104"/>
  <c r="AY29" i="104"/>
  <c r="AX29" i="104"/>
  <c r="AW29" i="104"/>
  <c r="AU29" i="104"/>
  <c r="AT29" i="104"/>
  <c r="AS29" i="104"/>
  <c r="AR29" i="104"/>
  <c r="AV29" i="104" s="1"/>
  <c r="AQ29" i="104"/>
  <c r="AP29" i="104"/>
  <c r="AO29" i="104"/>
  <c r="AL29" i="104"/>
  <c r="AJ29" i="104"/>
  <c r="AI29" i="104"/>
  <c r="AH29" i="104"/>
  <c r="AN29" i="104" s="1"/>
  <c r="AG29" i="104"/>
  <c r="C29" i="104"/>
  <c r="B29" i="104"/>
  <c r="BU28" i="104"/>
  <c r="BT28" i="104"/>
  <c r="BS28" i="104"/>
  <c r="BR28" i="104"/>
  <c r="BQ28" i="104"/>
  <c r="BN28" i="104"/>
  <c r="BK28" i="104"/>
  <c r="BJ28" i="104"/>
  <c r="H28" i="104" s="1"/>
  <c r="BI28" i="104"/>
  <c r="AK28" i="104" s="1"/>
  <c r="AM28" i="104" s="1"/>
  <c r="BH28" i="104"/>
  <c r="BG28" i="104"/>
  <c r="BF28" i="104"/>
  <c r="BE28" i="104"/>
  <c r="BD28" i="104"/>
  <c r="BC28" i="104"/>
  <c r="BB28" i="104"/>
  <c r="BA28" i="104"/>
  <c r="AZ28" i="104"/>
  <c r="AY28" i="104"/>
  <c r="AX28" i="104"/>
  <c r="AW28" i="104"/>
  <c r="AV28" i="104"/>
  <c r="AU28" i="104"/>
  <c r="AT28" i="104"/>
  <c r="AS28" i="104"/>
  <c r="AR28" i="104"/>
  <c r="AQ28" i="104"/>
  <c r="AP28" i="104"/>
  <c r="AO28" i="104"/>
  <c r="AL28" i="104"/>
  <c r="AJ28" i="104"/>
  <c r="AI28" i="104"/>
  <c r="AH28" i="104"/>
  <c r="AN28" i="104" s="1"/>
  <c r="AG28" i="104"/>
  <c r="I28" i="104"/>
  <c r="C28" i="104"/>
  <c r="B28" i="104"/>
  <c r="BU27" i="104"/>
  <c r="BT27" i="104"/>
  <c r="BS27" i="104"/>
  <c r="BR27" i="104"/>
  <c r="BQ27" i="104"/>
  <c r="BN27" i="104"/>
  <c r="BL27" i="104"/>
  <c r="BK27" i="104"/>
  <c r="I27" i="104" s="1"/>
  <c r="BJ27" i="104"/>
  <c r="H27" i="104" s="1"/>
  <c r="BF27" i="104" s="1"/>
  <c r="BI27" i="104"/>
  <c r="BM27" i="104" s="1"/>
  <c r="BH27" i="104"/>
  <c r="BG27" i="104"/>
  <c r="BE27" i="104"/>
  <c r="BD27" i="104"/>
  <c r="BC27" i="104"/>
  <c r="BB27" i="104"/>
  <c r="BA27" i="104"/>
  <c r="AZ27" i="104"/>
  <c r="AY27" i="104"/>
  <c r="AX27" i="104"/>
  <c r="AW27" i="104"/>
  <c r="AU27" i="104"/>
  <c r="AT27" i="104"/>
  <c r="AS27" i="104"/>
  <c r="AR27" i="104"/>
  <c r="AV27" i="104" s="1"/>
  <c r="AQ27" i="104"/>
  <c r="AP27" i="104"/>
  <c r="AO27" i="104"/>
  <c r="AN27" i="104"/>
  <c r="AL27" i="104"/>
  <c r="AJ27" i="104"/>
  <c r="AI27" i="104"/>
  <c r="AH27" i="104"/>
  <c r="AG27" i="104"/>
  <c r="G27" i="104"/>
  <c r="C27" i="104"/>
  <c r="B27" i="104"/>
  <c r="BU26" i="104"/>
  <c r="BT26" i="104"/>
  <c r="BS26" i="104"/>
  <c r="BR26" i="104"/>
  <c r="BQ26" i="104"/>
  <c r="BN26" i="104"/>
  <c r="BL26" i="104"/>
  <c r="BK26" i="104"/>
  <c r="I26" i="104" s="1"/>
  <c r="BJ26" i="104"/>
  <c r="H26" i="104" s="1"/>
  <c r="BF26" i="104" s="1"/>
  <c r="BI26" i="104"/>
  <c r="AK26" i="104" s="1"/>
  <c r="AM26" i="104" s="1"/>
  <c r="BH26" i="104"/>
  <c r="BG26" i="104"/>
  <c r="BE26" i="104"/>
  <c r="BD26" i="104"/>
  <c r="BC26" i="104"/>
  <c r="BB26" i="104"/>
  <c r="BA26" i="104"/>
  <c r="AZ26" i="104"/>
  <c r="AY26" i="104"/>
  <c r="AX26" i="104"/>
  <c r="AW26" i="104"/>
  <c r="AV26" i="104"/>
  <c r="AU26" i="104"/>
  <c r="AT26" i="104"/>
  <c r="AS26" i="104"/>
  <c r="AR26" i="104"/>
  <c r="AQ26" i="104"/>
  <c r="AP26" i="104"/>
  <c r="AO26" i="104"/>
  <c r="AL26" i="104"/>
  <c r="AJ26" i="104"/>
  <c r="AI26" i="104"/>
  <c r="AH26" i="104"/>
  <c r="AN26" i="104" s="1"/>
  <c r="AG26" i="104"/>
  <c r="G26" i="104"/>
  <c r="C26" i="104"/>
  <c r="B26" i="104"/>
  <c r="BU25" i="104"/>
  <c r="BT25" i="104"/>
  <c r="BS25" i="104"/>
  <c r="BR25" i="104"/>
  <c r="BQ25" i="104"/>
  <c r="BN25" i="104"/>
  <c r="BK25" i="104"/>
  <c r="BJ25" i="104"/>
  <c r="H25" i="104" s="1"/>
  <c r="BF25" i="104" s="1"/>
  <c r="BI25" i="104"/>
  <c r="AK25" i="104" s="1"/>
  <c r="AM25" i="104" s="1"/>
  <c r="BH25" i="104"/>
  <c r="BG25" i="104"/>
  <c r="BE25" i="104"/>
  <c r="BD25" i="104"/>
  <c r="BC25" i="104"/>
  <c r="BB25" i="104"/>
  <c r="BA25" i="104"/>
  <c r="AZ25" i="104"/>
  <c r="AY25" i="104"/>
  <c r="AX25" i="104"/>
  <c r="AW25" i="104"/>
  <c r="AU25" i="104"/>
  <c r="AT25" i="104"/>
  <c r="AS25" i="104"/>
  <c r="AR25" i="104"/>
  <c r="AV25" i="104" s="1"/>
  <c r="AQ25" i="104"/>
  <c r="AP25" i="104"/>
  <c r="AO25" i="104"/>
  <c r="AL25" i="104"/>
  <c r="AJ25" i="104"/>
  <c r="AI25" i="104"/>
  <c r="AH25" i="104"/>
  <c r="AN25" i="104" s="1"/>
  <c r="AG25" i="104"/>
  <c r="I25" i="104"/>
  <c r="C25" i="104"/>
  <c r="B25" i="104"/>
  <c r="BU24" i="104"/>
  <c r="BT24" i="104"/>
  <c r="BS24" i="104"/>
  <c r="BR24" i="104"/>
  <c r="BQ24" i="104"/>
  <c r="BN24" i="104"/>
  <c r="BM24" i="104"/>
  <c r="BL24" i="104"/>
  <c r="BK24" i="104"/>
  <c r="BJ24" i="104"/>
  <c r="BI24" i="104"/>
  <c r="AK24" i="104" s="1"/>
  <c r="AM24" i="104" s="1"/>
  <c r="BH24" i="104"/>
  <c r="BG24" i="104"/>
  <c r="BE24" i="104"/>
  <c r="BD24" i="104"/>
  <c r="BC24" i="104"/>
  <c r="BB24" i="104"/>
  <c r="BA24" i="104"/>
  <c r="AZ24" i="104"/>
  <c r="AY24" i="104"/>
  <c r="AX24" i="104"/>
  <c r="AW24" i="104"/>
  <c r="AU24" i="104"/>
  <c r="AT24" i="104"/>
  <c r="AS24" i="104"/>
  <c r="AR24" i="104"/>
  <c r="AV24" i="104" s="1"/>
  <c r="AQ24" i="104"/>
  <c r="AP24" i="104"/>
  <c r="AO24" i="104"/>
  <c r="AL24" i="104"/>
  <c r="AJ24" i="104"/>
  <c r="AI24" i="104"/>
  <c r="AH24" i="104"/>
  <c r="AN24" i="104" s="1"/>
  <c r="AG24" i="104"/>
  <c r="I24" i="104"/>
  <c r="H24" i="104"/>
  <c r="BF24" i="104" s="1"/>
  <c r="G24" i="104"/>
  <c r="C24" i="104"/>
  <c r="B24" i="104"/>
  <c r="BU23" i="104"/>
  <c r="BT23" i="104"/>
  <c r="BS23" i="104"/>
  <c r="BR23" i="104"/>
  <c r="BQ23" i="104"/>
  <c r="BN23" i="104"/>
  <c r="BM23" i="104"/>
  <c r="BL23" i="104"/>
  <c r="BK23" i="104"/>
  <c r="I23" i="104" s="1"/>
  <c r="BJ23" i="104"/>
  <c r="H23" i="104" s="1"/>
  <c r="BF23" i="104" s="1"/>
  <c r="BI23" i="104"/>
  <c r="BH23" i="104"/>
  <c r="BG23" i="104"/>
  <c r="BE23" i="104"/>
  <c r="BD23" i="104"/>
  <c r="BC23" i="104"/>
  <c r="BB23" i="104"/>
  <c r="BA23" i="104"/>
  <c r="AZ23" i="104"/>
  <c r="AY23" i="104"/>
  <c r="AX23" i="104"/>
  <c r="AW23" i="104"/>
  <c r="AV23" i="104"/>
  <c r="AU23" i="104"/>
  <c r="AT23" i="104"/>
  <c r="AS23" i="104"/>
  <c r="AR23" i="104"/>
  <c r="AQ23" i="104"/>
  <c r="AP23" i="104"/>
  <c r="AO23" i="104"/>
  <c r="AN23" i="104"/>
  <c r="AL23" i="104"/>
  <c r="AK23" i="104"/>
  <c r="AM23" i="104" s="1"/>
  <c r="AJ23" i="104"/>
  <c r="AI23" i="104"/>
  <c r="AH23" i="104"/>
  <c r="AG23" i="104"/>
  <c r="G23" i="104"/>
  <c r="C23" i="104"/>
  <c r="B23" i="104"/>
  <c r="BU22" i="104"/>
  <c r="BT22" i="104"/>
  <c r="BS22" i="104"/>
  <c r="BR22" i="104"/>
  <c r="BQ22" i="104"/>
  <c r="BN22" i="104"/>
  <c r="BK22" i="104"/>
  <c r="BJ22" i="104"/>
  <c r="H22" i="104" s="1"/>
  <c r="BF22" i="104" s="1"/>
  <c r="BI22" i="104"/>
  <c r="AK22" i="104" s="1"/>
  <c r="AM22" i="104" s="1"/>
  <c r="BH22" i="104"/>
  <c r="BG22" i="104"/>
  <c r="BE22" i="104"/>
  <c r="BD22" i="104"/>
  <c r="BC22" i="104"/>
  <c r="BB22" i="104"/>
  <c r="BA22" i="104"/>
  <c r="AZ22" i="104"/>
  <c r="AY22" i="104"/>
  <c r="AX22" i="104"/>
  <c r="AW22" i="104"/>
  <c r="AV22" i="104"/>
  <c r="AU22" i="104"/>
  <c r="AT22" i="104"/>
  <c r="AS22" i="104"/>
  <c r="AR22" i="104"/>
  <c r="AQ22" i="104"/>
  <c r="AP22" i="104"/>
  <c r="AO22" i="104"/>
  <c r="AL22" i="104"/>
  <c r="AJ22" i="104"/>
  <c r="AI22" i="104"/>
  <c r="AH22" i="104"/>
  <c r="AN22" i="104" s="1"/>
  <c r="AG22" i="104"/>
  <c r="I22" i="104"/>
  <c r="C22" i="104"/>
  <c r="B22" i="104"/>
  <c r="BN21" i="104"/>
  <c r="BM21" i="104"/>
  <c r="BL21" i="104"/>
  <c r="BK21" i="104"/>
  <c r="I21" i="104" s="1"/>
  <c r="BJ21" i="104"/>
  <c r="H21" i="104" s="1"/>
  <c r="BF21" i="104" s="1"/>
  <c r="BI21" i="104"/>
  <c r="AK21" i="104" s="1"/>
  <c r="AM21" i="104" s="1"/>
  <c r="BH21" i="104"/>
  <c r="G21" i="104" s="1"/>
  <c r="BG21" i="104"/>
  <c r="BE21" i="104"/>
  <c r="BD21" i="104"/>
  <c r="BC21" i="104"/>
  <c r="BB21" i="104"/>
  <c r="BA21" i="104"/>
  <c r="AZ21" i="104"/>
  <c r="AY21" i="104"/>
  <c r="AX21" i="104"/>
  <c r="AW21" i="104"/>
  <c r="AU21" i="104"/>
  <c r="AT21" i="104"/>
  <c r="AS21" i="104"/>
  <c r="AR21" i="104"/>
  <c r="AV21" i="104" s="1"/>
  <c r="AQ21" i="104"/>
  <c r="AP21" i="104"/>
  <c r="AO21" i="104"/>
  <c r="AN21" i="104"/>
  <c r="AL21" i="104"/>
  <c r="AJ21" i="104"/>
  <c r="AI21" i="104"/>
  <c r="AH21" i="104"/>
  <c r="AG21" i="104"/>
  <c r="C21" i="104"/>
  <c r="B21" i="104"/>
  <c r="BN20" i="104"/>
  <c r="BL20" i="104"/>
  <c r="BK20" i="104"/>
  <c r="I20" i="104" s="1"/>
  <c r="BJ20" i="104"/>
  <c r="H20" i="104" s="1"/>
  <c r="BF20" i="104" s="1"/>
  <c r="BI20" i="104"/>
  <c r="BM20" i="104" s="1"/>
  <c r="BH20" i="104"/>
  <c r="BG20" i="104"/>
  <c r="BE20" i="104"/>
  <c r="BD20" i="104"/>
  <c r="BC20" i="104"/>
  <c r="BB20" i="104"/>
  <c r="BA20" i="104"/>
  <c r="AZ20" i="104"/>
  <c r="AY20" i="104"/>
  <c r="AX20" i="104"/>
  <c r="AW20" i="104"/>
  <c r="AU20" i="104"/>
  <c r="AT20" i="104"/>
  <c r="AS20" i="104"/>
  <c r="AR20" i="104"/>
  <c r="AV20" i="104" s="1"/>
  <c r="AQ20" i="104"/>
  <c r="AP20" i="104"/>
  <c r="AO20" i="104"/>
  <c r="AL20" i="104"/>
  <c r="AJ20" i="104"/>
  <c r="AI20" i="104"/>
  <c r="AH20" i="104"/>
  <c r="AN20" i="104" s="1"/>
  <c r="AG20" i="104"/>
  <c r="G20" i="104"/>
  <c r="C20" i="104"/>
  <c r="B20" i="104"/>
  <c r="BN19" i="104"/>
  <c r="BK19" i="104"/>
  <c r="BJ19" i="104"/>
  <c r="BI19" i="104"/>
  <c r="BM19" i="104" s="1"/>
  <c r="BH19" i="104"/>
  <c r="BL19" i="104" s="1"/>
  <c r="BG19" i="104"/>
  <c r="BE19" i="104"/>
  <c r="BD19" i="104"/>
  <c r="BC19" i="104"/>
  <c r="BB19" i="104"/>
  <c r="BA19" i="104"/>
  <c r="AZ19" i="104"/>
  <c r="AY19" i="104"/>
  <c r="AX19" i="104"/>
  <c r="AW19" i="104"/>
  <c r="AU19" i="104"/>
  <c r="AT19" i="104"/>
  <c r="AS19" i="104"/>
  <c r="AR19" i="104"/>
  <c r="AV19" i="104" s="1"/>
  <c r="AQ19" i="104"/>
  <c r="AP19" i="104"/>
  <c r="AO19" i="104"/>
  <c r="AL19" i="104"/>
  <c r="AJ19" i="104"/>
  <c r="AI19" i="104"/>
  <c r="AH19" i="104"/>
  <c r="AN19" i="104" s="1"/>
  <c r="AG19" i="104"/>
  <c r="I19" i="104"/>
  <c r="H19" i="104"/>
  <c r="BF19" i="104" s="1"/>
  <c r="G19" i="104"/>
  <c r="C19" i="104"/>
  <c r="B19" i="104"/>
  <c r="BN18" i="104"/>
  <c r="BK18" i="104"/>
  <c r="I18" i="104" s="1"/>
  <c r="BJ18" i="104"/>
  <c r="H18" i="104" s="1"/>
  <c r="BF18" i="104" s="1"/>
  <c r="BI18" i="104"/>
  <c r="BH18" i="104"/>
  <c r="BG18" i="104"/>
  <c r="BE18" i="104"/>
  <c r="BD18" i="104"/>
  <c r="BC18" i="104"/>
  <c r="BB18" i="104"/>
  <c r="BA18" i="104"/>
  <c r="AZ18" i="104"/>
  <c r="AY18" i="104"/>
  <c r="AX18" i="104"/>
  <c r="AW18" i="104"/>
  <c r="AU18" i="104"/>
  <c r="AT18" i="104"/>
  <c r="AS18" i="104"/>
  <c r="AR18" i="104"/>
  <c r="AV18" i="104" s="1"/>
  <c r="AQ18" i="104"/>
  <c r="AP18" i="104"/>
  <c r="AO18" i="104"/>
  <c r="AL18" i="104"/>
  <c r="AK18" i="104"/>
  <c r="AM18" i="104" s="1"/>
  <c r="AJ18" i="104"/>
  <c r="AI18" i="104"/>
  <c r="AH18" i="104"/>
  <c r="AN18" i="104" s="1"/>
  <c r="AG18" i="104"/>
  <c r="C18" i="104"/>
  <c r="B18" i="104"/>
  <c r="BN17" i="104"/>
  <c r="BL17" i="104"/>
  <c r="BK17" i="104"/>
  <c r="I17" i="104" s="1"/>
  <c r="BJ17" i="104"/>
  <c r="H17" i="104" s="1"/>
  <c r="BF17" i="104" s="1"/>
  <c r="BI17" i="104"/>
  <c r="AK17" i="104" s="1"/>
  <c r="AM17" i="104" s="1"/>
  <c r="BH17" i="104"/>
  <c r="G17" i="104" s="1"/>
  <c r="BG17" i="104"/>
  <c r="BE17" i="104"/>
  <c r="BD17" i="104"/>
  <c r="BC17" i="104"/>
  <c r="BB17" i="104"/>
  <c r="BA17" i="104"/>
  <c r="AZ17" i="104"/>
  <c r="AY17" i="104"/>
  <c r="AX17" i="104"/>
  <c r="AW17" i="104"/>
  <c r="AV17" i="104"/>
  <c r="AU17" i="104"/>
  <c r="AT17" i="104"/>
  <c r="AS17" i="104"/>
  <c r="AR17" i="104"/>
  <c r="AQ17" i="104"/>
  <c r="AP17" i="104"/>
  <c r="AO17" i="104"/>
  <c r="AN17" i="104"/>
  <c r="AL17" i="104"/>
  <c r="AJ17" i="104"/>
  <c r="AI17" i="104"/>
  <c r="AH17" i="104"/>
  <c r="AG17" i="104"/>
  <c r="C17" i="104"/>
  <c r="B17" i="104"/>
  <c r="BN16" i="104"/>
  <c r="BL16" i="104"/>
  <c r="BK16" i="104"/>
  <c r="I16" i="104" s="1"/>
  <c r="BJ16" i="104"/>
  <c r="H16" i="104" s="1"/>
  <c r="BF16" i="104" s="1"/>
  <c r="BI16" i="104"/>
  <c r="AK16" i="104" s="1"/>
  <c r="AM16" i="104" s="1"/>
  <c r="BH16" i="104"/>
  <c r="BG16" i="104"/>
  <c r="BE16" i="104"/>
  <c r="BD16" i="104"/>
  <c r="BC16" i="104"/>
  <c r="BB16" i="104"/>
  <c r="BA16" i="104"/>
  <c r="AZ16" i="104"/>
  <c r="AY16" i="104"/>
  <c r="AX16" i="104"/>
  <c r="AW16" i="104"/>
  <c r="AU16" i="104"/>
  <c r="AT16" i="104"/>
  <c r="AS16" i="104"/>
  <c r="AR16" i="104"/>
  <c r="AV16" i="104" s="1"/>
  <c r="AQ16" i="104"/>
  <c r="AP16" i="104"/>
  <c r="AO16" i="104"/>
  <c r="AN16" i="104"/>
  <c r="AL16" i="104"/>
  <c r="AJ16" i="104"/>
  <c r="AI16" i="104"/>
  <c r="AH16" i="104"/>
  <c r="AG16" i="104"/>
  <c r="G16" i="104"/>
  <c r="C16" i="104"/>
  <c r="B16" i="104"/>
  <c r="BN15" i="104"/>
  <c r="BK15" i="104"/>
  <c r="I15" i="104" s="1"/>
  <c r="BJ15" i="104"/>
  <c r="H15" i="104" s="1"/>
  <c r="BF15" i="104" s="1"/>
  <c r="BI15" i="104"/>
  <c r="BM15" i="104" s="1"/>
  <c r="BH15" i="104"/>
  <c r="BL15" i="104" s="1"/>
  <c r="BG15" i="104"/>
  <c r="BE15" i="104"/>
  <c r="BD15" i="104"/>
  <c r="BC15" i="104"/>
  <c r="BB15" i="104"/>
  <c r="BA15" i="104"/>
  <c r="AZ15" i="104"/>
  <c r="AY15" i="104"/>
  <c r="AX15" i="104"/>
  <c r="AW15" i="104"/>
  <c r="AU15" i="104"/>
  <c r="AT15" i="104"/>
  <c r="AS15" i="104"/>
  <c r="AR15" i="104"/>
  <c r="AV15" i="104" s="1"/>
  <c r="AQ15" i="104"/>
  <c r="AP15" i="104"/>
  <c r="AO15" i="104"/>
  <c r="AL15" i="104"/>
  <c r="AJ15" i="104"/>
  <c r="AI15" i="104"/>
  <c r="AH15" i="104"/>
  <c r="AN15" i="104" s="1"/>
  <c r="AG15" i="104"/>
  <c r="G15" i="104"/>
  <c r="C15" i="104"/>
  <c r="B15" i="104"/>
  <c r="BH14" i="104"/>
  <c r="BE14" i="104"/>
  <c r="BD14" i="104"/>
  <c r="BC14" i="104"/>
  <c r="AU14" i="104"/>
  <c r="AS14" i="104"/>
  <c r="AQ14" i="104"/>
  <c r="AO14" i="104"/>
  <c r="AL14" i="104"/>
  <c r="AH14" i="104"/>
  <c r="AG14" i="104"/>
  <c r="BH13" i="104"/>
  <c r="BE13" i="104"/>
  <c r="BD13" i="104"/>
  <c r="BC13" i="104"/>
  <c r="AU13" i="104"/>
  <c r="AS13" i="104"/>
  <c r="AQ13" i="104"/>
  <c r="AO13" i="104"/>
  <c r="AL13" i="104"/>
  <c r="AH13" i="104"/>
  <c r="AG13" i="104"/>
  <c r="BL12" i="104"/>
  <c r="BH12" i="104"/>
  <c r="BE12" i="104"/>
  <c r="BD12" i="104"/>
  <c r="BC12" i="104"/>
  <c r="BA12" i="104"/>
  <c r="AU12" i="104"/>
  <c r="AS12" i="104"/>
  <c r="AQ12" i="104"/>
  <c r="AI12" i="104" s="1"/>
  <c r="C12" i="104" s="1"/>
  <c r="AO12" i="104"/>
  <c r="AL12" i="104"/>
  <c r="AN12" i="104" s="1"/>
  <c r="AH12" i="104"/>
  <c r="AG12" i="104"/>
  <c r="G12" i="104"/>
  <c r="BH11" i="104"/>
  <c r="BL11" i="104" s="1"/>
  <c r="BE11" i="104"/>
  <c r="BD11" i="104"/>
  <c r="BC11" i="104"/>
  <c r="AU11" i="104"/>
  <c r="AS11" i="104"/>
  <c r="AQ11" i="104"/>
  <c r="AI11" i="104" s="1"/>
  <c r="C11" i="104" s="1"/>
  <c r="AO11" i="104"/>
  <c r="AL11" i="104"/>
  <c r="AH11" i="104"/>
  <c r="AN11" i="104" s="1"/>
  <c r="AG11" i="104"/>
  <c r="G11" i="104"/>
  <c r="BB11" i="104" s="1"/>
  <c r="BH10" i="104"/>
  <c r="BE10" i="104"/>
  <c r="BD10" i="104"/>
  <c r="BC10" i="104"/>
  <c r="AU10" i="104"/>
  <c r="AS10" i="104"/>
  <c r="AS42" i="104" s="1"/>
  <c r="AT42" i="104" s="1"/>
  <c r="AQ10" i="104"/>
  <c r="AO10" i="104"/>
  <c r="AL10" i="104"/>
  <c r="AJ10" i="104"/>
  <c r="AJ11" i="104" s="1"/>
  <c r="AJ12" i="104" s="1"/>
  <c r="AJ13" i="104" s="1"/>
  <c r="AJ14" i="104" s="1"/>
  <c r="AH10" i="104"/>
  <c r="AN10" i="104" s="1"/>
  <c r="AG10" i="104"/>
  <c r="BL9" i="104"/>
  <c r="BH9" i="104"/>
  <c r="BE9" i="104"/>
  <c r="BD9" i="104"/>
  <c r="BC9" i="104"/>
  <c r="AU9" i="104"/>
  <c r="AS9" i="104"/>
  <c r="AQ9" i="104"/>
  <c r="AO9" i="104"/>
  <c r="AL9" i="104"/>
  <c r="AJ9" i="104"/>
  <c r="AH9" i="104"/>
  <c r="AG9" i="104"/>
  <c r="B9" i="104"/>
  <c r="AV7" i="104"/>
  <c r="U49" i="103"/>
  <c r="BE44" i="103"/>
  <c r="AT44" i="103"/>
  <c r="AT45" i="103" s="1"/>
  <c r="AR45" i="103" s="1"/>
  <c r="BN40" i="103"/>
  <c r="BL40" i="103"/>
  <c r="BK40" i="103"/>
  <c r="I40" i="103" s="1"/>
  <c r="BJ40" i="103"/>
  <c r="H40" i="103" s="1"/>
  <c r="BF40" i="103" s="1"/>
  <c r="BI40" i="103"/>
  <c r="BM40" i="103" s="1"/>
  <c r="BH40" i="103"/>
  <c r="BG40" i="103"/>
  <c r="BE40" i="103"/>
  <c r="BD40" i="103"/>
  <c r="BC40" i="103"/>
  <c r="BB40" i="103"/>
  <c r="BA40" i="103"/>
  <c r="AZ40" i="103"/>
  <c r="AY40" i="103"/>
  <c r="AX40" i="103"/>
  <c r="AW40" i="103"/>
  <c r="AU40" i="103"/>
  <c r="AT40" i="103"/>
  <c r="AS40" i="103"/>
  <c r="AR40" i="103"/>
  <c r="AV40" i="103" s="1"/>
  <c r="AQ40" i="103"/>
  <c r="AP40" i="103"/>
  <c r="AO40" i="103"/>
  <c r="AN40" i="103"/>
  <c r="AL40" i="103"/>
  <c r="AJ40" i="103"/>
  <c r="AI40" i="103"/>
  <c r="AH40" i="103"/>
  <c r="AG40" i="103"/>
  <c r="G40" i="103"/>
  <c r="C40" i="103"/>
  <c r="B40" i="103"/>
  <c r="BN39" i="103"/>
  <c r="BK39" i="103"/>
  <c r="I39" i="103" s="1"/>
  <c r="BJ39" i="103"/>
  <c r="H39" i="103" s="1"/>
  <c r="BF39" i="103" s="1"/>
  <c r="BI39" i="103"/>
  <c r="BH39" i="103"/>
  <c r="G39" i="103" s="1"/>
  <c r="BG39" i="103"/>
  <c r="BE39" i="103"/>
  <c r="BD39" i="103"/>
  <c r="BC39" i="103"/>
  <c r="BB39" i="103"/>
  <c r="BA39" i="103"/>
  <c r="AZ39" i="103"/>
  <c r="AY39" i="103"/>
  <c r="AX39" i="103"/>
  <c r="AW39" i="103"/>
  <c r="AU39" i="103"/>
  <c r="AT39" i="103"/>
  <c r="AS39" i="103"/>
  <c r="AR39" i="103"/>
  <c r="AV39" i="103" s="1"/>
  <c r="AQ39" i="103"/>
  <c r="AP39" i="103"/>
  <c r="AO39" i="103"/>
  <c r="AL39" i="103"/>
  <c r="AK39" i="103"/>
  <c r="AM39" i="103" s="1"/>
  <c r="AJ39" i="103"/>
  <c r="AI39" i="103"/>
  <c r="AH39" i="103"/>
  <c r="AN39" i="103" s="1"/>
  <c r="AG39" i="103"/>
  <c r="C39" i="103"/>
  <c r="B39" i="103"/>
  <c r="BN38" i="103"/>
  <c r="BK38" i="103"/>
  <c r="BJ38" i="103"/>
  <c r="H38" i="103" s="1"/>
  <c r="BF38" i="103" s="1"/>
  <c r="BI38" i="103"/>
  <c r="AK38" i="103" s="1"/>
  <c r="AM38" i="103" s="1"/>
  <c r="BH38" i="103"/>
  <c r="G38" i="103" s="1"/>
  <c r="BG38" i="103"/>
  <c r="BE38" i="103"/>
  <c r="BD38" i="103"/>
  <c r="BC38" i="103"/>
  <c r="BB38" i="103"/>
  <c r="BA38" i="103"/>
  <c r="AZ38" i="103"/>
  <c r="AY38" i="103"/>
  <c r="AX38" i="103"/>
  <c r="AW38" i="103"/>
  <c r="AV38" i="103"/>
  <c r="AU38" i="103"/>
  <c r="AT38" i="103"/>
  <c r="AS38" i="103"/>
  <c r="AR38" i="103"/>
  <c r="AQ38" i="103"/>
  <c r="AP38" i="103"/>
  <c r="AO38" i="103"/>
  <c r="AL38" i="103"/>
  <c r="AJ38" i="103"/>
  <c r="AI38" i="103"/>
  <c r="AH38" i="103"/>
  <c r="AN38" i="103" s="1"/>
  <c r="AG38" i="103"/>
  <c r="I38" i="103"/>
  <c r="C38" i="103"/>
  <c r="B38" i="103"/>
  <c r="BN37" i="103"/>
  <c r="BL37" i="103"/>
  <c r="BK37" i="103"/>
  <c r="I37" i="103" s="1"/>
  <c r="BJ37" i="103"/>
  <c r="H37" i="103" s="1"/>
  <c r="BF37" i="103" s="1"/>
  <c r="BI37" i="103"/>
  <c r="BM37" i="103" s="1"/>
  <c r="BH37" i="103"/>
  <c r="BG37" i="103"/>
  <c r="BE37" i="103"/>
  <c r="BD37" i="103"/>
  <c r="BC37" i="103"/>
  <c r="BB37" i="103"/>
  <c r="BA37" i="103"/>
  <c r="AZ37" i="103"/>
  <c r="AY37" i="103"/>
  <c r="AX37" i="103"/>
  <c r="AW37" i="103"/>
  <c r="AU37" i="103"/>
  <c r="AT37" i="103"/>
  <c r="AS37" i="103"/>
  <c r="AR37" i="103"/>
  <c r="AV37" i="103" s="1"/>
  <c r="AQ37" i="103"/>
  <c r="AP37" i="103"/>
  <c r="AO37" i="103"/>
  <c r="AN37" i="103"/>
  <c r="AL37" i="103"/>
  <c r="AJ37" i="103"/>
  <c r="AI37" i="103"/>
  <c r="AH37" i="103"/>
  <c r="AG37" i="103"/>
  <c r="G37" i="103"/>
  <c r="C37" i="103"/>
  <c r="B37" i="103"/>
  <c r="BN36" i="103"/>
  <c r="BM36" i="103"/>
  <c r="BL36" i="103"/>
  <c r="BK36" i="103"/>
  <c r="BJ36" i="103"/>
  <c r="H36" i="103" s="1"/>
  <c r="BF36" i="103" s="1"/>
  <c r="BI36" i="103"/>
  <c r="BH36" i="103"/>
  <c r="BG36" i="103"/>
  <c r="BE36" i="103"/>
  <c r="BD36" i="103"/>
  <c r="BC36" i="103"/>
  <c r="BB36" i="103"/>
  <c r="BA36" i="103"/>
  <c r="AZ36" i="103"/>
  <c r="AY36" i="103"/>
  <c r="AX36" i="103"/>
  <c r="AW36" i="103"/>
  <c r="AU36" i="103"/>
  <c r="AT36" i="103"/>
  <c r="AS36" i="103"/>
  <c r="AR36" i="103"/>
  <c r="AV36" i="103" s="1"/>
  <c r="AQ36" i="103"/>
  <c r="AP36" i="103"/>
  <c r="AO36" i="103"/>
  <c r="AN36" i="103"/>
  <c r="AL36" i="103"/>
  <c r="AK36" i="103"/>
  <c r="AM36" i="103" s="1"/>
  <c r="AJ36" i="103"/>
  <c r="AI36" i="103"/>
  <c r="AH36" i="103"/>
  <c r="AG36" i="103"/>
  <c r="I36" i="103"/>
  <c r="G36" i="103"/>
  <c r="C36" i="103"/>
  <c r="B36" i="103"/>
  <c r="BN35" i="103"/>
  <c r="BK35" i="103"/>
  <c r="I35" i="103" s="1"/>
  <c r="BJ35" i="103"/>
  <c r="H35" i="103" s="1"/>
  <c r="BF35" i="103" s="1"/>
  <c r="BI35" i="103"/>
  <c r="AK35" i="103" s="1"/>
  <c r="AM35" i="103" s="1"/>
  <c r="BH35" i="103"/>
  <c r="BG35" i="103"/>
  <c r="BE35" i="103"/>
  <c r="BD35" i="103"/>
  <c r="BC35" i="103"/>
  <c r="BB35" i="103"/>
  <c r="BA35" i="103"/>
  <c r="AZ35" i="103"/>
  <c r="AY35" i="103"/>
  <c r="AX35" i="103"/>
  <c r="AW35" i="103"/>
  <c r="AU35" i="103"/>
  <c r="AT35" i="103"/>
  <c r="AS35" i="103"/>
  <c r="AR35" i="103"/>
  <c r="AV35" i="103" s="1"/>
  <c r="AQ35" i="103"/>
  <c r="AP35" i="103"/>
  <c r="AO35" i="103"/>
  <c r="AL35" i="103"/>
  <c r="AJ35" i="103"/>
  <c r="AI35" i="103"/>
  <c r="AH35" i="103"/>
  <c r="AN35" i="103" s="1"/>
  <c r="AG35" i="103"/>
  <c r="G35" i="103"/>
  <c r="C35" i="103"/>
  <c r="B35" i="103"/>
  <c r="BN34" i="103"/>
  <c r="BK34" i="103"/>
  <c r="I34" i="103" s="1"/>
  <c r="BJ34" i="103"/>
  <c r="BI34" i="103"/>
  <c r="AK34" i="103" s="1"/>
  <c r="AM34" i="103" s="1"/>
  <c r="BH34" i="103"/>
  <c r="G34" i="103" s="1"/>
  <c r="BG34" i="103"/>
  <c r="BE34" i="103"/>
  <c r="BD34" i="103"/>
  <c r="BC34" i="103"/>
  <c r="BB34" i="103"/>
  <c r="BA34" i="103"/>
  <c r="AZ34" i="103"/>
  <c r="AY34" i="103"/>
  <c r="AX34" i="103"/>
  <c r="AW34" i="103"/>
  <c r="AU34" i="103"/>
  <c r="AT34" i="103"/>
  <c r="AS34" i="103"/>
  <c r="AR34" i="103"/>
  <c r="AV34" i="103" s="1"/>
  <c r="AQ34" i="103"/>
  <c r="AP34" i="103"/>
  <c r="AO34" i="103"/>
  <c r="AL34" i="103"/>
  <c r="AJ34" i="103"/>
  <c r="AI34" i="103"/>
  <c r="AH34" i="103"/>
  <c r="AN34" i="103" s="1"/>
  <c r="AG34" i="103"/>
  <c r="H34" i="103"/>
  <c r="BF34" i="103" s="1"/>
  <c r="C34" i="103"/>
  <c r="B34" i="103"/>
  <c r="BN33" i="103"/>
  <c r="BL33" i="103"/>
  <c r="BK33" i="103"/>
  <c r="I33" i="103" s="1"/>
  <c r="BJ33" i="103"/>
  <c r="H33" i="103" s="1"/>
  <c r="BF33" i="103" s="1"/>
  <c r="BI33" i="103"/>
  <c r="AK33" i="103" s="1"/>
  <c r="AM33" i="103" s="1"/>
  <c r="BH33" i="103"/>
  <c r="G33" i="103" s="1"/>
  <c r="BG33" i="103"/>
  <c r="BE33" i="103"/>
  <c r="BD33" i="103"/>
  <c r="BC33" i="103"/>
  <c r="BB33" i="103"/>
  <c r="BA33" i="103"/>
  <c r="AZ33" i="103"/>
  <c r="AY33" i="103"/>
  <c r="AX33" i="103"/>
  <c r="AW33" i="103"/>
  <c r="AU33" i="103"/>
  <c r="AT33" i="103"/>
  <c r="AS33" i="103"/>
  <c r="AR33" i="103"/>
  <c r="AV33" i="103" s="1"/>
  <c r="AQ33" i="103"/>
  <c r="AP33" i="103"/>
  <c r="AO33" i="103"/>
  <c r="AL33" i="103"/>
  <c r="AJ33" i="103"/>
  <c r="AI33" i="103"/>
  <c r="AH33" i="103"/>
  <c r="AN33" i="103" s="1"/>
  <c r="AG33" i="103"/>
  <c r="C33" i="103"/>
  <c r="B33" i="103"/>
  <c r="BN32" i="103"/>
  <c r="BL32" i="103"/>
  <c r="BK32" i="103"/>
  <c r="I32" i="103" s="1"/>
  <c r="BJ32" i="103"/>
  <c r="BI32" i="103"/>
  <c r="AK32" i="103" s="1"/>
  <c r="BH32" i="103"/>
  <c r="BG32" i="103"/>
  <c r="BE32" i="103"/>
  <c r="BD32" i="103"/>
  <c r="BC32" i="103"/>
  <c r="BB32" i="103"/>
  <c r="BA32" i="103"/>
  <c r="AZ32" i="103"/>
  <c r="AY32" i="103"/>
  <c r="AX32" i="103"/>
  <c r="AW32" i="103"/>
  <c r="AU32" i="103"/>
  <c r="AT32" i="103"/>
  <c r="AS32" i="103"/>
  <c r="AR32" i="103"/>
  <c r="AV32" i="103" s="1"/>
  <c r="AQ32" i="103"/>
  <c r="AP32" i="103"/>
  <c r="AO32" i="103"/>
  <c r="AM32" i="103"/>
  <c r="AL32" i="103"/>
  <c r="AJ32" i="103"/>
  <c r="AI32" i="103"/>
  <c r="AH32" i="103"/>
  <c r="AN32" i="103" s="1"/>
  <c r="AG32" i="103"/>
  <c r="H32" i="103"/>
  <c r="BF32" i="103" s="1"/>
  <c r="G32" i="103"/>
  <c r="C32" i="103"/>
  <c r="B32" i="103"/>
  <c r="BN31" i="103"/>
  <c r="BK31" i="103"/>
  <c r="I31" i="103" s="1"/>
  <c r="BJ31" i="103"/>
  <c r="H31" i="103" s="1"/>
  <c r="BF31" i="103" s="1"/>
  <c r="BI31" i="103"/>
  <c r="BH31" i="103"/>
  <c r="BM31" i="103" s="1"/>
  <c r="BG31" i="103"/>
  <c r="BE31" i="103"/>
  <c r="BD31" i="103"/>
  <c r="BC31" i="103"/>
  <c r="BB31" i="103"/>
  <c r="BA31" i="103"/>
  <c r="AZ31" i="103"/>
  <c r="AY31" i="103"/>
  <c r="AX31" i="103"/>
  <c r="AW31" i="103"/>
  <c r="AU31" i="103"/>
  <c r="AT31" i="103"/>
  <c r="AS31" i="103"/>
  <c r="AR31" i="103"/>
  <c r="AV31" i="103" s="1"/>
  <c r="AQ31" i="103"/>
  <c r="AP31" i="103"/>
  <c r="AO31" i="103"/>
  <c r="AL31" i="103"/>
  <c r="AK31" i="103"/>
  <c r="AM31" i="103" s="1"/>
  <c r="AJ31" i="103"/>
  <c r="AI31" i="103"/>
  <c r="AH31" i="103"/>
  <c r="AN31" i="103" s="1"/>
  <c r="AG31" i="103"/>
  <c r="G31" i="103"/>
  <c r="C31" i="103"/>
  <c r="B31" i="103"/>
  <c r="BU30" i="103"/>
  <c r="BT30" i="103"/>
  <c r="BS30" i="103"/>
  <c r="BR30" i="103"/>
  <c r="BQ30" i="103"/>
  <c r="BN30" i="103"/>
  <c r="BM30" i="103"/>
  <c r="BL30" i="103"/>
  <c r="BK30" i="103"/>
  <c r="BJ30" i="103"/>
  <c r="H30" i="103" s="1"/>
  <c r="BF30" i="103" s="1"/>
  <c r="BI30" i="103"/>
  <c r="AK30" i="103" s="1"/>
  <c r="AM30" i="103" s="1"/>
  <c r="BH30" i="103"/>
  <c r="BG30" i="103"/>
  <c r="BE30" i="103"/>
  <c r="BD30" i="103"/>
  <c r="BC30" i="103"/>
  <c r="BB30" i="103"/>
  <c r="BA30" i="103"/>
  <c r="AZ30" i="103"/>
  <c r="AY30" i="103"/>
  <c r="AX30" i="103"/>
  <c r="AW30" i="103"/>
  <c r="AU30" i="103"/>
  <c r="AT30" i="103"/>
  <c r="AS30" i="103"/>
  <c r="AR30" i="103"/>
  <c r="AV30" i="103" s="1"/>
  <c r="AQ30" i="103"/>
  <c r="AP30" i="103"/>
  <c r="AO30" i="103"/>
  <c r="AL30" i="103"/>
  <c r="AJ30" i="103"/>
  <c r="AI30" i="103"/>
  <c r="AH30" i="103"/>
  <c r="AN30" i="103" s="1"/>
  <c r="AG30" i="103"/>
  <c r="I30" i="103"/>
  <c r="G30" i="103"/>
  <c r="C30" i="103"/>
  <c r="B30" i="103"/>
  <c r="BU29" i="103"/>
  <c r="BT29" i="103"/>
  <c r="BS29" i="103"/>
  <c r="BR29" i="103"/>
  <c r="BQ29" i="103"/>
  <c r="BN29" i="103"/>
  <c r="BK29" i="103"/>
  <c r="BJ29" i="103"/>
  <c r="H29" i="103" s="1"/>
  <c r="BF29" i="103" s="1"/>
  <c r="BI29" i="103"/>
  <c r="AK29" i="103" s="1"/>
  <c r="AM29" i="103" s="1"/>
  <c r="BH29" i="103"/>
  <c r="G29" i="103" s="1"/>
  <c r="BG29" i="103"/>
  <c r="BE29" i="103"/>
  <c r="BD29" i="103"/>
  <c r="BC29" i="103"/>
  <c r="BB29" i="103"/>
  <c r="BA29" i="103"/>
  <c r="AZ29" i="103"/>
  <c r="AY29" i="103"/>
  <c r="AX29" i="103"/>
  <c r="AW29" i="103"/>
  <c r="AU29" i="103"/>
  <c r="AT29" i="103"/>
  <c r="AS29" i="103"/>
  <c r="AR29" i="103"/>
  <c r="AV29" i="103" s="1"/>
  <c r="AQ29" i="103"/>
  <c r="AP29" i="103"/>
  <c r="AO29" i="103"/>
  <c r="AL29" i="103"/>
  <c r="AJ29" i="103"/>
  <c r="AI29" i="103"/>
  <c r="AH29" i="103"/>
  <c r="AN29" i="103" s="1"/>
  <c r="AG29" i="103"/>
  <c r="I29" i="103"/>
  <c r="C29" i="103"/>
  <c r="B29" i="103"/>
  <c r="BU28" i="103"/>
  <c r="BT28" i="103"/>
  <c r="BS28" i="103"/>
  <c r="BR28" i="103"/>
  <c r="BQ28" i="103"/>
  <c r="BN28" i="103"/>
  <c r="BK28" i="103"/>
  <c r="BJ28" i="103"/>
  <c r="H28" i="103" s="1"/>
  <c r="BF28" i="103" s="1"/>
  <c r="BI28" i="103"/>
  <c r="AK28" i="103" s="1"/>
  <c r="AM28" i="103" s="1"/>
  <c r="BH28" i="103"/>
  <c r="BG28" i="103"/>
  <c r="BE28" i="103"/>
  <c r="BD28" i="103"/>
  <c r="BC28" i="103"/>
  <c r="BB28" i="103"/>
  <c r="BA28" i="103"/>
  <c r="AZ28" i="103"/>
  <c r="AY28" i="103"/>
  <c r="AX28" i="103"/>
  <c r="AW28" i="103"/>
  <c r="AU28" i="103"/>
  <c r="AT28" i="103"/>
  <c r="AS28" i="103"/>
  <c r="AR28" i="103"/>
  <c r="AV28" i="103" s="1"/>
  <c r="AQ28" i="103"/>
  <c r="AP28" i="103"/>
  <c r="AO28" i="103"/>
  <c r="AL28" i="103"/>
  <c r="AJ28" i="103"/>
  <c r="AI28" i="103"/>
  <c r="AH28" i="103"/>
  <c r="AN28" i="103" s="1"/>
  <c r="AG28" i="103"/>
  <c r="I28" i="103"/>
  <c r="G28" i="103"/>
  <c r="C28" i="103"/>
  <c r="B28" i="103"/>
  <c r="BU27" i="103"/>
  <c r="BT27" i="103"/>
  <c r="BS27" i="103"/>
  <c r="BR27" i="103"/>
  <c r="BQ27" i="103"/>
  <c r="BN27" i="103"/>
  <c r="BL27" i="103"/>
  <c r="BK27" i="103"/>
  <c r="I27" i="103" s="1"/>
  <c r="BJ27" i="103"/>
  <c r="H27" i="103" s="1"/>
  <c r="BF27" i="103" s="1"/>
  <c r="BI27" i="103"/>
  <c r="BM27" i="103" s="1"/>
  <c r="BH27" i="103"/>
  <c r="BG27" i="103"/>
  <c r="BE27" i="103"/>
  <c r="BD27" i="103"/>
  <c r="BC27" i="103"/>
  <c r="BB27" i="103"/>
  <c r="BA27" i="103"/>
  <c r="AZ27" i="103"/>
  <c r="AY27" i="103"/>
  <c r="AX27" i="103"/>
  <c r="AW27" i="103"/>
  <c r="AU27" i="103"/>
  <c r="AT27" i="103"/>
  <c r="AS27" i="103"/>
  <c r="AR27" i="103"/>
  <c r="AV27" i="103" s="1"/>
  <c r="AQ27" i="103"/>
  <c r="AP27" i="103"/>
  <c r="AO27" i="103"/>
  <c r="AL27" i="103"/>
  <c r="AJ27" i="103"/>
  <c r="AI27" i="103"/>
  <c r="AH27" i="103"/>
  <c r="AN27" i="103" s="1"/>
  <c r="AG27" i="103"/>
  <c r="G27" i="103"/>
  <c r="C27" i="103"/>
  <c r="B27" i="103"/>
  <c r="BU26" i="103"/>
  <c r="BT26" i="103"/>
  <c r="BS26" i="103"/>
  <c r="BR26" i="103"/>
  <c r="BQ26" i="103"/>
  <c r="BN26" i="103"/>
  <c r="BK26" i="103"/>
  <c r="I26" i="103" s="1"/>
  <c r="BJ26" i="103"/>
  <c r="H26" i="103" s="1"/>
  <c r="BF26" i="103" s="1"/>
  <c r="BI26" i="103"/>
  <c r="AK26" i="103" s="1"/>
  <c r="AM26" i="103" s="1"/>
  <c r="BH26" i="103"/>
  <c r="G26" i="103" s="1"/>
  <c r="BG26" i="103"/>
  <c r="BE26" i="103"/>
  <c r="BD26" i="103"/>
  <c r="BC26" i="103"/>
  <c r="BB26" i="103"/>
  <c r="BA26" i="103"/>
  <c r="AZ26" i="103"/>
  <c r="AY26" i="103"/>
  <c r="AX26" i="103"/>
  <c r="AW26" i="103"/>
  <c r="AV26" i="103"/>
  <c r="AU26" i="103"/>
  <c r="AT26" i="103"/>
  <c r="AS26" i="103"/>
  <c r="AR26" i="103"/>
  <c r="AQ26" i="103"/>
  <c r="AP26" i="103"/>
  <c r="AO26" i="103"/>
  <c r="AL26" i="103"/>
  <c r="AJ26" i="103"/>
  <c r="AI26" i="103"/>
  <c r="AH26" i="103"/>
  <c r="AN26" i="103" s="1"/>
  <c r="AG26" i="103"/>
  <c r="C26" i="103"/>
  <c r="B26" i="103"/>
  <c r="BU25" i="103"/>
  <c r="BT25" i="103"/>
  <c r="BS25" i="103"/>
  <c r="BR25" i="103"/>
  <c r="BQ25" i="103"/>
  <c r="BN25" i="103"/>
  <c r="BK25" i="103"/>
  <c r="I25" i="103" s="1"/>
  <c r="BJ25" i="103"/>
  <c r="H25" i="103" s="1"/>
  <c r="BF25" i="103" s="1"/>
  <c r="BI25" i="103"/>
  <c r="AK25" i="103" s="1"/>
  <c r="AM25" i="103" s="1"/>
  <c r="BH25" i="103"/>
  <c r="BM25" i="103" s="1"/>
  <c r="BG25" i="103"/>
  <c r="BE25" i="103"/>
  <c r="BD25" i="103"/>
  <c r="BC25" i="103"/>
  <c r="BB25" i="103"/>
  <c r="BA25" i="103"/>
  <c r="AZ25" i="103"/>
  <c r="AY25" i="103"/>
  <c r="AX25" i="103"/>
  <c r="AW25" i="103"/>
  <c r="AU25" i="103"/>
  <c r="AT25" i="103"/>
  <c r="AS25" i="103"/>
  <c r="AR25" i="103"/>
  <c r="AV25" i="103" s="1"/>
  <c r="AQ25" i="103"/>
  <c r="AP25" i="103"/>
  <c r="AO25" i="103"/>
  <c r="AL25" i="103"/>
  <c r="AJ25" i="103"/>
  <c r="AI25" i="103"/>
  <c r="AH25" i="103"/>
  <c r="AN25" i="103" s="1"/>
  <c r="AG25" i="103"/>
  <c r="G25" i="103"/>
  <c r="C25" i="103"/>
  <c r="B25" i="103"/>
  <c r="BU24" i="103"/>
  <c r="BT24" i="103"/>
  <c r="BS24" i="103"/>
  <c r="BR24" i="103"/>
  <c r="BQ24" i="103"/>
  <c r="BN24" i="103"/>
  <c r="BL24" i="103"/>
  <c r="BK24" i="103"/>
  <c r="I24" i="103" s="1"/>
  <c r="BJ24" i="103"/>
  <c r="H24" i="103" s="1"/>
  <c r="BF24" i="103" s="1"/>
  <c r="BI24" i="103"/>
  <c r="AK24" i="103" s="1"/>
  <c r="AM24" i="103" s="1"/>
  <c r="BH24" i="103"/>
  <c r="BG24" i="103"/>
  <c r="BE24" i="103"/>
  <c r="BD24" i="103"/>
  <c r="BC24" i="103"/>
  <c r="BB24" i="103"/>
  <c r="BA24" i="103"/>
  <c r="AZ24" i="103"/>
  <c r="AY24" i="103"/>
  <c r="AX24" i="103"/>
  <c r="AW24" i="103"/>
  <c r="AU24" i="103"/>
  <c r="AT24" i="103"/>
  <c r="AS24" i="103"/>
  <c r="AR24" i="103"/>
  <c r="AV24" i="103" s="1"/>
  <c r="AQ24" i="103"/>
  <c r="AP24" i="103"/>
  <c r="AO24" i="103"/>
  <c r="AL24" i="103"/>
  <c r="AJ24" i="103"/>
  <c r="AI24" i="103"/>
  <c r="AH24" i="103"/>
  <c r="AN24" i="103" s="1"/>
  <c r="AG24" i="103"/>
  <c r="G24" i="103"/>
  <c r="C24" i="103"/>
  <c r="B24" i="103"/>
  <c r="BU23" i="103"/>
  <c r="BT23" i="103"/>
  <c r="BS23" i="103"/>
  <c r="BR23" i="103"/>
  <c r="BQ23" i="103"/>
  <c r="BN23" i="103"/>
  <c r="BK23" i="103"/>
  <c r="I23" i="103" s="1"/>
  <c r="BJ23" i="103"/>
  <c r="H23" i="103" s="1"/>
  <c r="BF23" i="103" s="1"/>
  <c r="BI23" i="103"/>
  <c r="AK23" i="103" s="1"/>
  <c r="AM23" i="103" s="1"/>
  <c r="BH23" i="103"/>
  <c r="G23" i="103" s="1"/>
  <c r="BG23" i="103"/>
  <c r="BE23" i="103"/>
  <c r="BD23" i="103"/>
  <c r="BC23" i="103"/>
  <c r="BB23" i="103"/>
  <c r="BA23" i="103"/>
  <c r="AZ23" i="103"/>
  <c r="AY23" i="103"/>
  <c r="AX23" i="103"/>
  <c r="AW23" i="103"/>
  <c r="AU23" i="103"/>
  <c r="AT23" i="103"/>
  <c r="AS23" i="103"/>
  <c r="AR23" i="103"/>
  <c r="AV23" i="103" s="1"/>
  <c r="AQ23" i="103"/>
  <c r="AP23" i="103"/>
  <c r="AO23" i="103"/>
  <c r="AL23" i="103"/>
  <c r="AJ23" i="103"/>
  <c r="AI23" i="103"/>
  <c r="AH23" i="103"/>
  <c r="AN23" i="103" s="1"/>
  <c r="AG23" i="103"/>
  <c r="C23" i="103"/>
  <c r="B23" i="103"/>
  <c r="BU22" i="103"/>
  <c r="BT22" i="103"/>
  <c r="BS22" i="103"/>
  <c r="BR22" i="103"/>
  <c r="BQ22" i="103"/>
  <c r="BN22" i="103"/>
  <c r="BK22" i="103"/>
  <c r="BJ22" i="103"/>
  <c r="H22" i="103" s="1"/>
  <c r="BF22" i="103" s="1"/>
  <c r="BI22" i="103"/>
  <c r="AK22" i="103" s="1"/>
  <c r="AM22" i="103" s="1"/>
  <c r="BH22" i="103"/>
  <c r="BG22" i="103"/>
  <c r="BE22" i="103"/>
  <c r="BD22" i="103"/>
  <c r="BC22" i="103"/>
  <c r="BB22" i="103"/>
  <c r="BA22" i="103"/>
  <c r="AZ22" i="103"/>
  <c r="AY22" i="103"/>
  <c r="AX22" i="103"/>
  <c r="AW22" i="103"/>
  <c r="AU22" i="103"/>
  <c r="AT22" i="103"/>
  <c r="AS22" i="103"/>
  <c r="AR22" i="103"/>
  <c r="AV22" i="103" s="1"/>
  <c r="AQ22" i="103"/>
  <c r="AP22" i="103"/>
  <c r="AO22" i="103"/>
  <c r="AL22" i="103"/>
  <c r="AJ22" i="103"/>
  <c r="AI22" i="103"/>
  <c r="AH22" i="103"/>
  <c r="AN22" i="103" s="1"/>
  <c r="AG22" i="103"/>
  <c r="I22" i="103"/>
  <c r="G22" i="103"/>
  <c r="C22" i="103"/>
  <c r="B22" i="103"/>
  <c r="BN21" i="103"/>
  <c r="BK21" i="103"/>
  <c r="I21" i="103" s="1"/>
  <c r="BJ21" i="103"/>
  <c r="BI21" i="103"/>
  <c r="AK21" i="103" s="1"/>
  <c r="AM21" i="103" s="1"/>
  <c r="BH21" i="103"/>
  <c r="G21" i="103" s="1"/>
  <c r="BG21" i="103"/>
  <c r="BE21" i="103"/>
  <c r="BD21" i="103"/>
  <c r="BC21" i="103"/>
  <c r="BB21" i="103"/>
  <c r="BA21" i="103"/>
  <c r="AZ21" i="103"/>
  <c r="AY21" i="103"/>
  <c r="AX21" i="103"/>
  <c r="AW21" i="103"/>
  <c r="AU21" i="103"/>
  <c r="AT21" i="103"/>
  <c r="AS21" i="103"/>
  <c r="AR21" i="103"/>
  <c r="AV21" i="103" s="1"/>
  <c r="AQ21" i="103"/>
  <c r="AP21" i="103"/>
  <c r="AO21" i="103"/>
  <c r="AN21" i="103"/>
  <c r="AL21" i="103"/>
  <c r="AJ21" i="103"/>
  <c r="AI21" i="103"/>
  <c r="AH21" i="103"/>
  <c r="AG21" i="103"/>
  <c r="H21" i="103"/>
  <c r="BF21" i="103" s="1"/>
  <c r="C21" i="103"/>
  <c r="B21" i="103"/>
  <c r="BN20" i="103"/>
  <c r="BL20" i="103"/>
  <c r="BK20" i="103"/>
  <c r="I20" i="103" s="1"/>
  <c r="BJ20" i="103"/>
  <c r="H20" i="103" s="1"/>
  <c r="BF20" i="103" s="1"/>
  <c r="BI20" i="103"/>
  <c r="AK20" i="103" s="1"/>
  <c r="AM20" i="103" s="1"/>
  <c r="BH20" i="103"/>
  <c r="G20" i="103" s="1"/>
  <c r="BG20" i="103"/>
  <c r="BE20" i="103"/>
  <c r="BD20" i="103"/>
  <c r="BC20" i="103"/>
  <c r="BB20" i="103"/>
  <c r="BA20" i="103"/>
  <c r="AZ20" i="103"/>
  <c r="AY20" i="103"/>
  <c r="AX20" i="103"/>
  <c r="AW20" i="103"/>
  <c r="AU20" i="103"/>
  <c r="AT20" i="103"/>
  <c r="AS20" i="103"/>
  <c r="AR20" i="103"/>
  <c r="AV20" i="103" s="1"/>
  <c r="AQ20" i="103"/>
  <c r="AP20" i="103"/>
  <c r="AO20" i="103"/>
  <c r="AN20" i="103"/>
  <c r="AL20" i="103"/>
  <c r="AJ20" i="103"/>
  <c r="AI20" i="103"/>
  <c r="AH20" i="103"/>
  <c r="AG20" i="103"/>
  <c r="C20" i="103"/>
  <c r="B20" i="103"/>
  <c r="BN19" i="103"/>
  <c r="BK19" i="103"/>
  <c r="I19" i="103" s="1"/>
  <c r="BJ19" i="103"/>
  <c r="H19" i="103" s="1"/>
  <c r="BF19" i="103" s="1"/>
  <c r="BI19" i="103"/>
  <c r="BM19" i="103" s="1"/>
  <c r="BH19" i="103"/>
  <c r="BL19" i="103" s="1"/>
  <c r="BG19" i="103"/>
  <c r="BE19" i="103"/>
  <c r="BD19" i="103"/>
  <c r="BC19" i="103"/>
  <c r="BB19" i="103"/>
  <c r="BA19" i="103"/>
  <c r="AZ19" i="103"/>
  <c r="AY19" i="103"/>
  <c r="AX19" i="103"/>
  <c r="AW19" i="103"/>
  <c r="AV19" i="103"/>
  <c r="AU19" i="103"/>
  <c r="AT19" i="103"/>
  <c r="AS19" i="103"/>
  <c r="AR19" i="103"/>
  <c r="AQ19" i="103"/>
  <c r="AP19" i="103"/>
  <c r="AO19" i="103"/>
  <c r="AL19" i="103"/>
  <c r="AJ19" i="103"/>
  <c r="AI19" i="103"/>
  <c r="AH19" i="103"/>
  <c r="AN19" i="103" s="1"/>
  <c r="AG19" i="103"/>
  <c r="G19" i="103"/>
  <c r="C19" i="103"/>
  <c r="B19" i="103"/>
  <c r="BN18" i="103"/>
  <c r="BK18" i="103"/>
  <c r="I18" i="103" s="1"/>
  <c r="BJ18" i="103"/>
  <c r="H18" i="103" s="1"/>
  <c r="BF18" i="103" s="1"/>
  <c r="BI18" i="103"/>
  <c r="AK18" i="103" s="1"/>
  <c r="AM18" i="103" s="1"/>
  <c r="BH18" i="103"/>
  <c r="BM18" i="103" s="1"/>
  <c r="BG18" i="103"/>
  <c r="BE18" i="103"/>
  <c r="BD18" i="103"/>
  <c r="BC18" i="103"/>
  <c r="BB18" i="103"/>
  <c r="BA18" i="103"/>
  <c r="AZ18" i="103"/>
  <c r="AY18" i="103"/>
  <c r="AX18" i="103"/>
  <c r="AW18" i="103"/>
  <c r="AU18" i="103"/>
  <c r="AT18" i="103"/>
  <c r="AS18" i="103"/>
  <c r="AR18" i="103"/>
  <c r="AV18" i="103" s="1"/>
  <c r="AQ18" i="103"/>
  <c r="AP18" i="103"/>
  <c r="AO18" i="103"/>
  <c r="AL18" i="103"/>
  <c r="AJ18" i="103"/>
  <c r="AI18" i="103"/>
  <c r="AH18" i="103"/>
  <c r="AN18" i="103" s="1"/>
  <c r="AG18" i="103"/>
  <c r="G18" i="103"/>
  <c r="C18" i="103"/>
  <c r="B18" i="103"/>
  <c r="BN17" i="103"/>
  <c r="BK17" i="103"/>
  <c r="I17" i="103" s="1"/>
  <c r="BJ17" i="103"/>
  <c r="BI17" i="103"/>
  <c r="BH17" i="103"/>
  <c r="G17" i="103" s="1"/>
  <c r="BG17" i="103"/>
  <c r="BE17" i="103"/>
  <c r="BD17" i="103"/>
  <c r="BC17" i="103"/>
  <c r="BB17" i="103"/>
  <c r="BA17" i="103"/>
  <c r="AZ17" i="103"/>
  <c r="AY17" i="103"/>
  <c r="AX17" i="103"/>
  <c r="AW17" i="103"/>
  <c r="AU17" i="103"/>
  <c r="AT17" i="103"/>
  <c r="AS17" i="103"/>
  <c r="AR17" i="103"/>
  <c r="AV17" i="103" s="1"/>
  <c r="AQ17" i="103"/>
  <c r="AP17" i="103"/>
  <c r="AO17" i="103"/>
  <c r="AL17" i="103"/>
  <c r="AK17" i="103"/>
  <c r="AM17" i="103" s="1"/>
  <c r="AJ17" i="103"/>
  <c r="AI17" i="103"/>
  <c r="AH17" i="103"/>
  <c r="AN17" i="103" s="1"/>
  <c r="AG17" i="103"/>
  <c r="H17" i="103"/>
  <c r="BF17" i="103" s="1"/>
  <c r="C17" i="103"/>
  <c r="B17" i="103"/>
  <c r="BN16" i="103"/>
  <c r="BL16" i="103"/>
  <c r="BK16" i="103"/>
  <c r="I16" i="103" s="1"/>
  <c r="BJ16" i="103"/>
  <c r="H16" i="103" s="1"/>
  <c r="BF16" i="103" s="1"/>
  <c r="BI16" i="103"/>
  <c r="AK16" i="103" s="1"/>
  <c r="AM16" i="103" s="1"/>
  <c r="BH16" i="103"/>
  <c r="G16" i="103" s="1"/>
  <c r="BG16" i="103"/>
  <c r="BE16" i="103"/>
  <c r="BD16" i="103"/>
  <c r="BC16" i="103"/>
  <c r="BB16" i="103"/>
  <c r="BA16" i="103"/>
  <c r="AZ16" i="103"/>
  <c r="AY16" i="103"/>
  <c r="AX16" i="103"/>
  <c r="AW16" i="103"/>
  <c r="AU16" i="103"/>
  <c r="AT16" i="103"/>
  <c r="AS16" i="103"/>
  <c r="AR16" i="103"/>
  <c r="AV16" i="103" s="1"/>
  <c r="AQ16" i="103"/>
  <c r="AP16" i="103"/>
  <c r="AO16" i="103"/>
  <c r="AL16" i="103"/>
  <c r="AJ16" i="103"/>
  <c r="AI16" i="103"/>
  <c r="AH16" i="103"/>
  <c r="AN16" i="103" s="1"/>
  <c r="AG16" i="103"/>
  <c r="C16" i="103"/>
  <c r="B16" i="103"/>
  <c r="BN15" i="103"/>
  <c r="BK15" i="103"/>
  <c r="I15" i="103" s="1"/>
  <c r="BJ15" i="103"/>
  <c r="H15" i="103" s="1"/>
  <c r="BF15" i="103" s="1"/>
  <c r="BI15" i="103"/>
  <c r="AK15" i="103" s="1"/>
  <c r="AM15" i="103" s="1"/>
  <c r="BH15" i="103"/>
  <c r="BL15" i="103" s="1"/>
  <c r="BG15" i="103"/>
  <c r="BE15" i="103"/>
  <c r="BD15" i="103"/>
  <c r="BC15" i="103"/>
  <c r="BB15" i="103"/>
  <c r="BA15" i="103"/>
  <c r="AZ15" i="103"/>
  <c r="AY15" i="103"/>
  <c r="AX15" i="103"/>
  <c r="AW15" i="103"/>
  <c r="AU15" i="103"/>
  <c r="AT15" i="103"/>
  <c r="AS15" i="103"/>
  <c r="AR15" i="103"/>
  <c r="AV15" i="103" s="1"/>
  <c r="AQ15" i="103"/>
  <c r="AP15" i="103"/>
  <c r="AO15" i="103"/>
  <c r="AL15" i="103"/>
  <c r="AJ15" i="103"/>
  <c r="AI15" i="103"/>
  <c r="AH15" i="103"/>
  <c r="AN15" i="103" s="1"/>
  <c r="AG15" i="103"/>
  <c r="G15" i="103"/>
  <c r="C15" i="103"/>
  <c r="B15" i="103"/>
  <c r="BH14" i="103"/>
  <c r="BE14" i="103"/>
  <c r="BD14" i="103"/>
  <c r="BC14" i="103"/>
  <c r="AU14" i="103"/>
  <c r="AS14" i="103"/>
  <c r="AQ14" i="103"/>
  <c r="AO14" i="103"/>
  <c r="AL14" i="103"/>
  <c r="AH14" i="103"/>
  <c r="AG14" i="103"/>
  <c r="G14" i="103"/>
  <c r="BB14" i="103" s="1"/>
  <c r="BH13" i="103"/>
  <c r="G13" i="103" s="1"/>
  <c r="BE13" i="103"/>
  <c r="BD13" i="103"/>
  <c r="BC13" i="103"/>
  <c r="AU13" i="103"/>
  <c r="AS13" i="103"/>
  <c r="AQ13" i="103"/>
  <c r="AO13" i="103"/>
  <c r="AN13" i="103"/>
  <c r="AL13" i="103"/>
  <c r="AG13" i="103"/>
  <c r="BL12" i="103"/>
  <c r="BK12" i="103"/>
  <c r="I12" i="103" s="1"/>
  <c r="BI12" i="103"/>
  <c r="BN12" i="103" s="1"/>
  <c r="BH12" i="103"/>
  <c r="BE12" i="103"/>
  <c r="BD12" i="103"/>
  <c r="BC12" i="103"/>
  <c r="AY12" i="103"/>
  <c r="AW12" i="103"/>
  <c r="AU12" i="103"/>
  <c r="AS12" i="103"/>
  <c r="AQ12" i="103"/>
  <c r="AO12" i="103"/>
  <c r="AL12" i="103"/>
  <c r="AN12" i="103" s="1"/>
  <c r="AG12" i="103"/>
  <c r="G12" i="103"/>
  <c r="BB12" i="103" s="1"/>
  <c r="BM11" i="103"/>
  <c r="BL11" i="103"/>
  <c r="BK11" i="103"/>
  <c r="I11" i="103" s="1"/>
  <c r="BI11" i="103"/>
  <c r="BJ11" i="103" s="1"/>
  <c r="H11" i="103" s="1"/>
  <c r="BF11" i="103" s="1"/>
  <c r="BH11" i="103"/>
  <c r="BE11" i="103"/>
  <c r="BD11" i="103"/>
  <c r="BC11" i="103"/>
  <c r="BA11" i="103"/>
  <c r="AZ11" i="103"/>
  <c r="AY11" i="103"/>
  <c r="AW11" i="103"/>
  <c r="AU11" i="103"/>
  <c r="AS11" i="103"/>
  <c r="AQ11" i="103"/>
  <c r="AO11" i="103"/>
  <c r="AN11" i="103"/>
  <c r="AL11" i="103"/>
  <c r="AM11" i="103" s="1"/>
  <c r="AK11" i="103"/>
  <c r="AT11" i="103" s="1"/>
  <c r="G11" i="103"/>
  <c r="AX11" i="103" s="1"/>
  <c r="BL10" i="103"/>
  <c r="BH10" i="103"/>
  <c r="G10" i="103" s="1"/>
  <c r="BE10" i="103"/>
  <c r="BD10" i="103"/>
  <c r="BC10" i="103"/>
  <c r="AU10" i="103"/>
  <c r="AU42" i="103" s="1"/>
  <c r="AS10" i="103"/>
  <c r="AQ10" i="103"/>
  <c r="AO10" i="103"/>
  <c r="AN10" i="103"/>
  <c r="AL10" i="103"/>
  <c r="AG10" i="103"/>
  <c r="BH9" i="103"/>
  <c r="BE9" i="103"/>
  <c r="BD9" i="103"/>
  <c r="BC9" i="103"/>
  <c r="BB9" i="103"/>
  <c r="AU9" i="103"/>
  <c r="AS9" i="103"/>
  <c r="AS42" i="103" s="1"/>
  <c r="AT42" i="103" s="1"/>
  <c r="AQ9" i="103"/>
  <c r="AI9" i="103" s="1"/>
  <c r="C9" i="103" s="1"/>
  <c r="AO9" i="103"/>
  <c r="AL9" i="103"/>
  <c r="AN9" i="103" s="1"/>
  <c r="AJ9" i="103"/>
  <c r="G9" i="103"/>
  <c r="BA9" i="103" s="1"/>
  <c r="B9" i="103"/>
  <c r="AV7" i="103"/>
  <c r="AN14" i="103" l="1"/>
  <c r="AV44" i="103"/>
  <c r="AI12" i="103"/>
  <c r="C12" i="103" s="1"/>
  <c r="AI11" i="103"/>
  <c r="C11" i="103" s="1"/>
  <c r="BC5" i="103"/>
  <c r="BD5" i="103"/>
  <c r="AK37" i="103"/>
  <c r="AM37" i="103" s="1"/>
  <c r="AK40" i="103"/>
  <c r="AM40" i="103" s="1"/>
  <c r="AN13" i="104"/>
  <c r="AK27" i="104"/>
  <c r="AM27" i="104" s="1"/>
  <c r="BM29" i="104"/>
  <c r="AK19" i="103"/>
  <c r="AM19" i="103" s="1"/>
  <c r="AK15" i="104"/>
  <c r="AM15" i="104" s="1"/>
  <c r="BM16" i="104"/>
  <c r="AK20" i="104"/>
  <c r="AM20" i="104" s="1"/>
  <c r="BM24" i="103"/>
  <c r="AK27" i="103"/>
  <c r="AM27" i="103" s="1"/>
  <c r="BM32" i="103"/>
  <c r="AK19" i="104"/>
  <c r="AM19" i="104" s="1"/>
  <c r="BM26" i="104"/>
  <c r="BM34" i="104"/>
  <c r="AN9" i="104"/>
  <c r="G35" i="104"/>
  <c r="BM35" i="104"/>
  <c r="BL35" i="104"/>
  <c r="BD5" i="104"/>
  <c r="AI10" i="104"/>
  <c r="C10" i="104" s="1"/>
  <c r="BA11" i="104"/>
  <c r="BI12" i="104"/>
  <c r="AW12" i="104"/>
  <c r="BK12" i="104"/>
  <c r="I12" i="104" s="1"/>
  <c r="AN14" i="104"/>
  <c r="G25" i="104"/>
  <c r="BM25" i="104"/>
  <c r="BL25" i="104"/>
  <c r="G22" i="104"/>
  <c r="BM22" i="104"/>
  <c r="BL22" i="104"/>
  <c r="BE5" i="104"/>
  <c r="AI14" i="104"/>
  <c r="C14" i="104" s="1"/>
  <c r="G28" i="104"/>
  <c r="BM28" i="104"/>
  <c r="BL28" i="104"/>
  <c r="G29" i="104"/>
  <c r="AK37" i="104"/>
  <c r="AM37" i="104" s="1"/>
  <c r="AQ42" i="104"/>
  <c r="BM22" i="103"/>
  <c r="BC5" i="104"/>
  <c r="G18" i="104"/>
  <c r="BM18" i="104"/>
  <c r="BL18" i="104"/>
  <c r="G31" i="104"/>
  <c r="BM31" i="104"/>
  <c r="BL31" i="104"/>
  <c r="BK11" i="104"/>
  <c r="I11" i="104" s="1"/>
  <c r="AY11" i="104"/>
  <c r="BI11" i="104"/>
  <c r="AZ11" i="104" s="1"/>
  <c r="AW11" i="104"/>
  <c r="BM38" i="104"/>
  <c r="G38" i="104"/>
  <c r="B10" i="104"/>
  <c r="B11" i="104" s="1"/>
  <c r="G9" i="104"/>
  <c r="AY12" i="104"/>
  <c r="G10" i="104"/>
  <c r="BL10" i="104"/>
  <c r="BB12" i="104"/>
  <c r="AV44" i="104"/>
  <c r="AV45" i="104" s="1"/>
  <c r="G13" i="104"/>
  <c r="AI9" i="104"/>
  <c r="C9" i="104" s="1"/>
  <c r="G14" i="104"/>
  <c r="BL14" i="104"/>
  <c r="BM15" i="103"/>
  <c r="BM28" i="103"/>
  <c r="AI44" i="104"/>
  <c r="BL13" i="104"/>
  <c r="BM17" i="104"/>
  <c r="BL29" i="104"/>
  <c r="AV45" i="103"/>
  <c r="AU42" i="104"/>
  <c r="G39" i="104"/>
  <c r="BM39" i="104"/>
  <c r="BL39" i="104"/>
  <c r="BE5" i="103"/>
  <c r="BM35" i="103"/>
  <c r="AN42" i="103"/>
  <c r="AN7" i="103"/>
  <c r="AV42" i="103"/>
  <c r="E42" i="103"/>
  <c r="Q6" i="103"/>
  <c r="AI10" i="103"/>
  <c r="C10" i="103" s="1"/>
  <c r="AI13" i="103"/>
  <c r="C13" i="103" s="1"/>
  <c r="AI14" i="103"/>
  <c r="C14" i="103" s="1"/>
  <c r="BB13" i="103"/>
  <c r="BA13" i="103"/>
  <c r="AZ13" i="103"/>
  <c r="BK13" i="103"/>
  <c r="I13" i="103" s="1"/>
  <c r="AY13" i="103"/>
  <c r="BI13" i="103"/>
  <c r="AW13" i="103"/>
  <c r="BK10" i="103"/>
  <c r="I10" i="103" s="1"/>
  <c r="AY10" i="103"/>
  <c r="BI10" i="103"/>
  <c r="AW10" i="103"/>
  <c r="BA10" i="103"/>
  <c r="BA5" i="103" s="1"/>
  <c r="AZ10" i="103"/>
  <c r="BB10" i="103"/>
  <c r="B10" i="103"/>
  <c r="BJ12" i="103"/>
  <c r="H12" i="103" s="1"/>
  <c r="BF12" i="103" s="1"/>
  <c r="B11" i="103"/>
  <c r="AP11" i="103" s="1"/>
  <c r="BG11" i="103" s="1"/>
  <c r="BB11" i="103"/>
  <c r="BN11" i="103"/>
  <c r="AZ12" i="103"/>
  <c r="BM16" i="103"/>
  <c r="BM20" i="103"/>
  <c r="BM33" i="103"/>
  <c r="AQ42" i="103"/>
  <c r="AK12" i="103"/>
  <c r="BA12" i="103"/>
  <c r="BM12" i="103"/>
  <c r="BL23" i="103"/>
  <c r="BL26" i="103"/>
  <c r="BL29" i="103"/>
  <c r="AR11" i="103"/>
  <c r="AV11" i="103" s="1"/>
  <c r="BL13" i="103"/>
  <c r="AW14" i="103"/>
  <c r="BI14" i="103"/>
  <c r="BM14" i="103" s="1"/>
  <c r="BL17" i="103"/>
  <c r="BL21" i="103"/>
  <c r="BM23" i="103"/>
  <c r="BM26" i="103"/>
  <c r="BM29" i="103"/>
  <c r="BL34" i="103"/>
  <c r="BM13" i="103"/>
  <c r="BM17" i="103"/>
  <c r="BM21" i="103"/>
  <c r="BM34" i="103"/>
  <c r="BL38" i="103"/>
  <c r="AW9" i="103"/>
  <c r="BI9" i="103"/>
  <c r="AY14" i="103"/>
  <c r="BK14" i="103"/>
  <c r="I14" i="103" s="1"/>
  <c r="BM38" i="103"/>
  <c r="AJ10" i="103"/>
  <c r="AJ11" i="103" s="1"/>
  <c r="AJ12" i="103" s="1"/>
  <c r="AJ13" i="103" s="1"/>
  <c r="AJ14" i="103" s="1"/>
  <c r="BL14" i="103"/>
  <c r="BL18" i="103"/>
  <c r="BL22" i="103"/>
  <c r="BL25" i="103"/>
  <c r="BL28" i="103"/>
  <c r="BL31" i="103"/>
  <c r="BL35" i="103"/>
  <c r="AY9" i="103"/>
  <c r="BK9" i="103"/>
  <c r="I9" i="103" s="1"/>
  <c r="BA14" i="103"/>
  <c r="BL39" i="103"/>
  <c r="BL9" i="103"/>
  <c r="BM39" i="103"/>
  <c r="BB5" i="103" l="1"/>
  <c r="AN42" i="104"/>
  <c r="AY5" i="103"/>
  <c r="H42" i="103" s="1"/>
  <c r="AK12" i="104"/>
  <c r="AZ12" i="104"/>
  <c r="BN12" i="104"/>
  <c r="BM12" i="104"/>
  <c r="BJ12" i="104"/>
  <c r="H12" i="104" s="1"/>
  <c r="BF12" i="104" s="1"/>
  <c r="E42" i="104"/>
  <c r="AV42" i="104"/>
  <c r="AV46" i="104" s="1"/>
  <c r="Q6" i="104"/>
  <c r="BB13" i="104"/>
  <c r="AY13" i="104"/>
  <c r="BK13" i="104"/>
  <c r="I13" i="104" s="1"/>
  <c r="AW13" i="104"/>
  <c r="BI13" i="104"/>
  <c r="AZ13" i="104" s="1"/>
  <c r="BA13" i="104"/>
  <c r="AV46" i="103"/>
  <c r="BB10" i="104"/>
  <c r="BA10" i="104"/>
  <c r="BK10" i="104"/>
  <c r="I10" i="104" s="1"/>
  <c r="AY10" i="104"/>
  <c r="BI10" i="104"/>
  <c r="AW10" i="104"/>
  <c r="BJ11" i="104"/>
  <c r="H11" i="104" s="1"/>
  <c r="BF11" i="104" s="1"/>
  <c r="AK11" i="104"/>
  <c r="BN11" i="104"/>
  <c r="BM11" i="104"/>
  <c r="B12" i="104"/>
  <c r="AN7" i="104"/>
  <c r="BB14" i="104"/>
  <c r="BA14" i="104"/>
  <c r="BK14" i="104"/>
  <c r="I14" i="104" s="1"/>
  <c r="AY14" i="104"/>
  <c r="BI14" i="104"/>
  <c r="AZ14" i="104" s="1"/>
  <c r="AW14" i="104"/>
  <c r="BB9" i="104"/>
  <c r="BB5" i="104" s="1"/>
  <c r="AZ9" i="104"/>
  <c r="AY9" i="104"/>
  <c r="BI9" i="104"/>
  <c r="BK9" i="104"/>
  <c r="I9" i="104" s="1"/>
  <c r="AW9" i="104"/>
  <c r="BA9" i="104"/>
  <c r="BA5" i="104" s="1"/>
  <c r="BJ13" i="103"/>
  <c r="H13" i="103" s="1"/>
  <c r="BF13" i="103" s="1"/>
  <c r="AK13" i="103"/>
  <c r="BN13" i="103"/>
  <c r="B12" i="103"/>
  <c r="BN14" i="103"/>
  <c r="BJ14" i="103"/>
  <c r="H14" i="103" s="1"/>
  <c r="BF14" i="103" s="1"/>
  <c r="AK14" i="103"/>
  <c r="BJ10" i="103"/>
  <c r="H10" i="103" s="1"/>
  <c r="BF10" i="103" s="1"/>
  <c r="AK10" i="103"/>
  <c r="BN10" i="103"/>
  <c r="BM10" i="103"/>
  <c r="AI44" i="103"/>
  <c r="BJ9" i="103"/>
  <c r="H9" i="103" s="1"/>
  <c r="AK9" i="103"/>
  <c r="BN9" i="103"/>
  <c r="BM9" i="103"/>
  <c r="AT12" i="103"/>
  <c r="AM12" i="103"/>
  <c r="AX12" i="103"/>
  <c r="AR12" i="103"/>
  <c r="AV12" i="103" s="1"/>
  <c r="AZ9" i="103"/>
  <c r="AZ14" i="103"/>
  <c r="AP12" i="104" l="1"/>
  <c r="AY5" i="104"/>
  <c r="B13" i="104"/>
  <c r="BJ14" i="104"/>
  <c r="H14" i="104" s="1"/>
  <c r="BF14" i="104" s="1"/>
  <c r="AK14" i="104"/>
  <c r="BM14" i="104"/>
  <c r="BN14" i="104"/>
  <c r="AM11" i="104"/>
  <c r="AR11" i="104"/>
  <c r="AV11" i="104" s="1"/>
  <c r="AT11" i="104"/>
  <c r="AX11" i="104"/>
  <c r="BG12" i="104"/>
  <c r="AK9" i="104"/>
  <c r="BJ9" i="104"/>
  <c r="H9" i="104" s="1"/>
  <c r="BN9" i="104"/>
  <c r="BM9" i="104"/>
  <c r="BJ10" i="104"/>
  <c r="H10" i="104" s="1"/>
  <c r="AK10" i="104"/>
  <c r="BN10" i="104"/>
  <c r="BM10" i="104"/>
  <c r="B14" i="104"/>
  <c r="AP14" i="104" s="1"/>
  <c r="AT12" i="104"/>
  <c r="AM12" i="104"/>
  <c r="AR12" i="104"/>
  <c r="AV12" i="104" s="1"/>
  <c r="AX12" i="104"/>
  <c r="BJ13" i="104"/>
  <c r="H13" i="104" s="1"/>
  <c r="BF13" i="104" s="1"/>
  <c r="AK13" i="104"/>
  <c r="BM13" i="104"/>
  <c r="BN13" i="104"/>
  <c r="H42" i="104"/>
  <c r="AZ10" i="104"/>
  <c r="AP11" i="104"/>
  <c r="AM9" i="103"/>
  <c r="AR9" i="103"/>
  <c r="AT9" i="103"/>
  <c r="AX9" i="103"/>
  <c r="BG9" i="103" s="1"/>
  <c r="AP9" i="103"/>
  <c r="BF9" i="103"/>
  <c r="AP12" i="103"/>
  <c r="BG12" i="103" s="1"/>
  <c r="B13" i="103"/>
  <c r="AP13" i="103" s="1"/>
  <c r="B14" i="103"/>
  <c r="AP14" i="103" s="1"/>
  <c r="AM10" i="103"/>
  <c r="AT10" i="103"/>
  <c r="AR10" i="103"/>
  <c r="AV10" i="103" s="1"/>
  <c r="AX10" i="103"/>
  <c r="AX14" i="103"/>
  <c r="AM14" i="103"/>
  <c r="AR14" i="103"/>
  <c r="AV14" i="103" s="1"/>
  <c r="AT14" i="103"/>
  <c r="AP10" i="103"/>
  <c r="AZ5" i="103"/>
  <c r="AT13" i="103"/>
  <c r="AR13" i="103"/>
  <c r="AV13" i="103" s="1"/>
  <c r="AM13" i="103"/>
  <c r="AX13" i="103"/>
  <c r="BG14" i="103" l="1"/>
  <c r="BF10" i="104"/>
  <c r="AP10" i="104"/>
  <c r="AT13" i="104"/>
  <c r="AR13" i="104"/>
  <c r="AV13" i="104" s="1"/>
  <c r="AM13" i="104"/>
  <c r="AX13" i="104"/>
  <c r="BG13" i="104" s="1"/>
  <c r="AM14" i="104"/>
  <c r="AT14" i="104"/>
  <c r="AR14" i="104"/>
  <c r="AV14" i="104" s="1"/>
  <c r="AX14" i="104"/>
  <c r="BG14" i="104" s="1"/>
  <c r="BG11" i="104"/>
  <c r="BF9" i="104"/>
  <c r="AP9" i="104"/>
  <c r="AP13" i="104"/>
  <c r="AM10" i="104"/>
  <c r="AT10" i="104"/>
  <c r="AR10" i="104"/>
  <c r="AV10" i="104" s="1"/>
  <c r="AX10" i="104"/>
  <c r="BG10" i="104" s="1"/>
  <c r="AT9" i="104"/>
  <c r="AR9" i="104"/>
  <c r="AM9" i="104"/>
  <c r="AX9" i="104"/>
  <c r="AZ5" i="104"/>
  <c r="AV9" i="103"/>
  <c r="AR42" i="103"/>
  <c r="AR46" i="103" s="1"/>
  <c r="BG13" i="103"/>
  <c r="BG10" i="103"/>
  <c r="AM7" i="103"/>
  <c r="AM42" i="103"/>
  <c r="AX5" i="103" s="1"/>
  <c r="J42" i="103" l="1"/>
  <c r="AM42" i="104"/>
  <c r="AM7" i="104"/>
  <c r="J42" i="104" s="1"/>
  <c r="AV9" i="104"/>
  <c r="AR42" i="104"/>
  <c r="AR46" i="104" s="1"/>
  <c r="AX5" i="104"/>
  <c r="BG9" i="104"/>
  <c r="AW5" i="103"/>
  <c r="U45" i="103" s="1"/>
  <c r="U46" i="103"/>
  <c r="AR47" i="103"/>
  <c r="B42" i="103" s="1"/>
  <c r="F42" i="103" l="1"/>
  <c r="U48" i="103" s="1"/>
  <c r="U50" i="103" s="1"/>
  <c r="F42" i="104"/>
  <c r="U48" i="104" s="1"/>
  <c r="U50" i="104" s="1"/>
  <c r="Q7" i="104"/>
  <c r="AW5" i="104"/>
  <c r="U46" i="104"/>
  <c r="U45" i="104"/>
  <c r="AR47" i="104"/>
  <c r="B42" i="104" s="1"/>
  <c r="O42" i="103"/>
  <c r="BO35" i="103"/>
  <c r="O41" i="103"/>
  <c r="Q42" i="103"/>
  <c r="Q41" i="103"/>
  <c r="BO40" i="103"/>
  <c r="Q7" i="103" l="1"/>
  <c r="F8" i="5" s="1"/>
  <c r="Q42" i="104"/>
  <c r="Q41" i="104"/>
  <c r="BO40" i="104"/>
  <c r="O42" i="104"/>
  <c r="BO35" i="104"/>
  <c r="O41" i="104"/>
  <c r="U49" i="102" l="1"/>
  <c r="AT45" i="102"/>
  <c r="AR45" i="102"/>
  <c r="BE44" i="102"/>
  <c r="AT44" i="102"/>
  <c r="BN40" i="102"/>
  <c r="BL40" i="102"/>
  <c r="BK40" i="102"/>
  <c r="BJ40" i="102"/>
  <c r="BI40" i="102"/>
  <c r="BM40" i="102" s="1"/>
  <c r="BH40" i="102"/>
  <c r="BG40" i="102"/>
  <c r="BE40" i="102"/>
  <c r="BD40" i="102"/>
  <c r="BC40" i="102"/>
  <c r="BB40" i="102"/>
  <c r="BA40" i="102"/>
  <c r="AZ40" i="102"/>
  <c r="AY40" i="102"/>
  <c r="AX40" i="102"/>
  <c r="AW40" i="102"/>
  <c r="AU40" i="102"/>
  <c r="AT40" i="102"/>
  <c r="AS40" i="102"/>
  <c r="AR40" i="102"/>
  <c r="AV40" i="102" s="1"/>
  <c r="AQ40" i="102"/>
  <c r="AP40" i="102"/>
  <c r="AO40" i="102"/>
  <c r="AL40" i="102"/>
  <c r="AJ40" i="102"/>
  <c r="AI40" i="102"/>
  <c r="AH40" i="102"/>
  <c r="AN40" i="102" s="1"/>
  <c r="AG40" i="102"/>
  <c r="I40" i="102"/>
  <c r="H40" i="102"/>
  <c r="BF40" i="102" s="1"/>
  <c r="G40" i="102"/>
  <c r="C40" i="102"/>
  <c r="B40" i="102"/>
  <c r="BN39" i="102"/>
  <c r="BK39" i="102"/>
  <c r="I39" i="102" s="1"/>
  <c r="BJ39" i="102"/>
  <c r="H39" i="102" s="1"/>
  <c r="BF39" i="102" s="1"/>
  <c r="BI39" i="102"/>
  <c r="AK39" i="102" s="1"/>
  <c r="AM39" i="102" s="1"/>
  <c r="BH39" i="102"/>
  <c r="G39" i="102" s="1"/>
  <c r="BG39" i="102"/>
  <c r="BE39" i="102"/>
  <c r="BD39" i="102"/>
  <c r="BC39" i="102"/>
  <c r="BB39" i="102"/>
  <c r="BA39" i="102"/>
  <c r="AZ39" i="102"/>
  <c r="AY39" i="102"/>
  <c r="AX39" i="102"/>
  <c r="AW39" i="102"/>
  <c r="AU39" i="102"/>
  <c r="AT39" i="102"/>
  <c r="AS39" i="102"/>
  <c r="AR39" i="102"/>
  <c r="AV39" i="102" s="1"/>
  <c r="AQ39" i="102"/>
  <c r="AP39" i="102"/>
  <c r="AO39" i="102"/>
  <c r="AL39" i="102"/>
  <c r="AJ39" i="102"/>
  <c r="AI39" i="102"/>
  <c r="AH39" i="102"/>
  <c r="AN39" i="102" s="1"/>
  <c r="AG39" i="102"/>
  <c r="C39" i="102"/>
  <c r="B39" i="102"/>
  <c r="BN38" i="102"/>
  <c r="BK38" i="102"/>
  <c r="I38" i="102" s="1"/>
  <c r="BJ38" i="102"/>
  <c r="H38" i="102" s="1"/>
  <c r="BF38" i="102" s="1"/>
  <c r="BI38" i="102"/>
  <c r="AK38" i="102" s="1"/>
  <c r="AM38" i="102" s="1"/>
  <c r="BH38" i="102"/>
  <c r="BG38" i="102"/>
  <c r="BE38" i="102"/>
  <c r="BD38" i="102"/>
  <c r="BC38" i="102"/>
  <c r="BB38" i="102"/>
  <c r="BA38" i="102"/>
  <c r="AZ38" i="102"/>
  <c r="AY38" i="102"/>
  <c r="AX38" i="102"/>
  <c r="AW38" i="102"/>
  <c r="AU38" i="102"/>
  <c r="AT38" i="102"/>
  <c r="AS38" i="102"/>
  <c r="AR38" i="102"/>
  <c r="AV38" i="102" s="1"/>
  <c r="AQ38" i="102"/>
  <c r="AP38" i="102"/>
  <c r="AO38" i="102"/>
  <c r="AL38" i="102"/>
  <c r="AJ38" i="102"/>
  <c r="AI38" i="102"/>
  <c r="AH38" i="102"/>
  <c r="AN38" i="102" s="1"/>
  <c r="AG38" i="102"/>
  <c r="C38" i="102"/>
  <c r="B38" i="102"/>
  <c r="BN37" i="102"/>
  <c r="BL37" i="102"/>
  <c r="BK37" i="102"/>
  <c r="I37" i="102" s="1"/>
  <c r="BJ37" i="102"/>
  <c r="H37" i="102" s="1"/>
  <c r="BF37" i="102" s="1"/>
  <c r="BI37" i="102"/>
  <c r="BM37" i="102" s="1"/>
  <c r="BH37" i="102"/>
  <c r="BG37" i="102"/>
  <c r="BE37" i="102"/>
  <c r="BD37" i="102"/>
  <c r="BC37" i="102"/>
  <c r="BB37" i="102"/>
  <c r="BA37" i="102"/>
  <c r="AZ37" i="102"/>
  <c r="AY37" i="102"/>
  <c r="AX37" i="102"/>
  <c r="AW37" i="102"/>
  <c r="AU37" i="102"/>
  <c r="AT37" i="102"/>
  <c r="AS37" i="102"/>
  <c r="AR37" i="102"/>
  <c r="AV37" i="102" s="1"/>
  <c r="AQ37" i="102"/>
  <c r="AP37" i="102"/>
  <c r="AO37" i="102"/>
  <c r="AL37" i="102"/>
  <c r="AJ37" i="102"/>
  <c r="AI37" i="102"/>
  <c r="AH37" i="102"/>
  <c r="AN37" i="102" s="1"/>
  <c r="AG37" i="102"/>
  <c r="G37" i="102"/>
  <c r="C37" i="102"/>
  <c r="B37" i="102"/>
  <c r="BN36" i="102"/>
  <c r="BL36" i="102"/>
  <c r="BK36" i="102"/>
  <c r="I36" i="102" s="1"/>
  <c r="BJ36" i="102"/>
  <c r="H36" i="102" s="1"/>
  <c r="BF36" i="102" s="1"/>
  <c r="BI36" i="102"/>
  <c r="BM36" i="102" s="1"/>
  <c r="BH36" i="102"/>
  <c r="BG36" i="102"/>
  <c r="BE36" i="102"/>
  <c r="BD36" i="102"/>
  <c r="BC36" i="102"/>
  <c r="BB36" i="102"/>
  <c r="BA36" i="102"/>
  <c r="AZ36" i="102"/>
  <c r="AY36" i="102"/>
  <c r="AX36" i="102"/>
  <c r="AW36" i="102"/>
  <c r="AU36" i="102"/>
  <c r="AT36" i="102"/>
  <c r="AS36" i="102"/>
  <c r="AR36" i="102"/>
  <c r="AV36" i="102" s="1"/>
  <c r="AQ36" i="102"/>
  <c r="AP36" i="102"/>
  <c r="AO36" i="102"/>
  <c r="AL36" i="102"/>
  <c r="AJ36" i="102"/>
  <c r="AI36" i="102"/>
  <c r="AH36" i="102"/>
  <c r="AN36" i="102" s="1"/>
  <c r="AG36" i="102"/>
  <c r="G36" i="102"/>
  <c r="C36" i="102"/>
  <c r="B36" i="102"/>
  <c r="BN35" i="102"/>
  <c r="BL35" i="102"/>
  <c r="BK35" i="102"/>
  <c r="BJ35" i="102"/>
  <c r="H35" i="102" s="1"/>
  <c r="BF35" i="102" s="1"/>
  <c r="BI35" i="102"/>
  <c r="AK35" i="102" s="1"/>
  <c r="AM35" i="102" s="1"/>
  <c r="BH35" i="102"/>
  <c r="G35" i="102" s="1"/>
  <c r="BG35" i="102"/>
  <c r="BE35" i="102"/>
  <c r="BD35" i="102"/>
  <c r="BC35" i="102"/>
  <c r="BB35" i="102"/>
  <c r="BA35" i="102"/>
  <c r="AZ35" i="102"/>
  <c r="AY35" i="102"/>
  <c r="AX35" i="102"/>
  <c r="AW35" i="102"/>
  <c r="AU35" i="102"/>
  <c r="AT35" i="102"/>
  <c r="AS35" i="102"/>
  <c r="AR35" i="102"/>
  <c r="AV35" i="102" s="1"/>
  <c r="AQ35" i="102"/>
  <c r="AP35" i="102"/>
  <c r="AO35" i="102"/>
  <c r="AL35" i="102"/>
  <c r="AJ35" i="102"/>
  <c r="AI35" i="102"/>
  <c r="AH35" i="102"/>
  <c r="AN35" i="102" s="1"/>
  <c r="AG35" i="102"/>
  <c r="I35" i="102"/>
  <c r="C35" i="102"/>
  <c r="B35" i="102"/>
  <c r="BN34" i="102"/>
  <c r="BK34" i="102"/>
  <c r="I34" i="102" s="1"/>
  <c r="BJ34" i="102"/>
  <c r="H34" i="102" s="1"/>
  <c r="BF34" i="102" s="1"/>
  <c r="BI34" i="102"/>
  <c r="AK34" i="102" s="1"/>
  <c r="AM34" i="102" s="1"/>
  <c r="BH34" i="102"/>
  <c r="BG34" i="102"/>
  <c r="BE34" i="102"/>
  <c r="BD34" i="102"/>
  <c r="BC34" i="102"/>
  <c r="BB34" i="102"/>
  <c r="BA34" i="102"/>
  <c r="AZ34" i="102"/>
  <c r="AY34" i="102"/>
  <c r="AX34" i="102"/>
  <c r="AW34" i="102"/>
  <c r="AU34" i="102"/>
  <c r="AT34" i="102"/>
  <c r="AS34" i="102"/>
  <c r="AR34" i="102"/>
  <c r="AV34" i="102" s="1"/>
  <c r="AQ34" i="102"/>
  <c r="AP34" i="102"/>
  <c r="AO34" i="102"/>
  <c r="AL34" i="102"/>
  <c r="AJ34" i="102"/>
  <c r="AI34" i="102"/>
  <c r="AH34" i="102"/>
  <c r="AN34" i="102" s="1"/>
  <c r="AG34" i="102"/>
  <c r="C34" i="102"/>
  <c r="B34" i="102"/>
  <c r="BN33" i="102"/>
  <c r="BL33" i="102"/>
  <c r="BK33" i="102"/>
  <c r="I33" i="102" s="1"/>
  <c r="BJ33" i="102"/>
  <c r="H33" i="102" s="1"/>
  <c r="BF33" i="102" s="1"/>
  <c r="BI33" i="102"/>
  <c r="AK33" i="102" s="1"/>
  <c r="AM33" i="102" s="1"/>
  <c r="BH33" i="102"/>
  <c r="BG33" i="102"/>
  <c r="BE33" i="102"/>
  <c r="BD33" i="102"/>
  <c r="BC33" i="102"/>
  <c r="BB33" i="102"/>
  <c r="BA33" i="102"/>
  <c r="AZ33" i="102"/>
  <c r="AY33" i="102"/>
  <c r="AX33" i="102"/>
  <c r="AW33" i="102"/>
  <c r="AU33" i="102"/>
  <c r="AT33" i="102"/>
  <c r="AS33" i="102"/>
  <c r="AR33" i="102"/>
  <c r="AV33" i="102" s="1"/>
  <c r="AQ33" i="102"/>
  <c r="AP33" i="102"/>
  <c r="AO33" i="102"/>
  <c r="AL33" i="102"/>
  <c r="AJ33" i="102"/>
  <c r="AI33" i="102"/>
  <c r="AH33" i="102"/>
  <c r="AN33" i="102" s="1"/>
  <c r="AG33" i="102"/>
  <c r="G33" i="102"/>
  <c r="C33" i="102"/>
  <c r="B33" i="102"/>
  <c r="BN32" i="102"/>
  <c r="BK32" i="102"/>
  <c r="I32" i="102" s="1"/>
  <c r="BJ32" i="102"/>
  <c r="BI32" i="102"/>
  <c r="AK32" i="102" s="1"/>
  <c r="AM32" i="102" s="1"/>
  <c r="BH32" i="102"/>
  <c r="BL32" i="102" s="1"/>
  <c r="BG32" i="102"/>
  <c r="BE32" i="102"/>
  <c r="BD32" i="102"/>
  <c r="BC32" i="102"/>
  <c r="BB32" i="102"/>
  <c r="BA32" i="102"/>
  <c r="AZ32" i="102"/>
  <c r="AY32" i="102"/>
  <c r="AX32" i="102"/>
  <c r="AW32" i="102"/>
  <c r="AU32" i="102"/>
  <c r="AT32" i="102"/>
  <c r="AS32" i="102"/>
  <c r="AR32" i="102"/>
  <c r="AV32" i="102" s="1"/>
  <c r="AQ32" i="102"/>
  <c r="AP32" i="102"/>
  <c r="AO32" i="102"/>
  <c r="AL32" i="102"/>
  <c r="AJ32" i="102"/>
  <c r="AI32" i="102"/>
  <c r="AH32" i="102"/>
  <c r="AN32" i="102" s="1"/>
  <c r="AG32" i="102"/>
  <c r="H32" i="102"/>
  <c r="BF32" i="102" s="1"/>
  <c r="G32" i="102"/>
  <c r="C32" i="102"/>
  <c r="B32" i="102"/>
  <c r="BN31" i="102"/>
  <c r="BL31" i="102"/>
  <c r="BK31" i="102"/>
  <c r="I31" i="102" s="1"/>
  <c r="BJ31" i="102"/>
  <c r="H31" i="102" s="1"/>
  <c r="BF31" i="102" s="1"/>
  <c r="BI31" i="102"/>
  <c r="AK31" i="102" s="1"/>
  <c r="AM31" i="102" s="1"/>
  <c r="BH31" i="102"/>
  <c r="G31" i="102" s="1"/>
  <c r="BG31" i="102"/>
  <c r="BE31" i="102"/>
  <c r="BD31" i="102"/>
  <c r="BC31" i="102"/>
  <c r="BB31" i="102"/>
  <c r="BA31" i="102"/>
  <c r="AZ31" i="102"/>
  <c r="AY31" i="102"/>
  <c r="AX31" i="102"/>
  <c r="AW31" i="102"/>
  <c r="AU31" i="102"/>
  <c r="AT31" i="102"/>
  <c r="AS31" i="102"/>
  <c r="AR31" i="102"/>
  <c r="AV31" i="102" s="1"/>
  <c r="AQ31" i="102"/>
  <c r="AP31" i="102"/>
  <c r="AO31" i="102"/>
  <c r="AL31" i="102"/>
  <c r="AJ31" i="102"/>
  <c r="AI31" i="102"/>
  <c r="AH31" i="102"/>
  <c r="AN31" i="102" s="1"/>
  <c r="AG31" i="102"/>
  <c r="C31" i="102"/>
  <c r="B31" i="102"/>
  <c r="BU30" i="102"/>
  <c r="BT30" i="102"/>
  <c r="BS30" i="102"/>
  <c r="BR30" i="102"/>
  <c r="BQ30" i="102"/>
  <c r="BN30" i="102"/>
  <c r="BL30" i="102"/>
  <c r="BK30" i="102"/>
  <c r="BJ30" i="102"/>
  <c r="H30" i="102" s="1"/>
  <c r="BF30" i="102" s="1"/>
  <c r="BI30" i="102"/>
  <c r="AK30" i="102" s="1"/>
  <c r="AM30" i="102" s="1"/>
  <c r="BH30" i="102"/>
  <c r="BG30" i="102"/>
  <c r="BE30" i="102"/>
  <c r="BD30" i="102"/>
  <c r="BC30" i="102"/>
  <c r="BB30" i="102"/>
  <c r="BA30" i="102"/>
  <c r="AZ30" i="102"/>
  <c r="AY30" i="102"/>
  <c r="AX30" i="102"/>
  <c r="AW30" i="102"/>
  <c r="AU30" i="102"/>
  <c r="AT30" i="102"/>
  <c r="AS30" i="102"/>
  <c r="AR30" i="102"/>
  <c r="AV30" i="102" s="1"/>
  <c r="AQ30" i="102"/>
  <c r="AP30" i="102"/>
  <c r="AO30" i="102"/>
  <c r="AL30" i="102"/>
  <c r="AJ30" i="102"/>
  <c r="AI30" i="102"/>
  <c r="AH30" i="102"/>
  <c r="AN30" i="102" s="1"/>
  <c r="AG30" i="102"/>
  <c r="I30" i="102"/>
  <c r="G30" i="102"/>
  <c r="C30" i="102"/>
  <c r="B30" i="102"/>
  <c r="BU29" i="102"/>
  <c r="BT29" i="102"/>
  <c r="BS29" i="102"/>
  <c r="BR29" i="102"/>
  <c r="BQ29" i="102"/>
  <c r="BN29" i="102"/>
  <c r="BK29" i="102"/>
  <c r="I29" i="102" s="1"/>
  <c r="BJ29" i="102"/>
  <c r="H29" i="102" s="1"/>
  <c r="BF29" i="102" s="1"/>
  <c r="BI29" i="102"/>
  <c r="AK29" i="102" s="1"/>
  <c r="AM29" i="102" s="1"/>
  <c r="BH29" i="102"/>
  <c r="BG29" i="102"/>
  <c r="BE29" i="102"/>
  <c r="BD29" i="102"/>
  <c r="BC29" i="102"/>
  <c r="BB29" i="102"/>
  <c r="BA29" i="102"/>
  <c r="AZ29" i="102"/>
  <c r="AY29" i="102"/>
  <c r="AX29" i="102"/>
  <c r="AW29" i="102"/>
  <c r="AU29" i="102"/>
  <c r="AT29" i="102"/>
  <c r="AS29" i="102"/>
  <c r="AR29" i="102"/>
  <c r="AV29" i="102" s="1"/>
  <c r="AQ29" i="102"/>
  <c r="AP29" i="102"/>
  <c r="AO29" i="102"/>
  <c r="AL29" i="102"/>
  <c r="AJ29" i="102"/>
  <c r="AI29" i="102"/>
  <c r="AH29" i="102"/>
  <c r="AN29" i="102" s="1"/>
  <c r="AG29" i="102"/>
  <c r="C29" i="102"/>
  <c r="B29" i="102"/>
  <c r="BU28" i="102"/>
  <c r="BT28" i="102"/>
  <c r="BS28" i="102"/>
  <c r="BR28" i="102"/>
  <c r="BQ28" i="102"/>
  <c r="BN28" i="102"/>
  <c r="BL28" i="102"/>
  <c r="BK28" i="102"/>
  <c r="BJ28" i="102"/>
  <c r="H28" i="102" s="1"/>
  <c r="BF28" i="102" s="1"/>
  <c r="BI28" i="102"/>
  <c r="AK28" i="102" s="1"/>
  <c r="AM28" i="102" s="1"/>
  <c r="BH28" i="102"/>
  <c r="G28" i="102" s="1"/>
  <c r="BG28" i="102"/>
  <c r="BE28" i="102"/>
  <c r="BD28" i="102"/>
  <c r="BC28" i="102"/>
  <c r="BB28" i="102"/>
  <c r="BA28" i="102"/>
  <c r="AZ28" i="102"/>
  <c r="AY28" i="102"/>
  <c r="AX28" i="102"/>
  <c r="AW28" i="102"/>
  <c r="AU28" i="102"/>
  <c r="AT28" i="102"/>
  <c r="AS28" i="102"/>
  <c r="AR28" i="102"/>
  <c r="AV28" i="102" s="1"/>
  <c r="AQ28" i="102"/>
  <c r="AP28" i="102"/>
  <c r="AO28" i="102"/>
  <c r="AL28" i="102"/>
  <c r="AJ28" i="102"/>
  <c r="AI28" i="102"/>
  <c r="AH28" i="102"/>
  <c r="AN28" i="102" s="1"/>
  <c r="AG28" i="102"/>
  <c r="I28" i="102"/>
  <c r="C28" i="102"/>
  <c r="B28" i="102"/>
  <c r="BU27" i="102"/>
  <c r="BT27" i="102"/>
  <c r="BS27" i="102"/>
  <c r="BR27" i="102"/>
  <c r="BQ27" i="102"/>
  <c r="BN27" i="102"/>
  <c r="BL27" i="102"/>
  <c r="BK27" i="102"/>
  <c r="I27" i="102" s="1"/>
  <c r="BJ27" i="102"/>
  <c r="H27" i="102" s="1"/>
  <c r="BF27" i="102" s="1"/>
  <c r="BI27" i="102"/>
  <c r="BM27" i="102" s="1"/>
  <c r="BH27" i="102"/>
  <c r="BG27" i="102"/>
  <c r="BE27" i="102"/>
  <c r="BD27" i="102"/>
  <c r="BC27" i="102"/>
  <c r="BB27" i="102"/>
  <c r="BA27" i="102"/>
  <c r="AZ27" i="102"/>
  <c r="AY27" i="102"/>
  <c r="AX27" i="102"/>
  <c r="AW27" i="102"/>
  <c r="AU27" i="102"/>
  <c r="AT27" i="102"/>
  <c r="AS27" i="102"/>
  <c r="AR27" i="102"/>
  <c r="AV27" i="102" s="1"/>
  <c r="AQ27" i="102"/>
  <c r="AP27" i="102"/>
  <c r="AO27" i="102"/>
  <c r="AL27" i="102"/>
  <c r="AJ27" i="102"/>
  <c r="AI27" i="102"/>
  <c r="AH27" i="102"/>
  <c r="AN27" i="102" s="1"/>
  <c r="AG27" i="102"/>
  <c r="G27" i="102"/>
  <c r="C27" i="102"/>
  <c r="B27" i="102"/>
  <c r="BU26" i="102"/>
  <c r="BT26" i="102"/>
  <c r="BS26" i="102"/>
  <c r="BR26" i="102"/>
  <c r="BQ26" i="102"/>
  <c r="BN26" i="102"/>
  <c r="BK26" i="102"/>
  <c r="I26" i="102" s="1"/>
  <c r="BJ26" i="102"/>
  <c r="H26" i="102" s="1"/>
  <c r="BF26" i="102" s="1"/>
  <c r="BI26" i="102"/>
  <c r="AK26" i="102" s="1"/>
  <c r="AM26" i="102" s="1"/>
  <c r="BH26" i="102"/>
  <c r="BG26" i="102"/>
  <c r="BE26" i="102"/>
  <c r="BD26" i="102"/>
  <c r="BC26" i="102"/>
  <c r="BB26" i="102"/>
  <c r="BA26" i="102"/>
  <c r="AZ26" i="102"/>
  <c r="AY26" i="102"/>
  <c r="AX26" i="102"/>
  <c r="AW26" i="102"/>
  <c r="AU26" i="102"/>
  <c r="AT26" i="102"/>
  <c r="AS26" i="102"/>
  <c r="AR26" i="102"/>
  <c r="AV26" i="102" s="1"/>
  <c r="AQ26" i="102"/>
  <c r="AP26" i="102"/>
  <c r="AO26" i="102"/>
  <c r="AL26" i="102"/>
  <c r="AJ26" i="102"/>
  <c r="AI26" i="102"/>
  <c r="AH26" i="102"/>
  <c r="AN26" i="102" s="1"/>
  <c r="AG26" i="102"/>
  <c r="C26" i="102"/>
  <c r="B26" i="102"/>
  <c r="BU25" i="102"/>
  <c r="BT25" i="102"/>
  <c r="BS25" i="102"/>
  <c r="BR25" i="102"/>
  <c r="BQ25" i="102"/>
  <c r="BN25" i="102"/>
  <c r="BL25" i="102"/>
  <c r="BK25" i="102"/>
  <c r="BJ25" i="102"/>
  <c r="H25" i="102" s="1"/>
  <c r="BF25" i="102" s="1"/>
  <c r="BI25" i="102"/>
  <c r="AK25" i="102" s="1"/>
  <c r="AM25" i="102" s="1"/>
  <c r="BH25" i="102"/>
  <c r="G25" i="102" s="1"/>
  <c r="BG25" i="102"/>
  <c r="BE25" i="102"/>
  <c r="BD25" i="102"/>
  <c r="BC25" i="102"/>
  <c r="BB25" i="102"/>
  <c r="BA25" i="102"/>
  <c r="AZ25" i="102"/>
  <c r="AY25" i="102"/>
  <c r="AX25" i="102"/>
  <c r="AW25" i="102"/>
  <c r="AU25" i="102"/>
  <c r="AT25" i="102"/>
  <c r="AS25" i="102"/>
  <c r="AR25" i="102"/>
  <c r="AV25" i="102" s="1"/>
  <c r="AQ25" i="102"/>
  <c r="AP25" i="102"/>
  <c r="AO25" i="102"/>
  <c r="AL25" i="102"/>
  <c r="AJ25" i="102"/>
  <c r="AI25" i="102"/>
  <c r="AH25" i="102"/>
  <c r="AN25" i="102" s="1"/>
  <c r="AG25" i="102"/>
  <c r="I25" i="102"/>
  <c r="C25" i="102"/>
  <c r="B25" i="102"/>
  <c r="BU24" i="102"/>
  <c r="BT24" i="102"/>
  <c r="BS24" i="102"/>
  <c r="BR24" i="102"/>
  <c r="BQ24" i="102"/>
  <c r="BN24" i="102"/>
  <c r="BL24" i="102"/>
  <c r="BK24" i="102"/>
  <c r="I24" i="102" s="1"/>
  <c r="BJ24" i="102"/>
  <c r="H24" i="102" s="1"/>
  <c r="BF24" i="102" s="1"/>
  <c r="BI24" i="102"/>
  <c r="BM24" i="102" s="1"/>
  <c r="BH24" i="102"/>
  <c r="BG24" i="102"/>
  <c r="BE24" i="102"/>
  <c r="BD24" i="102"/>
  <c r="BC24" i="102"/>
  <c r="BB24" i="102"/>
  <c r="BA24" i="102"/>
  <c r="AZ24" i="102"/>
  <c r="AY24" i="102"/>
  <c r="AX24" i="102"/>
  <c r="AW24" i="102"/>
  <c r="AV24" i="102"/>
  <c r="AU24" i="102"/>
  <c r="AT24" i="102"/>
  <c r="AS24" i="102"/>
  <c r="AR24" i="102"/>
  <c r="AQ24" i="102"/>
  <c r="AP24" i="102"/>
  <c r="AO24" i="102"/>
  <c r="AL24" i="102"/>
  <c r="AJ24" i="102"/>
  <c r="AI24" i="102"/>
  <c r="AH24" i="102"/>
  <c r="AN24" i="102" s="1"/>
  <c r="AG24" i="102"/>
  <c r="G24" i="102"/>
  <c r="C24" i="102"/>
  <c r="B24" i="102"/>
  <c r="BU23" i="102"/>
  <c r="BT23" i="102"/>
  <c r="BS23" i="102"/>
  <c r="BR23" i="102"/>
  <c r="BQ23" i="102"/>
  <c r="BN23" i="102"/>
  <c r="BK23" i="102"/>
  <c r="I23" i="102" s="1"/>
  <c r="BJ23" i="102"/>
  <c r="H23" i="102" s="1"/>
  <c r="BF23" i="102" s="1"/>
  <c r="BI23" i="102"/>
  <c r="AK23" i="102" s="1"/>
  <c r="AM23" i="102" s="1"/>
  <c r="BH23" i="102"/>
  <c r="BG23" i="102"/>
  <c r="BE23" i="102"/>
  <c r="BD23" i="102"/>
  <c r="BC23" i="102"/>
  <c r="BB23" i="102"/>
  <c r="BA23" i="102"/>
  <c r="AZ23" i="102"/>
  <c r="AY23" i="102"/>
  <c r="AX23" i="102"/>
  <c r="AW23" i="102"/>
  <c r="AU23" i="102"/>
  <c r="AT23" i="102"/>
  <c r="AS23" i="102"/>
  <c r="AR23" i="102"/>
  <c r="AV23" i="102" s="1"/>
  <c r="AQ23" i="102"/>
  <c r="AP23" i="102"/>
  <c r="AO23" i="102"/>
  <c r="AL23" i="102"/>
  <c r="AJ23" i="102"/>
  <c r="AI23" i="102"/>
  <c r="AH23" i="102"/>
  <c r="AN23" i="102" s="1"/>
  <c r="AG23" i="102"/>
  <c r="C23" i="102"/>
  <c r="B23" i="102"/>
  <c r="BU22" i="102"/>
  <c r="BT22" i="102"/>
  <c r="BS22" i="102"/>
  <c r="BR22" i="102"/>
  <c r="BQ22" i="102"/>
  <c r="BN22" i="102"/>
  <c r="BL22" i="102"/>
  <c r="BK22" i="102"/>
  <c r="BJ22" i="102"/>
  <c r="H22" i="102" s="1"/>
  <c r="BF22" i="102" s="1"/>
  <c r="BI22" i="102"/>
  <c r="AK22" i="102" s="1"/>
  <c r="AM22" i="102" s="1"/>
  <c r="BH22" i="102"/>
  <c r="G22" i="102" s="1"/>
  <c r="BG22" i="102"/>
  <c r="BE22" i="102"/>
  <c r="BD22" i="102"/>
  <c r="BC22" i="102"/>
  <c r="BB22" i="102"/>
  <c r="BA22" i="102"/>
  <c r="AZ22" i="102"/>
  <c r="AY22" i="102"/>
  <c r="AX22" i="102"/>
  <c r="AW22" i="102"/>
  <c r="AU22" i="102"/>
  <c r="AT22" i="102"/>
  <c r="AS22" i="102"/>
  <c r="AR22" i="102"/>
  <c r="AV22" i="102" s="1"/>
  <c r="AQ22" i="102"/>
  <c r="AP22" i="102"/>
  <c r="AO22" i="102"/>
  <c r="AL22" i="102"/>
  <c r="AJ22" i="102"/>
  <c r="AI22" i="102"/>
  <c r="AH22" i="102"/>
  <c r="AN22" i="102" s="1"/>
  <c r="AG22" i="102"/>
  <c r="I22" i="102"/>
  <c r="C22" i="102"/>
  <c r="B22" i="102"/>
  <c r="BN21" i="102"/>
  <c r="BK21" i="102"/>
  <c r="I21" i="102" s="1"/>
  <c r="BJ21" i="102"/>
  <c r="H21" i="102" s="1"/>
  <c r="BF21" i="102" s="1"/>
  <c r="BI21" i="102"/>
  <c r="AK21" i="102" s="1"/>
  <c r="AM21" i="102" s="1"/>
  <c r="BH21" i="102"/>
  <c r="BG21" i="102"/>
  <c r="BE21" i="102"/>
  <c r="BD21" i="102"/>
  <c r="BC21" i="102"/>
  <c r="BB21" i="102"/>
  <c r="BA21" i="102"/>
  <c r="AZ21" i="102"/>
  <c r="AY21" i="102"/>
  <c r="AX21" i="102"/>
  <c r="AW21" i="102"/>
  <c r="AU21" i="102"/>
  <c r="AT21" i="102"/>
  <c r="AS21" i="102"/>
  <c r="AR21" i="102"/>
  <c r="AV21" i="102" s="1"/>
  <c r="AQ21" i="102"/>
  <c r="AP21" i="102"/>
  <c r="AO21" i="102"/>
  <c r="AN21" i="102"/>
  <c r="AL21" i="102"/>
  <c r="AJ21" i="102"/>
  <c r="AI21" i="102"/>
  <c r="AH21" i="102"/>
  <c r="AG21" i="102"/>
  <c r="C21" i="102"/>
  <c r="B21" i="102"/>
  <c r="BN20" i="102"/>
  <c r="BL20" i="102"/>
  <c r="BK20" i="102"/>
  <c r="I20" i="102" s="1"/>
  <c r="BJ20" i="102"/>
  <c r="H20" i="102" s="1"/>
  <c r="BF20" i="102" s="1"/>
  <c r="BI20" i="102"/>
  <c r="BM20" i="102" s="1"/>
  <c r="BH20" i="102"/>
  <c r="BG20" i="102"/>
  <c r="BE20" i="102"/>
  <c r="BD20" i="102"/>
  <c r="BC20" i="102"/>
  <c r="BB20" i="102"/>
  <c r="BA20" i="102"/>
  <c r="AZ20" i="102"/>
  <c r="AY20" i="102"/>
  <c r="AX20" i="102"/>
  <c r="AW20" i="102"/>
  <c r="AU20" i="102"/>
  <c r="AT20" i="102"/>
  <c r="AS20" i="102"/>
  <c r="AR20" i="102"/>
  <c r="AV20" i="102" s="1"/>
  <c r="AQ20" i="102"/>
  <c r="AP20" i="102"/>
  <c r="AO20" i="102"/>
  <c r="AL20" i="102"/>
  <c r="AJ20" i="102"/>
  <c r="AI20" i="102"/>
  <c r="AH20" i="102"/>
  <c r="AN20" i="102" s="1"/>
  <c r="AG20" i="102"/>
  <c r="G20" i="102"/>
  <c r="C20" i="102"/>
  <c r="B20" i="102"/>
  <c r="BN19" i="102"/>
  <c r="BK19" i="102"/>
  <c r="BJ19" i="102"/>
  <c r="BI19" i="102"/>
  <c r="AK19" i="102" s="1"/>
  <c r="AM19" i="102" s="1"/>
  <c r="BH19" i="102"/>
  <c r="BL19" i="102" s="1"/>
  <c r="BG19" i="102"/>
  <c r="BE19" i="102"/>
  <c r="BD19" i="102"/>
  <c r="BC19" i="102"/>
  <c r="BB19" i="102"/>
  <c r="BA19" i="102"/>
  <c r="AZ19" i="102"/>
  <c r="AY19" i="102"/>
  <c r="AX19" i="102"/>
  <c r="AW19" i="102"/>
  <c r="AU19" i="102"/>
  <c r="AT19" i="102"/>
  <c r="AS19" i="102"/>
  <c r="AR19" i="102"/>
  <c r="AV19" i="102" s="1"/>
  <c r="AQ19" i="102"/>
  <c r="AP19" i="102"/>
  <c r="AO19" i="102"/>
  <c r="AL19" i="102"/>
  <c r="AJ19" i="102"/>
  <c r="AI19" i="102"/>
  <c r="AH19" i="102"/>
  <c r="AN19" i="102" s="1"/>
  <c r="AG19" i="102"/>
  <c r="I19" i="102"/>
  <c r="H19" i="102"/>
  <c r="BF19" i="102" s="1"/>
  <c r="G19" i="102"/>
  <c r="C19" i="102"/>
  <c r="B19" i="102"/>
  <c r="BN18" i="102"/>
  <c r="BL18" i="102"/>
  <c r="BK18" i="102"/>
  <c r="BJ18" i="102"/>
  <c r="H18" i="102" s="1"/>
  <c r="BF18" i="102" s="1"/>
  <c r="BI18" i="102"/>
  <c r="AK18" i="102" s="1"/>
  <c r="AM18" i="102" s="1"/>
  <c r="BH18" i="102"/>
  <c r="G18" i="102" s="1"/>
  <c r="BG18" i="102"/>
  <c r="BE18" i="102"/>
  <c r="BD18" i="102"/>
  <c r="BC18" i="102"/>
  <c r="BB18" i="102"/>
  <c r="BA18" i="102"/>
  <c r="AZ18" i="102"/>
  <c r="AY18" i="102"/>
  <c r="AX18" i="102"/>
  <c r="AW18" i="102"/>
  <c r="AU18" i="102"/>
  <c r="AT18" i="102"/>
  <c r="AS18" i="102"/>
  <c r="AR18" i="102"/>
  <c r="AV18" i="102" s="1"/>
  <c r="AQ18" i="102"/>
  <c r="AP18" i="102"/>
  <c r="AO18" i="102"/>
  <c r="AL18" i="102"/>
  <c r="AJ18" i="102"/>
  <c r="AI18" i="102"/>
  <c r="AH18" i="102"/>
  <c r="AN18" i="102" s="1"/>
  <c r="AG18" i="102"/>
  <c r="I18" i="102"/>
  <c r="C18" i="102"/>
  <c r="B18" i="102"/>
  <c r="BN17" i="102"/>
  <c r="BK17" i="102"/>
  <c r="I17" i="102" s="1"/>
  <c r="BJ17" i="102"/>
  <c r="H17" i="102" s="1"/>
  <c r="BF17" i="102" s="1"/>
  <c r="BI17" i="102"/>
  <c r="AK17" i="102" s="1"/>
  <c r="AM17" i="102" s="1"/>
  <c r="BH17" i="102"/>
  <c r="BG17" i="102"/>
  <c r="BE17" i="102"/>
  <c r="BD17" i="102"/>
  <c r="BC17" i="102"/>
  <c r="BB17" i="102"/>
  <c r="BA17" i="102"/>
  <c r="AZ17" i="102"/>
  <c r="AY17" i="102"/>
  <c r="AX17" i="102"/>
  <c r="AW17" i="102"/>
  <c r="AU17" i="102"/>
  <c r="AT17" i="102"/>
  <c r="AS17" i="102"/>
  <c r="AR17" i="102"/>
  <c r="AV17" i="102" s="1"/>
  <c r="AQ17" i="102"/>
  <c r="AP17" i="102"/>
  <c r="AO17" i="102"/>
  <c r="AL17" i="102"/>
  <c r="AJ17" i="102"/>
  <c r="AI17" i="102"/>
  <c r="AH17" i="102"/>
  <c r="AN17" i="102" s="1"/>
  <c r="AG17" i="102"/>
  <c r="C17" i="102"/>
  <c r="B17" i="102"/>
  <c r="BN16" i="102"/>
  <c r="BL16" i="102"/>
  <c r="BK16" i="102"/>
  <c r="I16" i="102" s="1"/>
  <c r="BJ16" i="102"/>
  <c r="H16" i="102" s="1"/>
  <c r="BF16" i="102" s="1"/>
  <c r="BI16" i="102"/>
  <c r="BM16" i="102" s="1"/>
  <c r="BH16" i="102"/>
  <c r="BG16" i="102"/>
  <c r="BE16" i="102"/>
  <c r="BD16" i="102"/>
  <c r="BC16" i="102"/>
  <c r="BB16" i="102"/>
  <c r="BA16" i="102"/>
  <c r="AZ16" i="102"/>
  <c r="AY16" i="102"/>
  <c r="AX16" i="102"/>
  <c r="AW16" i="102"/>
  <c r="AU16" i="102"/>
  <c r="AT16" i="102"/>
  <c r="AS16" i="102"/>
  <c r="AR16" i="102"/>
  <c r="AV16" i="102" s="1"/>
  <c r="AQ16" i="102"/>
  <c r="AP16" i="102"/>
  <c r="AO16" i="102"/>
  <c r="AL16" i="102"/>
  <c r="AJ16" i="102"/>
  <c r="AI16" i="102"/>
  <c r="AH16" i="102"/>
  <c r="AN16" i="102" s="1"/>
  <c r="AG16" i="102"/>
  <c r="G16" i="102"/>
  <c r="C16" i="102"/>
  <c r="B16" i="102"/>
  <c r="BN15" i="102"/>
  <c r="BK15" i="102"/>
  <c r="BJ15" i="102"/>
  <c r="H15" i="102" s="1"/>
  <c r="BF15" i="102" s="1"/>
  <c r="BI15" i="102"/>
  <c r="AK15" i="102" s="1"/>
  <c r="AM15" i="102" s="1"/>
  <c r="BH15" i="102"/>
  <c r="BL15" i="102" s="1"/>
  <c r="BG15" i="102"/>
  <c r="BE15" i="102"/>
  <c r="BD15" i="102"/>
  <c r="BC15" i="102"/>
  <c r="BB15" i="102"/>
  <c r="BA15" i="102"/>
  <c r="AZ15" i="102"/>
  <c r="AY15" i="102"/>
  <c r="AX15" i="102"/>
  <c r="AW15" i="102"/>
  <c r="AU15" i="102"/>
  <c r="AT15" i="102"/>
  <c r="AS15" i="102"/>
  <c r="AR15" i="102"/>
  <c r="AV15" i="102" s="1"/>
  <c r="AQ15" i="102"/>
  <c r="AP15" i="102"/>
  <c r="AO15" i="102"/>
  <c r="AL15" i="102"/>
  <c r="AJ15" i="102"/>
  <c r="AI15" i="102"/>
  <c r="AH15" i="102"/>
  <c r="AN15" i="102" s="1"/>
  <c r="AG15" i="102"/>
  <c r="I15" i="102"/>
  <c r="G15" i="102"/>
  <c r="C15" i="102"/>
  <c r="B15" i="102"/>
  <c r="BL14" i="102"/>
  <c r="BH14" i="102"/>
  <c r="BE14" i="102"/>
  <c r="BD14" i="102"/>
  <c r="BC14" i="102"/>
  <c r="AU14" i="102"/>
  <c r="AS14" i="102"/>
  <c r="AQ14" i="102"/>
  <c r="AO14" i="102"/>
  <c r="AL14" i="102"/>
  <c r="AH14" i="102"/>
  <c r="AN14" i="102" s="1"/>
  <c r="AG14" i="102"/>
  <c r="BH13" i="102"/>
  <c r="BE13" i="102"/>
  <c r="BD13" i="102"/>
  <c r="BC13" i="102"/>
  <c r="AU13" i="102"/>
  <c r="AS13" i="102"/>
  <c r="AQ13" i="102"/>
  <c r="AO13" i="102"/>
  <c r="AL13" i="102"/>
  <c r="AH13" i="102"/>
  <c r="AG13" i="102"/>
  <c r="BL12" i="102"/>
  <c r="BK12" i="102"/>
  <c r="I12" i="102" s="1"/>
  <c r="BH12" i="102"/>
  <c r="BE12" i="102"/>
  <c r="BD12" i="102"/>
  <c r="BC12" i="102"/>
  <c r="BA12" i="102"/>
  <c r="AY12" i="102"/>
  <c r="AU12" i="102"/>
  <c r="AS12" i="102"/>
  <c r="AQ12" i="102"/>
  <c r="AO12" i="102"/>
  <c r="AL12" i="102"/>
  <c r="AH12" i="102"/>
  <c r="AG12" i="102"/>
  <c r="G12" i="102"/>
  <c r="BI12" i="102" s="1"/>
  <c r="AZ12" i="102" s="1"/>
  <c r="B12" i="102"/>
  <c r="BH11" i="102"/>
  <c r="BL11" i="102" s="1"/>
  <c r="BE11" i="102"/>
  <c r="BD11" i="102"/>
  <c r="BC11" i="102"/>
  <c r="BB11" i="102"/>
  <c r="BA11" i="102"/>
  <c r="AU11" i="102"/>
  <c r="AS11" i="102"/>
  <c r="AQ11" i="102"/>
  <c r="AO11" i="102"/>
  <c r="AL11" i="102"/>
  <c r="AH11" i="102"/>
  <c r="AG11" i="102"/>
  <c r="G11" i="102"/>
  <c r="BL10" i="102"/>
  <c r="BH10" i="102"/>
  <c r="BE10" i="102"/>
  <c r="BD10" i="102"/>
  <c r="BC10" i="102"/>
  <c r="AU10" i="102"/>
  <c r="AU42" i="102" s="1"/>
  <c r="Q6" i="102" s="1"/>
  <c r="AS10" i="102"/>
  <c r="AQ10" i="102"/>
  <c r="AO10" i="102"/>
  <c r="AL10" i="102"/>
  <c r="AH10" i="102"/>
  <c r="AG10" i="102"/>
  <c r="B10" i="102"/>
  <c r="BH9" i="102"/>
  <c r="BE9" i="102"/>
  <c r="BD9" i="102"/>
  <c r="BC9" i="102"/>
  <c r="AU9" i="102"/>
  <c r="AS9" i="102"/>
  <c r="AQ9" i="102"/>
  <c r="AO9" i="102"/>
  <c r="AL9" i="102"/>
  <c r="AJ9" i="102"/>
  <c r="AH9" i="102"/>
  <c r="AG9" i="102"/>
  <c r="B9" i="102"/>
  <c r="B11" i="102" s="1"/>
  <c r="AV7" i="102"/>
  <c r="F15" i="7"/>
  <c r="E15" i="7"/>
  <c r="D15" i="7"/>
  <c r="E14" i="7"/>
  <c r="D14" i="7"/>
  <c r="E26" i="101"/>
  <c r="C26" i="101"/>
  <c r="C20" i="101"/>
  <c r="E20" i="101" s="1"/>
  <c r="E16" i="101"/>
  <c r="C16" i="101"/>
  <c r="C10" i="101"/>
  <c r="U47" i="100"/>
  <c r="AT44" i="100"/>
  <c r="AR44" i="100" s="1"/>
  <c r="BE43" i="100"/>
  <c r="AT43" i="100"/>
  <c r="H41" i="100"/>
  <c r="BN39" i="100"/>
  <c r="BL39" i="100"/>
  <c r="BK39" i="100"/>
  <c r="I39" i="100" s="1"/>
  <c r="BJ39" i="100"/>
  <c r="H39" i="100" s="1"/>
  <c r="BF39" i="100" s="1"/>
  <c r="BI39" i="100"/>
  <c r="BM39" i="100" s="1"/>
  <c r="BH39" i="100"/>
  <c r="BG39" i="100"/>
  <c r="BE39" i="100"/>
  <c r="BD39" i="100"/>
  <c r="BC39" i="100"/>
  <c r="BB39" i="100"/>
  <c r="BA39" i="100"/>
  <c r="AZ39" i="100"/>
  <c r="AY39" i="100"/>
  <c r="AX39" i="100"/>
  <c r="AW39" i="100"/>
  <c r="AU39" i="100"/>
  <c r="AT39" i="100"/>
  <c r="AS39" i="100"/>
  <c r="AR39" i="100"/>
  <c r="AV39" i="100" s="1"/>
  <c r="AQ39" i="100"/>
  <c r="AP39" i="100"/>
  <c r="AO39" i="100"/>
  <c r="AL39" i="100"/>
  <c r="AJ39" i="100"/>
  <c r="AI39" i="100"/>
  <c r="AH39" i="100"/>
  <c r="AN39" i="100" s="1"/>
  <c r="AG39" i="100"/>
  <c r="G39" i="100"/>
  <c r="C39" i="100"/>
  <c r="B39" i="100"/>
  <c r="BN38" i="100"/>
  <c r="BL38" i="100"/>
  <c r="BK38" i="100"/>
  <c r="I38" i="100" s="1"/>
  <c r="BJ38" i="100"/>
  <c r="H38" i="100" s="1"/>
  <c r="BF38" i="100" s="1"/>
  <c r="BI38" i="100"/>
  <c r="BM38" i="100" s="1"/>
  <c r="BH38" i="100"/>
  <c r="BG38" i="100"/>
  <c r="BE38" i="100"/>
  <c r="BD38" i="100"/>
  <c r="BC38" i="100"/>
  <c r="BB38" i="100"/>
  <c r="BA38" i="100"/>
  <c r="AZ38" i="100"/>
  <c r="AY38" i="100"/>
  <c r="AX38" i="100"/>
  <c r="AW38" i="100"/>
  <c r="AU38" i="100"/>
  <c r="AT38" i="100"/>
  <c r="AS38" i="100"/>
  <c r="AR38" i="100"/>
  <c r="AV38" i="100" s="1"/>
  <c r="AQ38" i="100"/>
  <c r="AP38" i="100"/>
  <c r="AO38" i="100"/>
  <c r="AL38" i="100"/>
  <c r="AJ38" i="100"/>
  <c r="AI38" i="100"/>
  <c r="AH38" i="100"/>
  <c r="AN38" i="100" s="1"/>
  <c r="AG38" i="100"/>
  <c r="G38" i="100"/>
  <c r="C38" i="100"/>
  <c r="B38" i="100"/>
  <c r="BN37" i="100"/>
  <c r="BK37" i="100"/>
  <c r="I37" i="100" s="1"/>
  <c r="BJ37" i="100"/>
  <c r="H37" i="100" s="1"/>
  <c r="BF37" i="100" s="1"/>
  <c r="BI37" i="100"/>
  <c r="AK37" i="100" s="1"/>
  <c r="AM37" i="100" s="1"/>
  <c r="BH37" i="100"/>
  <c r="BG37" i="100"/>
  <c r="BE37" i="100"/>
  <c r="BD37" i="100"/>
  <c r="BC37" i="100"/>
  <c r="BB37" i="100"/>
  <c r="BA37" i="100"/>
  <c r="AZ37" i="100"/>
  <c r="AY37" i="100"/>
  <c r="AX37" i="100"/>
  <c r="AW37" i="100"/>
  <c r="AU37" i="100"/>
  <c r="AT37" i="100"/>
  <c r="AS37" i="100"/>
  <c r="AR37" i="100"/>
  <c r="AV37" i="100" s="1"/>
  <c r="AQ37" i="100"/>
  <c r="AP37" i="100"/>
  <c r="AO37" i="100"/>
  <c r="AL37" i="100"/>
  <c r="AJ37" i="100"/>
  <c r="AI37" i="100"/>
  <c r="AH37" i="100"/>
  <c r="AN37" i="100" s="1"/>
  <c r="AG37" i="100"/>
  <c r="C37" i="100"/>
  <c r="B37" i="100"/>
  <c r="BN36" i="100"/>
  <c r="BL36" i="100"/>
  <c r="BK36" i="100"/>
  <c r="I36" i="100" s="1"/>
  <c r="BJ36" i="100"/>
  <c r="H36" i="100" s="1"/>
  <c r="BF36" i="100" s="1"/>
  <c r="BI36" i="100"/>
  <c r="AK36" i="100" s="1"/>
  <c r="AM36" i="100" s="1"/>
  <c r="BH36" i="100"/>
  <c r="BG36" i="100"/>
  <c r="BE36" i="100"/>
  <c r="BD36" i="100"/>
  <c r="BC36" i="100"/>
  <c r="BB36" i="100"/>
  <c r="BA36" i="100"/>
  <c r="AZ36" i="100"/>
  <c r="AY36" i="100"/>
  <c r="AX36" i="100"/>
  <c r="AW36" i="100"/>
  <c r="AU36" i="100"/>
  <c r="AT36" i="100"/>
  <c r="AS36" i="100"/>
  <c r="AR36" i="100"/>
  <c r="AV36" i="100" s="1"/>
  <c r="AQ36" i="100"/>
  <c r="AP36" i="100"/>
  <c r="AO36" i="100"/>
  <c r="AL36" i="100"/>
  <c r="AJ36" i="100"/>
  <c r="AI36" i="100"/>
  <c r="AH36" i="100"/>
  <c r="AN36" i="100" s="1"/>
  <c r="AG36" i="100"/>
  <c r="C36" i="100"/>
  <c r="B36" i="100"/>
  <c r="BN35" i="100"/>
  <c r="BL35" i="100"/>
  <c r="BK35" i="100"/>
  <c r="I35" i="100" s="1"/>
  <c r="BJ35" i="100"/>
  <c r="H35" i="100" s="1"/>
  <c r="BF35" i="100" s="1"/>
  <c r="BI35" i="100"/>
  <c r="BH35" i="100"/>
  <c r="BG35" i="100"/>
  <c r="BE35" i="100"/>
  <c r="BD35" i="100"/>
  <c r="BC35" i="100"/>
  <c r="BB35" i="100"/>
  <c r="BA35" i="100"/>
  <c r="AZ35" i="100"/>
  <c r="AY35" i="100"/>
  <c r="AX35" i="100"/>
  <c r="AW35" i="100"/>
  <c r="AU35" i="100"/>
  <c r="AT35" i="100"/>
  <c r="AS35" i="100"/>
  <c r="AR35" i="100"/>
  <c r="AV35" i="100" s="1"/>
  <c r="AQ35" i="100"/>
  <c r="AP35" i="100"/>
  <c r="AO35" i="100"/>
  <c r="AL35" i="100"/>
  <c r="AJ35" i="100"/>
  <c r="AI35" i="100"/>
  <c r="AH35" i="100"/>
  <c r="AN35" i="100" s="1"/>
  <c r="AG35" i="100"/>
  <c r="G35" i="100"/>
  <c r="C35" i="100"/>
  <c r="B35" i="100"/>
  <c r="BN34" i="100"/>
  <c r="BL34" i="100"/>
  <c r="BK34" i="100"/>
  <c r="I34" i="100" s="1"/>
  <c r="BJ34" i="100"/>
  <c r="H34" i="100" s="1"/>
  <c r="BF34" i="100" s="1"/>
  <c r="BI34" i="100"/>
  <c r="AK34" i="100" s="1"/>
  <c r="AM34" i="100" s="1"/>
  <c r="BH34" i="100"/>
  <c r="BG34" i="100"/>
  <c r="BE34" i="100"/>
  <c r="BD34" i="100"/>
  <c r="BC34" i="100"/>
  <c r="BB34" i="100"/>
  <c r="BA34" i="100"/>
  <c r="AZ34" i="100"/>
  <c r="AY34" i="100"/>
  <c r="AX34" i="100"/>
  <c r="AW34" i="100"/>
  <c r="AU34" i="100"/>
  <c r="AT34" i="100"/>
  <c r="AS34" i="100"/>
  <c r="AR34" i="100"/>
  <c r="AV34" i="100" s="1"/>
  <c r="AQ34" i="100"/>
  <c r="AP34" i="100"/>
  <c r="AO34" i="100"/>
  <c r="AL34" i="100"/>
  <c r="AJ34" i="100"/>
  <c r="AI34" i="100"/>
  <c r="AH34" i="100"/>
  <c r="AN34" i="100" s="1"/>
  <c r="AG34" i="100"/>
  <c r="G34" i="100"/>
  <c r="C34" i="100"/>
  <c r="B34" i="100"/>
  <c r="BN33" i="100"/>
  <c r="BK33" i="100"/>
  <c r="I33" i="100" s="1"/>
  <c r="BJ33" i="100"/>
  <c r="H33" i="100" s="1"/>
  <c r="BF33" i="100" s="1"/>
  <c r="BI33" i="100"/>
  <c r="AK33" i="100" s="1"/>
  <c r="AM33" i="100" s="1"/>
  <c r="BH33" i="100"/>
  <c r="BG33" i="100"/>
  <c r="BE33" i="100"/>
  <c r="BD33" i="100"/>
  <c r="BC33" i="100"/>
  <c r="BB33" i="100"/>
  <c r="BA33" i="100"/>
  <c r="AZ33" i="100"/>
  <c r="AY33" i="100"/>
  <c r="AX33" i="100"/>
  <c r="AW33" i="100"/>
  <c r="AU33" i="100"/>
  <c r="AT33" i="100"/>
  <c r="AS33" i="100"/>
  <c r="AR33" i="100"/>
  <c r="AV33" i="100" s="1"/>
  <c r="AQ33" i="100"/>
  <c r="AP33" i="100"/>
  <c r="AO33" i="100"/>
  <c r="AL33" i="100"/>
  <c r="AJ33" i="100"/>
  <c r="AI33" i="100"/>
  <c r="AH33" i="100"/>
  <c r="AN33" i="100" s="1"/>
  <c r="AG33" i="100"/>
  <c r="C33" i="100"/>
  <c r="B33" i="100"/>
  <c r="BN32" i="100"/>
  <c r="BK32" i="100"/>
  <c r="I32" i="100" s="1"/>
  <c r="BJ32" i="100"/>
  <c r="H32" i="100" s="1"/>
  <c r="BF32" i="100" s="1"/>
  <c r="BI32" i="100"/>
  <c r="AK32" i="100" s="1"/>
  <c r="AM32" i="100" s="1"/>
  <c r="BH32" i="100"/>
  <c r="BG32" i="100"/>
  <c r="BE32" i="100"/>
  <c r="BD32" i="100"/>
  <c r="BC32" i="100"/>
  <c r="BB32" i="100"/>
  <c r="BA32" i="100"/>
  <c r="AZ32" i="100"/>
  <c r="AY32" i="100"/>
  <c r="AX32" i="100"/>
  <c r="AW32" i="100"/>
  <c r="AU32" i="100"/>
  <c r="AT32" i="100"/>
  <c r="AS32" i="100"/>
  <c r="AR32" i="100"/>
  <c r="AV32" i="100" s="1"/>
  <c r="AQ32" i="100"/>
  <c r="AP32" i="100"/>
  <c r="AO32" i="100"/>
  <c r="AL32" i="100"/>
  <c r="AJ32" i="100"/>
  <c r="AI32" i="100"/>
  <c r="AH32" i="100"/>
  <c r="AN32" i="100" s="1"/>
  <c r="AG32" i="100"/>
  <c r="C32" i="100"/>
  <c r="B32" i="100"/>
  <c r="BN31" i="100"/>
  <c r="BL31" i="100"/>
  <c r="BK31" i="100"/>
  <c r="I31" i="100" s="1"/>
  <c r="BJ31" i="100"/>
  <c r="H31" i="100" s="1"/>
  <c r="BF31" i="100" s="1"/>
  <c r="BI31" i="100"/>
  <c r="BM31" i="100" s="1"/>
  <c r="BH31" i="100"/>
  <c r="BG31" i="100"/>
  <c r="BE31" i="100"/>
  <c r="BD31" i="100"/>
  <c r="BC31" i="100"/>
  <c r="BB31" i="100"/>
  <c r="BA31" i="100"/>
  <c r="AZ31" i="100"/>
  <c r="AY31" i="100"/>
  <c r="AX31" i="100"/>
  <c r="AW31" i="100"/>
  <c r="AU31" i="100"/>
  <c r="AT31" i="100"/>
  <c r="AS31" i="100"/>
  <c r="AR31" i="100"/>
  <c r="AV31" i="100" s="1"/>
  <c r="AQ31" i="100"/>
  <c r="AP31" i="100"/>
  <c r="AO31" i="100"/>
  <c r="AL31" i="100"/>
  <c r="AJ31" i="100"/>
  <c r="AI31" i="100"/>
  <c r="AH31" i="100"/>
  <c r="AN31" i="100" s="1"/>
  <c r="AG31" i="100"/>
  <c r="G31" i="100"/>
  <c r="C31" i="100"/>
  <c r="B31" i="100"/>
  <c r="BN30" i="100"/>
  <c r="BL30" i="100"/>
  <c r="BK30" i="100"/>
  <c r="I30" i="100" s="1"/>
  <c r="BJ30" i="100"/>
  <c r="H30" i="100" s="1"/>
  <c r="BF30" i="100" s="1"/>
  <c r="BI30" i="100"/>
  <c r="BH30" i="100"/>
  <c r="BG30" i="100"/>
  <c r="BE30" i="100"/>
  <c r="BD30" i="100"/>
  <c r="BC30" i="100"/>
  <c r="BB30" i="100"/>
  <c r="BA30" i="100"/>
  <c r="AZ30" i="100"/>
  <c r="AY30" i="100"/>
  <c r="AX30" i="100"/>
  <c r="AW30" i="100"/>
  <c r="AU30" i="100"/>
  <c r="AT30" i="100"/>
  <c r="AS30" i="100"/>
  <c r="AR30" i="100"/>
  <c r="AV30" i="100" s="1"/>
  <c r="AQ30" i="100"/>
  <c r="AP30" i="100"/>
  <c r="AO30" i="100"/>
  <c r="AL30" i="100"/>
  <c r="AJ30" i="100"/>
  <c r="AI30" i="100"/>
  <c r="AH30" i="100"/>
  <c r="AN30" i="100" s="1"/>
  <c r="AG30" i="100"/>
  <c r="G30" i="100"/>
  <c r="C30" i="100"/>
  <c r="B30" i="100"/>
  <c r="BU29" i="100"/>
  <c r="BT29" i="100"/>
  <c r="BS29" i="100"/>
  <c r="BR29" i="100"/>
  <c r="BQ29" i="100"/>
  <c r="BN29" i="100"/>
  <c r="BL29" i="100"/>
  <c r="BK29" i="100"/>
  <c r="I29" i="100" s="1"/>
  <c r="BJ29" i="100"/>
  <c r="H29" i="100" s="1"/>
  <c r="BF29" i="100" s="1"/>
  <c r="BI29" i="100"/>
  <c r="AK29" i="100" s="1"/>
  <c r="AM29" i="100" s="1"/>
  <c r="BH29" i="100"/>
  <c r="BG29" i="100"/>
  <c r="BE29" i="100"/>
  <c r="BD29" i="100"/>
  <c r="BC29" i="100"/>
  <c r="BB29" i="100"/>
  <c r="BA29" i="100"/>
  <c r="AZ29" i="100"/>
  <c r="AY29" i="100"/>
  <c r="AX29" i="100"/>
  <c r="AW29" i="100"/>
  <c r="AU29" i="100"/>
  <c r="AT29" i="100"/>
  <c r="AS29" i="100"/>
  <c r="AR29" i="100"/>
  <c r="AV29" i="100" s="1"/>
  <c r="AQ29" i="100"/>
  <c r="AP29" i="100"/>
  <c r="AO29" i="100"/>
  <c r="AL29" i="100"/>
  <c r="AJ29" i="100"/>
  <c r="AI29" i="100"/>
  <c r="AH29" i="100"/>
  <c r="AN29" i="100" s="1"/>
  <c r="AG29" i="100"/>
  <c r="G29" i="100"/>
  <c r="C29" i="100"/>
  <c r="B29" i="100"/>
  <c r="BU28" i="100"/>
  <c r="BT28" i="100"/>
  <c r="BS28" i="100"/>
  <c r="BR28" i="100"/>
  <c r="BQ28" i="100"/>
  <c r="BN28" i="100"/>
  <c r="BK28" i="100"/>
  <c r="I28" i="100" s="1"/>
  <c r="BJ28" i="100"/>
  <c r="H28" i="100" s="1"/>
  <c r="BF28" i="100" s="1"/>
  <c r="BI28" i="100"/>
  <c r="AK28" i="100" s="1"/>
  <c r="AM28" i="100" s="1"/>
  <c r="BH28" i="100"/>
  <c r="BG28" i="100"/>
  <c r="BE28" i="100"/>
  <c r="BD28" i="100"/>
  <c r="BC28" i="100"/>
  <c r="BB28" i="100"/>
  <c r="BA28" i="100"/>
  <c r="AZ28" i="100"/>
  <c r="AY28" i="100"/>
  <c r="AX28" i="100"/>
  <c r="AW28" i="100"/>
  <c r="AU28" i="100"/>
  <c r="AT28" i="100"/>
  <c r="AS28" i="100"/>
  <c r="AR28" i="100"/>
  <c r="AV28" i="100" s="1"/>
  <c r="AQ28" i="100"/>
  <c r="AP28" i="100"/>
  <c r="AO28" i="100"/>
  <c r="AL28" i="100"/>
  <c r="AJ28" i="100"/>
  <c r="AI28" i="100"/>
  <c r="AH28" i="100"/>
  <c r="AN28" i="100" s="1"/>
  <c r="AG28" i="100"/>
  <c r="C28" i="100"/>
  <c r="B28" i="100"/>
  <c r="BU27" i="100"/>
  <c r="BT27" i="100"/>
  <c r="BS27" i="100"/>
  <c r="BR27" i="100"/>
  <c r="BQ27" i="100"/>
  <c r="BN27" i="100"/>
  <c r="BL27" i="100"/>
  <c r="BK27" i="100"/>
  <c r="I27" i="100" s="1"/>
  <c r="BJ27" i="100"/>
  <c r="H27" i="100" s="1"/>
  <c r="BF27" i="100" s="1"/>
  <c r="BI27" i="100"/>
  <c r="AK27" i="100" s="1"/>
  <c r="AM27" i="100" s="1"/>
  <c r="BH27" i="100"/>
  <c r="BG27" i="100"/>
  <c r="BE27" i="100"/>
  <c r="BD27" i="100"/>
  <c r="BC27" i="100"/>
  <c r="BB27" i="100"/>
  <c r="BA27" i="100"/>
  <c r="AZ27" i="100"/>
  <c r="AY27" i="100"/>
  <c r="AX27" i="100"/>
  <c r="AW27" i="100"/>
  <c r="AU27" i="100"/>
  <c r="AT27" i="100"/>
  <c r="AS27" i="100"/>
  <c r="AR27" i="100"/>
  <c r="AV27" i="100" s="1"/>
  <c r="AQ27" i="100"/>
  <c r="AP27" i="100"/>
  <c r="AO27" i="100"/>
  <c r="AL27" i="100"/>
  <c r="AJ27" i="100"/>
  <c r="AI27" i="100"/>
  <c r="AH27" i="100"/>
  <c r="AN27" i="100" s="1"/>
  <c r="AG27" i="100"/>
  <c r="G27" i="100"/>
  <c r="C27" i="100"/>
  <c r="B27" i="100"/>
  <c r="BU26" i="100"/>
  <c r="BT26" i="100"/>
  <c r="BS26" i="100"/>
  <c r="BR26" i="100"/>
  <c r="BQ26" i="100"/>
  <c r="BN26" i="100"/>
  <c r="BL26" i="100"/>
  <c r="BK26" i="100"/>
  <c r="I26" i="100" s="1"/>
  <c r="BJ26" i="100"/>
  <c r="H26" i="100" s="1"/>
  <c r="BF26" i="100" s="1"/>
  <c r="BI26" i="100"/>
  <c r="AK26" i="100" s="1"/>
  <c r="AM26" i="100" s="1"/>
  <c r="BH26" i="100"/>
  <c r="G26" i="100" s="1"/>
  <c r="BG26" i="100"/>
  <c r="BE26" i="100"/>
  <c r="BD26" i="100"/>
  <c r="BC26" i="100"/>
  <c r="BB26" i="100"/>
  <c r="BA26" i="100"/>
  <c r="AZ26" i="100"/>
  <c r="AY26" i="100"/>
  <c r="AX26" i="100"/>
  <c r="AW26" i="100"/>
  <c r="AU26" i="100"/>
  <c r="AT26" i="100"/>
  <c r="AS26" i="100"/>
  <c r="AR26" i="100"/>
  <c r="AV26" i="100" s="1"/>
  <c r="AQ26" i="100"/>
  <c r="AP26" i="100"/>
  <c r="AO26" i="100"/>
  <c r="AL26" i="100"/>
  <c r="AJ26" i="100"/>
  <c r="AI26" i="100"/>
  <c r="AH26" i="100"/>
  <c r="AN26" i="100" s="1"/>
  <c r="AG26" i="100"/>
  <c r="C26" i="100"/>
  <c r="B26" i="100"/>
  <c r="BU25" i="100"/>
  <c r="BT25" i="100"/>
  <c r="BS25" i="100"/>
  <c r="BR25" i="100"/>
  <c r="BQ25" i="100"/>
  <c r="BN25" i="100"/>
  <c r="BK25" i="100"/>
  <c r="I25" i="100" s="1"/>
  <c r="BJ25" i="100"/>
  <c r="H25" i="100" s="1"/>
  <c r="BF25" i="100" s="1"/>
  <c r="BI25" i="100"/>
  <c r="AK25" i="100" s="1"/>
  <c r="AM25" i="100" s="1"/>
  <c r="BH25" i="100"/>
  <c r="BG25" i="100"/>
  <c r="BE25" i="100"/>
  <c r="BD25" i="100"/>
  <c r="BD4" i="100" s="1"/>
  <c r="BC25" i="100"/>
  <c r="BB25" i="100"/>
  <c r="BA25" i="100"/>
  <c r="AZ25" i="100"/>
  <c r="AY25" i="100"/>
  <c r="AX25" i="100"/>
  <c r="AW25" i="100"/>
  <c r="AU25" i="100"/>
  <c r="AT25" i="100"/>
  <c r="AS25" i="100"/>
  <c r="AR25" i="100"/>
  <c r="AV25" i="100" s="1"/>
  <c r="AQ25" i="100"/>
  <c r="AP25" i="100"/>
  <c r="AO25" i="100"/>
  <c r="AL25" i="100"/>
  <c r="AJ25" i="100"/>
  <c r="AI25" i="100"/>
  <c r="AH25" i="100"/>
  <c r="AN25" i="100" s="1"/>
  <c r="AG25" i="100"/>
  <c r="C25" i="100"/>
  <c r="B25" i="100"/>
  <c r="BU24" i="100"/>
  <c r="BT24" i="100"/>
  <c r="BS24" i="100"/>
  <c r="BR24" i="100"/>
  <c r="BQ24" i="100"/>
  <c r="BN24" i="100"/>
  <c r="BL24" i="100"/>
  <c r="BK24" i="100"/>
  <c r="I24" i="100" s="1"/>
  <c r="BJ24" i="100"/>
  <c r="H24" i="100" s="1"/>
  <c r="BF24" i="100" s="1"/>
  <c r="BI24" i="100"/>
  <c r="BM24" i="100" s="1"/>
  <c r="BH24" i="100"/>
  <c r="BG24" i="100"/>
  <c r="BE24" i="100"/>
  <c r="BD24" i="100"/>
  <c r="BC24" i="100"/>
  <c r="BB24" i="100"/>
  <c r="BA24" i="100"/>
  <c r="AZ24" i="100"/>
  <c r="AY24" i="100"/>
  <c r="AX24" i="100"/>
  <c r="AW24" i="100"/>
  <c r="AU24" i="100"/>
  <c r="AT24" i="100"/>
  <c r="AS24" i="100"/>
  <c r="AR24" i="100"/>
  <c r="AV24" i="100" s="1"/>
  <c r="AQ24" i="100"/>
  <c r="AP24" i="100"/>
  <c r="AO24" i="100"/>
  <c r="AL24" i="100"/>
  <c r="AJ24" i="100"/>
  <c r="AI24" i="100"/>
  <c r="AH24" i="100"/>
  <c r="AN24" i="100" s="1"/>
  <c r="AG24" i="100"/>
  <c r="G24" i="100"/>
  <c r="C24" i="100"/>
  <c r="B24" i="100"/>
  <c r="BU23" i="100"/>
  <c r="BT23" i="100"/>
  <c r="BS23" i="100"/>
  <c r="BR23" i="100"/>
  <c r="BQ23" i="100"/>
  <c r="BN23" i="100"/>
  <c r="BL23" i="100"/>
  <c r="BK23" i="100"/>
  <c r="I23" i="100" s="1"/>
  <c r="BJ23" i="100"/>
  <c r="H23" i="100" s="1"/>
  <c r="BF23" i="100" s="1"/>
  <c r="BI23" i="100"/>
  <c r="BM23" i="100" s="1"/>
  <c r="BH23" i="100"/>
  <c r="BG23" i="100"/>
  <c r="BE23" i="100"/>
  <c r="BD23" i="100"/>
  <c r="BC23" i="100"/>
  <c r="BC4" i="100" s="1"/>
  <c r="BB23" i="100"/>
  <c r="BA23" i="100"/>
  <c r="AZ23" i="100"/>
  <c r="AY23" i="100"/>
  <c r="AX23" i="100"/>
  <c r="AW23" i="100"/>
  <c r="AU23" i="100"/>
  <c r="AT23" i="100"/>
  <c r="AS23" i="100"/>
  <c r="AR23" i="100"/>
  <c r="AV23" i="100" s="1"/>
  <c r="AQ23" i="100"/>
  <c r="AP23" i="100"/>
  <c r="AO23" i="100"/>
  <c r="AL23" i="100"/>
  <c r="AJ23" i="100"/>
  <c r="AI23" i="100"/>
  <c r="AH23" i="100"/>
  <c r="AN23" i="100" s="1"/>
  <c r="AG23" i="100"/>
  <c r="G23" i="100"/>
  <c r="C23" i="100"/>
  <c r="B23" i="100"/>
  <c r="BU22" i="100"/>
  <c r="BT22" i="100"/>
  <c r="BS22" i="100"/>
  <c r="BR22" i="100"/>
  <c r="BQ22" i="100"/>
  <c r="BN22" i="100"/>
  <c r="BK22" i="100"/>
  <c r="I22" i="100" s="1"/>
  <c r="BJ22" i="100"/>
  <c r="H22" i="100" s="1"/>
  <c r="BF22" i="100" s="1"/>
  <c r="BI22" i="100"/>
  <c r="AK22" i="100" s="1"/>
  <c r="AM22" i="100" s="1"/>
  <c r="BH22" i="100"/>
  <c r="BG22" i="100"/>
  <c r="BE22" i="100"/>
  <c r="BD22" i="100"/>
  <c r="BC22" i="100"/>
  <c r="BB22" i="100"/>
  <c r="BA22" i="100"/>
  <c r="AZ22" i="100"/>
  <c r="AY22" i="100"/>
  <c r="AX22" i="100"/>
  <c r="AW22" i="100"/>
  <c r="AU22" i="100"/>
  <c r="AT22" i="100"/>
  <c r="AS22" i="100"/>
  <c r="AR22" i="100"/>
  <c r="AV22" i="100" s="1"/>
  <c r="AQ22" i="100"/>
  <c r="AP22" i="100"/>
  <c r="AO22" i="100"/>
  <c r="AL22" i="100"/>
  <c r="AJ22" i="100"/>
  <c r="AI22" i="100"/>
  <c r="AH22" i="100"/>
  <c r="AN22" i="100" s="1"/>
  <c r="AG22" i="100"/>
  <c r="C22" i="100"/>
  <c r="B22" i="100"/>
  <c r="BU21" i="100"/>
  <c r="BT21" i="100"/>
  <c r="BS21" i="100"/>
  <c r="BR21" i="100"/>
  <c r="BQ21" i="100"/>
  <c r="BL21" i="100"/>
  <c r="BH21" i="100"/>
  <c r="BE21" i="100"/>
  <c r="BD21" i="100"/>
  <c r="BC21" i="100"/>
  <c r="AU21" i="100"/>
  <c r="AS21" i="100"/>
  <c r="AQ21" i="100"/>
  <c r="AI21" i="100" s="1"/>
  <c r="C21" i="100" s="1"/>
  <c r="AO21" i="100"/>
  <c r="AL21" i="100"/>
  <c r="AH21" i="100"/>
  <c r="AN21" i="100" s="1"/>
  <c r="AG21" i="100"/>
  <c r="G21" i="100"/>
  <c r="BH20" i="100"/>
  <c r="BE20" i="100"/>
  <c r="BD20" i="100"/>
  <c r="BC20" i="100"/>
  <c r="AU20" i="100"/>
  <c r="AS20" i="100"/>
  <c r="AQ20" i="100"/>
  <c r="AO20" i="100"/>
  <c r="AL20" i="100"/>
  <c r="AH20" i="100"/>
  <c r="AN20" i="100" s="1"/>
  <c r="AG20" i="100"/>
  <c r="BJ19" i="100"/>
  <c r="H19" i="100" s="1"/>
  <c r="BF19" i="100" s="1"/>
  <c r="BH19" i="100"/>
  <c r="BE19" i="100"/>
  <c r="BD19" i="100"/>
  <c r="BC19" i="100"/>
  <c r="AU19" i="100"/>
  <c r="AS19" i="100"/>
  <c r="AQ19" i="100"/>
  <c r="AO19" i="100"/>
  <c r="AL19" i="100"/>
  <c r="AH19" i="100"/>
  <c r="AN19" i="100" s="1"/>
  <c r="AG19" i="100"/>
  <c r="B19" i="100"/>
  <c r="BL18" i="100"/>
  <c r="BH18" i="100"/>
  <c r="BE18" i="100"/>
  <c r="BD18" i="100"/>
  <c r="BC18" i="100"/>
  <c r="BB18" i="100"/>
  <c r="BA18" i="100"/>
  <c r="AU18" i="100"/>
  <c r="AS18" i="100"/>
  <c r="AQ18" i="100"/>
  <c r="AO18" i="100"/>
  <c r="AL18" i="100"/>
  <c r="AH18" i="100"/>
  <c r="AN18" i="100" s="1"/>
  <c r="AG18" i="100"/>
  <c r="G18" i="100"/>
  <c r="AY18" i="100" s="1"/>
  <c r="BL17" i="100"/>
  <c r="BJ17" i="100"/>
  <c r="H17" i="100" s="1"/>
  <c r="BF17" i="100" s="1"/>
  <c r="BH17" i="100"/>
  <c r="BE17" i="100"/>
  <c r="BD17" i="100"/>
  <c r="BC17" i="100"/>
  <c r="AU17" i="100"/>
  <c r="AS17" i="100"/>
  <c r="AQ17" i="100"/>
  <c r="AO17" i="100"/>
  <c r="AL17" i="100"/>
  <c r="AH17" i="100"/>
  <c r="AN17" i="100" s="1"/>
  <c r="AG17" i="100"/>
  <c r="G17" i="100"/>
  <c r="B17" i="100"/>
  <c r="BH16" i="100"/>
  <c r="BE16" i="100"/>
  <c r="BD16" i="100"/>
  <c r="BC16" i="100"/>
  <c r="AU16" i="100"/>
  <c r="AS16" i="100"/>
  <c r="AQ16" i="100"/>
  <c r="AO16" i="100"/>
  <c r="AL16" i="100"/>
  <c r="AH16" i="100"/>
  <c r="AN16" i="100" s="1"/>
  <c r="AG16" i="100"/>
  <c r="BH15" i="100"/>
  <c r="BE15" i="100"/>
  <c r="BD15" i="100"/>
  <c r="BC15" i="100"/>
  <c r="AU15" i="100"/>
  <c r="AS15" i="100"/>
  <c r="AQ15" i="100"/>
  <c r="AO15" i="100"/>
  <c r="AL15" i="100"/>
  <c r="AH15" i="100"/>
  <c r="AN15" i="100" s="1"/>
  <c r="AG15" i="100"/>
  <c r="BL14" i="100"/>
  <c r="BH14" i="100"/>
  <c r="BE14" i="100"/>
  <c r="BD14" i="100"/>
  <c r="BC14" i="100"/>
  <c r="BB14" i="100"/>
  <c r="BA14" i="100"/>
  <c r="AU14" i="100"/>
  <c r="AS14" i="100"/>
  <c r="AQ14" i="100"/>
  <c r="AO14" i="100"/>
  <c r="AL14" i="100"/>
  <c r="AH14" i="100"/>
  <c r="AN14" i="100" s="1"/>
  <c r="AG14" i="100"/>
  <c r="G14" i="100"/>
  <c r="AY14" i="100" s="1"/>
  <c r="BL13" i="100"/>
  <c r="BH13" i="100"/>
  <c r="BE13" i="100"/>
  <c r="BD13" i="100"/>
  <c r="BC13" i="100"/>
  <c r="AU13" i="100"/>
  <c r="AS13" i="100"/>
  <c r="AQ13" i="100"/>
  <c r="AO13" i="100"/>
  <c r="AL13" i="100"/>
  <c r="AH13" i="100"/>
  <c r="AN13" i="100" s="1"/>
  <c r="AG13" i="100"/>
  <c r="G13" i="100"/>
  <c r="BH12" i="100"/>
  <c r="BE12" i="100"/>
  <c r="BD12" i="100"/>
  <c r="BC12" i="100"/>
  <c r="AU12" i="100"/>
  <c r="AS12" i="100"/>
  <c r="AQ12" i="100"/>
  <c r="AO12" i="100"/>
  <c r="AL12" i="100"/>
  <c r="AH12" i="100"/>
  <c r="AN12" i="100" s="1"/>
  <c r="AG12" i="100"/>
  <c r="BL11" i="100"/>
  <c r="BJ11" i="100"/>
  <c r="H11" i="100" s="1"/>
  <c r="BF11" i="100" s="1"/>
  <c r="BH11" i="100"/>
  <c r="BE11" i="100"/>
  <c r="BD11" i="100"/>
  <c r="BC11" i="100"/>
  <c r="AU11" i="100"/>
  <c r="AS11" i="100"/>
  <c r="AQ11" i="100"/>
  <c r="AO11" i="100"/>
  <c r="AL11" i="100"/>
  <c r="AH11" i="100"/>
  <c r="AN11" i="100" s="1"/>
  <c r="AG11" i="100"/>
  <c r="B11" i="100"/>
  <c r="BL10" i="100"/>
  <c r="BK10" i="100"/>
  <c r="I10" i="100" s="1"/>
  <c r="BI10" i="100"/>
  <c r="BM10" i="100" s="1"/>
  <c r="BH10" i="100"/>
  <c r="BE10" i="100"/>
  <c r="BD10" i="100"/>
  <c r="BC10" i="100"/>
  <c r="BB10" i="100"/>
  <c r="BA10" i="100"/>
  <c r="AZ10" i="100"/>
  <c r="AY10" i="100"/>
  <c r="AW10" i="100"/>
  <c r="AU10" i="100"/>
  <c r="AS10" i="100"/>
  <c r="AQ10" i="100"/>
  <c r="AO10" i="100"/>
  <c r="AL10" i="100"/>
  <c r="AH10" i="100"/>
  <c r="AG10" i="100"/>
  <c r="G10" i="100"/>
  <c r="BL9" i="100"/>
  <c r="BH9" i="100"/>
  <c r="BE9" i="100"/>
  <c r="BD9" i="100"/>
  <c r="BC9" i="100"/>
  <c r="AU9" i="100"/>
  <c r="AS9" i="100"/>
  <c r="AQ9" i="100"/>
  <c r="AI9" i="100" s="1"/>
  <c r="C9" i="100" s="1"/>
  <c r="AO9" i="100"/>
  <c r="AL9" i="100"/>
  <c r="AH9" i="100"/>
  <c r="AN9" i="100" s="1"/>
  <c r="AG9" i="100"/>
  <c r="G9" i="100"/>
  <c r="B9" i="100"/>
  <c r="B10" i="100" s="1"/>
  <c r="BJ8" i="100"/>
  <c r="H8" i="100" s="1"/>
  <c r="BF8" i="100" s="1"/>
  <c r="BH8" i="100"/>
  <c r="BE8" i="100"/>
  <c r="BD8" i="100"/>
  <c r="BC8" i="100"/>
  <c r="AU8" i="100"/>
  <c r="AS8" i="100"/>
  <c r="AS41" i="100" s="1"/>
  <c r="AT41" i="100" s="1"/>
  <c r="AQ8" i="100"/>
  <c r="AQ41" i="100" s="1"/>
  <c r="AO8" i="100"/>
  <c r="AL8" i="100"/>
  <c r="AJ8" i="100"/>
  <c r="AH8" i="100"/>
  <c r="AN8" i="100" s="1"/>
  <c r="AG8" i="100"/>
  <c r="B8" i="100"/>
  <c r="AV6" i="100"/>
  <c r="E22" i="8"/>
  <c r="D22" i="8"/>
  <c r="E19" i="8"/>
  <c r="D19" i="8"/>
  <c r="E18" i="8"/>
  <c r="D18" i="8"/>
  <c r="E21" i="8"/>
  <c r="D21" i="8"/>
  <c r="E20" i="8"/>
  <c r="D20" i="8"/>
  <c r="E17" i="8"/>
  <c r="D17" i="8"/>
  <c r="E16" i="8"/>
  <c r="D16" i="8"/>
  <c r="AV9" i="99"/>
  <c r="B11" i="99"/>
  <c r="B12" i="99" s="1"/>
  <c r="B13" i="99" s="1"/>
  <c r="AG11" i="99"/>
  <c r="AH11" i="99"/>
  <c r="AN11" i="99" s="1"/>
  <c r="AJ11" i="99"/>
  <c r="AL11" i="99"/>
  <c r="AO11" i="99"/>
  <c r="AQ11" i="99"/>
  <c r="AQ44" i="99" s="1"/>
  <c r="AS11" i="99"/>
  <c r="AU11" i="99"/>
  <c r="BC11" i="99"/>
  <c r="BD11" i="99"/>
  <c r="BE11" i="99"/>
  <c r="BH11" i="99"/>
  <c r="BJ11" i="99"/>
  <c r="H11" i="99" s="1"/>
  <c r="BF11" i="99" s="1"/>
  <c r="AG12" i="99"/>
  <c r="AH12" i="99"/>
  <c r="AL12" i="99"/>
  <c r="AO12" i="99"/>
  <c r="AQ12" i="99"/>
  <c r="AS12" i="99"/>
  <c r="AU12" i="99"/>
  <c r="BC12" i="99"/>
  <c r="BD12" i="99"/>
  <c r="BE12" i="99"/>
  <c r="BH12" i="99"/>
  <c r="G12" i="99" s="1"/>
  <c r="BL12" i="99"/>
  <c r="G13" i="99"/>
  <c r="AW13" i="99" s="1"/>
  <c r="AG13" i="99"/>
  <c r="AH13" i="99"/>
  <c r="AL13" i="99"/>
  <c r="AO13" i="99"/>
  <c r="AQ13" i="99"/>
  <c r="AS13" i="99"/>
  <c r="AU13" i="99"/>
  <c r="AY13" i="99"/>
  <c r="BA13" i="99"/>
  <c r="BB13" i="99"/>
  <c r="BC13" i="99"/>
  <c r="BD13" i="99"/>
  <c r="BE13" i="99"/>
  <c r="BH13" i="99"/>
  <c r="BL13" i="99"/>
  <c r="AG14" i="99"/>
  <c r="AH14" i="99"/>
  <c r="AN14" i="99" s="1"/>
  <c r="AL14" i="99"/>
  <c r="AO14" i="99"/>
  <c r="AQ14" i="99"/>
  <c r="AS14" i="99"/>
  <c r="AU14" i="99"/>
  <c r="BC14" i="99"/>
  <c r="BD14" i="99"/>
  <c r="BE14" i="99"/>
  <c r="BH14" i="99"/>
  <c r="B15" i="99"/>
  <c r="AG15" i="99"/>
  <c r="AH15" i="99"/>
  <c r="AN15" i="99" s="1"/>
  <c r="AL15" i="99"/>
  <c r="AO15" i="99"/>
  <c r="AQ15" i="99"/>
  <c r="AS15" i="99"/>
  <c r="AU15" i="99"/>
  <c r="BC15" i="99"/>
  <c r="BD15" i="99"/>
  <c r="BE15" i="99"/>
  <c r="BH15" i="99"/>
  <c r="BJ15" i="99"/>
  <c r="H15" i="99" s="1"/>
  <c r="BF15" i="99" s="1"/>
  <c r="AG16" i="99"/>
  <c r="AH16" i="99"/>
  <c r="AL16" i="99"/>
  <c r="AO16" i="99"/>
  <c r="AQ16" i="99"/>
  <c r="AS16" i="99"/>
  <c r="AU16" i="99"/>
  <c r="BC16" i="99"/>
  <c r="BD16" i="99"/>
  <c r="BE16" i="99"/>
  <c r="BH16" i="99"/>
  <c r="BL16" i="99" s="1"/>
  <c r="AG17" i="99"/>
  <c r="AH17" i="99"/>
  <c r="AN17" i="99" s="1"/>
  <c r="AL17" i="99"/>
  <c r="AO17" i="99"/>
  <c r="AQ17" i="99"/>
  <c r="AS17" i="99"/>
  <c r="AU17" i="99"/>
  <c r="BC17" i="99"/>
  <c r="BD17" i="99"/>
  <c r="BE17" i="99"/>
  <c r="BH17" i="99"/>
  <c r="G17" i="99" s="1"/>
  <c r="AG18" i="99"/>
  <c r="AH18" i="99"/>
  <c r="AN18" i="99" s="1"/>
  <c r="AL18" i="99"/>
  <c r="AO18" i="99"/>
  <c r="AQ18" i="99"/>
  <c r="AS18" i="99"/>
  <c r="AU18" i="99"/>
  <c r="BC18" i="99"/>
  <c r="BD18" i="99"/>
  <c r="BE18" i="99"/>
  <c r="BH18" i="99"/>
  <c r="BL18" i="99"/>
  <c r="B19" i="99"/>
  <c r="AG19" i="99"/>
  <c r="AH19" i="99"/>
  <c r="AN19" i="99" s="1"/>
  <c r="AL19" i="99"/>
  <c r="AO19" i="99"/>
  <c r="AQ19" i="99"/>
  <c r="AS19" i="99"/>
  <c r="AU19" i="99"/>
  <c r="BC19" i="99"/>
  <c r="BD19" i="99"/>
  <c r="BE19" i="99"/>
  <c r="BH19" i="99"/>
  <c r="BJ19" i="99"/>
  <c r="H19" i="99" s="1"/>
  <c r="BF19" i="99" s="1"/>
  <c r="AG20" i="99"/>
  <c r="AH20" i="99"/>
  <c r="AN20" i="99" s="1"/>
  <c r="AL20" i="99"/>
  <c r="AO20" i="99"/>
  <c r="AQ20" i="99"/>
  <c r="AS20" i="99"/>
  <c r="AU20" i="99"/>
  <c r="BC20" i="99"/>
  <c r="BD20" i="99"/>
  <c r="BE20" i="99"/>
  <c r="BH20" i="99"/>
  <c r="BL20" i="99" s="1"/>
  <c r="G21" i="99"/>
  <c r="BI21" i="99" s="1"/>
  <c r="AG21" i="99"/>
  <c r="AH21" i="99"/>
  <c r="AN21" i="99" s="1"/>
  <c r="AL21" i="99"/>
  <c r="AO21" i="99"/>
  <c r="AQ21" i="99"/>
  <c r="AS21" i="99"/>
  <c r="AU21" i="99"/>
  <c r="AY21" i="99"/>
  <c r="BC21" i="99"/>
  <c r="BD21" i="99"/>
  <c r="BE21" i="99"/>
  <c r="BH21" i="99"/>
  <c r="BL21" i="99" s="1"/>
  <c r="AG22" i="99"/>
  <c r="AH22" i="99"/>
  <c r="AN22" i="99" s="1"/>
  <c r="AL22" i="99"/>
  <c r="AO22" i="99"/>
  <c r="AQ22" i="99"/>
  <c r="AS22" i="99"/>
  <c r="AU22" i="99"/>
  <c r="BC22" i="99"/>
  <c r="BD22" i="99"/>
  <c r="BE22" i="99"/>
  <c r="BH22" i="99"/>
  <c r="BL22" i="99" s="1"/>
  <c r="AG23" i="99"/>
  <c r="AH23" i="99"/>
  <c r="AN23" i="99" s="1"/>
  <c r="AL23" i="99"/>
  <c r="AO23" i="99"/>
  <c r="AQ23" i="99"/>
  <c r="AS23" i="99"/>
  <c r="AU23" i="99"/>
  <c r="BC23" i="99"/>
  <c r="BD23" i="99"/>
  <c r="BE23" i="99"/>
  <c r="BH23" i="99"/>
  <c r="B24" i="99"/>
  <c r="G24" i="99"/>
  <c r="AY24" i="99" s="1"/>
  <c r="AG24" i="99"/>
  <c r="AH24" i="99"/>
  <c r="AN24" i="99" s="1"/>
  <c r="AL24" i="99"/>
  <c r="AO24" i="99"/>
  <c r="AQ24" i="99"/>
  <c r="AS24" i="99"/>
  <c r="AU24" i="99"/>
  <c r="BC24" i="99"/>
  <c r="BD24" i="99"/>
  <c r="BE24" i="99"/>
  <c r="BH24" i="99"/>
  <c r="BJ24" i="99"/>
  <c r="H24" i="99" s="1"/>
  <c r="BF24" i="99" s="1"/>
  <c r="BL24" i="99"/>
  <c r="BQ24" i="99"/>
  <c r="BR24" i="99"/>
  <c r="BS24" i="99"/>
  <c r="BT24" i="99"/>
  <c r="BU24" i="99"/>
  <c r="AG25" i="99"/>
  <c r="AH25" i="99"/>
  <c r="AL25" i="99"/>
  <c r="AO25" i="99"/>
  <c r="AQ25" i="99"/>
  <c r="AS25" i="99"/>
  <c r="AU25" i="99"/>
  <c r="BC25" i="99"/>
  <c r="BD25" i="99"/>
  <c r="BE25" i="99"/>
  <c r="BH25" i="99"/>
  <c r="BQ25" i="99"/>
  <c r="BR25" i="99"/>
  <c r="BS25" i="99"/>
  <c r="BT25" i="99"/>
  <c r="BU25" i="99"/>
  <c r="AG26" i="99"/>
  <c r="AH26" i="99"/>
  <c r="AL26" i="99"/>
  <c r="AO26" i="99"/>
  <c r="AQ26" i="99"/>
  <c r="AS26" i="99"/>
  <c r="AU26" i="99"/>
  <c r="BC26" i="99"/>
  <c r="BD26" i="99"/>
  <c r="BE26" i="99"/>
  <c r="BH26" i="99"/>
  <c r="BL26" i="99" s="1"/>
  <c r="BQ26" i="99"/>
  <c r="BR26" i="99"/>
  <c r="BS26" i="99"/>
  <c r="BT26" i="99"/>
  <c r="BU26" i="99"/>
  <c r="AG27" i="99"/>
  <c r="AH27" i="99"/>
  <c r="AN27" i="99" s="1"/>
  <c r="AL27" i="99"/>
  <c r="AO27" i="99"/>
  <c r="AQ27" i="99"/>
  <c r="AS27" i="99"/>
  <c r="AU27" i="99"/>
  <c r="BC27" i="99"/>
  <c r="BD27" i="99"/>
  <c r="BE27" i="99"/>
  <c r="BH27" i="99"/>
  <c r="G27" i="99" s="1"/>
  <c r="BQ27" i="99"/>
  <c r="BR27" i="99"/>
  <c r="BS27" i="99"/>
  <c r="BT27" i="99"/>
  <c r="BU27" i="99"/>
  <c r="B28" i="99"/>
  <c r="AG28" i="99"/>
  <c r="AH28" i="99"/>
  <c r="AN28" i="99" s="1"/>
  <c r="AL28" i="99"/>
  <c r="AO28" i="99"/>
  <c r="AQ28" i="99"/>
  <c r="AS28" i="99"/>
  <c r="AU28" i="99"/>
  <c r="BC28" i="99"/>
  <c r="BD28" i="99"/>
  <c r="BE28" i="99"/>
  <c r="BH28" i="99"/>
  <c r="BJ28" i="99"/>
  <c r="H28" i="99" s="1"/>
  <c r="BF28" i="99" s="1"/>
  <c r="BQ28" i="99"/>
  <c r="BR28" i="99"/>
  <c r="BS28" i="99"/>
  <c r="BT28" i="99"/>
  <c r="BU28" i="99"/>
  <c r="AG29" i="99"/>
  <c r="AH29" i="99"/>
  <c r="AL29" i="99"/>
  <c r="AO29" i="99"/>
  <c r="AQ29" i="99"/>
  <c r="AS29" i="99"/>
  <c r="AU29" i="99"/>
  <c r="BC29" i="99"/>
  <c r="BD29" i="99"/>
  <c r="BE29" i="99"/>
  <c r="BH29" i="99"/>
  <c r="BL29" i="99" s="1"/>
  <c r="BQ29" i="99"/>
  <c r="BR29" i="99"/>
  <c r="BS29" i="99"/>
  <c r="BT29" i="99"/>
  <c r="BU29" i="99"/>
  <c r="AG30" i="99"/>
  <c r="AH30" i="99"/>
  <c r="AN30" i="99" s="1"/>
  <c r="AL30" i="99"/>
  <c r="AO30" i="99"/>
  <c r="AQ30" i="99"/>
  <c r="AS30" i="99"/>
  <c r="AU30" i="99"/>
  <c r="BC30" i="99"/>
  <c r="BD30" i="99"/>
  <c r="BE30" i="99"/>
  <c r="BH30" i="99"/>
  <c r="G30" i="99" s="1"/>
  <c r="BK30" i="99" s="1"/>
  <c r="I30" i="99" s="1"/>
  <c r="BQ30" i="99"/>
  <c r="BR30" i="99"/>
  <c r="BS30" i="99"/>
  <c r="BT30" i="99"/>
  <c r="BU30" i="99"/>
  <c r="AG31" i="99"/>
  <c r="AH31" i="99"/>
  <c r="AN31" i="99" s="1"/>
  <c r="AL31" i="99"/>
  <c r="AO31" i="99"/>
  <c r="AQ31" i="99"/>
  <c r="AS31" i="99"/>
  <c r="AU31" i="99"/>
  <c r="BC31" i="99"/>
  <c r="BD31" i="99"/>
  <c r="BE31" i="99"/>
  <c r="BH31" i="99"/>
  <c r="BQ31" i="99"/>
  <c r="BR31" i="99"/>
  <c r="BS31" i="99"/>
  <c r="BT31" i="99"/>
  <c r="BU31" i="99"/>
  <c r="B32" i="99"/>
  <c r="C32" i="99"/>
  <c r="AG32" i="99"/>
  <c r="AH32" i="99"/>
  <c r="AN32" i="99" s="1"/>
  <c r="AI32" i="99"/>
  <c r="AJ32" i="99"/>
  <c r="AL32" i="99"/>
  <c r="AO32" i="99"/>
  <c r="AP32" i="99"/>
  <c r="AQ32" i="99"/>
  <c r="AR32" i="99"/>
  <c r="AV32" i="99" s="1"/>
  <c r="AS32" i="99"/>
  <c r="AT32" i="99"/>
  <c r="AU32" i="99"/>
  <c r="AW32" i="99"/>
  <c r="AX32" i="99"/>
  <c r="AY32" i="99"/>
  <c r="AZ32" i="99"/>
  <c r="BA32" i="99"/>
  <c r="BB32" i="99"/>
  <c r="BC32" i="99"/>
  <c r="BD32" i="99"/>
  <c r="BE32" i="99"/>
  <c r="BG32" i="99"/>
  <c r="BH32" i="99"/>
  <c r="G32" i="99" s="1"/>
  <c r="BI32" i="99"/>
  <c r="AK32" i="99" s="1"/>
  <c r="AM32" i="99" s="1"/>
  <c r="BJ32" i="99"/>
  <c r="H32" i="99" s="1"/>
  <c r="BF32" i="99" s="1"/>
  <c r="BK32" i="99"/>
  <c r="I32" i="99" s="1"/>
  <c r="BL32" i="99"/>
  <c r="BN32" i="99"/>
  <c r="BQ32" i="99"/>
  <c r="BR32" i="99"/>
  <c r="BS32" i="99"/>
  <c r="BT32" i="99"/>
  <c r="BU32" i="99"/>
  <c r="B33" i="99"/>
  <c r="C33" i="99"/>
  <c r="AG33" i="99"/>
  <c r="AH33" i="99"/>
  <c r="AN33" i="99" s="1"/>
  <c r="AI33" i="99"/>
  <c r="AJ33" i="99"/>
  <c r="AL33" i="99"/>
  <c r="AO33" i="99"/>
  <c r="AP33" i="99"/>
  <c r="AQ33" i="99"/>
  <c r="AR33" i="99"/>
  <c r="AV33" i="99" s="1"/>
  <c r="AS33" i="99"/>
  <c r="AT33" i="99"/>
  <c r="AU33" i="99"/>
  <c r="AW33" i="99"/>
  <c r="AX33" i="99"/>
  <c r="AY33" i="99"/>
  <c r="AZ33" i="99"/>
  <c r="BA33" i="99"/>
  <c r="BB33" i="99"/>
  <c r="BC33" i="99"/>
  <c r="BD33" i="99"/>
  <c r="BE33" i="99"/>
  <c r="BG33" i="99"/>
  <c r="BH33" i="99"/>
  <c r="BL33" i="99" s="1"/>
  <c r="BI33" i="99"/>
  <c r="AK33" i="99" s="1"/>
  <c r="AM33" i="99" s="1"/>
  <c r="BJ33" i="99"/>
  <c r="H33" i="99" s="1"/>
  <c r="BF33" i="99" s="1"/>
  <c r="BK33" i="99"/>
  <c r="I33" i="99" s="1"/>
  <c r="BN33" i="99"/>
  <c r="B34" i="99"/>
  <c r="C34" i="99"/>
  <c r="G34" i="99"/>
  <c r="AG34" i="99"/>
  <c r="AH34" i="99"/>
  <c r="AN34" i="99" s="1"/>
  <c r="AI34" i="99"/>
  <c r="AJ34" i="99"/>
  <c r="AL34" i="99"/>
  <c r="AO34" i="99"/>
  <c r="AP34" i="99"/>
  <c r="AQ34" i="99"/>
  <c r="AR34" i="99"/>
  <c r="AV34" i="99" s="1"/>
  <c r="AS34" i="99"/>
  <c r="AT34" i="99"/>
  <c r="AU34" i="99"/>
  <c r="AW34" i="99"/>
  <c r="AX34" i="99"/>
  <c r="AY34" i="99"/>
  <c r="AZ34" i="99"/>
  <c r="BA34" i="99"/>
  <c r="BB34" i="99"/>
  <c r="BC34" i="99"/>
  <c r="BD34" i="99"/>
  <c r="BE34" i="99"/>
  <c r="BG34" i="99"/>
  <c r="BH34" i="99"/>
  <c r="BL34" i="99" s="1"/>
  <c r="BI34" i="99"/>
  <c r="AK34" i="99" s="1"/>
  <c r="AM34" i="99" s="1"/>
  <c r="BJ34" i="99"/>
  <c r="H34" i="99" s="1"/>
  <c r="BF34" i="99" s="1"/>
  <c r="BK34" i="99"/>
  <c r="I34" i="99" s="1"/>
  <c r="BN34" i="99"/>
  <c r="B35" i="99"/>
  <c r="C35" i="99"/>
  <c r="AG35" i="99"/>
  <c r="AH35" i="99"/>
  <c r="AN35" i="99" s="1"/>
  <c r="AI35" i="99"/>
  <c r="AJ35" i="99"/>
  <c r="AL35" i="99"/>
  <c r="AO35" i="99"/>
  <c r="AP35" i="99"/>
  <c r="AQ35" i="99"/>
  <c r="AR35" i="99"/>
  <c r="AV35" i="99" s="1"/>
  <c r="AS35" i="99"/>
  <c r="AT35" i="99"/>
  <c r="AU35" i="99"/>
  <c r="AW35" i="99"/>
  <c r="AX35" i="99"/>
  <c r="AY35" i="99"/>
  <c r="AZ35" i="99"/>
  <c r="BA35" i="99"/>
  <c r="BB35" i="99"/>
  <c r="BC35" i="99"/>
  <c r="BD35" i="99"/>
  <c r="BE35" i="99"/>
  <c r="BG35" i="99"/>
  <c r="BH35" i="99"/>
  <c r="BI35" i="99"/>
  <c r="AK35" i="99" s="1"/>
  <c r="AM35" i="99" s="1"/>
  <c r="BJ35" i="99"/>
  <c r="H35" i="99" s="1"/>
  <c r="BF35" i="99" s="1"/>
  <c r="BK35" i="99"/>
  <c r="I35" i="99" s="1"/>
  <c r="BL35" i="99"/>
  <c r="BN35" i="99"/>
  <c r="B36" i="99"/>
  <c r="C36" i="99"/>
  <c r="AG36" i="99"/>
  <c r="AH36" i="99"/>
  <c r="AN36" i="99" s="1"/>
  <c r="AI36" i="99"/>
  <c r="AJ36" i="99"/>
  <c r="AL36" i="99"/>
  <c r="AO36" i="99"/>
  <c r="AP36" i="99"/>
  <c r="AQ36" i="99"/>
  <c r="AR36" i="99"/>
  <c r="AV36" i="99" s="1"/>
  <c r="AS36" i="99"/>
  <c r="AT36" i="99"/>
  <c r="AU36" i="99"/>
  <c r="AW36" i="99"/>
  <c r="AX36" i="99"/>
  <c r="AY36" i="99"/>
  <c r="AZ36" i="99"/>
  <c r="BA36" i="99"/>
  <c r="BB36" i="99"/>
  <c r="BC36" i="99"/>
  <c r="BD36" i="99"/>
  <c r="BE36" i="99"/>
  <c r="BG36" i="99"/>
  <c r="BH36" i="99"/>
  <c r="G36" i="99" s="1"/>
  <c r="BI36" i="99"/>
  <c r="AK36" i="99" s="1"/>
  <c r="AM36" i="99" s="1"/>
  <c r="BJ36" i="99"/>
  <c r="H36" i="99" s="1"/>
  <c r="BF36" i="99" s="1"/>
  <c r="BK36" i="99"/>
  <c r="I36" i="99" s="1"/>
  <c r="BN36" i="99"/>
  <c r="B37" i="99"/>
  <c r="C37" i="99"/>
  <c r="G37" i="99"/>
  <c r="AG37" i="99"/>
  <c r="AH37" i="99"/>
  <c r="AN37" i="99" s="1"/>
  <c r="AI37" i="99"/>
  <c r="AJ37" i="99"/>
  <c r="AL37" i="99"/>
  <c r="AO37" i="99"/>
  <c r="AP37" i="99"/>
  <c r="AQ37" i="99"/>
  <c r="AR37" i="99"/>
  <c r="AV37" i="99" s="1"/>
  <c r="AS37" i="99"/>
  <c r="AT37" i="99"/>
  <c r="AU37" i="99"/>
  <c r="AW37" i="99"/>
  <c r="AX37" i="99"/>
  <c r="AY37" i="99"/>
  <c r="AZ37" i="99"/>
  <c r="BA37" i="99"/>
  <c r="BB37" i="99"/>
  <c r="BC37" i="99"/>
  <c r="BD37" i="99"/>
  <c r="BE37" i="99"/>
  <c r="BG37" i="99"/>
  <c r="BH37" i="99"/>
  <c r="BI37" i="99"/>
  <c r="BJ37" i="99"/>
  <c r="H37" i="99" s="1"/>
  <c r="BF37" i="99" s="1"/>
  <c r="BK37" i="99"/>
  <c r="I37" i="99" s="1"/>
  <c r="BL37" i="99"/>
  <c r="BN37" i="99"/>
  <c r="B38" i="99"/>
  <c r="C38" i="99"/>
  <c r="G38" i="99"/>
  <c r="AG38" i="99"/>
  <c r="AH38" i="99"/>
  <c r="AN38" i="99" s="1"/>
  <c r="AI38" i="99"/>
  <c r="AJ38" i="99"/>
  <c r="AL38" i="99"/>
  <c r="AO38" i="99"/>
  <c r="AP38" i="99"/>
  <c r="AQ38" i="99"/>
  <c r="AR38" i="99"/>
  <c r="AV38" i="99" s="1"/>
  <c r="AS38" i="99"/>
  <c r="AT38" i="99"/>
  <c r="AU38" i="99"/>
  <c r="AW38" i="99"/>
  <c r="AX38" i="99"/>
  <c r="AY38" i="99"/>
  <c r="AZ38" i="99"/>
  <c r="BA38" i="99"/>
  <c r="BB38" i="99"/>
  <c r="BC38" i="99"/>
  <c r="BD38" i="99"/>
  <c r="BE38" i="99"/>
  <c r="BG38" i="99"/>
  <c r="BH38" i="99"/>
  <c r="BI38" i="99"/>
  <c r="AK38" i="99" s="1"/>
  <c r="AM38" i="99" s="1"/>
  <c r="BJ38" i="99"/>
  <c r="H38" i="99" s="1"/>
  <c r="BF38" i="99" s="1"/>
  <c r="BK38" i="99"/>
  <c r="I38" i="99" s="1"/>
  <c r="BN38" i="99"/>
  <c r="B39" i="99"/>
  <c r="C39" i="99"/>
  <c r="AG39" i="99"/>
  <c r="AH39" i="99"/>
  <c r="AN39" i="99" s="1"/>
  <c r="AI39" i="99"/>
  <c r="AJ39" i="99"/>
  <c r="AL39" i="99"/>
  <c r="AO39" i="99"/>
  <c r="AP39" i="99"/>
  <c r="AQ39" i="99"/>
  <c r="AR39" i="99"/>
  <c r="AV39" i="99" s="1"/>
  <c r="AS39" i="99"/>
  <c r="AT39" i="99"/>
  <c r="AU39" i="99"/>
  <c r="AW39" i="99"/>
  <c r="AX39" i="99"/>
  <c r="AY39" i="99"/>
  <c r="AZ39" i="99"/>
  <c r="BA39" i="99"/>
  <c r="BB39" i="99"/>
  <c r="BC39" i="99"/>
  <c r="BD39" i="99"/>
  <c r="BE39" i="99"/>
  <c r="BG39" i="99"/>
  <c r="BH39" i="99"/>
  <c r="BL39" i="99" s="1"/>
  <c r="BI39" i="99"/>
  <c r="AK39" i="99" s="1"/>
  <c r="AM39" i="99" s="1"/>
  <c r="BJ39" i="99"/>
  <c r="H39" i="99" s="1"/>
  <c r="BF39" i="99" s="1"/>
  <c r="BK39" i="99"/>
  <c r="I39" i="99" s="1"/>
  <c r="BN39" i="99"/>
  <c r="B40" i="99"/>
  <c r="C40" i="99"/>
  <c r="AG40" i="99"/>
  <c r="AH40" i="99"/>
  <c r="AN40" i="99" s="1"/>
  <c r="AI40" i="99"/>
  <c r="AJ40" i="99"/>
  <c r="AL40" i="99"/>
  <c r="AO40" i="99"/>
  <c r="AP40" i="99"/>
  <c r="AQ40" i="99"/>
  <c r="AR40" i="99"/>
  <c r="AV40" i="99" s="1"/>
  <c r="AS40" i="99"/>
  <c r="AT40" i="99"/>
  <c r="AU40" i="99"/>
  <c r="AW40" i="99"/>
  <c r="AX40" i="99"/>
  <c r="AY40" i="99"/>
  <c r="AZ40" i="99"/>
  <c r="BA40" i="99"/>
  <c r="BB40" i="99"/>
  <c r="BC40" i="99"/>
  <c r="BD40" i="99"/>
  <c r="BE40" i="99"/>
  <c r="BG40" i="99"/>
  <c r="BH40" i="99"/>
  <c r="G40" i="99" s="1"/>
  <c r="BI40" i="99"/>
  <c r="AK40" i="99" s="1"/>
  <c r="AM40" i="99" s="1"/>
  <c r="BJ40" i="99"/>
  <c r="H40" i="99" s="1"/>
  <c r="BF40" i="99" s="1"/>
  <c r="BK40" i="99"/>
  <c r="I40" i="99" s="1"/>
  <c r="BN40" i="99"/>
  <c r="B41" i="99"/>
  <c r="C41" i="99"/>
  <c r="G41" i="99"/>
  <c r="AG41" i="99"/>
  <c r="AH41" i="99"/>
  <c r="AN41" i="99" s="1"/>
  <c r="AI41" i="99"/>
  <c r="AJ41" i="99"/>
  <c r="AL41" i="99"/>
  <c r="AO41" i="99"/>
  <c r="AP41" i="99"/>
  <c r="AQ41" i="99"/>
  <c r="AR41" i="99"/>
  <c r="AV41" i="99" s="1"/>
  <c r="AS41" i="99"/>
  <c r="AT41" i="99"/>
  <c r="AU41" i="99"/>
  <c r="AW41" i="99"/>
  <c r="AX41" i="99"/>
  <c r="AY41" i="99"/>
  <c r="AZ41" i="99"/>
  <c r="BA41" i="99"/>
  <c r="BB41" i="99"/>
  <c r="BC41" i="99"/>
  <c r="BD41" i="99"/>
  <c r="BE41" i="99"/>
  <c r="BG41" i="99"/>
  <c r="BH41" i="99"/>
  <c r="BI41" i="99"/>
  <c r="BJ41" i="99"/>
  <c r="H41" i="99" s="1"/>
  <c r="BF41" i="99" s="1"/>
  <c r="BK41" i="99"/>
  <c r="I41" i="99" s="1"/>
  <c r="BL41" i="99"/>
  <c r="BN41" i="99"/>
  <c r="B42" i="99"/>
  <c r="C42" i="99"/>
  <c r="G42" i="99"/>
  <c r="AG42" i="99"/>
  <c r="AH42" i="99"/>
  <c r="AN42" i="99" s="1"/>
  <c r="AI42" i="99"/>
  <c r="AJ42" i="99"/>
  <c r="AL42" i="99"/>
  <c r="AO42" i="99"/>
  <c r="AP42" i="99"/>
  <c r="AQ42" i="99"/>
  <c r="AR42" i="99"/>
  <c r="AV42" i="99" s="1"/>
  <c r="AS42" i="99"/>
  <c r="AT42" i="99"/>
  <c r="AU42" i="99"/>
  <c r="AW42" i="99"/>
  <c r="AX42" i="99"/>
  <c r="AY42" i="99"/>
  <c r="AZ42" i="99"/>
  <c r="BA42" i="99"/>
  <c r="BB42" i="99"/>
  <c r="BC42" i="99"/>
  <c r="BD42" i="99"/>
  <c r="BE42" i="99"/>
  <c r="BG42" i="99"/>
  <c r="BH42" i="99"/>
  <c r="BI42" i="99"/>
  <c r="AK42" i="99" s="1"/>
  <c r="AM42" i="99" s="1"/>
  <c r="BJ42" i="99"/>
  <c r="H42" i="99" s="1"/>
  <c r="BF42" i="99" s="1"/>
  <c r="BK42" i="99"/>
  <c r="I42" i="99" s="1"/>
  <c r="BL42" i="99"/>
  <c r="BN42" i="99"/>
  <c r="H44" i="99"/>
  <c r="AT46" i="99"/>
  <c r="AT47" i="99" s="1"/>
  <c r="AR47" i="99" s="1"/>
  <c r="BE46" i="99"/>
  <c r="U50" i="99"/>
  <c r="AV7" i="98"/>
  <c r="B9" i="98"/>
  <c r="B11" i="98" s="1"/>
  <c r="AG9" i="98"/>
  <c r="AH9" i="98"/>
  <c r="AN9" i="98" s="1"/>
  <c r="AJ9" i="98"/>
  <c r="AL9" i="98"/>
  <c r="AO9" i="98"/>
  <c r="AQ9" i="98"/>
  <c r="AS9" i="98"/>
  <c r="AU9" i="98"/>
  <c r="BC9" i="98"/>
  <c r="BD9" i="98"/>
  <c r="BE9" i="98"/>
  <c r="BH9" i="98"/>
  <c r="G9" i="98" s="1"/>
  <c r="BJ9" i="98"/>
  <c r="H9" i="98" s="1"/>
  <c r="BF9" i="98" s="1"/>
  <c r="B10" i="98"/>
  <c r="AG10" i="98"/>
  <c r="AH10" i="98"/>
  <c r="AL10" i="98"/>
  <c r="AO10" i="98"/>
  <c r="AQ10" i="98"/>
  <c r="AS10" i="98"/>
  <c r="AU10" i="98"/>
  <c r="BC10" i="98"/>
  <c r="BD10" i="98"/>
  <c r="BE10" i="98"/>
  <c r="BH10" i="98"/>
  <c r="G10" i="98" s="1"/>
  <c r="AY10" i="98" s="1"/>
  <c r="AG11" i="98"/>
  <c r="AH11" i="98"/>
  <c r="AL11" i="98"/>
  <c r="AO11" i="98"/>
  <c r="AQ11" i="98"/>
  <c r="AS11" i="98"/>
  <c r="AU11" i="98"/>
  <c r="BC11" i="98"/>
  <c r="BD11" i="98"/>
  <c r="BE11" i="98"/>
  <c r="BH11" i="98"/>
  <c r="G11" i="98" s="1"/>
  <c r="AG12" i="98"/>
  <c r="AH12" i="98"/>
  <c r="AN12" i="98" s="1"/>
  <c r="AL12" i="98"/>
  <c r="AO12" i="98"/>
  <c r="AQ12" i="98"/>
  <c r="AS12" i="98"/>
  <c r="AU12" i="98"/>
  <c r="BC12" i="98"/>
  <c r="BD12" i="98"/>
  <c r="BE12" i="98"/>
  <c r="BH12" i="98"/>
  <c r="B13" i="98"/>
  <c r="G13" i="98"/>
  <c r="AW13" i="98" s="1"/>
  <c r="AG13" i="98"/>
  <c r="AH13" i="98"/>
  <c r="AN13" i="98" s="1"/>
  <c r="AL13" i="98"/>
  <c r="AO13" i="98"/>
  <c r="AQ13" i="98"/>
  <c r="AS13" i="98"/>
  <c r="AU13" i="98"/>
  <c r="BB13" i="98"/>
  <c r="BC13" i="98"/>
  <c r="BD13" i="98"/>
  <c r="BE13" i="98"/>
  <c r="BH13" i="98"/>
  <c r="BI13" i="98"/>
  <c r="AK13" i="98" s="1"/>
  <c r="BJ13" i="98"/>
  <c r="H13" i="98" s="1"/>
  <c r="BF13" i="98" s="1"/>
  <c r="G14" i="98"/>
  <c r="AY14" i="98" s="1"/>
  <c r="AG14" i="98"/>
  <c r="AH14" i="98"/>
  <c r="AL14" i="98"/>
  <c r="AO14" i="98"/>
  <c r="AQ14" i="98"/>
  <c r="AS14" i="98"/>
  <c r="AU14" i="98"/>
  <c r="BC14" i="98"/>
  <c r="BD14" i="98"/>
  <c r="BE14" i="98"/>
  <c r="BH14" i="98"/>
  <c r="BL14" i="98" s="1"/>
  <c r="G15" i="98"/>
  <c r="AY15" i="98" s="1"/>
  <c r="AG15" i="98"/>
  <c r="AH15" i="98"/>
  <c r="AL15" i="98"/>
  <c r="AO15" i="98"/>
  <c r="AQ15" i="98"/>
  <c r="AS15" i="98"/>
  <c r="AU15" i="98"/>
  <c r="BC15" i="98"/>
  <c r="BD15" i="98"/>
  <c r="BE15" i="98"/>
  <c r="BH15" i="98"/>
  <c r="BL15" i="98" s="1"/>
  <c r="AG16" i="98"/>
  <c r="AH16" i="98"/>
  <c r="AL16" i="98"/>
  <c r="AO16" i="98"/>
  <c r="AQ16" i="98"/>
  <c r="AS16" i="98"/>
  <c r="AU16" i="98"/>
  <c r="BC16" i="98"/>
  <c r="BD16" i="98"/>
  <c r="BE16" i="98"/>
  <c r="BH16" i="98"/>
  <c r="BL16" i="98"/>
  <c r="AG17" i="98"/>
  <c r="AH17" i="98"/>
  <c r="AN17" i="98" s="1"/>
  <c r="AL17" i="98"/>
  <c r="AO17" i="98"/>
  <c r="AQ17" i="98"/>
  <c r="AS17" i="98"/>
  <c r="AU17" i="98"/>
  <c r="BC17" i="98"/>
  <c r="BD17" i="98"/>
  <c r="BE17" i="98"/>
  <c r="BH17" i="98"/>
  <c r="G17" i="98" s="1"/>
  <c r="AW17" i="98" s="1"/>
  <c r="B18" i="98"/>
  <c r="AG18" i="98"/>
  <c r="AH18" i="98"/>
  <c r="AN18" i="98" s="1"/>
  <c r="AL18" i="98"/>
  <c r="AO18" i="98"/>
  <c r="AQ18" i="98"/>
  <c r="AS18" i="98"/>
  <c r="AU18" i="98"/>
  <c r="BC18" i="98"/>
  <c r="BD18" i="98"/>
  <c r="BE18" i="98"/>
  <c r="BH18" i="98"/>
  <c r="G18" i="98" s="1"/>
  <c r="BJ18" i="98"/>
  <c r="H18" i="98" s="1"/>
  <c r="BF18" i="98" s="1"/>
  <c r="AG19" i="98"/>
  <c r="AH19" i="98"/>
  <c r="AN19" i="98" s="1"/>
  <c r="AL19" i="98"/>
  <c r="AO19" i="98"/>
  <c r="AQ19" i="98"/>
  <c r="AS19" i="98"/>
  <c r="AU19" i="98"/>
  <c r="BC19" i="98"/>
  <c r="BD19" i="98"/>
  <c r="BE19" i="98"/>
  <c r="BH19" i="98"/>
  <c r="AG20" i="98"/>
  <c r="AH20" i="98"/>
  <c r="AN20" i="98" s="1"/>
  <c r="AL20" i="98"/>
  <c r="AO20" i="98"/>
  <c r="AQ20" i="98"/>
  <c r="AS20" i="98"/>
  <c r="AU20" i="98"/>
  <c r="BC20" i="98"/>
  <c r="BD20" i="98"/>
  <c r="BE20" i="98"/>
  <c r="BH20" i="98"/>
  <c r="AG21" i="98"/>
  <c r="AH21" i="98"/>
  <c r="AN21" i="98" s="1"/>
  <c r="AL21" i="98"/>
  <c r="AO21" i="98"/>
  <c r="AQ21" i="98"/>
  <c r="AS21" i="98"/>
  <c r="AU21" i="98"/>
  <c r="BC21" i="98"/>
  <c r="BD21" i="98"/>
  <c r="BE21" i="98"/>
  <c r="BH21" i="98"/>
  <c r="G22" i="98"/>
  <c r="AY22" i="98" s="1"/>
  <c r="AG22" i="98"/>
  <c r="AH22" i="98"/>
  <c r="AN22" i="98" s="1"/>
  <c r="AL22" i="98"/>
  <c r="AO22" i="98"/>
  <c r="AQ22" i="98"/>
  <c r="AS22" i="98"/>
  <c r="AU22" i="98"/>
  <c r="BC22" i="98"/>
  <c r="BD22" i="98"/>
  <c r="BE22" i="98"/>
  <c r="BH22" i="98"/>
  <c r="BL22" i="98" s="1"/>
  <c r="BQ22" i="98"/>
  <c r="BR22" i="98"/>
  <c r="BS22" i="98"/>
  <c r="BT22" i="98"/>
  <c r="BU22" i="98"/>
  <c r="B23" i="98"/>
  <c r="AG23" i="98"/>
  <c r="AH23" i="98"/>
  <c r="AN23" i="98" s="1"/>
  <c r="AL23" i="98"/>
  <c r="AO23" i="98"/>
  <c r="AQ23" i="98"/>
  <c r="AS23" i="98"/>
  <c r="AU23" i="98"/>
  <c r="BC23" i="98"/>
  <c r="BD23" i="98"/>
  <c r="BE23" i="98"/>
  <c r="BH23" i="98"/>
  <c r="BJ23" i="98"/>
  <c r="H23" i="98" s="1"/>
  <c r="BF23" i="98" s="1"/>
  <c r="BQ23" i="98"/>
  <c r="BR23" i="98"/>
  <c r="BS23" i="98"/>
  <c r="BT23" i="98"/>
  <c r="BU23" i="98"/>
  <c r="G24" i="98"/>
  <c r="BK24" i="98" s="1"/>
  <c r="I24" i="98" s="1"/>
  <c r="AG24" i="98"/>
  <c r="AH24" i="98"/>
  <c r="AL24" i="98"/>
  <c r="AO24" i="98"/>
  <c r="AQ24" i="98"/>
  <c r="AS24" i="98"/>
  <c r="AU24" i="98"/>
  <c r="BC24" i="98"/>
  <c r="BD24" i="98"/>
  <c r="BE24" i="98"/>
  <c r="BH24" i="98"/>
  <c r="BL24" i="98" s="1"/>
  <c r="BQ24" i="98"/>
  <c r="BR24" i="98"/>
  <c r="BS24" i="98"/>
  <c r="BT24" i="98"/>
  <c r="BU24" i="98"/>
  <c r="AG25" i="98"/>
  <c r="AH25" i="98"/>
  <c r="AL25" i="98"/>
  <c r="AO25" i="98"/>
  <c r="AQ25" i="98"/>
  <c r="AS25" i="98"/>
  <c r="AU25" i="98"/>
  <c r="BC25" i="98"/>
  <c r="BD25" i="98"/>
  <c r="BE25" i="98"/>
  <c r="BH25" i="98"/>
  <c r="G25" i="98" s="1"/>
  <c r="BQ25" i="98"/>
  <c r="BR25" i="98"/>
  <c r="BS25" i="98"/>
  <c r="BT25" i="98"/>
  <c r="BU25" i="98"/>
  <c r="AG26" i="98"/>
  <c r="AH26" i="98"/>
  <c r="AN26" i="98" s="1"/>
  <c r="AL26" i="98"/>
  <c r="AO26" i="98"/>
  <c r="AQ26" i="98"/>
  <c r="AS26" i="98"/>
  <c r="AU26" i="98"/>
  <c r="BC26" i="98"/>
  <c r="BD26" i="98"/>
  <c r="BE26" i="98"/>
  <c r="BH26" i="98"/>
  <c r="G26" i="98" s="1"/>
  <c r="BI26" i="98" s="1"/>
  <c r="BQ26" i="98"/>
  <c r="BR26" i="98"/>
  <c r="BS26" i="98"/>
  <c r="BT26" i="98"/>
  <c r="BU26" i="98"/>
  <c r="B27" i="98"/>
  <c r="G27" i="98"/>
  <c r="AG27" i="98"/>
  <c r="AH27" i="98"/>
  <c r="AN27" i="98" s="1"/>
  <c r="AL27" i="98"/>
  <c r="AO27" i="98"/>
  <c r="AQ27" i="98"/>
  <c r="AS27" i="98"/>
  <c r="AU27" i="98"/>
  <c r="AX27" i="98"/>
  <c r="AY27" i="98"/>
  <c r="BC27" i="98"/>
  <c r="BD27" i="98"/>
  <c r="BE27" i="98"/>
  <c r="BH27" i="98"/>
  <c r="BJ27" i="98"/>
  <c r="H27" i="98" s="1"/>
  <c r="BF27" i="98" s="1"/>
  <c r="BK27" i="98"/>
  <c r="I27" i="98" s="1"/>
  <c r="BL27" i="98"/>
  <c r="BQ27" i="98"/>
  <c r="BR27" i="98"/>
  <c r="BS27" i="98"/>
  <c r="BT27" i="98"/>
  <c r="BU27" i="98"/>
  <c r="AG28" i="98"/>
  <c r="AH28" i="98"/>
  <c r="AL28" i="98"/>
  <c r="AO28" i="98"/>
  <c r="AQ28" i="98"/>
  <c r="AS28" i="98"/>
  <c r="AU28" i="98"/>
  <c r="BC28" i="98"/>
  <c r="BD28" i="98"/>
  <c r="BE28" i="98"/>
  <c r="BH28" i="98"/>
  <c r="G28" i="98" s="1"/>
  <c r="BQ28" i="98"/>
  <c r="BR28" i="98"/>
  <c r="BS28" i="98"/>
  <c r="BT28" i="98"/>
  <c r="BU28" i="98"/>
  <c r="AG29" i="98"/>
  <c r="AH29" i="98"/>
  <c r="AL29" i="98"/>
  <c r="AO29" i="98"/>
  <c r="AQ29" i="98"/>
  <c r="AS29" i="98"/>
  <c r="AU29" i="98"/>
  <c r="BC29" i="98"/>
  <c r="BD29" i="98"/>
  <c r="BE29" i="98"/>
  <c r="BH29" i="98"/>
  <c r="G29" i="98" s="1"/>
  <c r="BQ29" i="98"/>
  <c r="BR29" i="98"/>
  <c r="BS29" i="98"/>
  <c r="BT29" i="98"/>
  <c r="BU29" i="98"/>
  <c r="AG30" i="98"/>
  <c r="AH30" i="98"/>
  <c r="AN30" i="98" s="1"/>
  <c r="AL30" i="98"/>
  <c r="AO30" i="98"/>
  <c r="AQ30" i="98"/>
  <c r="AS30" i="98"/>
  <c r="AU30" i="98"/>
  <c r="BC30" i="98"/>
  <c r="BD30" i="98"/>
  <c r="BE30" i="98"/>
  <c r="BH30" i="98"/>
  <c r="G30" i="98" s="1"/>
  <c r="BQ30" i="98"/>
  <c r="BR30" i="98"/>
  <c r="BS30" i="98"/>
  <c r="BT30" i="98"/>
  <c r="BU30" i="98"/>
  <c r="B31" i="98"/>
  <c r="C31" i="98"/>
  <c r="G31" i="98"/>
  <c r="AG31" i="98"/>
  <c r="AH31" i="98"/>
  <c r="AN31" i="98" s="1"/>
  <c r="AI31" i="98"/>
  <c r="AJ31" i="98"/>
  <c r="AL31" i="98"/>
  <c r="AO31" i="98"/>
  <c r="AP31" i="98"/>
  <c r="AQ31" i="98"/>
  <c r="AR31" i="98"/>
  <c r="AV31" i="98" s="1"/>
  <c r="AS31" i="98"/>
  <c r="AT31" i="98"/>
  <c r="AU31" i="98"/>
  <c r="AW31" i="98"/>
  <c r="AX31" i="98"/>
  <c r="AY31" i="98"/>
  <c r="AZ31" i="98"/>
  <c r="BA31" i="98"/>
  <c r="BB31" i="98"/>
  <c r="BC31" i="98"/>
  <c r="BD31" i="98"/>
  <c r="BE31" i="98"/>
  <c r="BG31" i="98"/>
  <c r="BH31" i="98"/>
  <c r="BL31" i="98" s="1"/>
  <c r="BI31" i="98"/>
  <c r="AK31" i="98" s="1"/>
  <c r="AM31" i="98" s="1"/>
  <c r="BJ31" i="98"/>
  <c r="H31" i="98" s="1"/>
  <c r="BF31" i="98" s="1"/>
  <c r="BK31" i="98"/>
  <c r="I31" i="98" s="1"/>
  <c r="BN31" i="98"/>
  <c r="B32" i="98"/>
  <c r="C32" i="98"/>
  <c r="G32" i="98"/>
  <c r="AG32" i="98"/>
  <c r="AH32" i="98"/>
  <c r="AN32" i="98" s="1"/>
  <c r="AI32" i="98"/>
  <c r="AJ32" i="98"/>
  <c r="AL32" i="98"/>
  <c r="AO32" i="98"/>
  <c r="AP32" i="98"/>
  <c r="AQ32" i="98"/>
  <c r="AR32" i="98"/>
  <c r="AV32" i="98" s="1"/>
  <c r="AS32" i="98"/>
  <c r="AT32" i="98"/>
  <c r="AU32" i="98"/>
  <c r="AW32" i="98"/>
  <c r="AX32" i="98"/>
  <c r="AY32" i="98"/>
  <c r="AZ32" i="98"/>
  <c r="BA32" i="98"/>
  <c r="BB32" i="98"/>
  <c r="BC32" i="98"/>
  <c r="BD32" i="98"/>
  <c r="BE32" i="98"/>
  <c r="BG32" i="98"/>
  <c r="BH32" i="98"/>
  <c r="BL32" i="98" s="1"/>
  <c r="BI32" i="98"/>
  <c r="AK32" i="98" s="1"/>
  <c r="AM32" i="98" s="1"/>
  <c r="BJ32" i="98"/>
  <c r="H32" i="98" s="1"/>
  <c r="BF32" i="98" s="1"/>
  <c r="BK32" i="98"/>
  <c r="I32" i="98" s="1"/>
  <c r="BN32" i="98"/>
  <c r="B33" i="98"/>
  <c r="C33" i="98"/>
  <c r="AG33" i="98"/>
  <c r="AH33" i="98"/>
  <c r="AN33" i="98" s="1"/>
  <c r="AI33" i="98"/>
  <c r="AJ33" i="98"/>
  <c r="AL33" i="98"/>
  <c r="AO33" i="98"/>
  <c r="AP33" i="98"/>
  <c r="AQ33" i="98"/>
  <c r="AR33" i="98"/>
  <c r="AV33" i="98" s="1"/>
  <c r="AS33" i="98"/>
  <c r="AT33" i="98"/>
  <c r="AU33" i="98"/>
  <c r="AW33" i="98"/>
  <c r="AX33" i="98"/>
  <c r="AY33" i="98"/>
  <c r="AZ33" i="98"/>
  <c r="BA33" i="98"/>
  <c r="BB33" i="98"/>
  <c r="BC33" i="98"/>
  <c r="BD33" i="98"/>
  <c r="BE33" i="98"/>
  <c r="BG33" i="98"/>
  <c r="BH33" i="98"/>
  <c r="G33" i="98" s="1"/>
  <c r="BI33" i="98"/>
  <c r="AK33" i="98" s="1"/>
  <c r="AM33" i="98" s="1"/>
  <c r="BJ33" i="98"/>
  <c r="H33" i="98" s="1"/>
  <c r="BF33" i="98" s="1"/>
  <c r="BK33" i="98"/>
  <c r="I33" i="98" s="1"/>
  <c r="BL33" i="98"/>
  <c r="BN33" i="98"/>
  <c r="B34" i="98"/>
  <c r="C34" i="98"/>
  <c r="G34" i="98"/>
  <c r="AG34" i="98"/>
  <c r="AH34" i="98"/>
  <c r="AN34" i="98" s="1"/>
  <c r="AI34" i="98"/>
  <c r="AJ34" i="98"/>
  <c r="AL34" i="98"/>
  <c r="AO34" i="98"/>
  <c r="AP34" i="98"/>
  <c r="AQ34" i="98"/>
  <c r="AR34" i="98"/>
  <c r="AV34" i="98" s="1"/>
  <c r="AS34" i="98"/>
  <c r="AT34" i="98"/>
  <c r="AU34" i="98"/>
  <c r="AW34" i="98"/>
  <c r="AX34" i="98"/>
  <c r="AY34" i="98"/>
  <c r="AZ34" i="98"/>
  <c r="BA34" i="98"/>
  <c r="BB34" i="98"/>
  <c r="BC34" i="98"/>
  <c r="BD34" i="98"/>
  <c r="BE34" i="98"/>
  <c r="BG34" i="98"/>
  <c r="BH34" i="98"/>
  <c r="BL34" i="98" s="1"/>
  <c r="BI34" i="98"/>
  <c r="AK34" i="98" s="1"/>
  <c r="AM34" i="98" s="1"/>
  <c r="BJ34" i="98"/>
  <c r="H34" i="98" s="1"/>
  <c r="BF34" i="98" s="1"/>
  <c r="BK34" i="98"/>
  <c r="I34" i="98" s="1"/>
  <c r="BN34" i="98"/>
  <c r="B35" i="98"/>
  <c r="C35" i="98"/>
  <c r="G35" i="98"/>
  <c r="AG35" i="98"/>
  <c r="AH35" i="98"/>
  <c r="AN35" i="98" s="1"/>
  <c r="AI35" i="98"/>
  <c r="AJ35" i="98"/>
  <c r="AL35" i="98"/>
  <c r="AO35" i="98"/>
  <c r="AP35" i="98"/>
  <c r="AQ35" i="98"/>
  <c r="AR35" i="98"/>
  <c r="AV35" i="98" s="1"/>
  <c r="AS35" i="98"/>
  <c r="AT35" i="98"/>
  <c r="AU35" i="98"/>
  <c r="AW35" i="98"/>
  <c r="AX35" i="98"/>
  <c r="AY35" i="98"/>
  <c r="AZ35" i="98"/>
  <c r="BA35" i="98"/>
  <c r="BB35" i="98"/>
  <c r="BC35" i="98"/>
  <c r="BD35" i="98"/>
  <c r="BE35" i="98"/>
  <c r="BG35" i="98"/>
  <c r="BH35" i="98"/>
  <c r="BL35" i="98" s="1"/>
  <c r="BI35" i="98"/>
  <c r="AK35" i="98" s="1"/>
  <c r="AM35" i="98" s="1"/>
  <c r="BJ35" i="98"/>
  <c r="H35" i="98" s="1"/>
  <c r="BF35" i="98" s="1"/>
  <c r="BK35" i="98"/>
  <c r="I35" i="98" s="1"/>
  <c r="BN35" i="98"/>
  <c r="B36" i="98"/>
  <c r="C36" i="98"/>
  <c r="AG36" i="98"/>
  <c r="AH36" i="98"/>
  <c r="AN36" i="98" s="1"/>
  <c r="AI36" i="98"/>
  <c r="AJ36" i="98"/>
  <c r="AL36" i="98"/>
  <c r="AO36" i="98"/>
  <c r="AP36" i="98"/>
  <c r="AQ36" i="98"/>
  <c r="AR36" i="98"/>
  <c r="AV36" i="98" s="1"/>
  <c r="AS36" i="98"/>
  <c r="AT36" i="98"/>
  <c r="AU36" i="98"/>
  <c r="AW36" i="98"/>
  <c r="AX36" i="98"/>
  <c r="AY36" i="98"/>
  <c r="AZ36" i="98"/>
  <c r="BA36" i="98"/>
  <c r="BB36" i="98"/>
  <c r="BC36" i="98"/>
  <c r="BD36" i="98"/>
  <c r="BE36" i="98"/>
  <c r="BG36" i="98"/>
  <c r="BH36" i="98"/>
  <c r="BL36" i="98" s="1"/>
  <c r="BI36" i="98"/>
  <c r="AK36" i="98" s="1"/>
  <c r="AM36" i="98" s="1"/>
  <c r="BJ36" i="98"/>
  <c r="H36" i="98" s="1"/>
  <c r="BF36" i="98" s="1"/>
  <c r="BK36" i="98"/>
  <c r="I36" i="98" s="1"/>
  <c r="BN36" i="98"/>
  <c r="B37" i="98"/>
  <c r="C37" i="98"/>
  <c r="AG37" i="98"/>
  <c r="AH37" i="98"/>
  <c r="AN37" i="98" s="1"/>
  <c r="AI37" i="98"/>
  <c r="AJ37" i="98"/>
  <c r="AL37" i="98"/>
  <c r="AO37" i="98"/>
  <c r="AP37" i="98"/>
  <c r="AQ37" i="98"/>
  <c r="AR37" i="98"/>
  <c r="AV37" i="98" s="1"/>
  <c r="AS37" i="98"/>
  <c r="AT37" i="98"/>
  <c r="AU37" i="98"/>
  <c r="AW37" i="98"/>
  <c r="AX37" i="98"/>
  <c r="AY37" i="98"/>
  <c r="AZ37" i="98"/>
  <c r="BA37" i="98"/>
  <c r="BB37" i="98"/>
  <c r="BC37" i="98"/>
  <c r="BD37" i="98"/>
  <c r="BE37" i="98"/>
  <c r="BG37" i="98"/>
  <c r="BH37" i="98"/>
  <c r="G37" i="98" s="1"/>
  <c r="BI37" i="98"/>
  <c r="AK37" i="98" s="1"/>
  <c r="AM37" i="98" s="1"/>
  <c r="BJ37" i="98"/>
  <c r="H37" i="98" s="1"/>
  <c r="BF37" i="98" s="1"/>
  <c r="BK37" i="98"/>
  <c r="I37" i="98" s="1"/>
  <c r="BN37" i="98"/>
  <c r="B38" i="98"/>
  <c r="C38" i="98"/>
  <c r="AG38" i="98"/>
  <c r="AH38" i="98"/>
  <c r="AN38" i="98" s="1"/>
  <c r="AI38" i="98"/>
  <c r="AJ38" i="98"/>
  <c r="AL38" i="98"/>
  <c r="AO38" i="98"/>
  <c r="AP38" i="98"/>
  <c r="AQ38" i="98"/>
  <c r="AR38" i="98"/>
  <c r="AV38" i="98" s="1"/>
  <c r="AS38" i="98"/>
  <c r="AT38" i="98"/>
  <c r="AU38" i="98"/>
  <c r="AW38" i="98"/>
  <c r="AX38" i="98"/>
  <c r="AY38" i="98"/>
  <c r="AZ38" i="98"/>
  <c r="BA38" i="98"/>
  <c r="BB38" i="98"/>
  <c r="BC38" i="98"/>
  <c r="BD38" i="98"/>
  <c r="BE38" i="98"/>
  <c r="BG38" i="98"/>
  <c r="BH38" i="98"/>
  <c r="BL38" i="98" s="1"/>
  <c r="BI38" i="98"/>
  <c r="AK38" i="98" s="1"/>
  <c r="AM38" i="98" s="1"/>
  <c r="BJ38" i="98"/>
  <c r="H38" i="98" s="1"/>
  <c r="BF38" i="98" s="1"/>
  <c r="BK38" i="98"/>
  <c r="I38" i="98" s="1"/>
  <c r="BN38" i="98"/>
  <c r="B39" i="98"/>
  <c r="C39" i="98"/>
  <c r="AG39" i="98"/>
  <c r="AH39" i="98"/>
  <c r="AN39" i="98" s="1"/>
  <c r="AI39" i="98"/>
  <c r="AJ39" i="98"/>
  <c r="AL39" i="98"/>
  <c r="AO39" i="98"/>
  <c r="AP39" i="98"/>
  <c r="AQ39" i="98"/>
  <c r="AR39" i="98"/>
  <c r="AV39" i="98" s="1"/>
  <c r="AS39" i="98"/>
  <c r="AT39" i="98"/>
  <c r="AU39" i="98"/>
  <c r="AW39" i="98"/>
  <c r="AX39" i="98"/>
  <c r="AY39" i="98"/>
  <c r="AZ39" i="98"/>
  <c r="BA39" i="98"/>
  <c r="BB39" i="98"/>
  <c r="BC39" i="98"/>
  <c r="BD39" i="98"/>
  <c r="BE39" i="98"/>
  <c r="BG39" i="98"/>
  <c r="BH39" i="98"/>
  <c r="G39" i="98" s="1"/>
  <c r="BI39" i="98"/>
  <c r="AK39" i="98" s="1"/>
  <c r="AM39" i="98" s="1"/>
  <c r="BJ39" i="98"/>
  <c r="H39" i="98" s="1"/>
  <c r="BF39" i="98" s="1"/>
  <c r="BK39" i="98"/>
  <c r="I39" i="98" s="1"/>
  <c r="BL39" i="98"/>
  <c r="BN39" i="98"/>
  <c r="B40" i="98"/>
  <c r="C40" i="98"/>
  <c r="AG40" i="98"/>
  <c r="AH40" i="98"/>
  <c r="AN40" i="98" s="1"/>
  <c r="AI40" i="98"/>
  <c r="AJ40" i="98"/>
  <c r="AL40" i="98"/>
  <c r="AO40" i="98"/>
  <c r="AP40" i="98"/>
  <c r="AQ40" i="98"/>
  <c r="AR40" i="98"/>
  <c r="AV40" i="98" s="1"/>
  <c r="AS40" i="98"/>
  <c r="AT40" i="98"/>
  <c r="AU40" i="98"/>
  <c r="AW40" i="98"/>
  <c r="AX40" i="98"/>
  <c r="AY40" i="98"/>
  <c r="AZ40" i="98"/>
  <c r="BA40" i="98"/>
  <c r="BB40" i="98"/>
  <c r="BC40" i="98"/>
  <c r="BD40" i="98"/>
  <c r="BE40" i="98"/>
  <c r="BG40" i="98"/>
  <c r="BH40" i="98"/>
  <c r="BI40" i="98"/>
  <c r="AK40" i="98" s="1"/>
  <c r="AM40" i="98" s="1"/>
  <c r="BJ40" i="98"/>
  <c r="H40" i="98" s="1"/>
  <c r="BF40" i="98" s="1"/>
  <c r="BK40" i="98"/>
  <c r="I40" i="98" s="1"/>
  <c r="BN40" i="98"/>
  <c r="H42" i="98"/>
  <c r="AT44" i="98"/>
  <c r="AT45" i="98" s="1"/>
  <c r="AR45" i="98" s="1"/>
  <c r="BE44" i="98"/>
  <c r="U48" i="98"/>
  <c r="AV9" i="97"/>
  <c r="B11" i="97"/>
  <c r="AG11" i="97"/>
  <c r="AH11" i="97"/>
  <c r="AN11" i="97" s="1"/>
  <c r="AJ11" i="97"/>
  <c r="AJ12" i="97" s="1"/>
  <c r="AL11" i="97"/>
  <c r="AO11" i="97"/>
  <c r="AQ11" i="97"/>
  <c r="AS11" i="97"/>
  <c r="AU11" i="97"/>
  <c r="BC11" i="97"/>
  <c r="BD11" i="97"/>
  <c r="BE11" i="97"/>
  <c r="BH11" i="97"/>
  <c r="G11" i="97" s="1"/>
  <c r="BI11" i="97" s="1"/>
  <c r="AK11" i="97" s="1"/>
  <c r="BJ11" i="97"/>
  <c r="H11" i="97" s="1"/>
  <c r="BF11" i="97" s="1"/>
  <c r="BL11" i="97"/>
  <c r="G12" i="97"/>
  <c r="AW12" i="97" s="1"/>
  <c r="AG12" i="97"/>
  <c r="AH12" i="97"/>
  <c r="AL12" i="97"/>
  <c r="AO12" i="97"/>
  <c r="AQ12" i="97"/>
  <c r="AS12" i="97"/>
  <c r="AU12" i="97"/>
  <c r="BC12" i="97"/>
  <c r="BD12" i="97"/>
  <c r="BE12" i="97"/>
  <c r="BH12" i="97"/>
  <c r="BL12" i="97" s="1"/>
  <c r="BK12" i="97"/>
  <c r="I12" i="97" s="1"/>
  <c r="AG13" i="97"/>
  <c r="AH13" i="97"/>
  <c r="AJ13" i="97"/>
  <c r="AJ14" i="97" s="1"/>
  <c r="AJ15" i="97" s="1"/>
  <c r="AL13" i="97"/>
  <c r="AO13" i="97"/>
  <c r="AQ13" i="97"/>
  <c r="AS13" i="97"/>
  <c r="AU13" i="97"/>
  <c r="BC13" i="97"/>
  <c r="BD13" i="97"/>
  <c r="BE13" i="97"/>
  <c r="BH13" i="97"/>
  <c r="BL13" i="97" s="1"/>
  <c r="AG14" i="97"/>
  <c r="AH14" i="97"/>
  <c r="AL14" i="97"/>
  <c r="AO14" i="97"/>
  <c r="AQ14" i="97"/>
  <c r="AS14" i="97"/>
  <c r="AU14" i="97"/>
  <c r="BC14" i="97"/>
  <c r="BD14" i="97"/>
  <c r="BE14" i="97"/>
  <c r="BH14" i="97"/>
  <c r="BL14" i="97"/>
  <c r="B15" i="97"/>
  <c r="AG15" i="97"/>
  <c r="AH15" i="97"/>
  <c r="AN15" i="97" s="1"/>
  <c r="AL15" i="97"/>
  <c r="AO15" i="97"/>
  <c r="AQ15" i="97"/>
  <c r="AS15" i="97"/>
  <c r="AU15" i="97"/>
  <c r="BC15" i="97"/>
  <c r="BD15" i="97"/>
  <c r="BE15" i="97"/>
  <c r="BH15" i="97"/>
  <c r="BJ15" i="97"/>
  <c r="H15" i="97" s="1"/>
  <c r="BF15" i="97" s="1"/>
  <c r="AG16" i="97"/>
  <c r="AH16" i="97"/>
  <c r="AL16" i="97"/>
  <c r="AO16" i="97"/>
  <c r="AQ16" i="97"/>
  <c r="AS16" i="97"/>
  <c r="AU16" i="97"/>
  <c r="BC16" i="97"/>
  <c r="BD16" i="97"/>
  <c r="BE16" i="97"/>
  <c r="BH16" i="97"/>
  <c r="BL16" i="97" s="1"/>
  <c r="AG17" i="97"/>
  <c r="AH17" i="97"/>
  <c r="AL17" i="97"/>
  <c r="AO17" i="97"/>
  <c r="AQ17" i="97"/>
  <c r="AS17" i="97"/>
  <c r="AU17" i="97"/>
  <c r="BC17" i="97"/>
  <c r="BD17" i="97"/>
  <c r="BE17" i="97"/>
  <c r="BH17" i="97"/>
  <c r="BL17" i="97" s="1"/>
  <c r="AG18" i="97"/>
  <c r="AH18" i="97"/>
  <c r="AL18" i="97"/>
  <c r="AO18" i="97"/>
  <c r="AQ18" i="97"/>
  <c r="AS18" i="97"/>
  <c r="AU18" i="97"/>
  <c r="BC18" i="97"/>
  <c r="BD18" i="97"/>
  <c r="BE18" i="97"/>
  <c r="BH18" i="97"/>
  <c r="BL18" i="97" s="1"/>
  <c r="AG19" i="97"/>
  <c r="AH19" i="97"/>
  <c r="AL19" i="97"/>
  <c r="AO19" i="97"/>
  <c r="AQ19" i="97"/>
  <c r="AS19" i="97"/>
  <c r="AU19" i="97"/>
  <c r="BC19" i="97"/>
  <c r="BD19" i="97"/>
  <c r="BE19" i="97"/>
  <c r="BH19" i="97"/>
  <c r="G19" i="97" s="1"/>
  <c r="BI19" i="97"/>
  <c r="BL19" i="97"/>
  <c r="B20" i="97"/>
  <c r="AG20" i="97"/>
  <c r="AH20" i="97"/>
  <c r="AN20" i="97" s="1"/>
  <c r="AL20" i="97"/>
  <c r="AO20" i="97"/>
  <c r="AQ20" i="97"/>
  <c r="AS20" i="97"/>
  <c r="AU20" i="97"/>
  <c r="BC20" i="97"/>
  <c r="BD20" i="97"/>
  <c r="BE20" i="97"/>
  <c r="BH20" i="97"/>
  <c r="BL20" i="97" s="1"/>
  <c r="BJ20" i="97"/>
  <c r="H20" i="97" s="1"/>
  <c r="BF20" i="97" s="1"/>
  <c r="AG21" i="97"/>
  <c r="AH21" i="97"/>
  <c r="AL21" i="97"/>
  <c r="AO21" i="97"/>
  <c r="AQ21" i="97"/>
  <c r="AS21" i="97"/>
  <c r="AU21" i="97"/>
  <c r="BC21" i="97"/>
  <c r="BD21" i="97"/>
  <c r="BE21" i="97"/>
  <c r="BH21" i="97"/>
  <c r="AG22" i="97"/>
  <c r="AH22" i="97"/>
  <c r="AL22" i="97"/>
  <c r="AO22" i="97"/>
  <c r="AQ22" i="97"/>
  <c r="AS22" i="97"/>
  <c r="AU22" i="97"/>
  <c r="BC22" i="97"/>
  <c r="BD22" i="97"/>
  <c r="BE22" i="97"/>
  <c r="BH22" i="97"/>
  <c r="BL22" i="97" s="1"/>
  <c r="AG23" i="97"/>
  <c r="AH23" i="97"/>
  <c r="AL23" i="97"/>
  <c r="AO23" i="97"/>
  <c r="AQ23" i="97"/>
  <c r="AS23" i="97"/>
  <c r="AU23" i="97"/>
  <c r="BC23" i="97"/>
  <c r="BD23" i="97"/>
  <c r="BE23" i="97"/>
  <c r="BH23" i="97"/>
  <c r="B24" i="97"/>
  <c r="AG24" i="97"/>
  <c r="AH24" i="97"/>
  <c r="AN24" i="97" s="1"/>
  <c r="AL24" i="97"/>
  <c r="AO24" i="97"/>
  <c r="AQ24" i="97"/>
  <c r="AS24" i="97"/>
  <c r="AU24" i="97"/>
  <c r="BC24" i="97"/>
  <c r="BD24" i="97"/>
  <c r="BE24" i="97"/>
  <c r="BH24" i="97"/>
  <c r="BL24" i="97" s="1"/>
  <c r="BJ24" i="97"/>
  <c r="H24" i="97" s="1"/>
  <c r="BF24" i="97" s="1"/>
  <c r="BQ24" i="97"/>
  <c r="BR24" i="97"/>
  <c r="BS24" i="97"/>
  <c r="BT24" i="97"/>
  <c r="BU24" i="97"/>
  <c r="AG25" i="97"/>
  <c r="AH25" i="97"/>
  <c r="AL25" i="97"/>
  <c r="AO25" i="97"/>
  <c r="AQ25" i="97"/>
  <c r="AS25" i="97"/>
  <c r="AU25" i="97"/>
  <c r="BC25" i="97"/>
  <c r="BD25" i="97"/>
  <c r="BE25" i="97"/>
  <c r="BH25" i="97"/>
  <c r="BL25" i="97"/>
  <c r="BQ25" i="97"/>
  <c r="BR25" i="97"/>
  <c r="BS25" i="97"/>
  <c r="BT25" i="97"/>
  <c r="BU25" i="97"/>
  <c r="AG26" i="97"/>
  <c r="AH26" i="97"/>
  <c r="AL26" i="97"/>
  <c r="AO26" i="97"/>
  <c r="AQ26" i="97"/>
  <c r="AS26" i="97"/>
  <c r="AU26" i="97"/>
  <c r="BC26" i="97"/>
  <c r="BD26" i="97"/>
  <c r="BE26" i="97"/>
  <c r="BH26" i="97"/>
  <c r="G26" i="97" s="1"/>
  <c r="BQ26" i="97"/>
  <c r="BR26" i="97"/>
  <c r="BS26" i="97"/>
  <c r="BT26" i="97"/>
  <c r="BU26" i="97"/>
  <c r="AG27" i="97"/>
  <c r="AH27" i="97"/>
  <c r="AL27" i="97"/>
  <c r="AO27" i="97"/>
  <c r="AQ27" i="97"/>
  <c r="AS27" i="97"/>
  <c r="AU27" i="97"/>
  <c r="BC27" i="97"/>
  <c r="BD27" i="97"/>
  <c r="BE27" i="97"/>
  <c r="BH27" i="97"/>
  <c r="BL27" i="97" s="1"/>
  <c r="BQ27" i="97"/>
  <c r="BR27" i="97"/>
  <c r="BS27" i="97"/>
  <c r="BT27" i="97"/>
  <c r="BU27" i="97"/>
  <c r="B28" i="97"/>
  <c r="C28" i="97"/>
  <c r="AG28" i="97"/>
  <c r="AH28" i="97"/>
  <c r="AN28" i="97" s="1"/>
  <c r="AI28" i="97"/>
  <c r="AJ28" i="97"/>
  <c r="AL28" i="97"/>
  <c r="AO28" i="97"/>
  <c r="AP28" i="97"/>
  <c r="AQ28" i="97"/>
  <c r="AR28" i="97"/>
  <c r="AV28" i="97" s="1"/>
  <c r="AS28" i="97"/>
  <c r="AT28" i="97"/>
  <c r="AU28" i="97"/>
  <c r="AW28" i="97"/>
  <c r="AX28" i="97"/>
  <c r="AY28" i="97"/>
  <c r="AZ28" i="97"/>
  <c r="BA28" i="97"/>
  <c r="BB28" i="97"/>
  <c r="BC28" i="97"/>
  <c r="BD28" i="97"/>
  <c r="BE28" i="97"/>
  <c r="BG28" i="97"/>
  <c r="BH28" i="97"/>
  <c r="G28" i="97" s="1"/>
  <c r="BI28" i="97"/>
  <c r="AK28" i="97" s="1"/>
  <c r="AM28" i="97" s="1"/>
  <c r="BJ28" i="97"/>
  <c r="H28" i="97" s="1"/>
  <c r="BF28" i="97" s="1"/>
  <c r="BK28" i="97"/>
  <c r="I28" i="97" s="1"/>
  <c r="BN28" i="97"/>
  <c r="BQ28" i="97"/>
  <c r="BR28" i="97"/>
  <c r="BS28" i="97"/>
  <c r="BT28" i="97"/>
  <c r="BU28" i="97"/>
  <c r="B29" i="97"/>
  <c r="C29" i="97"/>
  <c r="G29" i="97"/>
  <c r="AG29" i="97"/>
  <c r="AH29" i="97"/>
  <c r="AN29" i="97" s="1"/>
  <c r="AI29" i="97"/>
  <c r="AJ29" i="97"/>
  <c r="AL29" i="97"/>
  <c r="AO29" i="97"/>
  <c r="AP29" i="97"/>
  <c r="AQ29" i="97"/>
  <c r="AR29" i="97"/>
  <c r="AV29" i="97" s="1"/>
  <c r="AS29" i="97"/>
  <c r="AT29" i="97"/>
  <c r="AU29" i="97"/>
  <c r="AW29" i="97"/>
  <c r="AX29" i="97"/>
  <c r="AY29" i="97"/>
  <c r="AZ29" i="97"/>
  <c r="BA29" i="97"/>
  <c r="BB29" i="97"/>
  <c r="BC29" i="97"/>
  <c r="BD29" i="97"/>
  <c r="BE29" i="97"/>
  <c r="BG29" i="97"/>
  <c r="BH29" i="97"/>
  <c r="BI29" i="97"/>
  <c r="BM29" i="97" s="1"/>
  <c r="BJ29" i="97"/>
  <c r="H29" i="97" s="1"/>
  <c r="BF29" i="97" s="1"/>
  <c r="BK29" i="97"/>
  <c r="I29" i="97" s="1"/>
  <c r="BL29" i="97"/>
  <c r="BN29" i="97"/>
  <c r="BQ29" i="97"/>
  <c r="BR29" i="97"/>
  <c r="BS29" i="97"/>
  <c r="BT29" i="97"/>
  <c r="BU29" i="97"/>
  <c r="B30" i="97"/>
  <c r="C30" i="97"/>
  <c r="G30" i="97"/>
  <c r="AG30" i="97"/>
  <c r="AH30" i="97"/>
  <c r="AN30" i="97" s="1"/>
  <c r="AI30" i="97"/>
  <c r="AJ30" i="97"/>
  <c r="AL30" i="97"/>
  <c r="AO30" i="97"/>
  <c r="AP30" i="97"/>
  <c r="AQ30" i="97"/>
  <c r="AR30" i="97"/>
  <c r="AV30" i="97" s="1"/>
  <c r="AS30" i="97"/>
  <c r="AT30" i="97"/>
  <c r="AU30" i="97"/>
  <c r="AW30" i="97"/>
  <c r="AX30" i="97"/>
  <c r="AY30" i="97"/>
  <c r="AZ30" i="97"/>
  <c r="BA30" i="97"/>
  <c r="BB30" i="97"/>
  <c r="BC30" i="97"/>
  <c r="BD30" i="97"/>
  <c r="BE30" i="97"/>
  <c r="BG30" i="97"/>
  <c r="BH30" i="97"/>
  <c r="BL30" i="97" s="1"/>
  <c r="BI30" i="97"/>
  <c r="AK30" i="97" s="1"/>
  <c r="AM30" i="97" s="1"/>
  <c r="BJ30" i="97"/>
  <c r="H30" i="97" s="1"/>
  <c r="BF30" i="97" s="1"/>
  <c r="BK30" i="97"/>
  <c r="I30" i="97" s="1"/>
  <c r="BN30" i="97"/>
  <c r="BQ30" i="97"/>
  <c r="BR30" i="97"/>
  <c r="BS30" i="97"/>
  <c r="BT30" i="97"/>
  <c r="BU30" i="97"/>
  <c r="B31" i="97"/>
  <c r="C31" i="97"/>
  <c r="AG31" i="97"/>
  <c r="AH31" i="97"/>
  <c r="AN31" i="97" s="1"/>
  <c r="AI31" i="97"/>
  <c r="AJ31" i="97"/>
  <c r="AL31" i="97"/>
  <c r="AO31" i="97"/>
  <c r="AP31" i="97"/>
  <c r="AQ31" i="97"/>
  <c r="AR31" i="97"/>
  <c r="AV31" i="97" s="1"/>
  <c r="AS31" i="97"/>
  <c r="AT31" i="97"/>
  <c r="AU31" i="97"/>
  <c r="AW31" i="97"/>
  <c r="AX31" i="97"/>
  <c r="AY31" i="97"/>
  <c r="AZ31" i="97"/>
  <c r="BA31" i="97"/>
  <c r="BB31" i="97"/>
  <c r="BC31" i="97"/>
  <c r="BD31" i="97"/>
  <c r="BE31" i="97"/>
  <c r="BG31" i="97"/>
  <c r="BH31" i="97"/>
  <c r="G31" i="97" s="1"/>
  <c r="BI31" i="97"/>
  <c r="AK31" i="97" s="1"/>
  <c r="AM31" i="97" s="1"/>
  <c r="BJ31" i="97"/>
  <c r="H31" i="97" s="1"/>
  <c r="BF31" i="97" s="1"/>
  <c r="BK31" i="97"/>
  <c r="I31" i="97" s="1"/>
  <c r="BN31" i="97"/>
  <c r="BQ31" i="97"/>
  <c r="BR31" i="97"/>
  <c r="BS31" i="97"/>
  <c r="BT31" i="97"/>
  <c r="BU31" i="97"/>
  <c r="B32" i="97"/>
  <c r="C32" i="97"/>
  <c r="AG32" i="97"/>
  <c r="AH32" i="97"/>
  <c r="AN32" i="97" s="1"/>
  <c r="AI32" i="97"/>
  <c r="AJ32" i="97"/>
  <c r="AL32" i="97"/>
  <c r="AO32" i="97"/>
  <c r="AP32" i="97"/>
  <c r="AQ32" i="97"/>
  <c r="AR32" i="97"/>
  <c r="AV32" i="97" s="1"/>
  <c r="AS32" i="97"/>
  <c r="AT32" i="97"/>
  <c r="AU32" i="97"/>
  <c r="AW32" i="97"/>
  <c r="AX32" i="97"/>
  <c r="AY32" i="97"/>
  <c r="AZ32" i="97"/>
  <c r="BA32" i="97"/>
  <c r="BB32" i="97"/>
  <c r="BC32" i="97"/>
  <c r="BD32" i="97"/>
  <c r="BE32" i="97"/>
  <c r="BG32" i="97"/>
  <c r="BH32" i="97"/>
  <c r="G32" i="97" s="1"/>
  <c r="BI32" i="97"/>
  <c r="AK32" i="97" s="1"/>
  <c r="AM32" i="97" s="1"/>
  <c r="BJ32" i="97"/>
  <c r="H32" i="97" s="1"/>
  <c r="BF32" i="97" s="1"/>
  <c r="BK32" i="97"/>
  <c r="I32" i="97" s="1"/>
  <c r="BN32" i="97"/>
  <c r="BQ32" i="97"/>
  <c r="BR32" i="97"/>
  <c r="BS32" i="97"/>
  <c r="BT32" i="97"/>
  <c r="BU32" i="97"/>
  <c r="B33" i="97"/>
  <c r="C33" i="97"/>
  <c r="AG33" i="97"/>
  <c r="AH33" i="97"/>
  <c r="AN33" i="97" s="1"/>
  <c r="AI33" i="97"/>
  <c r="AJ33" i="97"/>
  <c r="AL33" i="97"/>
  <c r="AO33" i="97"/>
  <c r="AP33" i="97"/>
  <c r="AQ33" i="97"/>
  <c r="AR33" i="97"/>
  <c r="AV33" i="97" s="1"/>
  <c r="AS33" i="97"/>
  <c r="AT33" i="97"/>
  <c r="AU33" i="97"/>
  <c r="AW33" i="97"/>
  <c r="AX33" i="97"/>
  <c r="AY33" i="97"/>
  <c r="AZ33" i="97"/>
  <c r="BA33" i="97"/>
  <c r="BB33" i="97"/>
  <c r="BC33" i="97"/>
  <c r="BD33" i="97"/>
  <c r="BE33" i="97"/>
  <c r="BG33" i="97"/>
  <c r="BH33" i="97"/>
  <c r="BL33" i="97" s="1"/>
  <c r="BI33" i="97"/>
  <c r="AK33" i="97" s="1"/>
  <c r="AM33" i="97" s="1"/>
  <c r="BJ33" i="97"/>
  <c r="H33" i="97" s="1"/>
  <c r="BF33" i="97" s="1"/>
  <c r="BK33" i="97"/>
  <c r="I33" i="97" s="1"/>
  <c r="BN33" i="97"/>
  <c r="B34" i="97"/>
  <c r="C34" i="97"/>
  <c r="G34" i="97"/>
  <c r="AG34" i="97"/>
  <c r="AH34" i="97"/>
  <c r="AN34" i="97" s="1"/>
  <c r="AI34" i="97"/>
  <c r="AJ34" i="97"/>
  <c r="AL34" i="97"/>
  <c r="AO34" i="97"/>
  <c r="AP34" i="97"/>
  <c r="AQ34" i="97"/>
  <c r="AR34" i="97"/>
  <c r="AV34" i="97" s="1"/>
  <c r="AS34" i="97"/>
  <c r="AT34" i="97"/>
  <c r="AU34" i="97"/>
  <c r="AW34" i="97"/>
  <c r="AX34" i="97"/>
  <c r="AY34" i="97"/>
  <c r="AZ34" i="97"/>
  <c r="BA34" i="97"/>
  <c r="BB34" i="97"/>
  <c r="BC34" i="97"/>
  <c r="BD34" i="97"/>
  <c r="BE34" i="97"/>
  <c r="BG34" i="97"/>
  <c r="BH34" i="97"/>
  <c r="BL34" i="97" s="1"/>
  <c r="BI34" i="97"/>
  <c r="AK34" i="97" s="1"/>
  <c r="AM34" i="97" s="1"/>
  <c r="BJ34" i="97"/>
  <c r="H34" i="97" s="1"/>
  <c r="BF34" i="97" s="1"/>
  <c r="BK34" i="97"/>
  <c r="I34" i="97" s="1"/>
  <c r="BN34" i="97"/>
  <c r="B35" i="97"/>
  <c r="C35" i="97"/>
  <c r="G35" i="97"/>
  <c r="AG35" i="97"/>
  <c r="AH35" i="97"/>
  <c r="AN35" i="97" s="1"/>
  <c r="AI35" i="97"/>
  <c r="AJ35" i="97"/>
  <c r="AL35" i="97"/>
  <c r="AO35" i="97"/>
  <c r="AP35" i="97"/>
  <c r="AQ35" i="97"/>
  <c r="AR35" i="97"/>
  <c r="AV35" i="97" s="1"/>
  <c r="AS35" i="97"/>
  <c r="AT35" i="97"/>
  <c r="AU35" i="97"/>
  <c r="AW35" i="97"/>
  <c r="AX35" i="97"/>
  <c r="AY35" i="97"/>
  <c r="AZ35" i="97"/>
  <c r="BA35" i="97"/>
  <c r="BB35" i="97"/>
  <c r="BC35" i="97"/>
  <c r="BD35" i="97"/>
  <c r="BE35" i="97"/>
  <c r="BG35" i="97"/>
  <c r="BH35" i="97"/>
  <c r="BL35" i="97" s="1"/>
  <c r="BI35" i="97"/>
  <c r="AK35" i="97" s="1"/>
  <c r="AM35" i="97" s="1"/>
  <c r="BJ35" i="97"/>
  <c r="H35" i="97" s="1"/>
  <c r="BF35" i="97" s="1"/>
  <c r="BK35" i="97"/>
  <c r="I35" i="97" s="1"/>
  <c r="BN35" i="97"/>
  <c r="B36" i="97"/>
  <c r="C36" i="97"/>
  <c r="AG36" i="97"/>
  <c r="AH36" i="97"/>
  <c r="AN36" i="97" s="1"/>
  <c r="AI36" i="97"/>
  <c r="AJ36" i="97"/>
  <c r="AL36" i="97"/>
  <c r="AO36" i="97"/>
  <c r="AP36" i="97"/>
  <c r="AQ36" i="97"/>
  <c r="AR36" i="97"/>
  <c r="AV36" i="97" s="1"/>
  <c r="AS36" i="97"/>
  <c r="AT36" i="97"/>
  <c r="AU36" i="97"/>
  <c r="AW36" i="97"/>
  <c r="AX36" i="97"/>
  <c r="AY36" i="97"/>
  <c r="AZ36" i="97"/>
  <c r="BA36" i="97"/>
  <c r="BB36" i="97"/>
  <c r="BC36" i="97"/>
  <c r="BD36" i="97"/>
  <c r="BE36" i="97"/>
  <c r="BG36" i="97"/>
  <c r="BH36" i="97"/>
  <c r="BI36" i="97"/>
  <c r="AK36" i="97" s="1"/>
  <c r="AM36" i="97" s="1"/>
  <c r="BJ36" i="97"/>
  <c r="H36" i="97" s="1"/>
  <c r="BF36" i="97" s="1"/>
  <c r="BK36" i="97"/>
  <c r="I36" i="97" s="1"/>
  <c r="BN36" i="97"/>
  <c r="B37" i="97"/>
  <c r="C37" i="97"/>
  <c r="AG37" i="97"/>
  <c r="AH37" i="97"/>
  <c r="AN37" i="97" s="1"/>
  <c r="AI37" i="97"/>
  <c r="AJ37" i="97"/>
  <c r="AL37" i="97"/>
  <c r="AO37" i="97"/>
  <c r="AP37" i="97"/>
  <c r="AQ37" i="97"/>
  <c r="AR37" i="97"/>
  <c r="AV37" i="97" s="1"/>
  <c r="AS37" i="97"/>
  <c r="AT37" i="97"/>
  <c r="AU37" i="97"/>
  <c r="AW37" i="97"/>
  <c r="AX37" i="97"/>
  <c r="AY37" i="97"/>
  <c r="AZ37" i="97"/>
  <c r="BA37" i="97"/>
  <c r="BB37" i="97"/>
  <c r="BC37" i="97"/>
  <c r="BD37" i="97"/>
  <c r="BE37" i="97"/>
  <c r="BG37" i="97"/>
  <c r="BH37" i="97"/>
  <c r="BL37" i="97" s="1"/>
  <c r="BI37" i="97"/>
  <c r="AK37" i="97" s="1"/>
  <c r="AM37" i="97" s="1"/>
  <c r="BJ37" i="97"/>
  <c r="H37" i="97" s="1"/>
  <c r="BF37" i="97" s="1"/>
  <c r="BK37" i="97"/>
  <c r="I37" i="97" s="1"/>
  <c r="BN37" i="97"/>
  <c r="B38" i="97"/>
  <c r="C38" i="97"/>
  <c r="AG38" i="97"/>
  <c r="AH38" i="97"/>
  <c r="AN38" i="97" s="1"/>
  <c r="AI38" i="97"/>
  <c r="AJ38" i="97"/>
  <c r="AL38" i="97"/>
  <c r="AO38" i="97"/>
  <c r="AP38" i="97"/>
  <c r="AQ38" i="97"/>
  <c r="AR38" i="97"/>
  <c r="AV38" i="97" s="1"/>
  <c r="AS38" i="97"/>
  <c r="AT38" i="97"/>
  <c r="AU38" i="97"/>
  <c r="AW38" i="97"/>
  <c r="AX38" i="97"/>
  <c r="AY38" i="97"/>
  <c r="AZ38" i="97"/>
  <c r="BA38" i="97"/>
  <c r="BB38" i="97"/>
  <c r="BC38" i="97"/>
  <c r="BD38" i="97"/>
  <c r="BE38" i="97"/>
  <c r="BG38" i="97"/>
  <c r="BH38" i="97"/>
  <c r="BI38" i="97"/>
  <c r="AK38" i="97" s="1"/>
  <c r="AM38" i="97" s="1"/>
  <c r="BJ38" i="97"/>
  <c r="H38" i="97" s="1"/>
  <c r="BF38" i="97" s="1"/>
  <c r="BK38" i="97"/>
  <c r="I38" i="97" s="1"/>
  <c r="BL38" i="97"/>
  <c r="BN38" i="97"/>
  <c r="B39" i="97"/>
  <c r="C39" i="97"/>
  <c r="AG39" i="97"/>
  <c r="AH39" i="97"/>
  <c r="AN39" i="97" s="1"/>
  <c r="AI39" i="97"/>
  <c r="AJ39" i="97"/>
  <c r="AL39" i="97"/>
  <c r="AO39" i="97"/>
  <c r="AP39" i="97"/>
  <c r="AQ39" i="97"/>
  <c r="AR39" i="97"/>
  <c r="AV39" i="97" s="1"/>
  <c r="AS39" i="97"/>
  <c r="AT39" i="97"/>
  <c r="AU39" i="97"/>
  <c r="AW39" i="97"/>
  <c r="AX39" i="97"/>
  <c r="AY39" i="97"/>
  <c r="AZ39" i="97"/>
  <c r="BA39" i="97"/>
  <c r="BB39" i="97"/>
  <c r="BC39" i="97"/>
  <c r="BD39" i="97"/>
  <c r="BE39" i="97"/>
  <c r="BG39" i="97"/>
  <c r="BH39" i="97"/>
  <c r="BL39" i="97" s="1"/>
  <c r="BI39" i="97"/>
  <c r="AK39" i="97" s="1"/>
  <c r="AM39" i="97" s="1"/>
  <c r="BJ39" i="97"/>
  <c r="H39" i="97" s="1"/>
  <c r="BF39" i="97" s="1"/>
  <c r="BK39" i="97"/>
  <c r="I39" i="97" s="1"/>
  <c r="BN39" i="97"/>
  <c r="B40" i="97"/>
  <c r="C40" i="97"/>
  <c r="AG40" i="97"/>
  <c r="AH40" i="97"/>
  <c r="AN40" i="97" s="1"/>
  <c r="AI40" i="97"/>
  <c r="AJ40" i="97"/>
  <c r="AL40" i="97"/>
  <c r="AO40" i="97"/>
  <c r="AP40" i="97"/>
  <c r="AQ40" i="97"/>
  <c r="AR40" i="97"/>
  <c r="AV40" i="97" s="1"/>
  <c r="AS40" i="97"/>
  <c r="AT40" i="97"/>
  <c r="AU40" i="97"/>
  <c r="AW40" i="97"/>
  <c r="AX40" i="97"/>
  <c r="AY40" i="97"/>
  <c r="AZ40" i="97"/>
  <c r="BA40" i="97"/>
  <c r="BB40" i="97"/>
  <c r="BC40" i="97"/>
  <c r="BD40" i="97"/>
  <c r="BE40" i="97"/>
  <c r="BG40" i="97"/>
  <c r="BH40" i="97"/>
  <c r="BI40" i="97"/>
  <c r="AK40" i="97" s="1"/>
  <c r="AM40" i="97" s="1"/>
  <c r="BJ40" i="97"/>
  <c r="H40" i="97" s="1"/>
  <c r="BF40" i="97" s="1"/>
  <c r="BK40" i="97"/>
  <c r="I40" i="97" s="1"/>
  <c r="BL40" i="97"/>
  <c r="BN40" i="97"/>
  <c r="B41" i="97"/>
  <c r="C41" i="97"/>
  <c r="AG41" i="97"/>
  <c r="AH41" i="97"/>
  <c r="AN41" i="97" s="1"/>
  <c r="AI41" i="97"/>
  <c r="AJ41" i="97"/>
  <c r="AL41" i="97"/>
  <c r="AO41" i="97"/>
  <c r="AP41" i="97"/>
  <c r="AQ41" i="97"/>
  <c r="AR41" i="97"/>
  <c r="AV41" i="97" s="1"/>
  <c r="AS41" i="97"/>
  <c r="AT41" i="97"/>
  <c r="AU41" i="97"/>
  <c r="AW41" i="97"/>
  <c r="AX41" i="97"/>
  <c r="AY41" i="97"/>
  <c r="AZ41" i="97"/>
  <c r="BA41" i="97"/>
  <c r="BB41" i="97"/>
  <c r="BC41" i="97"/>
  <c r="BD41" i="97"/>
  <c r="BE41" i="97"/>
  <c r="BG41" i="97"/>
  <c r="BH41" i="97"/>
  <c r="BL41" i="97" s="1"/>
  <c r="BI41" i="97"/>
  <c r="AK41" i="97" s="1"/>
  <c r="AM41" i="97" s="1"/>
  <c r="BJ41" i="97"/>
  <c r="H41" i="97" s="1"/>
  <c r="BF41" i="97" s="1"/>
  <c r="BK41" i="97"/>
  <c r="I41" i="97" s="1"/>
  <c r="BN41" i="97"/>
  <c r="B42" i="97"/>
  <c r="C42" i="97"/>
  <c r="AG42" i="97"/>
  <c r="AH42" i="97"/>
  <c r="AN42" i="97" s="1"/>
  <c r="AI42" i="97"/>
  <c r="AJ42" i="97"/>
  <c r="AL42" i="97"/>
  <c r="AO42" i="97"/>
  <c r="AP42" i="97"/>
  <c r="AQ42" i="97"/>
  <c r="AR42" i="97"/>
  <c r="AV42" i="97" s="1"/>
  <c r="AS42" i="97"/>
  <c r="AT42" i="97"/>
  <c r="AU42" i="97"/>
  <c r="AW42" i="97"/>
  <c r="AX42" i="97"/>
  <c r="AY42" i="97"/>
  <c r="AZ42" i="97"/>
  <c r="BA42" i="97"/>
  <c r="BB42" i="97"/>
  <c r="BC42" i="97"/>
  <c r="BD42" i="97"/>
  <c r="BE42" i="97"/>
  <c r="BG42" i="97"/>
  <c r="BH42" i="97"/>
  <c r="BL42" i="97" s="1"/>
  <c r="BI42" i="97"/>
  <c r="AK42" i="97" s="1"/>
  <c r="AM42" i="97" s="1"/>
  <c r="BJ42" i="97"/>
  <c r="H42" i="97" s="1"/>
  <c r="BF42" i="97" s="1"/>
  <c r="BK42" i="97"/>
  <c r="I42" i="97" s="1"/>
  <c r="BN42" i="97"/>
  <c r="H44" i="97"/>
  <c r="AT46" i="97"/>
  <c r="AT47" i="97" s="1"/>
  <c r="AR47" i="97" s="1"/>
  <c r="BE46" i="97"/>
  <c r="U50" i="97"/>
  <c r="AV9" i="96"/>
  <c r="B11" i="96"/>
  <c r="B12" i="96" s="1"/>
  <c r="AG11" i="96"/>
  <c r="AH11" i="96"/>
  <c r="AN11" i="96" s="1"/>
  <c r="AJ11" i="96"/>
  <c r="AJ12" i="96" s="1"/>
  <c r="AJ13" i="96" s="1"/>
  <c r="AJ14" i="96" s="1"/>
  <c r="AJ15" i="96" s="1"/>
  <c r="AL11" i="96"/>
  <c r="AO11" i="96"/>
  <c r="AQ11" i="96"/>
  <c r="AS11" i="96"/>
  <c r="AU11" i="96"/>
  <c r="BC11" i="96"/>
  <c r="BD11" i="96"/>
  <c r="BE11" i="96"/>
  <c r="BH11" i="96"/>
  <c r="BL11" i="96" s="1"/>
  <c r="BJ11" i="96"/>
  <c r="H11" i="96" s="1"/>
  <c r="BF11" i="96" s="1"/>
  <c r="AG12" i="96"/>
  <c r="AH12" i="96"/>
  <c r="AL12" i="96"/>
  <c r="AO12" i="96"/>
  <c r="AQ12" i="96"/>
  <c r="AS12" i="96"/>
  <c r="AU12" i="96"/>
  <c r="BC12" i="96"/>
  <c r="BD12" i="96"/>
  <c r="BE12" i="96"/>
  <c r="BH12" i="96"/>
  <c r="BL12" i="96" s="1"/>
  <c r="AG13" i="96"/>
  <c r="AH13" i="96"/>
  <c r="AL13" i="96"/>
  <c r="AO13" i="96"/>
  <c r="AQ13" i="96"/>
  <c r="AS13" i="96"/>
  <c r="AU13" i="96"/>
  <c r="BC13" i="96"/>
  <c r="BD13" i="96"/>
  <c r="BE13" i="96"/>
  <c r="BH13" i="96"/>
  <c r="AG14" i="96"/>
  <c r="AH14" i="96"/>
  <c r="AL14" i="96"/>
  <c r="AO14" i="96"/>
  <c r="AQ14" i="96"/>
  <c r="AS14" i="96"/>
  <c r="AU14" i="96"/>
  <c r="BC14" i="96"/>
  <c r="BD14" i="96"/>
  <c r="BE14" i="96"/>
  <c r="BH14" i="96"/>
  <c r="G14" i="96" s="1"/>
  <c r="BL14" i="96"/>
  <c r="B15" i="96"/>
  <c r="AG15" i="96"/>
  <c r="AH15" i="96"/>
  <c r="AN15" i="96" s="1"/>
  <c r="AL15" i="96"/>
  <c r="AO15" i="96"/>
  <c r="AQ15" i="96"/>
  <c r="AS15" i="96"/>
  <c r="AU15" i="96"/>
  <c r="BC15" i="96"/>
  <c r="BD15" i="96"/>
  <c r="BE15" i="96"/>
  <c r="BH15" i="96"/>
  <c r="BL15" i="96" s="1"/>
  <c r="BJ15" i="96"/>
  <c r="H15" i="96" s="1"/>
  <c r="BF15" i="96" s="1"/>
  <c r="AG16" i="96"/>
  <c r="AH16" i="96"/>
  <c r="AN16" i="96" s="1"/>
  <c r="AL16" i="96"/>
  <c r="AO16" i="96"/>
  <c r="AQ16" i="96"/>
  <c r="AS16" i="96"/>
  <c r="AU16" i="96"/>
  <c r="BC16" i="96"/>
  <c r="BD16" i="96"/>
  <c r="BE16" i="96"/>
  <c r="BH16" i="96"/>
  <c r="BL16" i="96" s="1"/>
  <c r="AG17" i="96"/>
  <c r="AH17" i="96"/>
  <c r="AL17" i="96"/>
  <c r="AO17" i="96"/>
  <c r="AQ17" i="96"/>
  <c r="AS17" i="96"/>
  <c r="AU17" i="96"/>
  <c r="BC17" i="96"/>
  <c r="BD17" i="96"/>
  <c r="BE17" i="96"/>
  <c r="BH17" i="96"/>
  <c r="AG18" i="96"/>
  <c r="AH18" i="96"/>
  <c r="AL18" i="96"/>
  <c r="AO18" i="96"/>
  <c r="AQ18" i="96"/>
  <c r="AS18" i="96"/>
  <c r="AU18" i="96"/>
  <c r="BC18" i="96"/>
  <c r="BD18" i="96"/>
  <c r="BE18" i="96"/>
  <c r="BH18" i="96"/>
  <c r="G18" i="96" s="1"/>
  <c r="G19" i="96"/>
  <c r="BI19" i="96" s="1"/>
  <c r="AG19" i="96"/>
  <c r="AH19" i="96"/>
  <c r="AL19" i="96"/>
  <c r="AO19" i="96"/>
  <c r="AQ19" i="96"/>
  <c r="AS19" i="96"/>
  <c r="AU19" i="96"/>
  <c r="BC19" i="96"/>
  <c r="BD19" i="96"/>
  <c r="BE19" i="96"/>
  <c r="BH19" i="96"/>
  <c r="BL19" i="96" s="1"/>
  <c r="B20" i="96"/>
  <c r="AG20" i="96"/>
  <c r="AH20" i="96"/>
  <c r="AN20" i="96" s="1"/>
  <c r="AL20" i="96"/>
  <c r="AO20" i="96"/>
  <c r="AQ20" i="96"/>
  <c r="AS20" i="96"/>
  <c r="AU20" i="96"/>
  <c r="BC20" i="96"/>
  <c r="BD20" i="96"/>
  <c r="BE20" i="96"/>
  <c r="BH20" i="96"/>
  <c r="BL20" i="96" s="1"/>
  <c r="BJ20" i="96"/>
  <c r="H20" i="96" s="1"/>
  <c r="BF20" i="96" s="1"/>
  <c r="AG21" i="96"/>
  <c r="AH21" i="96"/>
  <c r="AL21" i="96"/>
  <c r="AO21" i="96"/>
  <c r="AQ21" i="96"/>
  <c r="AS21" i="96"/>
  <c r="AU21" i="96"/>
  <c r="BC21" i="96"/>
  <c r="BD21" i="96"/>
  <c r="BE21" i="96"/>
  <c r="BH21" i="96"/>
  <c r="AG22" i="96"/>
  <c r="AH22" i="96"/>
  <c r="AL22" i="96"/>
  <c r="AO22" i="96"/>
  <c r="AQ22" i="96"/>
  <c r="AS22" i="96"/>
  <c r="AU22" i="96"/>
  <c r="BC22" i="96"/>
  <c r="BD22" i="96"/>
  <c r="BE22" i="96"/>
  <c r="BH22" i="96"/>
  <c r="BL22" i="96" s="1"/>
  <c r="AG23" i="96"/>
  <c r="AH23" i="96"/>
  <c r="AL23" i="96"/>
  <c r="AO23" i="96"/>
  <c r="AQ23" i="96"/>
  <c r="AS23" i="96"/>
  <c r="AU23" i="96"/>
  <c r="BC23" i="96"/>
  <c r="BD23" i="96"/>
  <c r="BE23" i="96"/>
  <c r="BH23" i="96"/>
  <c r="BL23" i="96" s="1"/>
  <c r="B24" i="96"/>
  <c r="AG24" i="96"/>
  <c r="AH24" i="96"/>
  <c r="AN24" i="96" s="1"/>
  <c r="AL24" i="96"/>
  <c r="AO24" i="96"/>
  <c r="AQ24" i="96"/>
  <c r="AS24" i="96"/>
  <c r="AU24" i="96"/>
  <c r="BC24" i="96"/>
  <c r="BD24" i="96"/>
  <c r="BE24" i="96"/>
  <c r="BH24" i="96"/>
  <c r="BL24" i="96" s="1"/>
  <c r="BJ24" i="96"/>
  <c r="H24" i="96" s="1"/>
  <c r="BF24" i="96" s="1"/>
  <c r="BQ24" i="96"/>
  <c r="BR24" i="96"/>
  <c r="BS24" i="96"/>
  <c r="BT24" i="96"/>
  <c r="BU24" i="96"/>
  <c r="G25" i="96"/>
  <c r="AY25" i="96" s="1"/>
  <c r="AG25" i="96"/>
  <c r="AH25" i="96"/>
  <c r="AL25" i="96"/>
  <c r="AO25" i="96"/>
  <c r="AQ25" i="96"/>
  <c r="AS25" i="96"/>
  <c r="AU25" i="96"/>
  <c r="BC25" i="96"/>
  <c r="BD25" i="96"/>
  <c r="BE25" i="96"/>
  <c r="BH25" i="96"/>
  <c r="BL25" i="96" s="1"/>
  <c r="BQ25" i="96"/>
  <c r="BR25" i="96"/>
  <c r="BS25" i="96"/>
  <c r="BT25" i="96"/>
  <c r="BU25" i="96"/>
  <c r="AG26" i="96"/>
  <c r="AH26" i="96"/>
  <c r="AL26" i="96"/>
  <c r="AO26" i="96"/>
  <c r="AQ26" i="96"/>
  <c r="AS26" i="96"/>
  <c r="AU26" i="96"/>
  <c r="BC26" i="96"/>
  <c r="BD26" i="96"/>
  <c r="BE26" i="96"/>
  <c r="BH26" i="96"/>
  <c r="BL26" i="96" s="1"/>
  <c r="BQ26" i="96"/>
  <c r="BR26" i="96"/>
  <c r="BS26" i="96"/>
  <c r="BT26" i="96"/>
  <c r="BU26" i="96"/>
  <c r="G27" i="96"/>
  <c r="AW27" i="96" s="1"/>
  <c r="AG27" i="96"/>
  <c r="AH27" i="96"/>
  <c r="AL27" i="96"/>
  <c r="AO27" i="96"/>
  <c r="AQ27" i="96"/>
  <c r="AS27" i="96"/>
  <c r="AU27" i="96"/>
  <c r="AY27" i="96"/>
  <c r="BA27" i="96"/>
  <c r="BB27" i="96"/>
  <c r="BC27" i="96"/>
  <c r="BD27" i="96"/>
  <c r="BE27" i="96"/>
  <c r="BH27" i="96"/>
  <c r="BK27" i="96"/>
  <c r="I27" i="96" s="1"/>
  <c r="BL27" i="96"/>
  <c r="BQ27" i="96"/>
  <c r="BR27" i="96"/>
  <c r="BS27" i="96"/>
  <c r="BT27" i="96"/>
  <c r="BU27" i="96"/>
  <c r="B28" i="96"/>
  <c r="C28" i="96"/>
  <c r="AG28" i="96"/>
  <c r="AH28" i="96"/>
  <c r="AN28" i="96" s="1"/>
  <c r="AI28" i="96"/>
  <c r="AJ28" i="96"/>
  <c r="AL28" i="96"/>
  <c r="AO28" i="96"/>
  <c r="AP28" i="96"/>
  <c r="AQ28" i="96"/>
  <c r="AR28" i="96"/>
  <c r="AV28" i="96" s="1"/>
  <c r="AS28" i="96"/>
  <c r="AT28" i="96"/>
  <c r="AU28" i="96"/>
  <c r="AW28" i="96"/>
  <c r="AX28" i="96"/>
  <c r="AY28" i="96"/>
  <c r="AZ28" i="96"/>
  <c r="BA28" i="96"/>
  <c r="BB28" i="96"/>
  <c r="BC28" i="96"/>
  <c r="BD28" i="96"/>
  <c r="BE28" i="96"/>
  <c r="BG28" i="96"/>
  <c r="BH28" i="96"/>
  <c r="G28" i="96" s="1"/>
  <c r="BI28" i="96"/>
  <c r="BJ28" i="96"/>
  <c r="H28" i="96" s="1"/>
  <c r="BF28" i="96" s="1"/>
  <c r="BK28" i="96"/>
  <c r="I28" i="96" s="1"/>
  <c r="BL28" i="96"/>
  <c r="BN28" i="96"/>
  <c r="BQ28" i="96"/>
  <c r="BR28" i="96"/>
  <c r="BS28" i="96"/>
  <c r="BT28" i="96"/>
  <c r="BU28" i="96"/>
  <c r="B29" i="96"/>
  <c r="C29" i="96"/>
  <c r="AG29" i="96"/>
  <c r="AH29" i="96"/>
  <c r="AN29" i="96" s="1"/>
  <c r="AI29" i="96"/>
  <c r="AJ29" i="96"/>
  <c r="AL29" i="96"/>
  <c r="AO29" i="96"/>
  <c r="AP29" i="96"/>
  <c r="AQ29" i="96"/>
  <c r="AR29" i="96"/>
  <c r="AV29" i="96" s="1"/>
  <c r="AS29" i="96"/>
  <c r="AT29" i="96"/>
  <c r="AU29" i="96"/>
  <c r="AW29" i="96"/>
  <c r="AX29" i="96"/>
  <c r="AY29" i="96"/>
  <c r="AZ29" i="96"/>
  <c r="BA29" i="96"/>
  <c r="BB29" i="96"/>
  <c r="BC29" i="96"/>
  <c r="BD29" i="96"/>
  <c r="BE29" i="96"/>
  <c r="BG29" i="96"/>
  <c r="BH29" i="96"/>
  <c r="BL29" i="96" s="1"/>
  <c r="BI29" i="96"/>
  <c r="BJ29" i="96"/>
  <c r="H29" i="96" s="1"/>
  <c r="BF29" i="96" s="1"/>
  <c r="BK29" i="96"/>
  <c r="I29" i="96" s="1"/>
  <c r="BN29" i="96"/>
  <c r="BQ29" i="96"/>
  <c r="BR29" i="96"/>
  <c r="BS29" i="96"/>
  <c r="BT29" i="96"/>
  <c r="BU29" i="96"/>
  <c r="B30" i="96"/>
  <c r="C30" i="96"/>
  <c r="AG30" i="96"/>
  <c r="AH30" i="96"/>
  <c r="AN30" i="96" s="1"/>
  <c r="AI30" i="96"/>
  <c r="AJ30" i="96"/>
  <c r="AL30" i="96"/>
  <c r="AO30" i="96"/>
  <c r="AP30" i="96"/>
  <c r="AQ30" i="96"/>
  <c r="AR30" i="96"/>
  <c r="AV30" i="96" s="1"/>
  <c r="AS30" i="96"/>
  <c r="AT30" i="96"/>
  <c r="AU30" i="96"/>
  <c r="AW30" i="96"/>
  <c r="AX30" i="96"/>
  <c r="AY30" i="96"/>
  <c r="AZ30" i="96"/>
  <c r="BA30" i="96"/>
  <c r="BB30" i="96"/>
  <c r="BC30" i="96"/>
  <c r="BD30" i="96"/>
  <c r="BE30" i="96"/>
  <c r="BG30" i="96"/>
  <c r="BH30" i="96"/>
  <c r="G30" i="96" s="1"/>
  <c r="BI30" i="96"/>
  <c r="AK30" i="96" s="1"/>
  <c r="AM30" i="96" s="1"/>
  <c r="BJ30" i="96"/>
  <c r="H30" i="96" s="1"/>
  <c r="BF30" i="96" s="1"/>
  <c r="BK30" i="96"/>
  <c r="I30" i="96" s="1"/>
  <c r="BL30" i="96"/>
  <c r="BN30" i="96"/>
  <c r="BQ30" i="96"/>
  <c r="BR30" i="96"/>
  <c r="BS30" i="96"/>
  <c r="BT30" i="96"/>
  <c r="BU30" i="96"/>
  <c r="B31" i="96"/>
  <c r="C31" i="96"/>
  <c r="G31" i="96"/>
  <c r="AG31" i="96"/>
  <c r="AH31" i="96"/>
  <c r="AN31" i="96" s="1"/>
  <c r="AI31" i="96"/>
  <c r="AJ31" i="96"/>
  <c r="AL31" i="96"/>
  <c r="AO31" i="96"/>
  <c r="AP31" i="96"/>
  <c r="AQ31" i="96"/>
  <c r="AR31" i="96"/>
  <c r="AV31" i="96" s="1"/>
  <c r="AS31" i="96"/>
  <c r="AT31" i="96"/>
  <c r="AU31" i="96"/>
  <c r="AW31" i="96"/>
  <c r="AX31" i="96"/>
  <c r="AY31" i="96"/>
  <c r="AZ31" i="96"/>
  <c r="BA31" i="96"/>
  <c r="BB31" i="96"/>
  <c r="BC31" i="96"/>
  <c r="BD31" i="96"/>
  <c r="BE31" i="96"/>
  <c r="BG31" i="96"/>
  <c r="BH31" i="96"/>
  <c r="BI31" i="96"/>
  <c r="AK31" i="96" s="1"/>
  <c r="AM31" i="96" s="1"/>
  <c r="BJ31" i="96"/>
  <c r="H31" i="96" s="1"/>
  <c r="BF31" i="96" s="1"/>
  <c r="BK31" i="96"/>
  <c r="I31" i="96" s="1"/>
  <c r="BL31" i="96"/>
  <c r="BN31" i="96"/>
  <c r="BQ31" i="96"/>
  <c r="BR31" i="96"/>
  <c r="BS31" i="96"/>
  <c r="BT31" i="96"/>
  <c r="BU31" i="96"/>
  <c r="B32" i="96"/>
  <c r="C32" i="96"/>
  <c r="AG32" i="96"/>
  <c r="AH32" i="96"/>
  <c r="AN32" i="96" s="1"/>
  <c r="AI32" i="96"/>
  <c r="AJ32" i="96"/>
  <c r="AL32" i="96"/>
  <c r="AO32" i="96"/>
  <c r="AP32" i="96"/>
  <c r="AQ32" i="96"/>
  <c r="AR32" i="96"/>
  <c r="AV32" i="96" s="1"/>
  <c r="AS32" i="96"/>
  <c r="AT32" i="96"/>
  <c r="AU32" i="96"/>
  <c r="AW32" i="96"/>
  <c r="AX32" i="96"/>
  <c r="AY32" i="96"/>
  <c r="AZ32" i="96"/>
  <c r="BA32" i="96"/>
  <c r="BB32" i="96"/>
  <c r="BC32" i="96"/>
  <c r="BD32" i="96"/>
  <c r="BE32" i="96"/>
  <c r="BG32" i="96"/>
  <c r="BH32" i="96"/>
  <c r="BL32" i="96" s="1"/>
  <c r="BI32" i="96"/>
  <c r="AK32" i="96" s="1"/>
  <c r="AM32" i="96" s="1"/>
  <c r="BJ32" i="96"/>
  <c r="H32" i="96" s="1"/>
  <c r="BF32" i="96" s="1"/>
  <c r="BK32" i="96"/>
  <c r="I32" i="96" s="1"/>
  <c r="BN32" i="96"/>
  <c r="BQ32" i="96"/>
  <c r="BR32" i="96"/>
  <c r="BS32" i="96"/>
  <c r="BT32" i="96"/>
  <c r="BU32" i="96"/>
  <c r="B33" i="96"/>
  <c r="C33" i="96"/>
  <c r="AG33" i="96"/>
  <c r="AH33" i="96"/>
  <c r="AN33" i="96" s="1"/>
  <c r="AI33" i="96"/>
  <c r="AJ33" i="96"/>
  <c r="AL33" i="96"/>
  <c r="AO33" i="96"/>
  <c r="AP33" i="96"/>
  <c r="AQ33" i="96"/>
  <c r="AR33" i="96"/>
  <c r="AV33" i="96" s="1"/>
  <c r="AS33" i="96"/>
  <c r="AT33" i="96"/>
  <c r="AU33" i="96"/>
  <c r="AW33" i="96"/>
  <c r="AX33" i="96"/>
  <c r="AY33" i="96"/>
  <c r="AZ33" i="96"/>
  <c r="BA33" i="96"/>
  <c r="BB33" i="96"/>
  <c r="BC33" i="96"/>
  <c r="BD33" i="96"/>
  <c r="BE33" i="96"/>
  <c r="BG33" i="96"/>
  <c r="BH33" i="96"/>
  <c r="BL33" i="96" s="1"/>
  <c r="BI33" i="96"/>
  <c r="AK33" i="96" s="1"/>
  <c r="AM33" i="96" s="1"/>
  <c r="BJ33" i="96"/>
  <c r="H33" i="96" s="1"/>
  <c r="BF33" i="96" s="1"/>
  <c r="BK33" i="96"/>
  <c r="I33" i="96" s="1"/>
  <c r="BN33" i="96"/>
  <c r="B34" i="96"/>
  <c r="C34" i="96"/>
  <c r="AG34" i="96"/>
  <c r="AH34" i="96"/>
  <c r="AN34" i="96" s="1"/>
  <c r="AI34" i="96"/>
  <c r="AJ34" i="96"/>
  <c r="AL34" i="96"/>
  <c r="AO34" i="96"/>
  <c r="AP34" i="96"/>
  <c r="AQ34" i="96"/>
  <c r="AR34" i="96"/>
  <c r="AV34" i="96" s="1"/>
  <c r="AS34" i="96"/>
  <c r="AT34" i="96"/>
  <c r="AU34" i="96"/>
  <c r="AW34" i="96"/>
  <c r="AX34" i="96"/>
  <c r="AY34" i="96"/>
  <c r="AZ34" i="96"/>
  <c r="BA34" i="96"/>
  <c r="BB34" i="96"/>
  <c r="BC34" i="96"/>
  <c r="BD34" i="96"/>
  <c r="BE34" i="96"/>
  <c r="BG34" i="96"/>
  <c r="BH34" i="96"/>
  <c r="G34" i="96" s="1"/>
  <c r="BI34" i="96"/>
  <c r="AK34" i="96" s="1"/>
  <c r="AM34" i="96" s="1"/>
  <c r="BJ34" i="96"/>
  <c r="H34" i="96" s="1"/>
  <c r="BF34" i="96" s="1"/>
  <c r="BK34" i="96"/>
  <c r="I34" i="96" s="1"/>
  <c r="BN34" i="96"/>
  <c r="B35" i="96"/>
  <c r="C35" i="96"/>
  <c r="AG35" i="96"/>
  <c r="AH35" i="96"/>
  <c r="AN35" i="96" s="1"/>
  <c r="AI35" i="96"/>
  <c r="AJ35" i="96"/>
  <c r="AL35" i="96"/>
  <c r="AO35" i="96"/>
  <c r="AP35" i="96"/>
  <c r="AQ35" i="96"/>
  <c r="AR35" i="96"/>
  <c r="AV35" i="96" s="1"/>
  <c r="AS35" i="96"/>
  <c r="AT35" i="96"/>
  <c r="AU35" i="96"/>
  <c r="AW35" i="96"/>
  <c r="AX35" i="96"/>
  <c r="AY35" i="96"/>
  <c r="AZ35" i="96"/>
  <c r="BA35" i="96"/>
  <c r="BB35" i="96"/>
  <c r="BC35" i="96"/>
  <c r="BD35" i="96"/>
  <c r="BE35" i="96"/>
  <c r="BG35" i="96"/>
  <c r="BH35" i="96"/>
  <c r="BI35" i="96"/>
  <c r="AK35" i="96" s="1"/>
  <c r="AM35" i="96" s="1"/>
  <c r="BJ35" i="96"/>
  <c r="H35" i="96" s="1"/>
  <c r="BF35" i="96" s="1"/>
  <c r="BK35" i="96"/>
  <c r="I35" i="96" s="1"/>
  <c r="BL35" i="96"/>
  <c r="BN35" i="96"/>
  <c r="B36" i="96"/>
  <c r="C36" i="96"/>
  <c r="AG36" i="96"/>
  <c r="AH36" i="96"/>
  <c r="AN36" i="96" s="1"/>
  <c r="AI36" i="96"/>
  <c r="AJ36" i="96"/>
  <c r="AL36" i="96"/>
  <c r="AO36" i="96"/>
  <c r="AP36" i="96"/>
  <c r="AQ36" i="96"/>
  <c r="AR36" i="96"/>
  <c r="AV36" i="96" s="1"/>
  <c r="AS36" i="96"/>
  <c r="AT36" i="96"/>
  <c r="AU36" i="96"/>
  <c r="AW36" i="96"/>
  <c r="AX36" i="96"/>
  <c r="AY36" i="96"/>
  <c r="AZ36" i="96"/>
  <c r="BA36" i="96"/>
  <c r="BB36" i="96"/>
  <c r="BC36" i="96"/>
  <c r="BD36" i="96"/>
  <c r="BE36" i="96"/>
  <c r="BG36" i="96"/>
  <c r="BH36" i="96"/>
  <c r="BI36" i="96"/>
  <c r="AK36" i="96" s="1"/>
  <c r="AM36" i="96" s="1"/>
  <c r="BJ36" i="96"/>
  <c r="H36" i="96" s="1"/>
  <c r="BF36" i="96" s="1"/>
  <c r="BK36" i="96"/>
  <c r="I36" i="96" s="1"/>
  <c r="BN36" i="96"/>
  <c r="B37" i="96"/>
  <c r="C37" i="96"/>
  <c r="AG37" i="96"/>
  <c r="AH37" i="96"/>
  <c r="AN37" i="96" s="1"/>
  <c r="AI37" i="96"/>
  <c r="AJ37" i="96"/>
  <c r="AL37" i="96"/>
  <c r="AO37" i="96"/>
  <c r="AP37" i="96"/>
  <c r="AQ37" i="96"/>
  <c r="AR37" i="96"/>
  <c r="AV37" i="96" s="1"/>
  <c r="AS37" i="96"/>
  <c r="AT37" i="96"/>
  <c r="AU37" i="96"/>
  <c r="AW37" i="96"/>
  <c r="AX37" i="96"/>
  <c r="AY37" i="96"/>
  <c r="AZ37" i="96"/>
  <c r="BA37" i="96"/>
  <c r="BB37" i="96"/>
  <c r="BC37" i="96"/>
  <c r="BD37" i="96"/>
  <c r="BE37" i="96"/>
  <c r="BG37" i="96"/>
  <c r="BH37" i="96"/>
  <c r="BL37" i="96" s="1"/>
  <c r="BI37" i="96"/>
  <c r="AK37" i="96" s="1"/>
  <c r="AM37" i="96" s="1"/>
  <c r="BJ37" i="96"/>
  <c r="H37" i="96" s="1"/>
  <c r="BF37" i="96" s="1"/>
  <c r="BK37" i="96"/>
  <c r="I37" i="96" s="1"/>
  <c r="BN37" i="96"/>
  <c r="B38" i="96"/>
  <c r="C38" i="96"/>
  <c r="AG38" i="96"/>
  <c r="AH38" i="96"/>
  <c r="AN38" i="96" s="1"/>
  <c r="AI38" i="96"/>
  <c r="AJ38" i="96"/>
  <c r="AL38" i="96"/>
  <c r="AO38" i="96"/>
  <c r="AP38" i="96"/>
  <c r="AQ38" i="96"/>
  <c r="AR38" i="96"/>
  <c r="AV38" i="96" s="1"/>
  <c r="AS38" i="96"/>
  <c r="AT38" i="96"/>
  <c r="AU38" i="96"/>
  <c r="AW38" i="96"/>
  <c r="AX38" i="96"/>
  <c r="AY38" i="96"/>
  <c r="AZ38" i="96"/>
  <c r="BA38" i="96"/>
  <c r="BB38" i="96"/>
  <c r="BC38" i="96"/>
  <c r="BD38" i="96"/>
  <c r="BE38" i="96"/>
  <c r="BG38" i="96"/>
  <c r="BH38" i="96"/>
  <c r="BI38" i="96"/>
  <c r="AK38" i="96" s="1"/>
  <c r="AM38" i="96" s="1"/>
  <c r="BJ38" i="96"/>
  <c r="H38" i="96" s="1"/>
  <c r="BF38" i="96" s="1"/>
  <c r="BK38" i="96"/>
  <c r="I38" i="96" s="1"/>
  <c r="BN38" i="96"/>
  <c r="B39" i="96"/>
  <c r="C39" i="96"/>
  <c r="AG39" i="96"/>
  <c r="AH39" i="96"/>
  <c r="AN39" i="96" s="1"/>
  <c r="AI39" i="96"/>
  <c r="AJ39" i="96"/>
  <c r="AL39" i="96"/>
  <c r="AO39" i="96"/>
  <c r="AP39" i="96"/>
  <c r="AQ39" i="96"/>
  <c r="AR39" i="96"/>
  <c r="AV39" i="96" s="1"/>
  <c r="AS39" i="96"/>
  <c r="AT39" i="96"/>
  <c r="AU39" i="96"/>
  <c r="AW39" i="96"/>
  <c r="AX39" i="96"/>
  <c r="AY39" i="96"/>
  <c r="AZ39" i="96"/>
  <c r="BA39" i="96"/>
  <c r="BB39" i="96"/>
  <c r="BC39" i="96"/>
  <c r="BD39" i="96"/>
  <c r="BE39" i="96"/>
  <c r="BG39" i="96"/>
  <c r="BH39" i="96"/>
  <c r="BI39" i="96"/>
  <c r="AK39" i="96" s="1"/>
  <c r="AM39" i="96" s="1"/>
  <c r="BJ39" i="96"/>
  <c r="H39" i="96" s="1"/>
  <c r="BF39" i="96" s="1"/>
  <c r="BK39" i="96"/>
  <c r="I39" i="96" s="1"/>
  <c r="BL39" i="96"/>
  <c r="BN39" i="96"/>
  <c r="B40" i="96"/>
  <c r="C40" i="96"/>
  <c r="G40" i="96"/>
  <c r="AG40" i="96"/>
  <c r="AH40" i="96"/>
  <c r="AN40" i="96" s="1"/>
  <c r="AI40" i="96"/>
  <c r="AJ40" i="96"/>
  <c r="AL40" i="96"/>
  <c r="AO40" i="96"/>
  <c r="AP40" i="96"/>
  <c r="AQ40" i="96"/>
  <c r="AR40" i="96"/>
  <c r="AV40" i="96" s="1"/>
  <c r="AS40" i="96"/>
  <c r="AT40" i="96"/>
  <c r="AU40" i="96"/>
  <c r="AW40" i="96"/>
  <c r="AX40" i="96"/>
  <c r="AY40" i="96"/>
  <c r="AZ40" i="96"/>
  <c r="BA40" i="96"/>
  <c r="BB40" i="96"/>
  <c r="BC40" i="96"/>
  <c r="BD40" i="96"/>
  <c r="BE40" i="96"/>
  <c r="BG40" i="96"/>
  <c r="BH40" i="96"/>
  <c r="BI40" i="96"/>
  <c r="AK40" i="96" s="1"/>
  <c r="AM40" i="96" s="1"/>
  <c r="BJ40" i="96"/>
  <c r="H40" i="96" s="1"/>
  <c r="BF40" i="96" s="1"/>
  <c r="BK40" i="96"/>
  <c r="I40" i="96" s="1"/>
  <c r="BN40" i="96"/>
  <c r="B41" i="96"/>
  <c r="C41" i="96"/>
  <c r="AG41" i="96"/>
  <c r="AH41" i="96"/>
  <c r="AN41" i="96" s="1"/>
  <c r="AI41" i="96"/>
  <c r="AJ41" i="96"/>
  <c r="AL41" i="96"/>
  <c r="AO41" i="96"/>
  <c r="AP41" i="96"/>
  <c r="AQ41" i="96"/>
  <c r="AR41" i="96"/>
  <c r="AV41" i="96" s="1"/>
  <c r="AS41" i="96"/>
  <c r="AT41" i="96"/>
  <c r="AU41" i="96"/>
  <c r="AW41" i="96"/>
  <c r="AX41" i="96"/>
  <c r="AY41" i="96"/>
  <c r="AZ41" i="96"/>
  <c r="BA41" i="96"/>
  <c r="BB41" i="96"/>
  <c r="BC41" i="96"/>
  <c r="BD41" i="96"/>
  <c r="BE41" i="96"/>
  <c r="BG41" i="96"/>
  <c r="BH41" i="96"/>
  <c r="BL41" i="96" s="1"/>
  <c r="BI41" i="96"/>
  <c r="AK41" i="96" s="1"/>
  <c r="AM41" i="96" s="1"/>
  <c r="BJ41" i="96"/>
  <c r="H41" i="96" s="1"/>
  <c r="BF41" i="96" s="1"/>
  <c r="BK41" i="96"/>
  <c r="I41" i="96" s="1"/>
  <c r="BN41" i="96"/>
  <c r="B42" i="96"/>
  <c r="C42" i="96"/>
  <c r="G42" i="96"/>
  <c r="AG42" i="96"/>
  <c r="AH42" i="96"/>
  <c r="AN42" i="96" s="1"/>
  <c r="AI42" i="96"/>
  <c r="AJ42" i="96"/>
  <c r="AL42" i="96"/>
  <c r="AO42" i="96"/>
  <c r="AP42" i="96"/>
  <c r="AQ42" i="96"/>
  <c r="AR42" i="96"/>
  <c r="AV42" i="96" s="1"/>
  <c r="AS42" i="96"/>
  <c r="AT42" i="96"/>
  <c r="AU42" i="96"/>
  <c r="AW42" i="96"/>
  <c r="AX42" i="96"/>
  <c r="AY42" i="96"/>
  <c r="AZ42" i="96"/>
  <c r="BA42" i="96"/>
  <c r="BB42" i="96"/>
  <c r="BC42" i="96"/>
  <c r="BD42" i="96"/>
  <c r="BE42" i="96"/>
  <c r="BG42" i="96"/>
  <c r="BH42" i="96"/>
  <c r="BI42" i="96"/>
  <c r="AK42" i="96" s="1"/>
  <c r="AM42" i="96" s="1"/>
  <c r="BJ42" i="96"/>
  <c r="H42" i="96" s="1"/>
  <c r="BF42" i="96" s="1"/>
  <c r="BK42" i="96"/>
  <c r="I42" i="96" s="1"/>
  <c r="BN42" i="96"/>
  <c r="H44" i="96"/>
  <c r="AT46" i="96"/>
  <c r="AT47" i="96" s="1"/>
  <c r="AR47" i="96" s="1"/>
  <c r="BE46" i="96"/>
  <c r="U50" i="96"/>
  <c r="AV7" i="95"/>
  <c r="B9" i="95"/>
  <c r="AG9" i="95"/>
  <c r="AH9" i="95"/>
  <c r="AN9" i="95" s="1"/>
  <c r="AJ9" i="95"/>
  <c r="AJ10" i="95" s="1"/>
  <c r="AL9" i="95"/>
  <c r="AO9" i="95"/>
  <c r="AQ9" i="95"/>
  <c r="AS9" i="95"/>
  <c r="AU9" i="95"/>
  <c r="AV44" i="95" s="1"/>
  <c r="BC9" i="95"/>
  <c r="BD9" i="95"/>
  <c r="BE9" i="95"/>
  <c r="BH9" i="95"/>
  <c r="BL9" i="95" s="1"/>
  <c r="BJ9" i="95"/>
  <c r="H9" i="95" s="1"/>
  <c r="BF9" i="95" s="1"/>
  <c r="B10" i="95"/>
  <c r="AG10" i="95"/>
  <c r="AH10" i="95"/>
  <c r="AN10" i="95" s="1"/>
  <c r="AL10" i="95"/>
  <c r="AO10" i="95"/>
  <c r="AQ10" i="95"/>
  <c r="AS10" i="95"/>
  <c r="AU10" i="95"/>
  <c r="BC10" i="95"/>
  <c r="BD10" i="95"/>
  <c r="BE10" i="95"/>
  <c r="BH10" i="95"/>
  <c r="G10" i="95" s="1"/>
  <c r="BK10" i="95" s="1"/>
  <c r="I10" i="95" s="1"/>
  <c r="BL10" i="95"/>
  <c r="AG11" i="95"/>
  <c r="AH11" i="95"/>
  <c r="AJ11" i="95"/>
  <c r="AJ12" i="95" s="1"/>
  <c r="AJ13" i="95" s="1"/>
  <c r="AL11" i="95"/>
  <c r="AO11" i="95"/>
  <c r="AQ11" i="95"/>
  <c r="AS11" i="95"/>
  <c r="AU11" i="95"/>
  <c r="BC11" i="95"/>
  <c r="BD11" i="95"/>
  <c r="BE11" i="95"/>
  <c r="BH11" i="95"/>
  <c r="BL11" i="95"/>
  <c r="AG12" i="95"/>
  <c r="AH12" i="95"/>
  <c r="AN12" i="95" s="1"/>
  <c r="AL12" i="95"/>
  <c r="AO12" i="95"/>
  <c r="AQ12" i="95"/>
  <c r="AS12" i="95"/>
  <c r="AU12" i="95"/>
  <c r="BC12" i="95"/>
  <c r="BD12" i="95"/>
  <c r="BE12" i="95"/>
  <c r="BH12" i="95"/>
  <c r="BL12" i="95"/>
  <c r="B13" i="95"/>
  <c r="AG13" i="95"/>
  <c r="AH13" i="95"/>
  <c r="AN13" i="95" s="1"/>
  <c r="AL13" i="95"/>
  <c r="AO13" i="95"/>
  <c r="AQ13" i="95"/>
  <c r="AS13" i="95"/>
  <c r="AU13" i="95"/>
  <c r="BC13" i="95"/>
  <c r="BD13" i="95"/>
  <c r="BE13" i="95"/>
  <c r="BH13" i="95"/>
  <c r="BL13" i="95" s="1"/>
  <c r="BJ13" i="95"/>
  <c r="H13" i="95" s="1"/>
  <c r="BF13" i="95" s="1"/>
  <c r="AG14" i="95"/>
  <c r="AH14" i="95"/>
  <c r="AL14" i="95"/>
  <c r="AO14" i="95"/>
  <c r="AQ14" i="95"/>
  <c r="AS14" i="95"/>
  <c r="AU14" i="95"/>
  <c r="BC14" i="95"/>
  <c r="BD14" i="95"/>
  <c r="BE14" i="95"/>
  <c r="BH14" i="95"/>
  <c r="G14" i="95" s="1"/>
  <c r="BL14" i="95"/>
  <c r="AG15" i="95"/>
  <c r="AH15" i="95"/>
  <c r="AN15" i="95" s="1"/>
  <c r="AL15" i="95"/>
  <c r="AO15" i="95"/>
  <c r="AQ15" i="95"/>
  <c r="AS15" i="95"/>
  <c r="AU15" i="95"/>
  <c r="BC15" i="95"/>
  <c r="BD15" i="95"/>
  <c r="BE15" i="95"/>
  <c r="BH15" i="95"/>
  <c r="G15" i="95" s="1"/>
  <c r="BL15" i="95"/>
  <c r="AG16" i="95"/>
  <c r="AH16" i="95"/>
  <c r="AN16" i="95" s="1"/>
  <c r="AL16" i="95"/>
  <c r="AO16" i="95"/>
  <c r="AQ16" i="95"/>
  <c r="AS16" i="95"/>
  <c r="AU16" i="95"/>
  <c r="BC16" i="95"/>
  <c r="BD16" i="95"/>
  <c r="BE16" i="95"/>
  <c r="BH16" i="95"/>
  <c r="BL16" i="95" s="1"/>
  <c r="AG17" i="95"/>
  <c r="AH17" i="95"/>
  <c r="AL17" i="95"/>
  <c r="AO17" i="95"/>
  <c r="AQ17" i="95"/>
  <c r="AS17" i="95"/>
  <c r="AU17" i="95"/>
  <c r="BC17" i="95"/>
  <c r="BD17" i="95"/>
  <c r="BE17" i="95"/>
  <c r="BH17" i="95"/>
  <c r="BL17" i="95" s="1"/>
  <c r="B18" i="95"/>
  <c r="AG18" i="95"/>
  <c r="AH18" i="95"/>
  <c r="AN18" i="95" s="1"/>
  <c r="AL18" i="95"/>
  <c r="AO18" i="95"/>
  <c r="AQ18" i="95"/>
  <c r="AS18" i="95"/>
  <c r="AU18" i="95"/>
  <c r="BC18" i="95"/>
  <c r="BD18" i="95"/>
  <c r="BE18" i="95"/>
  <c r="BH18" i="95"/>
  <c r="BL18" i="95" s="1"/>
  <c r="BJ18" i="95"/>
  <c r="H18" i="95" s="1"/>
  <c r="BF18" i="95" s="1"/>
  <c r="AG19" i="95"/>
  <c r="AH19" i="95"/>
  <c r="AL19" i="95"/>
  <c r="AO19" i="95"/>
  <c r="AQ19" i="95"/>
  <c r="AS19" i="95"/>
  <c r="AU19" i="95"/>
  <c r="BC19" i="95"/>
  <c r="BD19" i="95"/>
  <c r="BE19" i="95"/>
  <c r="BH19" i="95"/>
  <c r="G19" i="95" s="1"/>
  <c r="AY19" i="95" s="1"/>
  <c r="AG20" i="95"/>
  <c r="AH20" i="95"/>
  <c r="AN20" i="95" s="1"/>
  <c r="AL20" i="95"/>
  <c r="AO20" i="95"/>
  <c r="AQ20" i="95"/>
  <c r="AS20" i="95"/>
  <c r="AU20" i="95"/>
  <c r="BC20" i="95"/>
  <c r="BD20" i="95"/>
  <c r="BE20" i="95"/>
  <c r="BH20" i="95"/>
  <c r="BL20" i="95" s="1"/>
  <c r="AG21" i="95"/>
  <c r="AH21" i="95"/>
  <c r="AL21" i="95"/>
  <c r="AO21" i="95"/>
  <c r="AQ21" i="95"/>
  <c r="AS21" i="95"/>
  <c r="AU21" i="95"/>
  <c r="BC21" i="95"/>
  <c r="BD21" i="95"/>
  <c r="BE21" i="95"/>
  <c r="BH21" i="95"/>
  <c r="BL21" i="95" s="1"/>
  <c r="B22" i="95"/>
  <c r="AG22" i="95"/>
  <c r="AH22" i="95"/>
  <c r="AN22" i="95" s="1"/>
  <c r="AL22" i="95"/>
  <c r="AO22" i="95"/>
  <c r="AQ22" i="95"/>
  <c r="AS22" i="95"/>
  <c r="AU22" i="95"/>
  <c r="BC22" i="95"/>
  <c r="BD22" i="95"/>
  <c r="BE22" i="95"/>
  <c r="BH22" i="95"/>
  <c r="G22" i="95" s="1"/>
  <c r="BB22" i="95" s="1"/>
  <c r="BJ22" i="95"/>
  <c r="H22" i="95" s="1"/>
  <c r="BF22" i="95" s="1"/>
  <c r="BL22" i="95"/>
  <c r="BQ22" i="95"/>
  <c r="BR22" i="95"/>
  <c r="BS22" i="95"/>
  <c r="BT22" i="95"/>
  <c r="BU22" i="95"/>
  <c r="AG23" i="95"/>
  <c r="AH23" i="95"/>
  <c r="AL23" i="95"/>
  <c r="AO23" i="95"/>
  <c r="AQ23" i="95"/>
  <c r="AS23" i="95"/>
  <c r="AU23" i="95"/>
  <c r="BC23" i="95"/>
  <c r="BD23" i="95"/>
  <c r="BE23" i="95"/>
  <c r="BH23" i="95"/>
  <c r="BQ23" i="95"/>
  <c r="BR23" i="95"/>
  <c r="BS23" i="95"/>
  <c r="BT23" i="95"/>
  <c r="BU23" i="95"/>
  <c r="G24" i="95"/>
  <c r="AG24" i="95"/>
  <c r="AH24" i="95"/>
  <c r="AN24" i="95" s="1"/>
  <c r="AL24" i="95"/>
  <c r="AO24" i="95"/>
  <c r="AQ24" i="95"/>
  <c r="AS24" i="95"/>
  <c r="AU24" i="95"/>
  <c r="BC24" i="95"/>
  <c r="BD24" i="95"/>
  <c r="BE24" i="95"/>
  <c r="BH24" i="95"/>
  <c r="BL24" i="95"/>
  <c r="BQ24" i="95"/>
  <c r="BR24" i="95"/>
  <c r="BS24" i="95"/>
  <c r="BT24" i="95"/>
  <c r="BU24" i="95"/>
  <c r="G25" i="95"/>
  <c r="BK25" i="95" s="1"/>
  <c r="I25" i="95" s="1"/>
  <c r="AG25" i="95"/>
  <c r="AH25" i="95"/>
  <c r="AN25" i="95" s="1"/>
  <c r="AL25" i="95"/>
  <c r="AO25" i="95"/>
  <c r="AQ25" i="95"/>
  <c r="AS25" i="95"/>
  <c r="AU25" i="95"/>
  <c r="BC25" i="95"/>
  <c r="BD25" i="95"/>
  <c r="BE25" i="95"/>
  <c r="BH25" i="95"/>
  <c r="BL25" i="95" s="1"/>
  <c r="BQ25" i="95"/>
  <c r="BR25" i="95"/>
  <c r="BS25" i="95"/>
  <c r="BT25" i="95"/>
  <c r="BU25" i="95"/>
  <c r="B26" i="95"/>
  <c r="C26" i="95"/>
  <c r="AG26" i="95"/>
  <c r="AH26" i="95"/>
  <c r="AN26" i="95" s="1"/>
  <c r="AI26" i="95"/>
  <c r="AJ26" i="95"/>
  <c r="AL26" i="95"/>
  <c r="AO26" i="95"/>
  <c r="AP26" i="95"/>
  <c r="AQ26" i="95"/>
  <c r="AR26" i="95"/>
  <c r="AV26" i="95" s="1"/>
  <c r="AS26" i="95"/>
  <c r="AT26" i="95"/>
  <c r="AU26" i="95"/>
  <c r="AW26" i="95"/>
  <c r="AX26" i="95"/>
  <c r="AY26" i="95"/>
  <c r="AZ26" i="95"/>
  <c r="BA26" i="95"/>
  <c r="BB26" i="95"/>
  <c r="BC26" i="95"/>
  <c r="BD26" i="95"/>
  <c r="BE26" i="95"/>
  <c r="BG26" i="95"/>
  <c r="BH26" i="95"/>
  <c r="G26" i="95" s="1"/>
  <c r="BI26" i="95"/>
  <c r="AK26" i="95" s="1"/>
  <c r="AM26" i="95" s="1"/>
  <c r="BJ26" i="95"/>
  <c r="H26" i="95" s="1"/>
  <c r="BF26" i="95" s="1"/>
  <c r="BK26" i="95"/>
  <c r="I26" i="95" s="1"/>
  <c r="BN26" i="95"/>
  <c r="BQ26" i="95"/>
  <c r="BR26" i="95"/>
  <c r="BS26" i="95"/>
  <c r="BT26" i="95"/>
  <c r="BU26" i="95"/>
  <c r="B27" i="95"/>
  <c r="C27" i="95"/>
  <c r="AG27" i="95"/>
  <c r="AH27" i="95"/>
  <c r="AN27" i="95" s="1"/>
  <c r="AI27" i="95"/>
  <c r="AJ27" i="95"/>
  <c r="AL27" i="95"/>
  <c r="AO27" i="95"/>
  <c r="AP27" i="95"/>
  <c r="AQ27" i="95"/>
  <c r="AR27" i="95"/>
  <c r="AV27" i="95" s="1"/>
  <c r="AS27" i="95"/>
  <c r="AT27" i="95"/>
  <c r="AU27" i="95"/>
  <c r="AW27" i="95"/>
  <c r="AX27" i="95"/>
  <c r="AY27" i="95"/>
  <c r="AZ27" i="95"/>
  <c r="BA27" i="95"/>
  <c r="BB27" i="95"/>
  <c r="BC27" i="95"/>
  <c r="BD27" i="95"/>
  <c r="BE27" i="95"/>
  <c r="BG27" i="95"/>
  <c r="BH27" i="95"/>
  <c r="BI27" i="95"/>
  <c r="AK27" i="95" s="1"/>
  <c r="AM27" i="95" s="1"/>
  <c r="BJ27" i="95"/>
  <c r="H27" i="95" s="1"/>
  <c r="BF27" i="95" s="1"/>
  <c r="BK27" i="95"/>
  <c r="I27" i="95" s="1"/>
  <c r="BN27" i="95"/>
  <c r="BQ27" i="95"/>
  <c r="BR27" i="95"/>
  <c r="BS27" i="95"/>
  <c r="BT27" i="95"/>
  <c r="BU27" i="95"/>
  <c r="B28" i="95"/>
  <c r="C28" i="95"/>
  <c r="G28" i="95"/>
  <c r="AG28" i="95"/>
  <c r="AH28" i="95"/>
  <c r="AN28" i="95" s="1"/>
  <c r="AI28" i="95"/>
  <c r="AJ28" i="95"/>
  <c r="AL28" i="95"/>
  <c r="AO28" i="95"/>
  <c r="AP28" i="95"/>
  <c r="AQ28" i="95"/>
  <c r="AR28" i="95"/>
  <c r="AV28" i="95" s="1"/>
  <c r="AS28" i="95"/>
  <c r="AT28" i="95"/>
  <c r="AU28" i="95"/>
  <c r="AW28" i="95"/>
  <c r="AX28" i="95"/>
  <c r="AY28" i="95"/>
  <c r="AZ28" i="95"/>
  <c r="BA28" i="95"/>
  <c r="BB28" i="95"/>
  <c r="BC28" i="95"/>
  <c r="BD28" i="95"/>
  <c r="BE28" i="95"/>
  <c r="BG28" i="95"/>
  <c r="BH28" i="95"/>
  <c r="BI28" i="95"/>
  <c r="AK28" i="95" s="1"/>
  <c r="AM28" i="95" s="1"/>
  <c r="BJ28" i="95"/>
  <c r="H28" i="95" s="1"/>
  <c r="BF28" i="95" s="1"/>
  <c r="BK28" i="95"/>
  <c r="I28" i="95" s="1"/>
  <c r="BL28" i="95"/>
  <c r="BN28" i="95"/>
  <c r="BQ28" i="95"/>
  <c r="BR28" i="95"/>
  <c r="BS28" i="95"/>
  <c r="BT28" i="95"/>
  <c r="BU28" i="95"/>
  <c r="B29" i="95"/>
  <c r="C29" i="95"/>
  <c r="AG29" i="95"/>
  <c r="AH29" i="95"/>
  <c r="AN29" i="95" s="1"/>
  <c r="AI29" i="95"/>
  <c r="AJ29" i="95"/>
  <c r="AL29" i="95"/>
  <c r="AO29" i="95"/>
  <c r="AP29" i="95"/>
  <c r="AQ29" i="95"/>
  <c r="AR29" i="95"/>
  <c r="AV29" i="95" s="1"/>
  <c r="AS29" i="95"/>
  <c r="AT29" i="95"/>
  <c r="AU29" i="95"/>
  <c r="AW29" i="95"/>
  <c r="AX29" i="95"/>
  <c r="AY29" i="95"/>
  <c r="AZ29" i="95"/>
  <c r="BA29" i="95"/>
  <c r="BB29" i="95"/>
  <c r="BC29" i="95"/>
  <c r="BD29" i="95"/>
  <c r="BE29" i="95"/>
  <c r="BG29" i="95"/>
  <c r="BH29" i="95"/>
  <c r="BI29" i="95"/>
  <c r="AK29" i="95" s="1"/>
  <c r="AM29" i="95" s="1"/>
  <c r="BJ29" i="95"/>
  <c r="H29" i="95" s="1"/>
  <c r="BF29" i="95" s="1"/>
  <c r="BK29" i="95"/>
  <c r="I29" i="95" s="1"/>
  <c r="BN29" i="95"/>
  <c r="BQ29" i="95"/>
  <c r="BR29" i="95"/>
  <c r="BS29" i="95"/>
  <c r="BT29" i="95"/>
  <c r="BU29" i="95"/>
  <c r="B30" i="95"/>
  <c r="C30" i="95"/>
  <c r="AG30" i="95"/>
  <c r="AH30" i="95"/>
  <c r="AN30" i="95" s="1"/>
  <c r="AI30" i="95"/>
  <c r="AJ30" i="95"/>
  <c r="AL30" i="95"/>
  <c r="AO30" i="95"/>
  <c r="AP30" i="95"/>
  <c r="AQ30" i="95"/>
  <c r="AR30" i="95"/>
  <c r="AV30" i="95" s="1"/>
  <c r="AS30" i="95"/>
  <c r="AT30" i="95"/>
  <c r="AU30" i="95"/>
  <c r="AW30" i="95"/>
  <c r="AX30" i="95"/>
  <c r="AY30" i="95"/>
  <c r="AZ30" i="95"/>
  <c r="BA30" i="95"/>
  <c r="BB30" i="95"/>
  <c r="BC30" i="95"/>
  <c r="BD30" i="95"/>
  <c r="BE30" i="95"/>
  <c r="BG30" i="95"/>
  <c r="BH30" i="95"/>
  <c r="G30" i="95" s="1"/>
  <c r="BI30" i="95"/>
  <c r="AK30" i="95" s="1"/>
  <c r="AM30" i="95" s="1"/>
  <c r="BJ30" i="95"/>
  <c r="H30" i="95" s="1"/>
  <c r="BF30" i="95" s="1"/>
  <c r="BK30" i="95"/>
  <c r="I30" i="95" s="1"/>
  <c r="BL30" i="95"/>
  <c r="BN30" i="95"/>
  <c r="BQ30" i="95"/>
  <c r="BR30" i="95"/>
  <c r="BS30" i="95"/>
  <c r="BT30" i="95"/>
  <c r="BU30" i="95"/>
  <c r="B31" i="95"/>
  <c r="C31" i="95"/>
  <c r="AG31" i="95"/>
  <c r="AH31" i="95"/>
  <c r="AN31" i="95" s="1"/>
  <c r="AI31" i="95"/>
  <c r="AJ31" i="95"/>
  <c r="AL31" i="95"/>
  <c r="AO31" i="95"/>
  <c r="AP31" i="95"/>
  <c r="AQ31" i="95"/>
  <c r="AR31" i="95"/>
  <c r="AV31" i="95" s="1"/>
  <c r="AS31" i="95"/>
  <c r="AT31" i="95"/>
  <c r="AU31" i="95"/>
  <c r="AW31" i="95"/>
  <c r="AX31" i="95"/>
  <c r="AY31" i="95"/>
  <c r="AZ31" i="95"/>
  <c r="BA31" i="95"/>
  <c r="BB31" i="95"/>
  <c r="BC31" i="95"/>
  <c r="BD31" i="95"/>
  <c r="BE31" i="95"/>
  <c r="BG31" i="95"/>
  <c r="BH31" i="95"/>
  <c r="G31" i="95" s="1"/>
  <c r="BI31" i="95"/>
  <c r="AK31" i="95" s="1"/>
  <c r="AM31" i="95" s="1"/>
  <c r="BJ31" i="95"/>
  <c r="H31" i="95" s="1"/>
  <c r="BF31" i="95" s="1"/>
  <c r="BK31" i="95"/>
  <c r="I31" i="95" s="1"/>
  <c r="BL31" i="95"/>
  <c r="BN31" i="95"/>
  <c r="B32" i="95"/>
  <c r="C32" i="95"/>
  <c r="AG32" i="95"/>
  <c r="AH32" i="95"/>
  <c r="AN32" i="95" s="1"/>
  <c r="AI32" i="95"/>
  <c r="AJ32" i="95"/>
  <c r="AL32" i="95"/>
  <c r="AO32" i="95"/>
  <c r="AP32" i="95"/>
  <c r="AQ32" i="95"/>
  <c r="AR32" i="95"/>
  <c r="AV32" i="95" s="1"/>
  <c r="AS32" i="95"/>
  <c r="AT32" i="95"/>
  <c r="AU32" i="95"/>
  <c r="AW32" i="95"/>
  <c r="AX32" i="95"/>
  <c r="AY32" i="95"/>
  <c r="AZ32" i="95"/>
  <c r="BA32" i="95"/>
  <c r="BB32" i="95"/>
  <c r="BC32" i="95"/>
  <c r="BD32" i="95"/>
  <c r="BE32" i="95"/>
  <c r="BG32" i="95"/>
  <c r="BH32" i="95"/>
  <c r="BL32" i="95" s="1"/>
  <c r="BI32" i="95"/>
  <c r="AK32" i="95" s="1"/>
  <c r="AM32" i="95" s="1"/>
  <c r="BJ32" i="95"/>
  <c r="H32" i="95" s="1"/>
  <c r="BF32" i="95" s="1"/>
  <c r="BK32" i="95"/>
  <c r="I32" i="95" s="1"/>
  <c r="BN32" i="95"/>
  <c r="B33" i="95"/>
  <c r="C33" i="95"/>
  <c r="AG33" i="95"/>
  <c r="AH33" i="95"/>
  <c r="AN33" i="95" s="1"/>
  <c r="AI33" i="95"/>
  <c r="AJ33" i="95"/>
  <c r="AL33" i="95"/>
  <c r="AO33" i="95"/>
  <c r="AP33" i="95"/>
  <c r="AQ33" i="95"/>
  <c r="AR33" i="95"/>
  <c r="AV33" i="95" s="1"/>
  <c r="AS33" i="95"/>
  <c r="AT33" i="95"/>
  <c r="AU33" i="95"/>
  <c r="AW33" i="95"/>
  <c r="AX33" i="95"/>
  <c r="AY33" i="95"/>
  <c r="AZ33" i="95"/>
  <c r="BA33" i="95"/>
  <c r="BB33" i="95"/>
  <c r="BC33" i="95"/>
  <c r="BD33" i="95"/>
  <c r="BE33" i="95"/>
  <c r="BG33" i="95"/>
  <c r="BH33" i="95"/>
  <c r="BI33" i="95"/>
  <c r="AK33" i="95" s="1"/>
  <c r="AM33" i="95" s="1"/>
  <c r="BJ33" i="95"/>
  <c r="H33" i="95" s="1"/>
  <c r="BF33" i="95" s="1"/>
  <c r="BK33" i="95"/>
  <c r="I33" i="95" s="1"/>
  <c r="BN33" i="95"/>
  <c r="B34" i="95"/>
  <c r="C34" i="95"/>
  <c r="AG34" i="95"/>
  <c r="AH34" i="95"/>
  <c r="AN34" i="95" s="1"/>
  <c r="AI34" i="95"/>
  <c r="AJ34" i="95"/>
  <c r="AL34" i="95"/>
  <c r="AO34" i="95"/>
  <c r="AP34" i="95"/>
  <c r="AQ34" i="95"/>
  <c r="AR34" i="95"/>
  <c r="AV34" i="95" s="1"/>
  <c r="AS34" i="95"/>
  <c r="AT34" i="95"/>
  <c r="AU34" i="95"/>
  <c r="AW34" i="95"/>
  <c r="AX34" i="95"/>
  <c r="AY34" i="95"/>
  <c r="AZ34" i="95"/>
  <c r="BA34" i="95"/>
  <c r="BB34" i="95"/>
  <c r="BC34" i="95"/>
  <c r="BD34" i="95"/>
  <c r="BE34" i="95"/>
  <c r="BG34" i="95"/>
  <c r="BH34" i="95"/>
  <c r="BI34" i="95"/>
  <c r="AK34" i="95" s="1"/>
  <c r="AM34" i="95" s="1"/>
  <c r="BJ34" i="95"/>
  <c r="H34" i="95" s="1"/>
  <c r="BF34" i="95" s="1"/>
  <c r="BK34" i="95"/>
  <c r="I34" i="95" s="1"/>
  <c r="BN34" i="95"/>
  <c r="B35" i="95"/>
  <c r="C35" i="95"/>
  <c r="AG35" i="95"/>
  <c r="AH35" i="95"/>
  <c r="AN35" i="95" s="1"/>
  <c r="AI35" i="95"/>
  <c r="AJ35" i="95"/>
  <c r="AL35" i="95"/>
  <c r="AO35" i="95"/>
  <c r="AP35" i="95"/>
  <c r="AQ35" i="95"/>
  <c r="AR35" i="95"/>
  <c r="AV35" i="95" s="1"/>
  <c r="AS35" i="95"/>
  <c r="AT35" i="95"/>
  <c r="AU35" i="95"/>
  <c r="AW35" i="95"/>
  <c r="AX35" i="95"/>
  <c r="AY35" i="95"/>
  <c r="AZ35" i="95"/>
  <c r="BA35" i="95"/>
  <c r="BB35" i="95"/>
  <c r="BC35" i="95"/>
  <c r="BD35" i="95"/>
  <c r="BE35" i="95"/>
  <c r="BG35" i="95"/>
  <c r="BH35" i="95"/>
  <c r="BL35" i="95" s="1"/>
  <c r="BI35" i="95"/>
  <c r="AK35" i="95" s="1"/>
  <c r="AM35" i="95" s="1"/>
  <c r="BJ35" i="95"/>
  <c r="H35" i="95" s="1"/>
  <c r="BF35" i="95" s="1"/>
  <c r="BK35" i="95"/>
  <c r="I35" i="95" s="1"/>
  <c r="BN35" i="95"/>
  <c r="B36" i="95"/>
  <c r="C36" i="95"/>
  <c r="AG36" i="95"/>
  <c r="AH36" i="95"/>
  <c r="AN36" i="95" s="1"/>
  <c r="AI36" i="95"/>
  <c r="AJ36" i="95"/>
  <c r="AL36" i="95"/>
  <c r="AO36" i="95"/>
  <c r="AP36" i="95"/>
  <c r="AQ36" i="95"/>
  <c r="AR36" i="95"/>
  <c r="AV36" i="95" s="1"/>
  <c r="AS36" i="95"/>
  <c r="AT36" i="95"/>
  <c r="AU36" i="95"/>
  <c r="AW36" i="95"/>
  <c r="AX36" i="95"/>
  <c r="AY36" i="95"/>
  <c r="AZ36" i="95"/>
  <c r="BA36" i="95"/>
  <c r="BB36" i="95"/>
  <c r="BC36" i="95"/>
  <c r="BD36" i="95"/>
  <c r="BE36" i="95"/>
  <c r="BG36" i="95"/>
  <c r="BH36" i="95"/>
  <c r="G36" i="95" s="1"/>
  <c r="BI36" i="95"/>
  <c r="AK36" i="95" s="1"/>
  <c r="AM36" i="95" s="1"/>
  <c r="BJ36" i="95"/>
  <c r="H36" i="95" s="1"/>
  <c r="BF36" i="95" s="1"/>
  <c r="BK36" i="95"/>
  <c r="I36" i="95" s="1"/>
  <c r="BL36" i="95"/>
  <c r="BN36" i="95"/>
  <c r="B37" i="95"/>
  <c r="C37" i="95"/>
  <c r="AG37" i="95"/>
  <c r="AH37" i="95"/>
  <c r="AN37" i="95" s="1"/>
  <c r="AI37" i="95"/>
  <c r="AJ37" i="95"/>
  <c r="AL37" i="95"/>
  <c r="AO37" i="95"/>
  <c r="AP37" i="95"/>
  <c r="AQ37" i="95"/>
  <c r="AR37" i="95"/>
  <c r="AV37" i="95" s="1"/>
  <c r="AS37" i="95"/>
  <c r="AT37" i="95"/>
  <c r="AU37" i="95"/>
  <c r="AW37" i="95"/>
  <c r="AX37" i="95"/>
  <c r="AY37" i="95"/>
  <c r="AZ37" i="95"/>
  <c r="BA37" i="95"/>
  <c r="BB37" i="95"/>
  <c r="BC37" i="95"/>
  <c r="BD37" i="95"/>
  <c r="BE37" i="95"/>
  <c r="BG37" i="95"/>
  <c r="BH37" i="95"/>
  <c r="BL37" i="95" s="1"/>
  <c r="BI37" i="95"/>
  <c r="AK37" i="95" s="1"/>
  <c r="AM37" i="95" s="1"/>
  <c r="BJ37" i="95"/>
  <c r="H37" i="95" s="1"/>
  <c r="BF37" i="95" s="1"/>
  <c r="BK37" i="95"/>
  <c r="I37" i="95" s="1"/>
  <c r="BN37" i="95"/>
  <c r="B38" i="95"/>
  <c r="C38" i="95"/>
  <c r="G38" i="95"/>
  <c r="AG38" i="95"/>
  <c r="AH38" i="95"/>
  <c r="AN38" i="95" s="1"/>
  <c r="AI38" i="95"/>
  <c r="AJ38" i="95"/>
  <c r="AL38" i="95"/>
  <c r="AO38" i="95"/>
  <c r="AP38" i="95"/>
  <c r="AQ38" i="95"/>
  <c r="AR38" i="95"/>
  <c r="AV38" i="95" s="1"/>
  <c r="AS38" i="95"/>
  <c r="AT38" i="95"/>
  <c r="AU38" i="95"/>
  <c r="AW38" i="95"/>
  <c r="AX38" i="95"/>
  <c r="AY38" i="95"/>
  <c r="AZ38" i="95"/>
  <c r="BA38" i="95"/>
  <c r="BB38" i="95"/>
  <c r="BC38" i="95"/>
  <c r="BD38" i="95"/>
  <c r="BE38" i="95"/>
  <c r="BG38" i="95"/>
  <c r="BH38" i="95"/>
  <c r="BL38" i="95" s="1"/>
  <c r="BI38" i="95"/>
  <c r="AK38" i="95" s="1"/>
  <c r="AM38" i="95" s="1"/>
  <c r="BJ38" i="95"/>
  <c r="H38" i="95" s="1"/>
  <c r="BF38" i="95" s="1"/>
  <c r="BK38" i="95"/>
  <c r="I38" i="95" s="1"/>
  <c r="BN38" i="95"/>
  <c r="B39" i="95"/>
  <c r="C39" i="95"/>
  <c r="G39" i="95"/>
  <c r="AG39" i="95"/>
  <c r="AH39" i="95"/>
  <c r="AN39" i="95" s="1"/>
  <c r="AI39" i="95"/>
  <c r="AJ39" i="95"/>
  <c r="AL39" i="95"/>
  <c r="AO39" i="95"/>
  <c r="AP39" i="95"/>
  <c r="AQ39" i="95"/>
  <c r="AR39" i="95"/>
  <c r="AV39" i="95" s="1"/>
  <c r="AS39" i="95"/>
  <c r="AT39" i="95"/>
  <c r="AU39" i="95"/>
  <c r="AW39" i="95"/>
  <c r="AX39" i="95"/>
  <c r="AY39" i="95"/>
  <c r="AZ39" i="95"/>
  <c r="BA39" i="95"/>
  <c r="BB39" i="95"/>
  <c r="BC39" i="95"/>
  <c r="BD39" i="95"/>
  <c r="BE39" i="95"/>
  <c r="BG39" i="95"/>
  <c r="BH39" i="95"/>
  <c r="BL39" i="95" s="1"/>
  <c r="BI39" i="95"/>
  <c r="AK39" i="95" s="1"/>
  <c r="AM39" i="95" s="1"/>
  <c r="BJ39" i="95"/>
  <c r="H39" i="95" s="1"/>
  <c r="BF39" i="95" s="1"/>
  <c r="BK39" i="95"/>
  <c r="I39" i="95" s="1"/>
  <c r="BN39" i="95"/>
  <c r="B40" i="95"/>
  <c r="C40" i="95"/>
  <c r="AG40" i="95"/>
  <c r="AH40" i="95"/>
  <c r="AN40" i="95" s="1"/>
  <c r="AI40" i="95"/>
  <c r="AJ40" i="95"/>
  <c r="AL40" i="95"/>
  <c r="AO40" i="95"/>
  <c r="AP40" i="95"/>
  <c r="AQ40" i="95"/>
  <c r="AR40" i="95"/>
  <c r="AV40" i="95" s="1"/>
  <c r="AS40" i="95"/>
  <c r="AT40" i="95"/>
  <c r="AU40" i="95"/>
  <c r="AW40" i="95"/>
  <c r="AX40" i="95"/>
  <c r="AY40" i="95"/>
  <c r="AZ40" i="95"/>
  <c r="BA40" i="95"/>
  <c r="BB40" i="95"/>
  <c r="BC40" i="95"/>
  <c r="BD40" i="95"/>
  <c r="BE40" i="95"/>
  <c r="BG40" i="95"/>
  <c r="BH40" i="95"/>
  <c r="BL40" i="95" s="1"/>
  <c r="BI40" i="95"/>
  <c r="AK40" i="95" s="1"/>
  <c r="AM40" i="95" s="1"/>
  <c r="BJ40" i="95"/>
  <c r="H40" i="95" s="1"/>
  <c r="BF40" i="95" s="1"/>
  <c r="BK40" i="95"/>
  <c r="I40" i="95" s="1"/>
  <c r="BN40" i="95"/>
  <c r="H42" i="95"/>
  <c r="AT44" i="95"/>
  <c r="AT45" i="95" s="1"/>
  <c r="AR45" i="95" s="1"/>
  <c r="BE44" i="95"/>
  <c r="U48" i="95"/>
  <c r="AV7" i="94"/>
  <c r="B9" i="94"/>
  <c r="AG9" i="94"/>
  <c r="AH9" i="94"/>
  <c r="AN9" i="94" s="1"/>
  <c r="AJ9" i="94"/>
  <c r="AL9" i="94"/>
  <c r="AO9" i="94"/>
  <c r="AQ9" i="94"/>
  <c r="AS9" i="94"/>
  <c r="AU9" i="94"/>
  <c r="BC9" i="94"/>
  <c r="BD9" i="94"/>
  <c r="BE9" i="94"/>
  <c r="BH9" i="94"/>
  <c r="BJ9" i="94"/>
  <c r="H9" i="94" s="1"/>
  <c r="BF9" i="94" s="1"/>
  <c r="B10" i="94"/>
  <c r="AG10" i="94"/>
  <c r="AH10" i="94"/>
  <c r="AL10" i="94"/>
  <c r="AO10" i="94"/>
  <c r="AQ10" i="94"/>
  <c r="AS10" i="94"/>
  <c r="AU10" i="94"/>
  <c r="BC10" i="94"/>
  <c r="BD10" i="94"/>
  <c r="BE10" i="94"/>
  <c r="BH10" i="94"/>
  <c r="G10" i="94" s="1"/>
  <c r="BA10" i="94" s="1"/>
  <c r="B11" i="94"/>
  <c r="AG11" i="94"/>
  <c r="AH11" i="94"/>
  <c r="AN11" i="94" s="1"/>
  <c r="AL11" i="94"/>
  <c r="AO11" i="94"/>
  <c r="AQ11" i="94"/>
  <c r="AS11" i="94"/>
  <c r="AU11" i="94"/>
  <c r="BC11" i="94"/>
  <c r="BD11" i="94"/>
  <c r="BE11" i="94"/>
  <c r="BH11" i="94"/>
  <c r="G11" i="94" s="1"/>
  <c r="BB11" i="94" s="1"/>
  <c r="BL11" i="94"/>
  <c r="AG12" i="94"/>
  <c r="AH12" i="94"/>
  <c r="AL12" i="94"/>
  <c r="AO12" i="94"/>
  <c r="AQ12" i="94"/>
  <c r="AS12" i="94"/>
  <c r="AU12" i="94"/>
  <c r="BC12" i="94"/>
  <c r="BD12" i="94"/>
  <c r="BE12" i="94"/>
  <c r="BH12" i="94"/>
  <c r="B13" i="94"/>
  <c r="AG13" i="94"/>
  <c r="AH13" i="94"/>
  <c r="AN13" i="94" s="1"/>
  <c r="AL13" i="94"/>
  <c r="AO13" i="94"/>
  <c r="AQ13" i="94"/>
  <c r="AS13" i="94"/>
  <c r="AU13" i="94"/>
  <c r="BC13" i="94"/>
  <c r="BD13" i="94"/>
  <c r="BE13" i="94"/>
  <c r="BH13" i="94"/>
  <c r="BJ13" i="94"/>
  <c r="H13" i="94" s="1"/>
  <c r="BF13" i="94" s="1"/>
  <c r="AG14" i="94"/>
  <c r="AH14" i="94"/>
  <c r="AN14" i="94" s="1"/>
  <c r="AL14" i="94"/>
  <c r="AO14" i="94"/>
  <c r="AQ14" i="94"/>
  <c r="AS14" i="94"/>
  <c r="AU14" i="94"/>
  <c r="BC14" i="94"/>
  <c r="BD14" i="94"/>
  <c r="BE14" i="94"/>
  <c r="BH14" i="94"/>
  <c r="G14" i="94" s="1"/>
  <c r="BB14" i="94" s="1"/>
  <c r="AG15" i="94"/>
  <c r="AH15" i="94"/>
  <c r="AN15" i="94" s="1"/>
  <c r="AL15" i="94"/>
  <c r="AO15" i="94"/>
  <c r="AQ15" i="94"/>
  <c r="AS15" i="94"/>
  <c r="AU15" i="94"/>
  <c r="BC15" i="94"/>
  <c r="BD15" i="94"/>
  <c r="BE15" i="94"/>
  <c r="BH15" i="94"/>
  <c r="G15" i="94" s="1"/>
  <c r="AG16" i="94"/>
  <c r="AH16" i="94"/>
  <c r="AL16" i="94"/>
  <c r="AO16" i="94"/>
  <c r="AQ16" i="94"/>
  <c r="AS16" i="94"/>
  <c r="AU16" i="94"/>
  <c r="BC16" i="94"/>
  <c r="BD16" i="94"/>
  <c r="BE16" i="94"/>
  <c r="BH16" i="94"/>
  <c r="BL16" i="94" s="1"/>
  <c r="AG17" i="94"/>
  <c r="AH17" i="94"/>
  <c r="AL17" i="94"/>
  <c r="AO17" i="94"/>
  <c r="AQ17" i="94"/>
  <c r="AS17" i="94"/>
  <c r="AU17" i="94"/>
  <c r="BC17" i="94"/>
  <c r="BD17" i="94"/>
  <c r="BE17" i="94"/>
  <c r="BH17" i="94"/>
  <c r="B18" i="94"/>
  <c r="AG18" i="94"/>
  <c r="AH18" i="94"/>
  <c r="AN18" i="94" s="1"/>
  <c r="AL18" i="94"/>
  <c r="AO18" i="94"/>
  <c r="AQ18" i="94"/>
  <c r="AS18" i="94"/>
  <c r="AU18" i="94"/>
  <c r="BC18" i="94"/>
  <c r="BD18" i="94"/>
  <c r="BE18" i="94"/>
  <c r="BH18" i="94"/>
  <c r="G18" i="94" s="1"/>
  <c r="BB18" i="94" s="1"/>
  <c r="BJ18" i="94"/>
  <c r="H18" i="94" s="1"/>
  <c r="BF18" i="94" s="1"/>
  <c r="BL18" i="94"/>
  <c r="G19" i="94"/>
  <c r="BB19" i="94" s="1"/>
  <c r="AG19" i="94"/>
  <c r="AH19" i="94"/>
  <c r="AN19" i="94" s="1"/>
  <c r="AL19" i="94"/>
  <c r="AO19" i="94"/>
  <c r="AQ19" i="94"/>
  <c r="AS19" i="94"/>
  <c r="AU19" i="94"/>
  <c r="BC19" i="94"/>
  <c r="BD19" i="94"/>
  <c r="BE19" i="94"/>
  <c r="BH19" i="94"/>
  <c r="BL19" i="94"/>
  <c r="AG20" i="94"/>
  <c r="AH20" i="94"/>
  <c r="AN20" i="94" s="1"/>
  <c r="AL20" i="94"/>
  <c r="AO20" i="94"/>
  <c r="AQ20" i="94"/>
  <c r="AS20" i="94"/>
  <c r="AU20" i="94"/>
  <c r="BC20" i="94"/>
  <c r="BD20" i="94"/>
  <c r="BE20" i="94"/>
  <c r="BH20" i="94"/>
  <c r="BL20" i="94" s="1"/>
  <c r="AG21" i="94"/>
  <c r="AH21" i="94"/>
  <c r="AL21" i="94"/>
  <c r="AO21" i="94"/>
  <c r="AQ21" i="94"/>
  <c r="AS21" i="94"/>
  <c r="AU21" i="94"/>
  <c r="BC21" i="94"/>
  <c r="BD21" i="94"/>
  <c r="BE21" i="94"/>
  <c r="BH21" i="94"/>
  <c r="B22" i="94"/>
  <c r="G22" i="94"/>
  <c r="BB22" i="94" s="1"/>
  <c r="AG22" i="94"/>
  <c r="AH22" i="94"/>
  <c r="AN22" i="94" s="1"/>
  <c r="AL22" i="94"/>
  <c r="AO22" i="94"/>
  <c r="AQ22" i="94"/>
  <c r="AS22" i="94"/>
  <c r="AU22" i="94"/>
  <c r="BC22" i="94"/>
  <c r="BD22" i="94"/>
  <c r="BE22" i="94"/>
  <c r="BH22" i="94"/>
  <c r="BJ22" i="94"/>
  <c r="H22" i="94" s="1"/>
  <c r="BF22" i="94" s="1"/>
  <c r="BL22" i="94"/>
  <c r="BQ22" i="94"/>
  <c r="BR22" i="94"/>
  <c r="BS22" i="94"/>
  <c r="BT22" i="94"/>
  <c r="BU22" i="94"/>
  <c r="AG23" i="94"/>
  <c r="AH23" i="94"/>
  <c r="AN23" i="94" s="1"/>
  <c r="AL23" i="94"/>
  <c r="AO23" i="94"/>
  <c r="AQ23" i="94"/>
  <c r="AS23" i="94"/>
  <c r="AU23" i="94"/>
  <c r="BC23" i="94"/>
  <c r="BD23" i="94"/>
  <c r="BE23" i="94"/>
  <c r="BH23" i="94"/>
  <c r="BQ23" i="94"/>
  <c r="BR23" i="94"/>
  <c r="BS23" i="94"/>
  <c r="BT23" i="94"/>
  <c r="BU23" i="94"/>
  <c r="AG24" i="94"/>
  <c r="AH24" i="94"/>
  <c r="AL24" i="94"/>
  <c r="AO24" i="94"/>
  <c r="AQ24" i="94"/>
  <c r="AS24" i="94"/>
  <c r="AU24" i="94"/>
  <c r="BC24" i="94"/>
  <c r="BD24" i="94"/>
  <c r="BE24" i="94"/>
  <c r="BH24" i="94"/>
  <c r="G24" i="94" s="1"/>
  <c r="BL24" i="94"/>
  <c r="BQ24" i="94"/>
  <c r="BR24" i="94"/>
  <c r="BS24" i="94"/>
  <c r="BT24" i="94"/>
  <c r="BU24" i="94"/>
  <c r="AG25" i="94"/>
  <c r="AH25" i="94"/>
  <c r="AL25" i="94"/>
  <c r="AO25" i="94"/>
  <c r="AQ25" i="94"/>
  <c r="AS25" i="94"/>
  <c r="AU25" i="94"/>
  <c r="BC25" i="94"/>
  <c r="BD25" i="94"/>
  <c r="BE25" i="94"/>
  <c r="BH25" i="94"/>
  <c r="G25" i="94" s="1"/>
  <c r="BB25" i="94" s="1"/>
  <c r="BL25" i="94"/>
  <c r="BQ25" i="94"/>
  <c r="BR25" i="94"/>
  <c r="BS25" i="94"/>
  <c r="BT25" i="94"/>
  <c r="BU25" i="94"/>
  <c r="B26" i="94"/>
  <c r="C26" i="94"/>
  <c r="AG26" i="94"/>
  <c r="AH26" i="94"/>
  <c r="AN26" i="94" s="1"/>
  <c r="AI26" i="94"/>
  <c r="AJ26" i="94"/>
  <c r="AL26" i="94"/>
  <c r="AO26" i="94"/>
  <c r="AP26" i="94"/>
  <c r="AQ26" i="94"/>
  <c r="AR26" i="94"/>
  <c r="AV26" i="94" s="1"/>
  <c r="AS26" i="94"/>
  <c r="AT26" i="94"/>
  <c r="AU26" i="94"/>
  <c r="AW26" i="94"/>
  <c r="AX26" i="94"/>
  <c r="AY26" i="94"/>
  <c r="AZ26" i="94"/>
  <c r="BA26" i="94"/>
  <c r="BB26" i="94"/>
  <c r="BC26" i="94"/>
  <c r="BD26" i="94"/>
  <c r="BE26" i="94"/>
  <c r="BG26" i="94"/>
  <c r="BH26" i="94"/>
  <c r="BI26" i="94"/>
  <c r="AK26" i="94" s="1"/>
  <c r="AM26" i="94" s="1"/>
  <c r="BJ26" i="94"/>
  <c r="H26" i="94" s="1"/>
  <c r="BF26" i="94" s="1"/>
  <c r="BK26" i="94"/>
  <c r="I26" i="94" s="1"/>
  <c r="BN26" i="94"/>
  <c r="BQ26" i="94"/>
  <c r="BR26" i="94"/>
  <c r="BS26" i="94"/>
  <c r="BT26" i="94"/>
  <c r="BU26" i="94"/>
  <c r="B27" i="94"/>
  <c r="C27" i="94"/>
  <c r="AG27" i="94"/>
  <c r="AH27" i="94"/>
  <c r="AN27" i="94" s="1"/>
  <c r="AI27" i="94"/>
  <c r="AJ27" i="94"/>
  <c r="AL27" i="94"/>
  <c r="AO27" i="94"/>
  <c r="AP27" i="94"/>
  <c r="AQ27" i="94"/>
  <c r="AR27" i="94"/>
  <c r="AV27" i="94" s="1"/>
  <c r="AS27" i="94"/>
  <c r="AT27" i="94"/>
  <c r="AU27" i="94"/>
  <c r="AW27" i="94"/>
  <c r="AX27" i="94"/>
  <c r="AY27" i="94"/>
  <c r="AZ27" i="94"/>
  <c r="BA27" i="94"/>
  <c r="BB27" i="94"/>
  <c r="BC27" i="94"/>
  <c r="BD27" i="94"/>
  <c r="BE27" i="94"/>
  <c r="BG27" i="94"/>
  <c r="BH27" i="94"/>
  <c r="G27" i="94" s="1"/>
  <c r="BI27" i="94"/>
  <c r="BJ27" i="94"/>
  <c r="H27" i="94" s="1"/>
  <c r="BF27" i="94" s="1"/>
  <c r="BK27" i="94"/>
  <c r="I27" i="94" s="1"/>
  <c r="BL27" i="94"/>
  <c r="BN27" i="94"/>
  <c r="BQ27" i="94"/>
  <c r="BR27" i="94"/>
  <c r="BS27" i="94"/>
  <c r="BT27" i="94"/>
  <c r="BU27" i="94"/>
  <c r="B28" i="94"/>
  <c r="C28" i="94"/>
  <c r="AG28" i="94"/>
  <c r="AH28" i="94"/>
  <c r="AN28" i="94" s="1"/>
  <c r="AI28" i="94"/>
  <c r="AJ28" i="94"/>
  <c r="AL28" i="94"/>
  <c r="AO28" i="94"/>
  <c r="AP28" i="94"/>
  <c r="AQ28" i="94"/>
  <c r="AR28" i="94"/>
  <c r="AV28" i="94" s="1"/>
  <c r="AS28" i="94"/>
  <c r="AT28" i="94"/>
  <c r="AU28" i="94"/>
  <c r="AW28" i="94"/>
  <c r="AX28" i="94"/>
  <c r="AY28" i="94"/>
  <c r="AZ28" i="94"/>
  <c r="BA28" i="94"/>
  <c r="BB28" i="94"/>
  <c r="BC28" i="94"/>
  <c r="BD28" i="94"/>
  <c r="BE28" i="94"/>
  <c r="BG28" i="94"/>
  <c r="BH28" i="94"/>
  <c r="BI28" i="94"/>
  <c r="AK28" i="94" s="1"/>
  <c r="AM28" i="94" s="1"/>
  <c r="BJ28" i="94"/>
  <c r="H28" i="94" s="1"/>
  <c r="BF28" i="94" s="1"/>
  <c r="BK28" i="94"/>
  <c r="I28" i="94" s="1"/>
  <c r="BL28" i="94"/>
  <c r="BN28" i="94"/>
  <c r="BQ28" i="94"/>
  <c r="BR28" i="94"/>
  <c r="BS28" i="94"/>
  <c r="BT28" i="94"/>
  <c r="BU28" i="94"/>
  <c r="B29" i="94"/>
  <c r="C29" i="94"/>
  <c r="AG29" i="94"/>
  <c r="AH29" i="94"/>
  <c r="AN29" i="94" s="1"/>
  <c r="AI29" i="94"/>
  <c r="AJ29" i="94"/>
  <c r="AL29" i="94"/>
  <c r="AO29" i="94"/>
  <c r="AP29" i="94"/>
  <c r="AQ29" i="94"/>
  <c r="AR29" i="94"/>
  <c r="AV29" i="94" s="1"/>
  <c r="AS29" i="94"/>
  <c r="AT29" i="94"/>
  <c r="AU29" i="94"/>
  <c r="AW29" i="94"/>
  <c r="AX29" i="94"/>
  <c r="AY29" i="94"/>
  <c r="AZ29" i="94"/>
  <c r="BA29" i="94"/>
  <c r="BB29" i="94"/>
  <c r="BC29" i="94"/>
  <c r="BD29" i="94"/>
  <c r="BE29" i="94"/>
  <c r="BG29" i="94"/>
  <c r="BH29" i="94"/>
  <c r="BI29" i="94"/>
  <c r="AK29" i="94" s="1"/>
  <c r="AM29" i="94" s="1"/>
  <c r="BJ29" i="94"/>
  <c r="H29" i="94" s="1"/>
  <c r="BF29" i="94" s="1"/>
  <c r="BK29" i="94"/>
  <c r="I29" i="94" s="1"/>
  <c r="BN29" i="94"/>
  <c r="BQ29" i="94"/>
  <c r="BR29" i="94"/>
  <c r="BS29" i="94"/>
  <c r="BT29" i="94"/>
  <c r="BU29" i="94"/>
  <c r="B30" i="94"/>
  <c r="C30" i="94"/>
  <c r="G30" i="94"/>
  <c r="AG30" i="94"/>
  <c r="AH30" i="94"/>
  <c r="AN30" i="94" s="1"/>
  <c r="AI30" i="94"/>
  <c r="AJ30" i="94"/>
  <c r="AL30" i="94"/>
  <c r="AO30" i="94"/>
  <c r="AP30" i="94"/>
  <c r="AQ30" i="94"/>
  <c r="AR30" i="94"/>
  <c r="AV30" i="94" s="1"/>
  <c r="AS30" i="94"/>
  <c r="AT30" i="94"/>
  <c r="AU30" i="94"/>
  <c r="AW30" i="94"/>
  <c r="AX30" i="94"/>
  <c r="AY30" i="94"/>
  <c r="AZ30" i="94"/>
  <c r="BA30" i="94"/>
  <c r="BB30" i="94"/>
  <c r="BC30" i="94"/>
  <c r="BD30" i="94"/>
  <c r="BE30" i="94"/>
  <c r="BG30" i="94"/>
  <c r="BH30" i="94"/>
  <c r="BL30" i="94" s="1"/>
  <c r="BI30" i="94"/>
  <c r="AK30" i="94" s="1"/>
  <c r="AM30" i="94" s="1"/>
  <c r="BJ30" i="94"/>
  <c r="H30" i="94" s="1"/>
  <c r="BF30" i="94" s="1"/>
  <c r="BK30" i="94"/>
  <c r="I30" i="94" s="1"/>
  <c r="BN30" i="94"/>
  <c r="BQ30" i="94"/>
  <c r="BR30" i="94"/>
  <c r="BS30" i="94"/>
  <c r="BT30" i="94"/>
  <c r="BU30" i="94"/>
  <c r="B31" i="94"/>
  <c r="C31" i="94"/>
  <c r="AG31" i="94"/>
  <c r="AH31" i="94"/>
  <c r="AN31" i="94" s="1"/>
  <c r="AI31" i="94"/>
  <c r="AJ31" i="94"/>
  <c r="AL31" i="94"/>
  <c r="AO31" i="94"/>
  <c r="AP31" i="94"/>
  <c r="AQ31" i="94"/>
  <c r="AR31" i="94"/>
  <c r="AV31" i="94" s="1"/>
  <c r="AS31" i="94"/>
  <c r="AT31" i="94"/>
  <c r="AU31" i="94"/>
  <c r="AW31" i="94"/>
  <c r="AX31" i="94"/>
  <c r="AY31" i="94"/>
  <c r="AZ31" i="94"/>
  <c r="BA31" i="94"/>
  <c r="BB31" i="94"/>
  <c r="BC31" i="94"/>
  <c r="BD31" i="94"/>
  <c r="BE31" i="94"/>
  <c r="BG31" i="94"/>
  <c r="BH31" i="94"/>
  <c r="G31" i="94" s="1"/>
  <c r="BI31" i="94"/>
  <c r="AK31" i="94" s="1"/>
  <c r="AM31" i="94" s="1"/>
  <c r="BJ31" i="94"/>
  <c r="H31" i="94" s="1"/>
  <c r="BF31" i="94" s="1"/>
  <c r="BK31" i="94"/>
  <c r="I31" i="94" s="1"/>
  <c r="BL31" i="94"/>
  <c r="BN31" i="94"/>
  <c r="B32" i="94"/>
  <c r="C32" i="94"/>
  <c r="AG32" i="94"/>
  <c r="AH32" i="94"/>
  <c r="AN32" i="94" s="1"/>
  <c r="AI32" i="94"/>
  <c r="AJ32" i="94"/>
  <c r="AL32" i="94"/>
  <c r="AO32" i="94"/>
  <c r="AP32" i="94"/>
  <c r="AQ32" i="94"/>
  <c r="AR32" i="94"/>
  <c r="AV32" i="94" s="1"/>
  <c r="AS32" i="94"/>
  <c r="AT32" i="94"/>
  <c r="AU32" i="94"/>
  <c r="AW32" i="94"/>
  <c r="AX32" i="94"/>
  <c r="AY32" i="94"/>
  <c r="AZ32" i="94"/>
  <c r="BA32" i="94"/>
  <c r="BB32" i="94"/>
  <c r="BC32" i="94"/>
  <c r="BD32" i="94"/>
  <c r="BE32" i="94"/>
  <c r="BG32" i="94"/>
  <c r="BH32" i="94"/>
  <c r="G32" i="94" s="1"/>
  <c r="BI32" i="94"/>
  <c r="AK32" i="94" s="1"/>
  <c r="AM32" i="94" s="1"/>
  <c r="BJ32" i="94"/>
  <c r="H32" i="94" s="1"/>
  <c r="BF32" i="94" s="1"/>
  <c r="BK32" i="94"/>
  <c r="I32" i="94" s="1"/>
  <c r="BL32" i="94"/>
  <c r="BN32" i="94"/>
  <c r="B33" i="94"/>
  <c r="C33" i="94"/>
  <c r="AG33" i="94"/>
  <c r="AH33" i="94"/>
  <c r="AN33" i="94" s="1"/>
  <c r="AI33" i="94"/>
  <c r="AJ33" i="94"/>
  <c r="AL33" i="94"/>
  <c r="AO33" i="94"/>
  <c r="AP33" i="94"/>
  <c r="AQ33" i="94"/>
  <c r="AR33" i="94"/>
  <c r="AV33" i="94" s="1"/>
  <c r="AS33" i="94"/>
  <c r="AT33" i="94"/>
  <c r="AU33" i="94"/>
  <c r="AW33" i="94"/>
  <c r="AX33" i="94"/>
  <c r="AY33" i="94"/>
  <c r="AZ33" i="94"/>
  <c r="BA33" i="94"/>
  <c r="BB33" i="94"/>
  <c r="BC33" i="94"/>
  <c r="BD33" i="94"/>
  <c r="BE33" i="94"/>
  <c r="BG33" i="94"/>
  <c r="BH33" i="94"/>
  <c r="BL33" i="94" s="1"/>
  <c r="BI33" i="94"/>
  <c r="AK33" i="94" s="1"/>
  <c r="AM33" i="94" s="1"/>
  <c r="BJ33" i="94"/>
  <c r="H33" i="94" s="1"/>
  <c r="BF33" i="94" s="1"/>
  <c r="BK33" i="94"/>
  <c r="I33" i="94" s="1"/>
  <c r="BN33" i="94"/>
  <c r="B34" i="94"/>
  <c r="C34" i="94"/>
  <c r="AG34" i="94"/>
  <c r="AH34" i="94"/>
  <c r="AN34" i="94" s="1"/>
  <c r="AI34" i="94"/>
  <c r="AJ34" i="94"/>
  <c r="AL34" i="94"/>
  <c r="AO34" i="94"/>
  <c r="AP34" i="94"/>
  <c r="AQ34" i="94"/>
  <c r="AR34" i="94"/>
  <c r="AV34" i="94" s="1"/>
  <c r="AS34" i="94"/>
  <c r="AT34" i="94"/>
  <c r="AU34" i="94"/>
  <c r="AW34" i="94"/>
  <c r="AX34" i="94"/>
  <c r="AY34" i="94"/>
  <c r="AZ34" i="94"/>
  <c r="BA34" i="94"/>
  <c r="BB34" i="94"/>
  <c r="BC34" i="94"/>
  <c r="BD34" i="94"/>
  <c r="BE34" i="94"/>
  <c r="BG34" i="94"/>
  <c r="BH34" i="94"/>
  <c r="BI34" i="94"/>
  <c r="AK34" i="94" s="1"/>
  <c r="AM34" i="94" s="1"/>
  <c r="BJ34" i="94"/>
  <c r="H34" i="94" s="1"/>
  <c r="BF34" i="94" s="1"/>
  <c r="BK34" i="94"/>
  <c r="I34" i="94" s="1"/>
  <c r="BN34" i="94"/>
  <c r="B35" i="94"/>
  <c r="C35" i="94"/>
  <c r="G35" i="94"/>
  <c r="AG35" i="94"/>
  <c r="AH35" i="94"/>
  <c r="AN35" i="94" s="1"/>
  <c r="AI35" i="94"/>
  <c r="AJ35" i="94"/>
  <c r="AL35" i="94"/>
  <c r="AO35" i="94"/>
  <c r="AP35" i="94"/>
  <c r="AQ35" i="94"/>
  <c r="AR35" i="94"/>
  <c r="AV35" i="94" s="1"/>
  <c r="AS35" i="94"/>
  <c r="AT35" i="94"/>
  <c r="AU35" i="94"/>
  <c r="AW35" i="94"/>
  <c r="AX35" i="94"/>
  <c r="AY35" i="94"/>
  <c r="AZ35" i="94"/>
  <c r="BA35" i="94"/>
  <c r="BB35" i="94"/>
  <c r="BC35" i="94"/>
  <c r="BD35" i="94"/>
  <c r="BE35" i="94"/>
  <c r="BG35" i="94"/>
  <c r="BH35" i="94"/>
  <c r="BI35" i="94"/>
  <c r="AK35" i="94" s="1"/>
  <c r="AM35" i="94" s="1"/>
  <c r="BJ35" i="94"/>
  <c r="H35" i="94" s="1"/>
  <c r="BF35" i="94" s="1"/>
  <c r="BK35" i="94"/>
  <c r="I35" i="94" s="1"/>
  <c r="BL35" i="94"/>
  <c r="BN35" i="94"/>
  <c r="B36" i="94"/>
  <c r="C36" i="94"/>
  <c r="G36" i="94"/>
  <c r="AG36" i="94"/>
  <c r="AH36" i="94"/>
  <c r="AN36" i="94" s="1"/>
  <c r="AI36" i="94"/>
  <c r="AJ36" i="94"/>
  <c r="AL36" i="94"/>
  <c r="AO36" i="94"/>
  <c r="AP36" i="94"/>
  <c r="AQ36" i="94"/>
  <c r="AR36" i="94"/>
  <c r="AV36" i="94" s="1"/>
  <c r="AS36" i="94"/>
  <c r="AT36" i="94"/>
  <c r="AU36" i="94"/>
  <c r="AW36" i="94"/>
  <c r="AX36" i="94"/>
  <c r="AY36" i="94"/>
  <c r="AZ36" i="94"/>
  <c r="BA36" i="94"/>
  <c r="BB36" i="94"/>
  <c r="BC36" i="94"/>
  <c r="BD36" i="94"/>
  <c r="BE36" i="94"/>
  <c r="BG36" i="94"/>
  <c r="BH36" i="94"/>
  <c r="BI36" i="94"/>
  <c r="AK36" i="94" s="1"/>
  <c r="AM36" i="94" s="1"/>
  <c r="BJ36" i="94"/>
  <c r="H36" i="94" s="1"/>
  <c r="BF36" i="94" s="1"/>
  <c r="BK36" i="94"/>
  <c r="I36" i="94" s="1"/>
  <c r="BL36" i="94"/>
  <c r="BN36" i="94"/>
  <c r="B37" i="94"/>
  <c r="C37" i="94"/>
  <c r="AG37" i="94"/>
  <c r="AH37" i="94"/>
  <c r="AN37" i="94" s="1"/>
  <c r="AI37" i="94"/>
  <c r="AJ37" i="94"/>
  <c r="AL37" i="94"/>
  <c r="AO37" i="94"/>
  <c r="AP37" i="94"/>
  <c r="AQ37" i="94"/>
  <c r="AR37" i="94"/>
  <c r="AV37" i="94" s="1"/>
  <c r="AS37" i="94"/>
  <c r="AT37" i="94"/>
  <c r="AU37" i="94"/>
  <c r="AW37" i="94"/>
  <c r="AX37" i="94"/>
  <c r="AY37" i="94"/>
  <c r="AZ37" i="94"/>
  <c r="BA37" i="94"/>
  <c r="BB37" i="94"/>
  <c r="BC37" i="94"/>
  <c r="BD37" i="94"/>
  <c r="BE37" i="94"/>
  <c r="BG37" i="94"/>
  <c r="BH37" i="94"/>
  <c r="BL37" i="94" s="1"/>
  <c r="BI37" i="94"/>
  <c r="AK37" i="94" s="1"/>
  <c r="AM37" i="94" s="1"/>
  <c r="BJ37" i="94"/>
  <c r="H37" i="94" s="1"/>
  <c r="BF37" i="94" s="1"/>
  <c r="BK37" i="94"/>
  <c r="I37" i="94" s="1"/>
  <c r="BN37" i="94"/>
  <c r="B38" i="94"/>
  <c r="C38" i="94"/>
  <c r="AG38" i="94"/>
  <c r="AH38" i="94"/>
  <c r="AN38" i="94" s="1"/>
  <c r="AI38" i="94"/>
  <c r="AJ38" i="94"/>
  <c r="AL38" i="94"/>
  <c r="AO38" i="94"/>
  <c r="AP38" i="94"/>
  <c r="AQ38" i="94"/>
  <c r="AR38" i="94"/>
  <c r="AV38" i="94" s="1"/>
  <c r="AS38" i="94"/>
  <c r="AT38" i="94"/>
  <c r="AU38" i="94"/>
  <c r="AW38" i="94"/>
  <c r="AX38" i="94"/>
  <c r="AY38" i="94"/>
  <c r="AZ38" i="94"/>
  <c r="BA38" i="94"/>
  <c r="BB38" i="94"/>
  <c r="BC38" i="94"/>
  <c r="BD38" i="94"/>
  <c r="BE38" i="94"/>
  <c r="BG38" i="94"/>
  <c r="BH38" i="94"/>
  <c r="BI38" i="94"/>
  <c r="AK38" i="94" s="1"/>
  <c r="AM38" i="94" s="1"/>
  <c r="BJ38" i="94"/>
  <c r="H38" i="94" s="1"/>
  <c r="BF38" i="94" s="1"/>
  <c r="BK38" i="94"/>
  <c r="I38" i="94" s="1"/>
  <c r="BN38" i="94"/>
  <c r="B39" i="94"/>
  <c r="C39" i="94"/>
  <c r="AG39" i="94"/>
  <c r="AH39" i="94"/>
  <c r="AN39" i="94" s="1"/>
  <c r="AI39" i="94"/>
  <c r="AJ39" i="94"/>
  <c r="AL39" i="94"/>
  <c r="AO39" i="94"/>
  <c r="AP39" i="94"/>
  <c r="AQ39" i="94"/>
  <c r="AR39" i="94"/>
  <c r="AV39" i="94" s="1"/>
  <c r="AS39" i="94"/>
  <c r="AT39" i="94"/>
  <c r="AU39" i="94"/>
  <c r="AW39" i="94"/>
  <c r="AX39" i="94"/>
  <c r="AY39" i="94"/>
  <c r="AZ39" i="94"/>
  <c r="BA39" i="94"/>
  <c r="BB39" i="94"/>
  <c r="BC39" i="94"/>
  <c r="BD39" i="94"/>
  <c r="BE39" i="94"/>
  <c r="BG39" i="94"/>
  <c r="BH39" i="94"/>
  <c r="BL39" i="94" s="1"/>
  <c r="BI39" i="94"/>
  <c r="AK39" i="94" s="1"/>
  <c r="AM39" i="94" s="1"/>
  <c r="BJ39" i="94"/>
  <c r="H39" i="94" s="1"/>
  <c r="BF39" i="94" s="1"/>
  <c r="BK39" i="94"/>
  <c r="I39" i="94" s="1"/>
  <c r="BN39" i="94"/>
  <c r="B40" i="94"/>
  <c r="C40" i="94"/>
  <c r="AG40" i="94"/>
  <c r="AH40" i="94"/>
  <c r="AN40" i="94" s="1"/>
  <c r="AI40" i="94"/>
  <c r="AJ40" i="94"/>
  <c r="AL40" i="94"/>
  <c r="AO40" i="94"/>
  <c r="AP40" i="94"/>
  <c r="AQ40" i="94"/>
  <c r="AR40" i="94"/>
  <c r="AV40" i="94" s="1"/>
  <c r="AS40" i="94"/>
  <c r="AT40" i="94"/>
  <c r="AU40" i="94"/>
  <c r="AW40" i="94"/>
  <c r="AX40" i="94"/>
  <c r="AY40" i="94"/>
  <c r="AZ40" i="94"/>
  <c r="BA40" i="94"/>
  <c r="BB40" i="94"/>
  <c r="BC40" i="94"/>
  <c r="BD40" i="94"/>
  <c r="BE40" i="94"/>
  <c r="BG40" i="94"/>
  <c r="BH40" i="94"/>
  <c r="BL40" i="94" s="1"/>
  <c r="BI40" i="94"/>
  <c r="AK40" i="94" s="1"/>
  <c r="AM40" i="94" s="1"/>
  <c r="BJ40" i="94"/>
  <c r="H40" i="94" s="1"/>
  <c r="BF40" i="94" s="1"/>
  <c r="BK40" i="94"/>
  <c r="I40" i="94" s="1"/>
  <c r="BN40" i="94"/>
  <c r="H42" i="94"/>
  <c r="AT44" i="94"/>
  <c r="BE44" i="94"/>
  <c r="AT45" i="94"/>
  <c r="AR45" i="94" s="1"/>
  <c r="AI23" i="94" s="1"/>
  <c r="C23" i="94" s="1"/>
  <c r="U48" i="94"/>
  <c r="AV7" i="93"/>
  <c r="B9" i="93"/>
  <c r="B10" i="93" s="1"/>
  <c r="B11" i="93" s="1"/>
  <c r="AG9" i="93"/>
  <c r="AH9" i="93"/>
  <c r="AN9" i="93" s="1"/>
  <c r="AJ9" i="93"/>
  <c r="AJ10" i="93" s="1"/>
  <c r="AL9" i="93"/>
  <c r="AO9" i="93"/>
  <c r="AQ9" i="93"/>
  <c r="AS9" i="93"/>
  <c r="AU9" i="93"/>
  <c r="BC9" i="93"/>
  <c r="BD9" i="93"/>
  <c r="BE9" i="93"/>
  <c r="BH9" i="93"/>
  <c r="BL9" i="93" s="1"/>
  <c r="BJ9" i="93"/>
  <c r="H9" i="93" s="1"/>
  <c r="BF9" i="93" s="1"/>
  <c r="AG10" i="93"/>
  <c r="AH10" i="93"/>
  <c r="AN10" i="93" s="1"/>
  <c r="AL10" i="93"/>
  <c r="AO10" i="93"/>
  <c r="AQ10" i="93"/>
  <c r="AS10" i="93"/>
  <c r="AU10" i="93"/>
  <c r="BC10" i="93"/>
  <c r="BD10" i="93"/>
  <c r="BE10" i="93"/>
  <c r="BH10" i="93"/>
  <c r="G10" i="93" s="1"/>
  <c r="BL10" i="93"/>
  <c r="G11" i="93"/>
  <c r="BI11" i="93" s="1"/>
  <c r="AG11" i="93"/>
  <c r="AH11" i="93"/>
  <c r="AJ11" i="93"/>
  <c r="AJ12" i="93" s="1"/>
  <c r="AJ13" i="93" s="1"/>
  <c r="AL11" i="93"/>
  <c r="AO11" i="93"/>
  <c r="AQ11" i="93"/>
  <c r="AS11" i="93"/>
  <c r="AU11" i="93"/>
  <c r="BC11" i="93"/>
  <c r="BD11" i="93"/>
  <c r="BE11" i="93"/>
  <c r="BH11" i="93"/>
  <c r="BL11" i="93"/>
  <c r="AG12" i="93"/>
  <c r="AH12" i="93"/>
  <c r="AN12" i="93" s="1"/>
  <c r="AL12" i="93"/>
  <c r="AO12" i="93"/>
  <c r="AQ12" i="93"/>
  <c r="AS12" i="93"/>
  <c r="AU12" i="93"/>
  <c r="BC12" i="93"/>
  <c r="BD12" i="93"/>
  <c r="BE12" i="93"/>
  <c r="BH12" i="93"/>
  <c r="BL12" i="93"/>
  <c r="B13" i="93"/>
  <c r="AG13" i="93"/>
  <c r="AH13" i="93"/>
  <c r="AN13" i="93" s="1"/>
  <c r="AL13" i="93"/>
  <c r="AO13" i="93"/>
  <c r="AQ13" i="93"/>
  <c r="AS13" i="93"/>
  <c r="AU13" i="93"/>
  <c r="BC13" i="93"/>
  <c r="BD13" i="93"/>
  <c r="BE13" i="93"/>
  <c r="BH13" i="93"/>
  <c r="BL13" i="93" s="1"/>
  <c r="BJ13" i="93"/>
  <c r="H13" i="93" s="1"/>
  <c r="BF13" i="93" s="1"/>
  <c r="AG14" i="93"/>
  <c r="AH14" i="93"/>
  <c r="AL14" i="93"/>
  <c r="AO14" i="93"/>
  <c r="AQ14" i="93"/>
  <c r="AS14" i="93"/>
  <c r="AU14" i="93"/>
  <c r="BC14" i="93"/>
  <c r="BD14" i="93"/>
  <c r="BE14" i="93"/>
  <c r="BH14" i="93"/>
  <c r="G14" i="93" s="1"/>
  <c r="BL14" i="93"/>
  <c r="AG15" i="93"/>
  <c r="AH15" i="93"/>
  <c r="AL15" i="93"/>
  <c r="AO15" i="93"/>
  <c r="AQ15" i="93"/>
  <c r="AS15" i="93"/>
  <c r="AU15" i="93"/>
  <c r="BC15" i="93"/>
  <c r="BD15" i="93"/>
  <c r="BE15" i="93"/>
  <c r="BH15" i="93"/>
  <c r="G15" i="93" s="1"/>
  <c r="AG16" i="93"/>
  <c r="AH16" i="93"/>
  <c r="AN16" i="93" s="1"/>
  <c r="AL16" i="93"/>
  <c r="AO16" i="93"/>
  <c r="AQ16" i="93"/>
  <c r="AS16" i="93"/>
  <c r="AU16" i="93"/>
  <c r="BC16" i="93"/>
  <c r="BD16" i="93"/>
  <c r="BE16" i="93"/>
  <c r="BH16" i="93"/>
  <c r="BL16" i="93" s="1"/>
  <c r="AG17" i="93"/>
  <c r="AH17" i="93"/>
  <c r="AL17" i="93"/>
  <c r="AO17" i="93"/>
  <c r="AQ17" i="93"/>
  <c r="AS17" i="93"/>
  <c r="AU17" i="93"/>
  <c r="BC17" i="93"/>
  <c r="BD17" i="93"/>
  <c r="BE17" i="93"/>
  <c r="BH17" i="93"/>
  <c r="BL17" i="93" s="1"/>
  <c r="B18" i="93"/>
  <c r="AG18" i="93"/>
  <c r="AH18" i="93"/>
  <c r="AN18" i="93" s="1"/>
  <c r="AL18" i="93"/>
  <c r="AO18" i="93"/>
  <c r="AQ18" i="93"/>
  <c r="AS18" i="93"/>
  <c r="AU18" i="93"/>
  <c r="BC18" i="93"/>
  <c r="BD18" i="93"/>
  <c r="BE18" i="93"/>
  <c r="BH18" i="93"/>
  <c r="G18" i="93" s="1"/>
  <c r="BA18" i="93" s="1"/>
  <c r="BJ18" i="93"/>
  <c r="H18" i="93" s="1"/>
  <c r="BF18" i="93" s="1"/>
  <c r="AG19" i="93"/>
  <c r="AH19" i="93"/>
  <c r="AN19" i="93" s="1"/>
  <c r="AL19" i="93"/>
  <c r="AO19" i="93"/>
  <c r="AQ19" i="93"/>
  <c r="AS19" i="93"/>
  <c r="AU19" i="93"/>
  <c r="BC19" i="93"/>
  <c r="BD19" i="93"/>
  <c r="BE19" i="93"/>
  <c r="BH19" i="93"/>
  <c r="BL19" i="93" s="1"/>
  <c r="AG20" i="93"/>
  <c r="AH20" i="93"/>
  <c r="AL20" i="93"/>
  <c r="AO20" i="93"/>
  <c r="AQ20" i="93"/>
  <c r="AS20" i="93"/>
  <c r="AU20" i="93"/>
  <c r="BC20" i="93"/>
  <c r="BD20" i="93"/>
  <c r="BE20" i="93"/>
  <c r="BH20" i="93"/>
  <c r="BL20" i="93" s="1"/>
  <c r="AG21" i="93"/>
  <c r="AH21" i="93"/>
  <c r="AN21" i="93" s="1"/>
  <c r="AL21" i="93"/>
  <c r="AO21" i="93"/>
  <c r="AQ21" i="93"/>
  <c r="AS21" i="93"/>
  <c r="AU21" i="93"/>
  <c r="BC21" i="93"/>
  <c r="BD21" i="93"/>
  <c r="BE21" i="93"/>
  <c r="BH21" i="93"/>
  <c r="G21" i="93" s="1"/>
  <c r="BA21" i="93" s="1"/>
  <c r="BL21" i="93"/>
  <c r="B22" i="93"/>
  <c r="G22" i="93"/>
  <c r="AY22" i="93" s="1"/>
  <c r="AG22" i="93"/>
  <c r="AH22" i="93"/>
  <c r="AN22" i="93" s="1"/>
  <c r="AL22" i="93"/>
  <c r="AO22" i="93"/>
  <c r="AQ22" i="93"/>
  <c r="AS22" i="93"/>
  <c r="AU22" i="93"/>
  <c r="BC22" i="93"/>
  <c r="BD22" i="93"/>
  <c r="BE22" i="93"/>
  <c r="BH22" i="93"/>
  <c r="BL22" i="93" s="1"/>
  <c r="BJ22" i="93"/>
  <c r="H22" i="93" s="1"/>
  <c r="BF22" i="93" s="1"/>
  <c r="BQ22" i="93"/>
  <c r="BR22" i="93"/>
  <c r="BS22" i="93"/>
  <c r="BT22" i="93"/>
  <c r="BU22" i="93"/>
  <c r="AG23" i="93"/>
  <c r="AH23" i="93"/>
  <c r="AL23" i="93"/>
  <c r="AO23" i="93"/>
  <c r="AQ23" i="93"/>
  <c r="AS23" i="93"/>
  <c r="AU23" i="93"/>
  <c r="BC23" i="93"/>
  <c r="BD23" i="93"/>
  <c r="BE23" i="93"/>
  <c r="BH23" i="93"/>
  <c r="BQ23" i="93"/>
  <c r="BR23" i="93"/>
  <c r="BS23" i="93"/>
  <c r="BT23" i="93"/>
  <c r="BU23" i="93"/>
  <c r="AG24" i="93"/>
  <c r="AH24" i="93"/>
  <c r="AN24" i="93" s="1"/>
  <c r="AL24" i="93"/>
  <c r="AO24" i="93"/>
  <c r="AQ24" i="93"/>
  <c r="AS24" i="93"/>
  <c r="AU24" i="93"/>
  <c r="BC24" i="93"/>
  <c r="BD24" i="93"/>
  <c r="BE24" i="93"/>
  <c r="BH24" i="93"/>
  <c r="BQ24" i="93"/>
  <c r="BR24" i="93"/>
  <c r="BS24" i="93"/>
  <c r="BT24" i="93"/>
  <c r="BU24" i="93"/>
  <c r="AG25" i="93"/>
  <c r="AH25" i="93"/>
  <c r="AN25" i="93" s="1"/>
  <c r="AL25" i="93"/>
  <c r="AO25" i="93"/>
  <c r="AQ25" i="93"/>
  <c r="AS25" i="93"/>
  <c r="AU25" i="93"/>
  <c r="BC25" i="93"/>
  <c r="BD25" i="93"/>
  <c r="BE25" i="93"/>
  <c r="BH25" i="93"/>
  <c r="G25" i="93" s="1"/>
  <c r="BL25" i="93"/>
  <c r="BQ25" i="93"/>
  <c r="BR25" i="93"/>
  <c r="BS25" i="93"/>
  <c r="BT25" i="93"/>
  <c r="BU25" i="93"/>
  <c r="B26" i="93"/>
  <c r="C26" i="93"/>
  <c r="AG26" i="93"/>
  <c r="AH26" i="93"/>
  <c r="AN26" i="93" s="1"/>
  <c r="AI26" i="93"/>
  <c r="AJ26" i="93"/>
  <c r="AL26" i="93"/>
  <c r="AO26" i="93"/>
  <c r="AP26" i="93"/>
  <c r="AQ26" i="93"/>
  <c r="AR26" i="93"/>
  <c r="AV26" i="93" s="1"/>
  <c r="AS26" i="93"/>
  <c r="AT26" i="93"/>
  <c r="AU26" i="93"/>
  <c r="AW26" i="93"/>
  <c r="AX26" i="93"/>
  <c r="AY26" i="93"/>
  <c r="AZ26" i="93"/>
  <c r="BA26" i="93"/>
  <c r="BB26" i="93"/>
  <c r="BC26" i="93"/>
  <c r="BD26" i="93"/>
  <c r="BE26" i="93"/>
  <c r="BG26" i="93"/>
  <c r="BH26" i="93"/>
  <c r="BI26" i="93"/>
  <c r="AK26" i="93" s="1"/>
  <c r="AM26" i="93" s="1"/>
  <c r="BJ26" i="93"/>
  <c r="H26" i="93" s="1"/>
  <c r="BF26" i="93" s="1"/>
  <c r="BK26" i="93"/>
  <c r="I26" i="93" s="1"/>
  <c r="BN26" i="93"/>
  <c r="BQ26" i="93"/>
  <c r="BR26" i="93"/>
  <c r="BS26" i="93"/>
  <c r="BT26" i="93"/>
  <c r="BU26" i="93"/>
  <c r="B27" i="93"/>
  <c r="C27" i="93"/>
  <c r="AG27" i="93"/>
  <c r="AH27" i="93"/>
  <c r="AN27" i="93" s="1"/>
  <c r="AI27" i="93"/>
  <c r="AJ27" i="93"/>
  <c r="AL27" i="93"/>
  <c r="AO27" i="93"/>
  <c r="AP27" i="93"/>
  <c r="AQ27" i="93"/>
  <c r="AR27" i="93"/>
  <c r="AV27" i="93" s="1"/>
  <c r="AS27" i="93"/>
  <c r="AT27" i="93"/>
  <c r="AU27" i="93"/>
  <c r="AW27" i="93"/>
  <c r="AX27" i="93"/>
  <c r="AY27" i="93"/>
  <c r="AZ27" i="93"/>
  <c r="BA27" i="93"/>
  <c r="BB27" i="93"/>
  <c r="BC27" i="93"/>
  <c r="BD27" i="93"/>
  <c r="BE27" i="93"/>
  <c r="BG27" i="93"/>
  <c r="BH27" i="93"/>
  <c r="G27" i="93" s="1"/>
  <c r="BI27" i="93"/>
  <c r="AK27" i="93" s="1"/>
  <c r="AM27" i="93" s="1"/>
  <c r="BJ27" i="93"/>
  <c r="H27" i="93" s="1"/>
  <c r="BF27" i="93" s="1"/>
  <c r="BK27" i="93"/>
  <c r="I27" i="93" s="1"/>
  <c r="BN27" i="93"/>
  <c r="BQ27" i="93"/>
  <c r="BR27" i="93"/>
  <c r="BS27" i="93"/>
  <c r="BT27" i="93"/>
  <c r="BU27" i="93"/>
  <c r="B28" i="93"/>
  <c r="C28" i="93"/>
  <c r="G28" i="93"/>
  <c r="AG28" i="93"/>
  <c r="AH28" i="93"/>
  <c r="AN28" i="93" s="1"/>
  <c r="AI28" i="93"/>
  <c r="AJ28" i="93"/>
  <c r="AL28" i="93"/>
  <c r="AO28" i="93"/>
  <c r="AP28" i="93"/>
  <c r="AQ28" i="93"/>
  <c r="AR28" i="93"/>
  <c r="AV28" i="93" s="1"/>
  <c r="AS28" i="93"/>
  <c r="AT28" i="93"/>
  <c r="AU28" i="93"/>
  <c r="AW28" i="93"/>
  <c r="AX28" i="93"/>
  <c r="AY28" i="93"/>
  <c r="AZ28" i="93"/>
  <c r="BA28" i="93"/>
  <c r="BB28" i="93"/>
  <c r="BC28" i="93"/>
  <c r="BD28" i="93"/>
  <c r="BE28" i="93"/>
  <c r="BG28" i="93"/>
  <c r="BH28" i="93"/>
  <c r="BL28" i="93" s="1"/>
  <c r="BI28" i="93"/>
  <c r="BM28" i="93" s="1"/>
  <c r="BJ28" i="93"/>
  <c r="H28" i="93" s="1"/>
  <c r="BF28" i="93" s="1"/>
  <c r="BK28" i="93"/>
  <c r="I28" i="93" s="1"/>
  <c r="BN28" i="93"/>
  <c r="BQ28" i="93"/>
  <c r="BR28" i="93"/>
  <c r="BS28" i="93"/>
  <c r="BT28" i="93"/>
  <c r="BU28" i="93"/>
  <c r="B29" i="93"/>
  <c r="C29" i="93"/>
  <c r="AG29" i="93"/>
  <c r="AH29" i="93"/>
  <c r="AN29" i="93" s="1"/>
  <c r="AI29" i="93"/>
  <c r="AJ29" i="93"/>
  <c r="AL29" i="93"/>
  <c r="AO29" i="93"/>
  <c r="AP29" i="93"/>
  <c r="AQ29" i="93"/>
  <c r="AR29" i="93"/>
  <c r="AV29" i="93" s="1"/>
  <c r="AS29" i="93"/>
  <c r="AT29" i="93"/>
  <c r="AU29" i="93"/>
  <c r="AW29" i="93"/>
  <c r="AX29" i="93"/>
  <c r="AY29" i="93"/>
  <c r="AZ29" i="93"/>
  <c r="BA29" i="93"/>
  <c r="BB29" i="93"/>
  <c r="BC29" i="93"/>
  <c r="BD29" i="93"/>
  <c r="BE29" i="93"/>
  <c r="BG29" i="93"/>
  <c r="BH29" i="93"/>
  <c r="BL29" i="93" s="1"/>
  <c r="BI29" i="93"/>
  <c r="BM29" i="93" s="1"/>
  <c r="BJ29" i="93"/>
  <c r="H29" i="93" s="1"/>
  <c r="BF29" i="93" s="1"/>
  <c r="BK29" i="93"/>
  <c r="I29" i="93" s="1"/>
  <c r="BN29" i="93"/>
  <c r="BQ29" i="93"/>
  <c r="BR29" i="93"/>
  <c r="BS29" i="93"/>
  <c r="BT29" i="93"/>
  <c r="BU29" i="93"/>
  <c r="B30" i="93"/>
  <c r="C30" i="93"/>
  <c r="AG30" i="93"/>
  <c r="AH30" i="93"/>
  <c r="AN30" i="93" s="1"/>
  <c r="AI30" i="93"/>
  <c r="AJ30" i="93"/>
  <c r="AL30" i="93"/>
  <c r="AO30" i="93"/>
  <c r="AP30" i="93"/>
  <c r="AQ30" i="93"/>
  <c r="AR30" i="93"/>
  <c r="AV30" i="93" s="1"/>
  <c r="AS30" i="93"/>
  <c r="AT30" i="93"/>
  <c r="AU30" i="93"/>
  <c r="AW30" i="93"/>
  <c r="AX30" i="93"/>
  <c r="AY30" i="93"/>
  <c r="AZ30" i="93"/>
  <c r="BA30" i="93"/>
  <c r="BB30" i="93"/>
  <c r="BC30" i="93"/>
  <c r="BD30" i="93"/>
  <c r="BE30" i="93"/>
  <c r="BG30" i="93"/>
  <c r="BH30" i="93"/>
  <c r="G30" i="93" s="1"/>
  <c r="BI30" i="93"/>
  <c r="AK30" i="93" s="1"/>
  <c r="AM30" i="93" s="1"/>
  <c r="BJ30" i="93"/>
  <c r="H30" i="93" s="1"/>
  <c r="BF30" i="93" s="1"/>
  <c r="BK30" i="93"/>
  <c r="I30" i="93" s="1"/>
  <c r="BL30" i="93"/>
  <c r="BN30" i="93"/>
  <c r="BQ30" i="93"/>
  <c r="BR30" i="93"/>
  <c r="BS30" i="93"/>
  <c r="BT30" i="93"/>
  <c r="BU30" i="93"/>
  <c r="B31" i="93"/>
  <c r="C31" i="93"/>
  <c r="AG31" i="93"/>
  <c r="AH31" i="93"/>
  <c r="AN31" i="93" s="1"/>
  <c r="AI31" i="93"/>
  <c r="AJ31" i="93"/>
  <c r="AL31" i="93"/>
  <c r="AO31" i="93"/>
  <c r="AP31" i="93"/>
  <c r="AQ31" i="93"/>
  <c r="AR31" i="93"/>
  <c r="AV31" i="93" s="1"/>
  <c r="AS31" i="93"/>
  <c r="AT31" i="93"/>
  <c r="AU31" i="93"/>
  <c r="AW31" i="93"/>
  <c r="AX31" i="93"/>
  <c r="AY31" i="93"/>
  <c r="AZ31" i="93"/>
  <c r="BA31" i="93"/>
  <c r="BB31" i="93"/>
  <c r="BC31" i="93"/>
  <c r="BD31" i="93"/>
  <c r="BE31" i="93"/>
  <c r="BG31" i="93"/>
  <c r="BH31" i="93"/>
  <c r="G31" i="93" s="1"/>
  <c r="BI31" i="93"/>
  <c r="BJ31" i="93"/>
  <c r="H31" i="93" s="1"/>
  <c r="BF31" i="93" s="1"/>
  <c r="BK31" i="93"/>
  <c r="I31" i="93" s="1"/>
  <c r="BL31" i="93"/>
  <c r="BN31" i="93"/>
  <c r="B32" i="93"/>
  <c r="C32" i="93"/>
  <c r="AG32" i="93"/>
  <c r="AH32" i="93"/>
  <c r="AN32" i="93" s="1"/>
  <c r="AI32" i="93"/>
  <c r="AJ32" i="93"/>
  <c r="AL32" i="93"/>
  <c r="AO32" i="93"/>
  <c r="AP32" i="93"/>
  <c r="AQ32" i="93"/>
  <c r="AR32" i="93"/>
  <c r="AV32" i="93" s="1"/>
  <c r="AS32" i="93"/>
  <c r="AT32" i="93"/>
  <c r="AU32" i="93"/>
  <c r="AW32" i="93"/>
  <c r="AX32" i="93"/>
  <c r="AY32" i="93"/>
  <c r="AZ32" i="93"/>
  <c r="BA32" i="93"/>
  <c r="BB32" i="93"/>
  <c r="BC32" i="93"/>
  <c r="BD32" i="93"/>
  <c r="BE32" i="93"/>
  <c r="BG32" i="93"/>
  <c r="BH32" i="93"/>
  <c r="BL32" i="93" s="1"/>
  <c r="BI32" i="93"/>
  <c r="AK32" i="93" s="1"/>
  <c r="AM32" i="93" s="1"/>
  <c r="BJ32" i="93"/>
  <c r="H32" i="93" s="1"/>
  <c r="BF32" i="93" s="1"/>
  <c r="BK32" i="93"/>
  <c r="I32" i="93" s="1"/>
  <c r="BN32" i="93"/>
  <c r="B33" i="93"/>
  <c r="C33" i="93"/>
  <c r="AG33" i="93"/>
  <c r="AH33" i="93"/>
  <c r="AN33" i="93" s="1"/>
  <c r="AI33" i="93"/>
  <c r="AJ33" i="93"/>
  <c r="AL33" i="93"/>
  <c r="AO33" i="93"/>
  <c r="AP33" i="93"/>
  <c r="AQ33" i="93"/>
  <c r="AR33" i="93"/>
  <c r="AV33" i="93" s="1"/>
  <c r="AS33" i="93"/>
  <c r="AT33" i="93"/>
  <c r="AU33" i="93"/>
  <c r="AW33" i="93"/>
  <c r="AX33" i="93"/>
  <c r="AY33" i="93"/>
  <c r="AZ33" i="93"/>
  <c r="BA33" i="93"/>
  <c r="BB33" i="93"/>
  <c r="BC33" i="93"/>
  <c r="BD33" i="93"/>
  <c r="BE33" i="93"/>
  <c r="BG33" i="93"/>
  <c r="BH33" i="93"/>
  <c r="G33" i="93" s="1"/>
  <c r="BI33" i="93"/>
  <c r="AK33" i="93" s="1"/>
  <c r="AM33" i="93" s="1"/>
  <c r="BJ33" i="93"/>
  <c r="H33" i="93" s="1"/>
  <c r="BF33" i="93" s="1"/>
  <c r="BK33" i="93"/>
  <c r="I33" i="93" s="1"/>
  <c r="BL33" i="93"/>
  <c r="BN33" i="93"/>
  <c r="B34" i="93"/>
  <c r="C34" i="93"/>
  <c r="AG34" i="93"/>
  <c r="AH34" i="93"/>
  <c r="AN34" i="93" s="1"/>
  <c r="AI34" i="93"/>
  <c r="AJ34" i="93"/>
  <c r="AL34" i="93"/>
  <c r="AO34" i="93"/>
  <c r="AP34" i="93"/>
  <c r="AQ34" i="93"/>
  <c r="AR34" i="93"/>
  <c r="AV34" i="93" s="1"/>
  <c r="AS34" i="93"/>
  <c r="AT34" i="93"/>
  <c r="AU34" i="93"/>
  <c r="AW34" i="93"/>
  <c r="AX34" i="93"/>
  <c r="AY34" i="93"/>
  <c r="AZ34" i="93"/>
  <c r="BA34" i="93"/>
  <c r="BB34" i="93"/>
  <c r="BC34" i="93"/>
  <c r="BD34" i="93"/>
  <c r="BE34" i="93"/>
  <c r="BG34" i="93"/>
  <c r="BH34" i="93"/>
  <c r="BL34" i="93" s="1"/>
  <c r="BI34" i="93"/>
  <c r="AK34" i="93" s="1"/>
  <c r="AM34" i="93" s="1"/>
  <c r="BJ34" i="93"/>
  <c r="H34" i="93" s="1"/>
  <c r="BF34" i="93" s="1"/>
  <c r="BK34" i="93"/>
  <c r="I34" i="93" s="1"/>
  <c r="BN34" i="93"/>
  <c r="B35" i="93"/>
  <c r="C35" i="93"/>
  <c r="AG35" i="93"/>
  <c r="AH35" i="93"/>
  <c r="AN35" i="93" s="1"/>
  <c r="AI35" i="93"/>
  <c r="AJ35" i="93"/>
  <c r="AL35" i="93"/>
  <c r="AO35" i="93"/>
  <c r="AP35" i="93"/>
  <c r="AQ35" i="93"/>
  <c r="AR35" i="93"/>
  <c r="AV35" i="93" s="1"/>
  <c r="AS35" i="93"/>
  <c r="AT35" i="93"/>
  <c r="AU35" i="93"/>
  <c r="AW35" i="93"/>
  <c r="AX35" i="93"/>
  <c r="AY35" i="93"/>
  <c r="AZ35" i="93"/>
  <c r="BA35" i="93"/>
  <c r="BB35" i="93"/>
  <c r="BC35" i="93"/>
  <c r="BD35" i="93"/>
  <c r="BE35" i="93"/>
  <c r="BG35" i="93"/>
  <c r="BH35" i="93"/>
  <c r="G35" i="93" s="1"/>
  <c r="BI35" i="93"/>
  <c r="AK35" i="93" s="1"/>
  <c r="AM35" i="93" s="1"/>
  <c r="BJ35" i="93"/>
  <c r="H35" i="93" s="1"/>
  <c r="BF35" i="93" s="1"/>
  <c r="BK35" i="93"/>
  <c r="I35" i="93" s="1"/>
  <c r="BL35" i="93"/>
  <c r="BN35" i="93"/>
  <c r="B36" i="93"/>
  <c r="C36" i="93"/>
  <c r="AG36" i="93"/>
  <c r="AH36" i="93"/>
  <c r="AN36" i="93" s="1"/>
  <c r="AI36" i="93"/>
  <c r="AJ36" i="93"/>
  <c r="AL36" i="93"/>
  <c r="AO36" i="93"/>
  <c r="AP36" i="93"/>
  <c r="AQ36" i="93"/>
  <c r="AR36" i="93"/>
  <c r="AV36" i="93" s="1"/>
  <c r="AS36" i="93"/>
  <c r="AT36" i="93"/>
  <c r="AU36" i="93"/>
  <c r="AW36" i="93"/>
  <c r="AX36" i="93"/>
  <c r="AY36" i="93"/>
  <c r="AZ36" i="93"/>
  <c r="BA36" i="93"/>
  <c r="BB36" i="93"/>
  <c r="BC36" i="93"/>
  <c r="BD36" i="93"/>
  <c r="BE36" i="93"/>
  <c r="BG36" i="93"/>
  <c r="BH36" i="93"/>
  <c r="BL36" i="93" s="1"/>
  <c r="BI36" i="93"/>
  <c r="AK36" i="93" s="1"/>
  <c r="AM36" i="93" s="1"/>
  <c r="BJ36" i="93"/>
  <c r="H36" i="93" s="1"/>
  <c r="BF36" i="93" s="1"/>
  <c r="BK36" i="93"/>
  <c r="I36" i="93" s="1"/>
  <c r="BN36" i="93"/>
  <c r="B37" i="93"/>
  <c r="C37" i="93"/>
  <c r="AG37" i="93"/>
  <c r="AH37" i="93"/>
  <c r="AN37" i="93" s="1"/>
  <c r="AI37" i="93"/>
  <c r="AJ37" i="93"/>
  <c r="AL37" i="93"/>
  <c r="AO37" i="93"/>
  <c r="AP37" i="93"/>
  <c r="AQ37" i="93"/>
  <c r="AR37" i="93"/>
  <c r="AV37" i="93" s="1"/>
  <c r="AS37" i="93"/>
  <c r="AT37" i="93"/>
  <c r="AU37" i="93"/>
  <c r="AW37" i="93"/>
  <c r="AX37" i="93"/>
  <c r="AY37" i="93"/>
  <c r="AZ37" i="93"/>
  <c r="BA37" i="93"/>
  <c r="BB37" i="93"/>
  <c r="BC37" i="93"/>
  <c r="BD37" i="93"/>
  <c r="BE37" i="93"/>
  <c r="BG37" i="93"/>
  <c r="BH37" i="93"/>
  <c r="BI37" i="93"/>
  <c r="AK37" i="93" s="1"/>
  <c r="AM37" i="93" s="1"/>
  <c r="BJ37" i="93"/>
  <c r="H37" i="93" s="1"/>
  <c r="BF37" i="93" s="1"/>
  <c r="BK37" i="93"/>
  <c r="I37" i="93" s="1"/>
  <c r="BN37" i="93"/>
  <c r="B38" i="93"/>
  <c r="C38" i="93"/>
  <c r="G38" i="93"/>
  <c r="AG38" i="93"/>
  <c r="AH38" i="93"/>
  <c r="AN38" i="93" s="1"/>
  <c r="AI38" i="93"/>
  <c r="AJ38" i="93"/>
  <c r="AL38" i="93"/>
  <c r="AO38" i="93"/>
  <c r="AP38" i="93"/>
  <c r="AQ38" i="93"/>
  <c r="AR38" i="93"/>
  <c r="AV38" i="93" s="1"/>
  <c r="AS38" i="93"/>
  <c r="AT38" i="93"/>
  <c r="AU38" i="93"/>
  <c r="AW38" i="93"/>
  <c r="AX38" i="93"/>
  <c r="AY38" i="93"/>
  <c r="AZ38" i="93"/>
  <c r="BA38" i="93"/>
  <c r="BB38" i="93"/>
  <c r="BC38" i="93"/>
  <c r="BD38" i="93"/>
  <c r="BE38" i="93"/>
  <c r="BG38" i="93"/>
  <c r="BH38" i="93"/>
  <c r="BL38" i="93" s="1"/>
  <c r="BI38" i="93"/>
  <c r="AK38" i="93" s="1"/>
  <c r="AM38" i="93" s="1"/>
  <c r="BJ38" i="93"/>
  <c r="H38" i="93" s="1"/>
  <c r="BF38" i="93" s="1"/>
  <c r="BK38" i="93"/>
  <c r="I38" i="93" s="1"/>
  <c r="BN38" i="93"/>
  <c r="B39" i="93"/>
  <c r="C39" i="93"/>
  <c r="AG39" i="93"/>
  <c r="AH39" i="93"/>
  <c r="AN39" i="93" s="1"/>
  <c r="AI39" i="93"/>
  <c r="AJ39" i="93"/>
  <c r="AL39" i="93"/>
  <c r="AO39" i="93"/>
  <c r="AP39" i="93"/>
  <c r="AQ39" i="93"/>
  <c r="AR39" i="93"/>
  <c r="AV39" i="93" s="1"/>
  <c r="AS39" i="93"/>
  <c r="AT39" i="93"/>
  <c r="AU39" i="93"/>
  <c r="AW39" i="93"/>
  <c r="AX39" i="93"/>
  <c r="AY39" i="93"/>
  <c r="AZ39" i="93"/>
  <c r="BA39" i="93"/>
  <c r="BB39" i="93"/>
  <c r="BC39" i="93"/>
  <c r="BD39" i="93"/>
  <c r="BE39" i="93"/>
  <c r="BG39" i="93"/>
  <c r="BH39" i="93"/>
  <c r="BL39" i="93" s="1"/>
  <c r="BI39" i="93"/>
  <c r="AK39" i="93" s="1"/>
  <c r="AM39" i="93" s="1"/>
  <c r="BJ39" i="93"/>
  <c r="H39" i="93" s="1"/>
  <c r="BF39" i="93" s="1"/>
  <c r="BK39" i="93"/>
  <c r="I39" i="93" s="1"/>
  <c r="BN39" i="93"/>
  <c r="B40" i="93"/>
  <c r="C40" i="93"/>
  <c r="AG40" i="93"/>
  <c r="AH40" i="93"/>
  <c r="AN40" i="93" s="1"/>
  <c r="AI40" i="93"/>
  <c r="AJ40" i="93"/>
  <c r="AL40" i="93"/>
  <c r="AO40" i="93"/>
  <c r="AP40" i="93"/>
  <c r="AQ40" i="93"/>
  <c r="AR40" i="93"/>
  <c r="AV40" i="93" s="1"/>
  <c r="AS40" i="93"/>
  <c r="AT40" i="93"/>
  <c r="AU40" i="93"/>
  <c r="AW40" i="93"/>
  <c r="AX40" i="93"/>
  <c r="AY40" i="93"/>
  <c r="AZ40" i="93"/>
  <c r="BA40" i="93"/>
  <c r="BB40" i="93"/>
  <c r="BC40" i="93"/>
  <c r="BD40" i="93"/>
  <c r="BE40" i="93"/>
  <c r="BG40" i="93"/>
  <c r="BH40" i="93"/>
  <c r="G40" i="93" s="1"/>
  <c r="BI40" i="93"/>
  <c r="AK40" i="93" s="1"/>
  <c r="AM40" i="93" s="1"/>
  <c r="BJ40" i="93"/>
  <c r="H40" i="93" s="1"/>
  <c r="BF40" i="93" s="1"/>
  <c r="BK40" i="93"/>
  <c r="I40" i="93" s="1"/>
  <c r="BL40" i="93"/>
  <c r="BN40" i="93"/>
  <c r="H42" i="93"/>
  <c r="AT44" i="93"/>
  <c r="AT45" i="93" s="1"/>
  <c r="AR45" i="93" s="1"/>
  <c r="BE44" i="93"/>
  <c r="U48" i="93"/>
  <c r="AN11" i="102" l="1"/>
  <c r="AI9" i="102"/>
  <c r="C9" i="102" s="1"/>
  <c r="BN10" i="100"/>
  <c r="BM30" i="102"/>
  <c r="AN12" i="102"/>
  <c r="BJ12" i="102"/>
  <c r="H12" i="102" s="1"/>
  <c r="BF12" i="102" s="1"/>
  <c r="BM27" i="100"/>
  <c r="AK24" i="102"/>
  <c r="AM24" i="102" s="1"/>
  <c r="BM33" i="102"/>
  <c r="AK36" i="102"/>
  <c r="AM36" i="102" s="1"/>
  <c r="AK27" i="102"/>
  <c r="AM27" i="102" s="1"/>
  <c r="AK16" i="102"/>
  <c r="AM16" i="102" s="1"/>
  <c r="BM19" i="102"/>
  <c r="BM32" i="102"/>
  <c r="AN13" i="102"/>
  <c r="BM29" i="100"/>
  <c r="AK40" i="102"/>
  <c r="AM40" i="102" s="1"/>
  <c r="AN9" i="102"/>
  <c r="AN12" i="99"/>
  <c r="AK20" i="102"/>
  <c r="AM20" i="102" s="1"/>
  <c r="BM34" i="100"/>
  <c r="BM15" i="102"/>
  <c r="AN11" i="98"/>
  <c r="AN14" i="96"/>
  <c r="AK24" i="100"/>
  <c r="AM24" i="100" s="1"/>
  <c r="G23" i="102"/>
  <c r="BM23" i="102"/>
  <c r="BL23" i="102"/>
  <c r="G26" i="102"/>
  <c r="BM26" i="102"/>
  <c r="BL26" i="102"/>
  <c r="G29" i="102"/>
  <c r="BM29" i="102"/>
  <c r="BL29" i="102"/>
  <c r="BD5" i="102"/>
  <c r="AI13" i="102"/>
  <c r="C13" i="102" s="1"/>
  <c r="AV44" i="102"/>
  <c r="AV45" i="102" s="1"/>
  <c r="AK12" i="102"/>
  <c r="BN12" i="102"/>
  <c r="BM12" i="102"/>
  <c r="G13" i="102"/>
  <c r="BL13" i="102"/>
  <c r="BM34" i="102"/>
  <c r="G34" i="102"/>
  <c r="BL34" i="102"/>
  <c r="AV42" i="102"/>
  <c r="E42" i="102"/>
  <c r="BM21" i="102"/>
  <c r="G21" i="102"/>
  <c r="BL21" i="102"/>
  <c r="AP12" i="102"/>
  <c r="BE5" i="102"/>
  <c r="AI11" i="102"/>
  <c r="C11" i="102" s="1"/>
  <c r="AQ42" i="102"/>
  <c r="AN10" i="102"/>
  <c r="AK37" i="102"/>
  <c r="AM37" i="102" s="1"/>
  <c r="AK41" i="99"/>
  <c r="AM41" i="99" s="1"/>
  <c r="BM41" i="99"/>
  <c r="BC5" i="102"/>
  <c r="BI11" i="102"/>
  <c r="AZ11" i="102" s="1"/>
  <c r="BK11" i="102"/>
  <c r="I11" i="102" s="1"/>
  <c r="AY11" i="102"/>
  <c r="AW11" i="102"/>
  <c r="AJ10" i="102"/>
  <c r="AJ11" i="102" s="1"/>
  <c r="AJ12" i="102" s="1"/>
  <c r="AJ13" i="102" s="1"/>
  <c r="AJ14" i="102" s="1"/>
  <c r="AI14" i="102"/>
  <c r="C14" i="102" s="1"/>
  <c r="AI10" i="102"/>
  <c r="C10" i="102" s="1"/>
  <c r="AS42" i="102"/>
  <c r="AT42" i="102" s="1"/>
  <c r="AI12" i="102"/>
  <c r="C12" i="102" s="1"/>
  <c r="G17" i="102"/>
  <c r="BM17" i="102"/>
  <c r="BL17" i="102"/>
  <c r="BM30" i="100"/>
  <c r="AK30" i="100"/>
  <c r="AM30" i="100" s="1"/>
  <c r="BM35" i="100"/>
  <c r="AK35" i="100"/>
  <c r="AM35" i="100" s="1"/>
  <c r="G9" i="102"/>
  <c r="BL9" i="102"/>
  <c r="BM38" i="102"/>
  <c r="G38" i="102"/>
  <c r="BL38" i="102"/>
  <c r="BB12" i="102"/>
  <c r="AN22" i="96"/>
  <c r="B13" i="102"/>
  <c r="B14" i="102"/>
  <c r="BM18" i="102"/>
  <c r="BM22" i="102"/>
  <c r="BM25" i="102"/>
  <c r="BM28" i="102"/>
  <c r="BM31" i="102"/>
  <c r="BM35" i="102"/>
  <c r="BL39" i="102"/>
  <c r="G10" i="102"/>
  <c r="G14" i="102"/>
  <c r="BM39" i="102"/>
  <c r="AW12" i="102"/>
  <c r="AN19" i="97"/>
  <c r="AN17" i="97"/>
  <c r="BL26" i="97"/>
  <c r="AN26" i="97"/>
  <c r="AN13" i="97"/>
  <c r="AK38" i="100"/>
  <c r="AM38" i="100" s="1"/>
  <c r="AK39" i="100"/>
  <c r="AM39" i="100" s="1"/>
  <c r="E10" i="101"/>
  <c r="E31" i="101" s="1"/>
  <c r="AN10" i="100"/>
  <c r="AN6" i="100" s="1"/>
  <c r="AK29" i="93"/>
  <c r="AM29" i="93" s="1"/>
  <c r="AN24" i="98"/>
  <c r="AN26" i="99"/>
  <c r="BE4" i="100"/>
  <c r="BM26" i="100"/>
  <c r="AK23" i="100"/>
  <c r="AM23" i="100" s="1"/>
  <c r="C31" i="101"/>
  <c r="AN20" i="93"/>
  <c r="AN22" i="97"/>
  <c r="AI15" i="100"/>
  <c r="C15" i="100" s="1"/>
  <c r="AI20" i="100"/>
  <c r="C20" i="100" s="1"/>
  <c r="AI16" i="100"/>
  <c r="C16" i="100" s="1"/>
  <c r="AI12" i="100"/>
  <c r="C12" i="100" s="1"/>
  <c r="AI13" i="100"/>
  <c r="C13" i="100" s="1"/>
  <c r="AN41" i="100"/>
  <c r="BK13" i="100"/>
  <c r="I13" i="100" s="1"/>
  <c r="AY13" i="100"/>
  <c r="BI13" i="100"/>
  <c r="AW13" i="100"/>
  <c r="BK9" i="100"/>
  <c r="I9" i="100" s="1"/>
  <c r="AY9" i="100"/>
  <c r="BI9" i="100"/>
  <c r="AW9" i="100"/>
  <c r="BA9" i="100"/>
  <c r="AI10" i="100"/>
  <c r="C10" i="100" s="1"/>
  <c r="BB13" i="100"/>
  <c r="G32" i="100"/>
  <c r="BM32" i="100"/>
  <c r="BM38" i="99"/>
  <c r="AN13" i="99"/>
  <c r="BB9" i="100"/>
  <c r="BI14" i="100"/>
  <c r="BL15" i="100"/>
  <c r="G16" i="100"/>
  <c r="BL16" i="100"/>
  <c r="BI18" i="100"/>
  <c r="BL19" i="100"/>
  <c r="G20" i="100"/>
  <c r="BL20" i="100"/>
  <c r="G12" i="100"/>
  <c r="BL12" i="100"/>
  <c r="G28" i="100"/>
  <c r="BM28" i="100"/>
  <c r="BL28" i="100"/>
  <c r="G8" i="100"/>
  <c r="BL8" i="100"/>
  <c r="BJ10" i="100"/>
  <c r="H10" i="100" s="1"/>
  <c r="BF10" i="100" s="1"/>
  <c r="AW14" i="100"/>
  <c r="BK14" i="100"/>
  <c r="I14" i="100" s="1"/>
  <c r="AW18" i="100"/>
  <c r="BK18" i="100"/>
  <c r="I18" i="100" s="1"/>
  <c r="AK31" i="100"/>
  <c r="AM31" i="100" s="1"/>
  <c r="AK29" i="96"/>
  <c r="AM29" i="96" s="1"/>
  <c r="BM29" i="96"/>
  <c r="BM32" i="99"/>
  <c r="BL32" i="100"/>
  <c r="BM39" i="98"/>
  <c r="BM35" i="98"/>
  <c r="B13" i="100"/>
  <c r="AV43" i="100"/>
  <c r="AV44" i="100" s="1"/>
  <c r="AK10" i="100"/>
  <c r="AX10" i="100" s="1"/>
  <c r="BK17" i="100"/>
  <c r="I17" i="100" s="1"/>
  <c r="AY17" i="100"/>
  <c r="AX17" i="100"/>
  <c r="BI17" i="100"/>
  <c r="AW17" i="100"/>
  <c r="BK21" i="100"/>
  <c r="I21" i="100" s="1"/>
  <c r="AY21" i="100"/>
  <c r="BI21" i="100"/>
  <c r="AW21" i="100"/>
  <c r="AK37" i="99"/>
  <c r="AM37" i="99" s="1"/>
  <c r="BM37" i="99"/>
  <c r="G22" i="100"/>
  <c r="BL22" i="100"/>
  <c r="BM22" i="100"/>
  <c r="G15" i="100"/>
  <c r="G19" i="100"/>
  <c r="AK27" i="94"/>
  <c r="AM27" i="94" s="1"/>
  <c r="BM27" i="94"/>
  <c r="AJ9" i="100"/>
  <c r="AU41" i="100"/>
  <c r="G11" i="100"/>
  <c r="BA17" i="100"/>
  <c r="BA21" i="100"/>
  <c r="G37" i="100"/>
  <c r="BM37" i="100"/>
  <c r="BL37" i="100"/>
  <c r="BA13" i="100"/>
  <c r="AI14" i="100"/>
  <c r="C14" i="100" s="1"/>
  <c r="BB17" i="100"/>
  <c r="AI18" i="100"/>
  <c r="C18" i="100" s="1"/>
  <c r="BB21" i="100"/>
  <c r="G25" i="100"/>
  <c r="BL25" i="100"/>
  <c r="BM25" i="100"/>
  <c r="G33" i="100"/>
  <c r="BM33" i="100"/>
  <c r="BL33" i="100"/>
  <c r="G36" i="100"/>
  <c r="BM36" i="100"/>
  <c r="BM39" i="96"/>
  <c r="B12" i="100"/>
  <c r="AN26" i="96"/>
  <c r="AN19" i="96"/>
  <c r="AN18" i="96"/>
  <c r="AN17" i="96"/>
  <c r="AN23" i="96"/>
  <c r="AN21" i="96"/>
  <c r="G26" i="96"/>
  <c r="BB26" i="96" s="1"/>
  <c r="AY17" i="99"/>
  <c r="BK17" i="99"/>
  <c r="I17" i="99" s="1"/>
  <c r="AW17" i="99"/>
  <c r="BA12" i="99"/>
  <c r="BB12" i="99"/>
  <c r="BA27" i="99"/>
  <c r="AY27" i="99"/>
  <c r="BK27" i="99"/>
  <c r="I27" i="99" s="1"/>
  <c r="G20" i="99"/>
  <c r="BA20" i="99" s="1"/>
  <c r="BM32" i="98"/>
  <c r="G29" i="99"/>
  <c r="BL27" i="99"/>
  <c r="BA24" i="99"/>
  <c r="BC7" i="99"/>
  <c r="AN15" i="98"/>
  <c r="G16" i="99"/>
  <c r="AY16" i="99" s="1"/>
  <c r="AN16" i="98"/>
  <c r="AS44" i="99"/>
  <c r="AT44" i="99" s="1"/>
  <c r="BM34" i="99"/>
  <c r="B14" i="99"/>
  <c r="BK24" i="99"/>
  <c r="I24" i="99" s="1"/>
  <c r="BE7" i="99"/>
  <c r="G33" i="99"/>
  <c r="AI25" i="99"/>
  <c r="C25" i="99" s="1"/>
  <c r="AI23" i="99"/>
  <c r="C23" i="99" s="1"/>
  <c r="BL17" i="99"/>
  <c r="BI13" i="99"/>
  <c r="BM42" i="99"/>
  <c r="BL38" i="99"/>
  <c r="BL30" i="99"/>
  <c r="AN29" i="99"/>
  <c r="BM31" i="98"/>
  <c r="BM33" i="99"/>
  <c r="BB24" i="99"/>
  <c r="AN16" i="99"/>
  <c r="BD7" i="99"/>
  <c r="BJ21" i="99"/>
  <c r="H21" i="99" s="1"/>
  <c r="BF21" i="99" s="1"/>
  <c r="BM21" i="99"/>
  <c r="AK21" i="99"/>
  <c r="AI26" i="99"/>
  <c r="C26" i="99" s="1"/>
  <c r="AI29" i="99"/>
  <c r="C29" i="99" s="1"/>
  <c r="AI14" i="99"/>
  <c r="C14" i="99" s="1"/>
  <c r="AI22" i="99"/>
  <c r="C22" i="99" s="1"/>
  <c r="AI18" i="99"/>
  <c r="C18" i="99" s="1"/>
  <c r="AI31" i="99"/>
  <c r="C31" i="99" s="1"/>
  <c r="G14" i="99"/>
  <c r="BL11" i="99"/>
  <c r="BL28" i="99"/>
  <c r="G28" i="99"/>
  <c r="BI17" i="99"/>
  <c r="AZ17" i="99" s="1"/>
  <c r="AI30" i="99"/>
  <c r="C30" i="99" s="1"/>
  <c r="BB21" i="99"/>
  <c r="AI20" i="99"/>
  <c r="C20" i="99" s="1"/>
  <c r="AI17" i="99"/>
  <c r="C17" i="99" s="1"/>
  <c r="BL25" i="99"/>
  <c r="G25" i="99"/>
  <c r="AU44" i="99"/>
  <c r="BL23" i="99"/>
  <c r="G23" i="99"/>
  <c r="G26" i="99"/>
  <c r="BB27" i="99"/>
  <c r="G22" i="99"/>
  <c r="BA21" i="99"/>
  <c r="AW16" i="99"/>
  <c r="BI16" i="99"/>
  <c r="BK16" i="99"/>
  <c r="I16" i="99" s="1"/>
  <c r="BK13" i="99"/>
  <c r="AI27" i="99"/>
  <c r="C27" i="99" s="1"/>
  <c r="AW30" i="99"/>
  <c r="BI30" i="99"/>
  <c r="AZ30" i="99" s="1"/>
  <c r="G11" i="99"/>
  <c r="AV46" i="99"/>
  <c r="AV47" i="99" s="1"/>
  <c r="AZ21" i="99"/>
  <c r="BL19" i="99"/>
  <c r="G19" i="99"/>
  <c r="BL31" i="99"/>
  <c r="G31" i="99"/>
  <c r="AN25" i="99"/>
  <c r="AI12" i="99"/>
  <c r="C12" i="99" s="1"/>
  <c r="BB30" i="99"/>
  <c r="AW24" i="99"/>
  <c r="BI24" i="99"/>
  <c r="AZ24" i="99" s="1"/>
  <c r="AX24" i="99"/>
  <c r="BB17" i="99"/>
  <c r="AI16" i="99"/>
  <c r="C16" i="99" s="1"/>
  <c r="AI13" i="99"/>
  <c r="C13" i="99" s="1"/>
  <c r="AJ12" i="99"/>
  <c r="AJ13" i="99" s="1"/>
  <c r="AJ14" i="99" s="1"/>
  <c r="AJ15" i="99" s="1"/>
  <c r="BA30" i="99"/>
  <c r="BK21" i="99"/>
  <c r="I21" i="99" s="1"/>
  <c r="AW21" i="99"/>
  <c r="G18" i="99"/>
  <c r="BA17" i="99"/>
  <c r="BL14" i="99"/>
  <c r="AW12" i="99"/>
  <c r="BI12" i="99"/>
  <c r="AY12" i="99"/>
  <c r="BK12" i="99"/>
  <c r="I12" i="99" s="1"/>
  <c r="BL15" i="99"/>
  <c r="G15" i="99"/>
  <c r="AI21" i="99"/>
  <c r="C21" i="99" s="1"/>
  <c r="AW20" i="99"/>
  <c r="BI20" i="99"/>
  <c r="AZ20" i="99" s="1"/>
  <c r="BK20" i="99"/>
  <c r="I20" i="99" s="1"/>
  <c r="BL40" i="99"/>
  <c r="BM40" i="99"/>
  <c r="BM39" i="99"/>
  <c r="G39" i="99"/>
  <c r="BL36" i="99"/>
  <c r="BM36" i="99"/>
  <c r="BM35" i="99"/>
  <c r="G35" i="99"/>
  <c r="AY30" i="99"/>
  <c r="AW27" i="99"/>
  <c r="BI27" i="99"/>
  <c r="AY25" i="98"/>
  <c r="BB25" i="98"/>
  <c r="AW29" i="98"/>
  <c r="BI29" i="98"/>
  <c r="BJ29" i="98" s="1"/>
  <c r="H29" i="98" s="1"/>
  <c r="BF29" i="98" s="1"/>
  <c r="AY28" i="98"/>
  <c r="BB28" i="98"/>
  <c r="BI9" i="98"/>
  <c r="AK9" i="98" s="1"/>
  <c r="BB9" i="98"/>
  <c r="AW9" i="98"/>
  <c r="AK26" i="98"/>
  <c r="AT26" i="98" s="1"/>
  <c r="BJ26" i="98"/>
  <c r="H26" i="98" s="1"/>
  <c r="BF26" i="98" s="1"/>
  <c r="AK28" i="93"/>
  <c r="AM28" i="93" s="1"/>
  <c r="BL25" i="98"/>
  <c r="BL11" i="98"/>
  <c r="AI26" i="98"/>
  <c r="C26" i="98" s="1"/>
  <c r="BM38" i="97"/>
  <c r="BB24" i="98"/>
  <c r="BB15" i="98"/>
  <c r="AN10" i="98"/>
  <c r="AN18" i="97"/>
  <c r="AN14" i="97"/>
  <c r="BA24" i="98"/>
  <c r="BK22" i="98"/>
  <c r="I22" i="98" s="1"/>
  <c r="BA15" i="98"/>
  <c r="BK14" i="98"/>
  <c r="I14" i="98" s="1"/>
  <c r="AN14" i="98"/>
  <c r="BL10" i="98"/>
  <c r="AY24" i="98"/>
  <c r="BL18" i="98"/>
  <c r="BM36" i="98"/>
  <c r="BM32" i="94"/>
  <c r="BM30" i="96"/>
  <c r="BB22" i="98"/>
  <c r="BB14" i="98"/>
  <c r="BM30" i="97"/>
  <c r="BM33" i="98"/>
  <c r="BL30" i="98"/>
  <c r="BL28" i="98"/>
  <c r="AK29" i="97"/>
  <c r="AM29" i="97" s="1"/>
  <c r="BM34" i="98"/>
  <c r="G20" i="98"/>
  <c r="BL20" i="98"/>
  <c r="AI12" i="98"/>
  <c r="C12" i="98" s="1"/>
  <c r="AI16" i="98"/>
  <c r="C16" i="98" s="1"/>
  <c r="AI20" i="98"/>
  <c r="C20" i="98" s="1"/>
  <c r="AI17" i="98"/>
  <c r="C17" i="98" s="1"/>
  <c r="AI30" i="98"/>
  <c r="C30" i="98" s="1"/>
  <c r="AI21" i="98"/>
  <c r="C21" i="98" s="1"/>
  <c r="AI24" i="98"/>
  <c r="C24" i="98" s="1"/>
  <c r="AW30" i="98"/>
  <c r="BI30" i="98"/>
  <c r="AZ30" i="98" s="1"/>
  <c r="BK30" i="98"/>
  <c r="I30" i="98" s="1"/>
  <c r="AY30" i="98"/>
  <c r="BA30" i="98"/>
  <c r="BB30" i="98"/>
  <c r="BL19" i="98"/>
  <c r="G19" i="98"/>
  <c r="AJ10" i="98"/>
  <c r="AJ11" i="98" s="1"/>
  <c r="AJ12" i="98" s="1"/>
  <c r="AJ13" i="98" s="1"/>
  <c r="AV44" i="98"/>
  <c r="AV45" i="98" s="1"/>
  <c r="BL40" i="98"/>
  <c r="BM40" i="98"/>
  <c r="G40" i="98"/>
  <c r="AU42" i="98"/>
  <c r="AS42" i="98"/>
  <c r="AT42" i="98" s="1"/>
  <c r="BE5" i="98"/>
  <c r="AI29" i="98"/>
  <c r="C29" i="98" s="1"/>
  <c r="AN28" i="98"/>
  <c r="AY26" i="98"/>
  <c r="BK26" i="98"/>
  <c r="I26" i="98" s="1"/>
  <c r="AZ26" i="98"/>
  <c r="BA26" i="98"/>
  <c r="AW26" i="98"/>
  <c r="BB26" i="98"/>
  <c r="AW11" i="98"/>
  <c r="BI11" i="98"/>
  <c r="AZ11" i="98" s="1"/>
  <c r="AY11" i="98"/>
  <c r="BA11" i="98"/>
  <c r="BB11" i="98"/>
  <c r="BK11" i="98"/>
  <c r="I11" i="98" s="1"/>
  <c r="AI19" i="98"/>
  <c r="C19" i="98" s="1"/>
  <c r="AW27" i="98"/>
  <c r="BI27" i="98"/>
  <c r="BB29" i="98"/>
  <c r="AW28" i="98"/>
  <c r="BI28" i="98"/>
  <c r="BA28" i="98"/>
  <c r="BL17" i="98"/>
  <c r="AW15" i="98"/>
  <c r="BI15" i="98"/>
  <c r="BK10" i="98"/>
  <c r="I10" i="98" s="1"/>
  <c r="AI10" i="98"/>
  <c r="C10" i="98" s="1"/>
  <c r="G38" i="98"/>
  <c r="BK28" i="98"/>
  <c r="I28" i="98" s="1"/>
  <c r="AW24" i="98"/>
  <c r="BI24" i="98"/>
  <c r="AW18" i="98"/>
  <c r="BI18" i="98"/>
  <c r="AZ18" i="98" s="1"/>
  <c r="AX18" i="98"/>
  <c r="BA18" i="98"/>
  <c r="BL26" i="98"/>
  <c r="BM26" i="98"/>
  <c r="AY17" i="98"/>
  <c r="BK17" i="98"/>
  <c r="I17" i="98" s="1"/>
  <c r="BA17" i="98"/>
  <c r="G12" i="98"/>
  <c r="AM13" i="98"/>
  <c r="AP13" i="98" s="1"/>
  <c r="AR13" i="98"/>
  <c r="AV13" i="98" s="1"/>
  <c r="AN25" i="98"/>
  <c r="BL23" i="98"/>
  <c r="G23" i="98"/>
  <c r="BI17" i="98"/>
  <c r="AZ17" i="98" s="1"/>
  <c r="AX9" i="98"/>
  <c r="AY9" i="98"/>
  <c r="BK9" i="98"/>
  <c r="I9" i="98" s="1"/>
  <c r="BA9" i="98"/>
  <c r="AN29" i="98"/>
  <c r="AW22" i="98"/>
  <c r="BI22" i="98"/>
  <c r="AZ22" i="98" s="1"/>
  <c r="BA22" i="98"/>
  <c r="G21" i="98"/>
  <c r="G16" i="98"/>
  <c r="BK15" i="98"/>
  <c r="I15" i="98" s="1"/>
  <c r="AI15" i="98"/>
  <c r="C15" i="98" s="1"/>
  <c r="AW14" i="98"/>
  <c r="BI14" i="98"/>
  <c r="AZ14" i="98" s="1"/>
  <c r="BA14" i="98"/>
  <c r="BL9" i="98"/>
  <c r="AW10" i="98"/>
  <c r="BI10" i="98"/>
  <c r="BA10" i="98"/>
  <c r="BK18" i="98"/>
  <c r="I18" i="98" s="1"/>
  <c r="AI28" i="98"/>
  <c r="C28" i="98" s="1"/>
  <c r="AW25" i="98"/>
  <c r="BI25" i="98"/>
  <c r="AZ25" i="98" s="1"/>
  <c r="BA25" i="98"/>
  <c r="AX13" i="98"/>
  <c r="AY13" i="98"/>
  <c r="BK13" i="98"/>
  <c r="I13" i="98" s="1"/>
  <c r="BA13" i="98"/>
  <c r="AZ13" i="98"/>
  <c r="G36" i="98"/>
  <c r="BK25" i="98"/>
  <c r="I25" i="98" s="1"/>
  <c r="AT13" i="98"/>
  <c r="BD5" i="98"/>
  <c r="AI11" i="98"/>
  <c r="C11" i="98" s="1"/>
  <c r="BM38" i="98"/>
  <c r="BM37" i="98"/>
  <c r="AY29" i="98"/>
  <c r="BK29" i="98"/>
  <c r="I29" i="98" s="1"/>
  <c r="BA29" i="98"/>
  <c r="BB27" i="98"/>
  <c r="AI22" i="98"/>
  <c r="C22" i="98" s="1"/>
  <c r="BL21" i="98"/>
  <c r="BB18" i="98"/>
  <c r="AI14" i="98"/>
  <c r="C14" i="98" s="1"/>
  <c r="BL12" i="98"/>
  <c r="B12" i="98"/>
  <c r="BC5" i="98"/>
  <c r="AQ42" i="98"/>
  <c r="BL37" i="98"/>
  <c r="BL29" i="98"/>
  <c r="BA27" i="98"/>
  <c r="AI25" i="98"/>
  <c r="C25" i="98" s="1"/>
  <c r="AY18" i="98"/>
  <c r="BB17" i="98"/>
  <c r="BL13" i="98"/>
  <c r="BM13" i="98"/>
  <c r="BB10" i="98"/>
  <c r="BA26" i="97"/>
  <c r="BI26" i="97"/>
  <c r="BB26" i="97"/>
  <c r="AW26" i="97"/>
  <c r="G13" i="97"/>
  <c r="G37" i="97"/>
  <c r="G39" i="97"/>
  <c r="G38" i="97"/>
  <c r="BM32" i="97"/>
  <c r="AN23" i="97"/>
  <c r="G16" i="97"/>
  <c r="BA16" i="97" s="1"/>
  <c r="AS44" i="97"/>
  <c r="AT44" i="97" s="1"/>
  <c r="AN16" i="97"/>
  <c r="BM30" i="93"/>
  <c r="BL32" i="97"/>
  <c r="AN27" i="97"/>
  <c r="G24" i="97"/>
  <c r="BM36" i="97"/>
  <c r="G36" i="97"/>
  <c r="G41" i="97"/>
  <c r="BL28" i="97"/>
  <c r="G33" i="97"/>
  <c r="AV46" i="97"/>
  <c r="AV47" i="97" s="1"/>
  <c r="AN12" i="97"/>
  <c r="AI22" i="97"/>
  <c r="C22" i="97" s="1"/>
  <c r="AN21" i="97"/>
  <c r="AN11" i="93"/>
  <c r="BM35" i="96"/>
  <c r="BM37" i="97"/>
  <c r="G20" i="97"/>
  <c r="AI19" i="97"/>
  <c r="C19" i="97" s="1"/>
  <c r="AI23" i="97"/>
  <c r="C23" i="97" s="1"/>
  <c r="AI26" i="97"/>
  <c r="C26" i="97" s="1"/>
  <c r="AI18" i="97"/>
  <c r="C18" i="97" s="1"/>
  <c r="AI25" i="97"/>
  <c r="C25" i="97" s="1"/>
  <c r="BD7" i="97"/>
  <c r="BL23" i="97"/>
  <c r="G23" i="97"/>
  <c r="BJ19" i="97"/>
  <c r="H19" i="97" s="1"/>
  <c r="BF19" i="97" s="1"/>
  <c r="AK19" i="97"/>
  <c r="AX19" i="97" s="1"/>
  <c r="G15" i="97"/>
  <c r="BL15" i="97"/>
  <c r="BE7" i="97"/>
  <c r="AY19" i="97"/>
  <c r="BK19" i="97"/>
  <c r="I19" i="97" s="1"/>
  <c r="BA19" i="97"/>
  <c r="AW19" i="97"/>
  <c r="AZ19" i="97"/>
  <c r="BB19" i="97"/>
  <c r="AM11" i="97"/>
  <c r="AP11" i="97" s="1"/>
  <c r="AR11" i="97"/>
  <c r="AV11" i="97" s="1"/>
  <c r="AT11" i="97"/>
  <c r="BL21" i="97"/>
  <c r="AJ16" i="97"/>
  <c r="AJ17" i="97" s="1"/>
  <c r="AJ18" i="97" s="1"/>
  <c r="AJ19" i="97" s="1"/>
  <c r="AJ20" i="97" s="1"/>
  <c r="AI12" i="97"/>
  <c r="AQ44" i="97"/>
  <c r="G21" i="97"/>
  <c r="G17" i="97"/>
  <c r="AU44" i="97"/>
  <c r="AI21" i="97"/>
  <c r="C21" i="97" s="1"/>
  <c r="BA20" i="97"/>
  <c r="BM11" i="97"/>
  <c r="BL36" i="97"/>
  <c r="AI14" i="97"/>
  <c r="C14" i="97" s="1"/>
  <c r="AW20" i="97"/>
  <c r="G14" i="97"/>
  <c r="BB12" i="97"/>
  <c r="BM40" i="97"/>
  <c r="AI17" i="97"/>
  <c r="C17" i="97" s="1"/>
  <c r="BC7" i="97"/>
  <c r="BM39" i="97"/>
  <c r="BM34" i="97"/>
  <c r="BM31" i="97"/>
  <c r="AY26" i="97"/>
  <c r="AN25" i="97"/>
  <c r="BK20" i="97"/>
  <c r="I20" i="97" s="1"/>
  <c r="AW13" i="97"/>
  <c r="BI13" i="97"/>
  <c r="AY12" i="97"/>
  <c r="AX11" i="97"/>
  <c r="AY11" i="97"/>
  <c r="BK11" i="97"/>
  <c r="I11" i="97" s="1"/>
  <c r="BA11" i="97"/>
  <c r="B12" i="97"/>
  <c r="B13" i="97" s="1"/>
  <c r="G42" i="97"/>
  <c r="BM33" i="97"/>
  <c r="BL31" i="97"/>
  <c r="BK26" i="97"/>
  <c r="I26" i="97" s="1"/>
  <c r="AX24" i="97"/>
  <c r="G22" i="97"/>
  <c r="AX20" i="97"/>
  <c r="AI13" i="97"/>
  <c r="C13" i="97" s="1"/>
  <c r="G27" i="97"/>
  <c r="G18" i="97"/>
  <c r="AI16" i="97"/>
  <c r="C16" i="97" s="1"/>
  <c r="BM42" i="97"/>
  <c r="G40" i="97"/>
  <c r="BM35" i="97"/>
  <c r="AI27" i="97"/>
  <c r="C27" i="97" s="1"/>
  <c r="BA12" i="97"/>
  <c r="AZ11" i="97"/>
  <c r="BM19" i="97"/>
  <c r="BB11" i="97"/>
  <c r="BM41" i="97"/>
  <c r="BM28" i="97"/>
  <c r="G25" i="97"/>
  <c r="BI12" i="97"/>
  <c r="AW11" i="97"/>
  <c r="BJ19" i="96"/>
  <c r="H19" i="96" s="1"/>
  <c r="BF19" i="96" s="1"/>
  <c r="AK19" i="96"/>
  <c r="AT19" i="96" s="1"/>
  <c r="AW18" i="96"/>
  <c r="BA18" i="96"/>
  <c r="BB18" i="96"/>
  <c r="BK18" i="96"/>
  <c r="I18" i="96" s="1"/>
  <c r="AY18" i="96"/>
  <c r="AW14" i="96"/>
  <c r="AY14" i="96"/>
  <c r="BA14" i="96"/>
  <c r="BB14" i="96"/>
  <c r="BK14" i="96"/>
  <c r="I14" i="96" s="1"/>
  <c r="BM32" i="96"/>
  <c r="G41" i="96"/>
  <c r="G37" i="96"/>
  <c r="G33" i="96"/>
  <c r="G32" i="96"/>
  <c r="BM31" i="96"/>
  <c r="BB25" i="96"/>
  <c r="BB19" i="96"/>
  <c r="BL18" i="96"/>
  <c r="AI17" i="96"/>
  <c r="C17" i="96" s="1"/>
  <c r="AN12" i="96"/>
  <c r="AS44" i="96"/>
  <c r="AT44" i="96" s="1"/>
  <c r="BM33" i="93"/>
  <c r="AW25" i="96"/>
  <c r="G24" i="96"/>
  <c r="AW19" i="96"/>
  <c r="AN13" i="96"/>
  <c r="AN16" i="94"/>
  <c r="AN15" i="93"/>
  <c r="AN19" i="95"/>
  <c r="AN27" i="96"/>
  <c r="G23" i="96"/>
  <c r="BM31" i="95"/>
  <c r="BM30" i="95"/>
  <c r="BM28" i="95"/>
  <c r="AV45" i="95"/>
  <c r="BM33" i="96"/>
  <c r="G29" i="96"/>
  <c r="BD7" i="96"/>
  <c r="G11" i="96"/>
  <c r="BM31" i="94"/>
  <c r="BM41" i="96"/>
  <c r="BM37" i="96"/>
  <c r="BM39" i="95"/>
  <c r="BI25" i="96"/>
  <c r="BJ25" i="96" s="1"/>
  <c r="H25" i="96" s="1"/>
  <c r="BF25" i="96" s="1"/>
  <c r="AN25" i="96"/>
  <c r="G15" i="96"/>
  <c r="AI21" i="96"/>
  <c r="C21" i="96" s="1"/>
  <c r="AI19" i="96"/>
  <c r="C19" i="96" s="1"/>
  <c r="AI13" i="96"/>
  <c r="C13" i="96" s="1"/>
  <c r="AQ44" i="96"/>
  <c r="AI12" i="96"/>
  <c r="C12" i="96" s="1"/>
  <c r="AI16" i="96"/>
  <c r="C16" i="96" s="1"/>
  <c r="AY23" i="96"/>
  <c r="BK23" i="96"/>
  <c r="I23" i="96" s="1"/>
  <c r="BA23" i="96"/>
  <c r="BL42" i="96"/>
  <c r="BM42" i="96"/>
  <c r="AV46" i="96"/>
  <c r="AV47" i="96" s="1"/>
  <c r="BM36" i="96"/>
  <c r="BL36" i="96"/>
  <c r="AJ16" i="96"/>
  <c r="AJ17" i="96" s="1"/>
  <c r="AJ18" i="96" s="1"/>
  <c r="AJ19" i="96" s="1"/>
  <c r="AJ20" i="96" s="1"/>
  <c r="BE7" i="96"/>
  <c r="AW26" i="96"/>
  <c r="BI26" i="96"/>
  <c r="AY26" i="96"/>
  <c r="BK26" i="96"/>
  <c r="I26" i="96" s="1"/>
  <c r="BA26" i="96"/>
  <c r="BL21" i="96"/>
  <c r="G21" i="96"/>
  <c r="BL17" i="96"/>
  <c r="G17" i="96"/>
  <c r="BL13" i="96"/>
  <c r="G13" i="96"/>
  <c r="BC7" i="96"/>
  <c r="G36" i="96"/>
  <c r="AI25" i="96"/>
  <c r="C25" i="96" s="1"/>
  <c r="AI23" i="96"/>
  <c r="C23" i="96" s="1"/>
  <c r="BL38" i="96"/>
  <c r="BM38" i="96"/>
  <c r="AX15" i="96"/>
  <c r="AX11" i="96"/>
  <c r="AY11" i="96"/>
  <c r="BK11" i="96"/>
  <c r="I11" i="96" s="1"/>
  <c r="BA11" i="96"/>
  <c r="AI27" i="96"/>
  <c r="C27" i="96" s="1"/>
  <c r="AY19" i="96"/>
  <c r="BK19" i="96"/>
  <c r="I19" i="96" s="1"/>
  <c r="BA19" i="96"/>
  <c r="BM28" i="96"/>
  <c r="AK28" i="96"/>
  <c r="AM28" i="96" s="1"/>
  <c r="AI26" i="96"/>
  <c r="C26" i="96" s="1"/>
  <c r="AI18" i="96"/>
  <c r="C18" i="96" s="1"/>
  <c r="AI14" i="96"/>
  <c r="C14" i="96" s="1"/>
  <c r="AI22" i="96"/>
  <c r="C22" i="96" s="1"/>
  <c r="AU44" i="96"/>
  <c r="G38" i="96"/>
  <c r="BM40" i="96"/>
  <c r="BL40" i="96"/>
  <c r="BL34" i="96"/>
  <c r="BM34" i="96"/>
  <c r="BI18" i="96"/>
  <c r="BI14" i="96"/>
  <c r="B13" i="96"/>
  <c r="G20" i="96"/>
  <c r="G16" i="96"/>
  <c r="G12" i="96"/>
  <c r="BM19" i="96"/>
  <c r="BI27" i="96"/>
  <c r="BA25" i="96"/>
  <c r="G39" i="96"/>
  <c r="G35" i="96"/>
  <c r="G22" i="96"/>
  <c r="BK25" i="96"/>
  <c r="I25" i="96" s="1"/>
  <c r="BK14" i="95"/>
  <c r="I14" i="95" s="1"/>
  <c r="AY14" i="95"/>
  <c r="AI17" i="95"/>
  <c r="C17" i="95" s="1"/>
  <c r="G40" i="95"/>
  <c r="BB25" i="95"/>
  <c r="AQ42" i="95"/>
  <c r="BA25" i="95"/>
  <c r="AI19" i="95"/>
  <c r="C19" i="95" s="1"/>
  <c r="AN24" i="94"/>
  <c r="G35" i="95"/>
  <c r="AY25" i="95"/>
  <c r="AN17" i="95"/>
  <c r="G18" i="95"/>
  <c r="BM35" i="94"/>
  <c r="BM40" i="95"/>
  <c r="BM36" i="94"/>
  <c r="AN21" i="95"/>
  <c r="AN14" i="95"/>
  <c r="BM28" i="94"/>
  <c r="BM35" i="95"/>
  <c r="BL19" i="95"/>
  <c r="BE5" i="95"/>
  <c r="AN11" i="95"/>
  <c r="AI24" i="95"/>
  <c r="C24" i="95" s="1"/>
  <c r="AI11" i="95"/>
  <c r="C11" i="95" s="1"/>
  <c r="AI21" i="95"/>
  <c r="C21" i="95" s="1"/>
  <c r="AI16" i="95"/>
  <c r="C16" i="95" s="1"/>
  <c r="AI12" i="95"/>
  <c r="C12" i="95" s="1"/>
  <c r="AI15" i="95"/>
  <c r="C15" i="95" s="1"/>
  <c r="AI20" i="95"/>
  <c r="C20" i="95" s="1"/>
  <c r="BC5" i="95"/>
  <c r="BL29" i="95"/>
  <c r="BM29" i="95"/>
  <c r="G29" i="95"/>
  <c r="BA15" i="95"/>
  <c r="BB15" i="95"/>
  <c r="AY15" i="95"/>
  <c r="BK15" i="95"/>
  <c r="I15" i="95" s="1"/>
  <c r="BI15" i="95"/>
  <c r="AW15" i="95"/>
  <c r="BM33" i="95"/>
  <c r="G33" i="95"/>
  <c r="BL33" i="95"/>
  <c r="AS42" i="95"/>
  <c r="AT42" i="95" s="1"/>
  <c r="BL34" i="95"/>
  <c r="G34" i="95"/>
  <c r="BM34" i="95"/>
  <c r="BM27" i="95"/>
  <c r="G27" i="95"/>
  <c r="BL27" i="95"/>
  <c r="AI23" i="95"/>
  <c r="C23" i="95" s="1"/>
  <c r="AJ14" i="95"/>
  <c r="AJ15" i="95" s="1"/>
  <c r="AJ16" i="95" s="1"/>
  <c r="AJ17" i="95" s="1"/>
  <c r="AJ18" i="95" s="1"/>
  <c r="BD5" i="95"/>
  <c r="BL23" i="95"/>
  <c r="G13" i="95"/>
  <c r="G32" i="95"/>
  <c r="BB24" i="95"/>
  <c r="BA19" i="95"/>
  <c r="AW14" i="95"/>
  <c r="BI14" i="95"/>
  <c r="AU42" i="95"/>
  <c r="AI10" i="95"/>
  <c r="BM38" i="95"/>
  <c r="BM36" i="95"/>
  <c r="BA24" i="95"/>
  <c r="BI22" i="95"/>
  <c r="AZ22" i="95" s="1"/>
  <c r="AW22" i="95"/>
  <c r="G23" i="95"/>
  <c r="AW10" i="95"/>
  <c r="BI10" i="95"/>
  <c r="AZ10" i="95" s="1"/>
  <c r="BB19" i="95"/>
  <c r="G17" i="95"/>
  <c r="AI14" i="95"/>
  <c r="C14" i="95" s="1"/>
  <c r="G11" i="95"/>
  <c r="BM32" i="95"/>
  <c r="BK24" i="95"/>
  <c r="I24" i="95" s="1"/>
  <c r="AY24" i="95"/>
  <c r="G21" i="95"/>
  <c r="BK19" i="95"/>
  <c r="I19" i="95" s="1"/>
  <c r="G12" i="95"/>
  <c r="BB10" i="95"/>
  <c r="AW25" i="95"/>
  <c r="BI25" i="95"/>
  <c r="AY22" i="95"/>
  <c r="AW19" i="95"/>
  <c r="AW18" i="95"/>
  <c r="BI18" i="95"/>
  <c r="B11" i="95"/>
  <c r="B12" i="95" s="1"/>
  <c r="BA10" i="95"/>
  <c r="BL26" i="95"/>
  <c r="BM26" i="95"/>
  <c r="BM37" i="95"/>
  <c r="G37" i="95"/>
  <c r="BI24" i="95"/>
  <c r="AW24" i="95"/>
  <c r="AN23" i="95"/>
  <c r="AX22" i="95"/>
  <c r="BI19" i="95"/>
  <c r="AZ19" i="95" s="1"/>
  <c r="G16" i="95"/>
  <c r="BB14" i="95"/>
  <c r="G20" i="95"/>
  <c r="BA22" i="95"/>
  <c r="AI25" i="95"/>
  <c r="C25" i="95" s="1"/>
  <c r="BK22" i="95"/>
  <c r="I22" i="95" s="1"/>
  <c r="BA14" i="95"/>
  <c r="AY10" i="95"/>
  <c r="G9" i="95"/>
  <c r="AY24" i="94"/>
  <c r="BK24" i="94"/>
  <c r="I24" i="94" s="1"/>
  <c r="BA24" i="94"/>
  <c r="BB24" i="94"/>
  <c r="BA15" i="94"/>
  <c r="BB15" i="94"/>
  <c r="AY19" i="94"/>
  <c r="AN17" i="94"/>
  <c r="AN10" i="94"/>
  <c r="AN25" i="94"/>
  <c r="AN21" i="94"/>
  <c r="BL15" i="94"/>
  <c r="BL10" i="94"/>
  <c r="BM30" i="94"/>
  <c r="G28" i="94"/>
  <c r="BM40" i="94"/>
  <c r="BM39" i="94"/>
  <c r="BE5" i="94"/>
  <c r="G39" i="94"/>
  <c r="BA19" i="94"/>
  <c r="G40" i="94"/>
  <c r="BK19" i="94"/>
  <c r="I19" i="94" s="1"/>
  <c r="BM38" i="93"/>
  <c r="BL14" i="94"/>
  <c r="AN12" i="94"/>
  <c r="AS42" i="94"/>
  <c r="AT42" i="94" s="1"/>
  <c r="BL9" i="94"/>
  <c r="G9" i="94"/>
  <c r="AI21" i="94"/>
  <c r="C21" i="94" s="1"/>
  <c r="AI15" i="94"/>
  <c r="C15" i="94" s="1"/>
  <c r="AJ10" i="94"/>
  <c r="AJ11" i="94" s="1"/>
  <c r="AJ12" i="94" s="1"/>
  <c r="AJ13" i="94" s="1"/>
  <c r="AI17" i="94"/>
  <c r="C17" i="94" s="1"/>
  <c r="AW11" i="94"/>
  <c r="BI11" i="94"/>
  <c r="AZ11" i="94" s="1"/>
  <c r="AY11" i="94"/>
  <c r="BK11" i="94"/>
  <c r="I11" i="94" s="1"/>
  <c r="AI10" i="94"/>
  <c r="C10" i="94" s="1"/>
  <c r="BA11" i="94"/>
  <c r="AW25" i="94"/>
  <c r="BI25" i="94"/>
  <c r="AZ25" i="94" s="1"/>
  <c r="AY25" i="94"/>
  <c r="BK25" i="94"/>
  <c r="I25" i="94" s="1"/>
  <c r="BA25" i="94"/>
  <c r="AW19" i="94"/>
  <c r="BI19" i="94"/>
  <c r="BA18" i="94"/>
  <c r="AW18" i="94"/>
  <c r="BI18" i="94"/>
  <c r="AZ18" i="94" s="1"/>
  <c r="AX18" i="94"/>
  <c r="AY18" i="94"/>
  <c r="BK18" i="94"/>
  <c r="I18" i="94" s="1"/>
  <c r="B12" i="94"/>
  <c r="BL13" i="94"/>
  <c r="G13" i="94"/>
  <c r="AQ42" i="94"/>
  <c r="AW22" i="94"/>
  <c r="BI22" i="94"/>
  <c r="AX22" i="94"/>
  <c r="AY22" i="94"/>
  <c r="BK22" i="94"/>
  <c r="I22" i="94" s="1"/>
  <c r="BA22" i="94"/>
  <c r="BL29" i="94"/>
  <c r="BM29" i="94"/>
  <c r="G29" i="94"/>
  <c r="BM33" i="94"/>
  <c r="G33" i="94"/>
  <c r="AI19" i="94"/>
  <c r="C19" i="94" s="1"/>
  <c r="BL17" i="94"/>
  <c r="G17" i="94"/>
  <c r="AI11" i="94"/>
  <c r="C11" i="94" s="1"/>
  <c r="AV44" i="94"/>
  <c r="AV45" i="94" s="1"/>
  <c r="AI12" i="94"/>
  <c r="C12" i="94" s="1"/>
  <c r="AI16" i="94"/>
  <c r="C16" i="94" s="1"/>
  <c r="AI24" i="94"/>
  <c r="C24" i="94" s="1"/>
  <c r="AI20" i="94"/>
  <c r="C20" i="94" s="1"/>
  <c r="BL34" i="94"/>
  <c r="BM34" i="94"/>
  <c r="G34" i="94"/>
  <c r="AI25" i="94"/>
  <c r="C25" i="94" s="1"/>
  <c r="BL23" i="94"/>
  <c r="G23" i="94"/>
  <c r="G20" i="94"/>
  <c r="BK15" i="94"/>
  <c r="I15" i="94" s="1"/>
  <c r="AY15" i="94"/>
  <c r="AW15" i="94"/>
  <c r="BI15" i="94"/>
  <c r="AZ15" i="94" s="1"/>
  <c r="AI14" i="94"/>
  <c r="C14" i="94" s="1"/>
  <c r="BM37" i="94"/>
  <c r="G37" i="94"/>
  <c r="G38" i="94"/>
  <c r="BL38" i="94"/>
  <c r="BM38" i="94"/>
  <c r="BL21" i="94"/>
  <c r="G21" i="94"/>
  <c r="BD5" i="94"/>
  <c r="BL26" i="94"/>
  <c r="BM26" i="94"/>
  <c r="G26" i="94"/>
  <c r="AW24" i="94"/>
  <c r="BI24" i="94"/>
  <c r="AU42" i="94"/>
  <c r="BC5" i="94"/>
  <c r="BL12" i="94"/>
  <c r="BA14" i="94"/>
  <c r="BK14" i="94"/>
  <c r="I14" i="94" s="1"/>
  <c r="AY14" i="94"/>
  <c r="BK10" i="94"/>
  <c r="I10" i="94" s="1"/>
  <c r="AY10" i="94"/>
  <c r="BB10" i="94"/>
  <c r="BI14" i="94"/>
  <c r="AZ14" i="94" s="1"/>
  <c r="AW14" i="94"/>
  <c r="BI10" i="94"/>
  <c r="AZ10" i="94" s="1"/>
  <c r="AW10" i="94"/>
  <c r="G16" i="94"/>
  <c r="G12" i="94"/>
  <c r="AY14" i="93"/>
  <c r="BB14" i="93"/>
  <c r="BK14" i="93"/>
  <c r="I14" i="93" s="1"/>
  <c r="AZ11" i="93"/>
  <c r="BJ11" i="93"/>
  <c r="H11" i="93" s="1"/>
  <c r="BF11" i="93" s="1"/>
  <c r="AU42" i="93"/>
  <c r="BM40" i="93"/>
  <c r="BM35" i="93"/>
  <c r="BM27" i="93"/>
  <c r="BC5" i="93"/>
  <c r="AV44" i="93"/>
  <c r="AV45" i="93" s="1"/>
  <c r="BA22" i="93"/>
  <c r="AY11" i="93"/>
  <c r="BM32" i="93"/>
  <c r="BM31" i="93"/>
  <c r="G19" i="93"/>
  <c r="AY19" i="93" s="1"/>
  <c r="AW11" i="93"/>
  <c r="BL18" i="93"/>
  <c r="AS42" i="93"/>
  <c r="AT42" i="93" s="1"/>
  <c r="BK22" i="93"/>
  <c r="I22" i="93" s="1"/>
  <c r="G34" i="93"/>
  <c r="BM39" i="93"/>
  <c r="BM37" i="93"/>
  <c r="G29" i="93"/>
  <c r="BD5" i="93"/>
  <c r="BK11" i="93"/>
  <c r="I11" i="93" s="1"/>
  <c r="G39" i="93"/>
  <c r="G17" i="93"/>
  <c r="BA17" i="93" s="1"/>
  <c r="G32" i="93"/>
  <c r="AN17" i="93"/>
  <c r="AV42" i="93"/>
  <c r="Q6" i="93"/>
  <c r="E42" i="93"/>
  <c r="BI15" i="93"/>
  <c r="AW15" i="93"/>
  <c r="BK15" i="93"/>
  <c r="I15" i="93" s="1"/>
  <c r="BB15" i="93"/>
  <c r="AY15" i="93"/>
  <c r="BA15" i="93"/>
  <c r="AI12" i="93"/>
  <c r="C12" i="93" s="1"/>
  <c r="AI23" i="93"/>
  <c r="C23" i="93" s="1"/>
  <c r="AI24" i="93"/>
  <c r="C24" i="93" s="1"/>
  <c r="AI16" i="93"/>
  <c r="C16" i="93" s="1"/>
  <c r="AI11" i="93"/>
  <c r="C11" i="93" s="1"/>
  <c r="AI25" i="93"/>
  <c r="C25" i="93" s="1"/>
  <c r="AI19" i="93"/>
  <c r="C19" i="93" s="1"/>
  <c r="AJ14" i="93"/>
  <c r="AJ15" i="93" s="1"/>
  <c r="AJ16" i="93" s="1"/>
  <c r="AJ17" i="93" s="1"/>
  <c r="AJ18" i="93" s="1"/>
  <c r="AW10" i="93"/>
  <c r="BI10" i="93"/>
  <c r="AZ10" i="93" s="1"/>
  <c r="AY10" i="93"/>
  <c r="AW18" i="93"/>
  <c r="BI18" i="93"/>
  <c r="AX18" i="93"/>
  <c r="AY18" i="93"/>
  <c r="AY17" i="93"/>
  <c r="BK17" i="93"/>
  <c r="I17" i="93" s="1"/>
  <c r="AW17" i="93"/>
  <c r="BM34" i="93"/>
  <c r="AK31" i="93"/>
  <c r="AM31" i="93" s="1"/>
  <c r="AN23" i="93"/>
  <c r="BK18" i="93"/>
  <c r="I18" i="93" s="1"/>
  <c r="AI20" i="93"/>
  <c r="C20" i="93" s="1"/>
  <c r="AQ42" i="93"/>
  <c r="AN14" i="93"/>
  <c r="BK10" i="93"/>
  <c r="I10" i="93" s="1"/>
  <c r="BL27" i="93"/>
  <c r="AW22" i="93"/>
  <c r="BI22" i="93"/>
  <c r="AX22" i="93"/>
  <c r="BB22" i="93"/>
  <c r="BL15" i="93"/>
  <c r="AK11" i="93"/>
  <c r="BL26" i="93"/>
  <c r="G26" i="93"/>
  <c r="BL24" i="93"/>
  <c r="G24" i="93"/>
  <c r="BI19" i="93"/>
  <c r="BM19" i="93" s="1"/>
  <c r="AY21" i="93"/>
  <c r="BK21" i="93"/>
  <c r="I21" i="93" s="1"/>
  <c r="BI21" i="93"/>
  <c r="AZ21" i="93" s="1"/>
  <c r="AW21" i="93"/>
  <c r="BB21" i="93"/>
  <c r="BB19" i="93"/>
  <c r="AI17" i="93"/>
  <c r="C17" i="93" s="1"/>
  <c r="BA25" i="93"/>
  <c r="AI21" i="93"/>
  <c r="C21" i="93" s="1"/>
  <c r="BM11" i="93"/>
  <c r="BB10" i="93"/>
  <c r="BE5" i="93"/>
  <c r="AY25" i="93"/>
  <c r="BK25" i="93"/>
  <c r="I25" i="93" s="1"/>
  <c r="BA19" i="93"/>
  <c r="B12" i="93"/>
  <c r="BI25" i="93"/>
  <c r="AZ25" i="93" s="1"/>
  <c r="G12" i="93"/>
  <c r="BM26" i="93"/>
  <c r="BB25" i="93"/>
  <c r="AI15" i="93"/>
  <c r="C15" i="93" s="1"/>
  <c r="BM36" i="93"/>
  <c r="G36" i="93"/>
  <c r="G13" i="93"/>
  <c r="G37" i="93"/>
  <c r="BL37" i="93"/>
  <c r="BL23" i="93"/>
  <c r="G23" i="93"/>
  <c r="AW19" i="93"/>
  <c r="AW25" i="93"/>
  <c r="G20" i="93"/>
  <c r="BK19" i="93"/>
  <c r="I19" i="93" s="1"/>
  <c r="BB18" i="93"/>
  <c r="AI14" i="93"/>
  <c r="C14" i="93" s="1"/>
  <c r="BA11" i="93"/>
  <c r="BB11" i="93"/>
  <c r="BA10" i="93"/>
  <c r="AW14" i="93"/>
  <c r="BI14" i="93"/>
  <c r="AI10" i="93"/>
  <c r="G16" i="93"/>
  <c r="BA14" i="93"/>
  <c r="G9" i="93"/>
  <c r="AV46" i="102" l="1"/>
  <c r="AI44" i="102"/>
  <c r="AN42" i="102"/>
  <c r="AT12" i="102"/>
  <c r="AR12" i="102"/>
  <c r="AV12" i="102" s="1"/>
  <c r="AM12" i="102"/>
  <c r="AX12" i="102"/>
  <c r="BG12" i="102" s="1"/>
  <c r="BB14" i="102"/>
  <c r="BA14" i="102"/>
  <c r="AZ14" i="102"/>
  <c r="AY14" i="102"/>
  <c r="BK14" i="102"/>
  <c r="I14" i="102" s="1"/>
  <c r="BI14" i="102"/>
  <c r="AW14" i="102"/>
  <c r="BK10" i="102"/>
  <c r="I10" i="102" s="1"/>
  <c r="BB10" i="102"/>
  <c r="BA10" i="102"/>
  <c r="AY10" i="102"/>
  <c r="BI10" i="102"/>
  <c r="AZ10" i="102" s="1"/>
  <c r="AW10" i="102"/>
  <c r="BB13" i="102"/>
  <c r="BA13" i="102"/>
  <c r="BK13" i="102"/>
  <c r="I13" i="102" s="1"/>
  <c r="AY13" i="102"/>
  <c r="AW13" i="102"/>
  <c r="BI13" i="102"/>
  <c r="BM9" i="98"/>
  <c r="AZ9" i="98"/>
  <c r="BB9" i="102"/>
  <c r="BB5" i="102" s="1"/>
  <c r="BK9" i="102"/>
  <c r="I9" i="102" s="1"/>
  <c r="AY9" i="102"/>
  <c r="BA9" i="102"/>
  <c r="AW9" i="102"/>
  <c r="BI9" i="102"/>
  <c r="BJ11" i="102"/>
  <c r="H11" i="102" s="1"/>
  <c r="AK11" i="102"/>
  <c r="BN11" i="102"/>
  <c r="BM11" i="102"/>
  <c r="AN7" i="102"/>
  <c r="AX26" i="98"/>
  <c r="AR26" i="98"/>
  <c r="AV26" i="98" s="1"/>
  <c r="AM26" i="98"/>
  <c r="BB16" i="100"/>
  <c r="BK16" i="100"/>
  <c r="I16" i="100" s="1"/>
  <c r="BA16" i="100"/>
  <c r="AY16" i="100"/>
  <c r="AW16" i="100"/>
  <c r="BI16" i="100"/>
  <c r="AZ19" i="96"/>
  <c r="BB19" i="100"/>
  <c r="AW19" i="100"/>
  <c r="BI19" i="100"/>
  <c r="AZ19" i="100" s="1"/>
  <c r="BA19" i="100"/>
  <c r="AY19" i="100"/>
  <c r="BK19" i="100"/>
  <c r="I19" i="100" s="1"/>
  <c r="AX19" i="100"/>
  <c r="BJ21" i="100"/>
  <c r="H21" i="100" s="1"/>
  <c r="BF21" i="100" s="1"/>
  <c r="AK21" i="100"/>
  <c r="AZ21" i="100"/>
  <c r="BN21" i="100"/>
  <c r="BM21" i="100"/>
  <c r="BB12" i="100"/>
  <c r="BA12" i="100"/>
  <c r="AY12" i="100"/>
  <c r="BK12" i="100"/>
  <c r="I12" i="100" s="1"/>
  <c r="BI12" i="100"/>
  <c r="AW12" i="100"/>
  <c r="BJ9" i="100"/>
  <c r="H9" i="100" s="1"/>
  <c r="AK9" i="100"/>
  <c r="BN9" i="100"/>
  <c r="BM9" i="100"/>
  <c r="BB15" i="100"/>
  <c r="AW15" i="100"/>
  <c r="BI15" i="100"/>
  <c r="AZ15" i="100" s="1"/>
  <c r="BA15" i="100"/>
  <c r="AY15" i="100"/>
  <c r="BK15" i="100"/>
  <c r="I15" i="100" s="1"/>
  <c r="BN14" i="100"/>
  <c r="AZ14" i="100"/>
  <c r="BM14" i="100"/>
  <c r="AK14" i="100"/>
  <c r="BJ14" i="100"/>
  <c r="H14" i="100" s="1"/>
  <c r="BF14" i="100" s="1"/>
  <c r="BJ13" i="100"/>
  <c r="H13" i="100" s="1"/>
  <c r="BF13" i="100" s="1"/>
  <c r="AK13" i="100"/>
  <c r="BN13" i="100"/>
  <c r="BM13" i="100"/>
  <c r="B14" i="100"/>
  <c r="B16" i="100"/>
  <c r="AZ13" i="100"/>
  <c r="AR19" i="96"/>
  <c r="AV19" i="96" s="1"/>
  <c r="BB11" i="100"/>
  <c r="BI11" i="100"/>
  <c r="AZ11" i="100" s="1"/>
  <c r="BA11" i="100"/>
  <c r="AY11" i="100"/>
  <c r="BK11" i="100"/>
  <c r="I11" i="100" s="1"/>
  <c r="AX11" i="100"/>
  <c r="AW11" i="100"/>
  <c r="AK17" i="100"/>
  <c r="BN17" i="100"/>
  <c r="AZ17" i="100"/>
  <c r="BM17" i="100"/>
  <c r="BB8" i="100"/>
  <c r="BA8" i="100"/>
  <c r="BK8" i="100"/>
  <c r="I8" i="100" s="1"/>
  <c r="AY8" i="100"/>
  <c r="AX8" i="100"/>
  <c r="BI8" i="100"/>
  <c r="AW8" i="100"/>
  <c r="BB20" i="100"/>
  <c r="BA20" i="100"/>
  <c r="BK20" i="100"/>
  <c r="I20" i="100" s="1"/>
  <c r="AY20" i="100"/>
  <c r="AW20" i="100"/>
  <c r="BI20" i="100"/>
  <c r="AZ20" i="100" s="1"/>
  <c r="AZ9" i="100"/>
  <c r="BN18" i="100"/>
  <c r="AZ18" i="100"/>
  <c r="BM18" i="100"/>
  <c r="AK18" i="100"/>
  <c r="BJ18" i="100"/>
  <c r="H18" i="100" s="1"/>
  <c r="BF18" i="100" s="1"/>
  <c r="AJ10" i="100"/>
  <c r="AT10" i="100"/>
  <c r="AM10" i="100"/>
  <c r="AR10" i="100"/>
  <c r="AV10" i="100" s="1"/>
  <c r="B15" i="100"/>
  <c r="E41" i="100"/>
  <c r="AV41" i="100"/>
  <c r="AV45" i="100" s="1"/>
  <c r="Q5" i="100"/>
  <c r="AN44" i="99"/>
  <c r="AP10" i="100"/>
  <c r="BG10" i="100" s="1"/>
  <c r="B18" i="99"/>
  <c r="AK25" i="96"/>
  <c r="AT25" i="96" s="1"/>
  <c r="B16" i="99"/>
  <c r="B17" i="99" s="1"/>
  <c r="BB29" i="99"/>
  <c r="BI29" i="99"/>
  <c r="BK29" i="99"/>
  <c r="I29" i="99" s="1"/>
  <c r="AY29" i="99"/>
  <c r="BA29" i="99"/>
  <c r="AW29" i="99"/>
  <c r="AY20" i="99"/>
  <c r="AN44" i="96"/>
  <c r="AN44" i="97"/>
  <c r="AX19" i="96"/>
  <c r="AN42" i="98"/>
  <c r="AN9" i="99"/>
  <c r="BB20" i="99"/>
  <c r="BA16" i="99"/>
  <c r="BB16" i="99"/>
  <c r="BM26" i="97"/>
  <c r="BJ13" i="99"/>
  <c r="H13" i="99" s="1"/>
  <c r="BF13" i="99" s="1"/>
  <c r="AK13" i="99"/>
  <c r="BM13" i="99"/>
  <c r="AZ13" i="99"/>
  <c r="AN9" i="97"/>
  <c r="AN7" i="98"/>
  <c r="AM19" i="96"/>
  <c r="AK12" i="99"/>
  <c r="BJ12" i="99"/>
  <c r="H12" i="99" s="1"/>
  <c r="BM12" i="99"/>
  <c r="BN12" i="99"/>
  <c r="AZ12" i="99"/>
  <c r="AX19" i="99"/>
  <c r="AY19" i="99"/>
  <c r="BK19" i="99"/>
  <c r="I19" i="99" s="1"/>
  <c r="BA19" i="99"/>
  <c r="BB19" i="99"/>
  <c r="BI19" i="99"/>
  <c r="AZ19" i="99" s="1"/>
  <c r="AW19" i="99"/>
  <c r="AY23" i="99"/>
  <c r="BK23" i="99"/>
  <c r="I23" i="99" s="1"/>
  <c r="BA23" i="99"/>
  <c r="AW23" i="99"/>
  <c r="BI23" i="99"/>
  <c r="AZ23" i="99" s="1"/>
  <c r="BB23" i="99"/>
  <c r="AX15" i="99"/>
  <c r="AY15" i="99"/>
  <c r="BK15" i="99"/>
  <c r="I15" i="99" s="1"/>
  <c r="BA15" i="99"/>
  <c r="BB15" i="99"/>
  <c r="BI15" i="99"/>
  <c r="AW15" i="99"/>
  <c r="BN21" i="99"/>
  <c r="AR21" i="99"/>
  <c r="AV21" i="99" s="1"/>
  <c r="AT21" i="99"/>
  <c r="AX21" i="99"/>
  <c r="AM21" i="99"/>
  <c r="AK16" i="99"/>
  <c r="BJ16" i="99"/>
  <c r="H16" i="99" s="1"/>
  <c r="BF16" i="99" s="1"/>
  <c r="BM16" i="99"/>
  <c r="BN16" i="99"/>
  <c r="AZ16" i="99"/>
  <c r="AV44" i="99"/>
  <c r="AV48" i="99" s="1"/>
  <c r="E44" i="99"/>
  <c r="Q8" i="99"/>
  <c r="BA14" i="99"/>
  <c r="BB14" i="99"/>
  <c r="BI14" i="99"/>
  <c r="AW14" i="99"/>
  <c r="BK14" i="99"/>
  <c r="I14" i="99" s="1"/>
  <c r="AY14" i="99"/>
  <c r="AW26" i="99"/>
  <c r="BK26" i="99"/>
  <c r="I26" i="99" s="1"/>
  <c r="AY26" i="99"/>
  <c r="BA26" i="99"/>
  <c r="BI26" i="99"/>
  <c r="BB26" i="99"/>
  <c r="AJ16" i="99"/>
  <c r="AJ17" i="99" s="1"/>
  <c r="AJ18" i="99" s="1"/>
  <c r="AJ19" i="99" s="1"/>
  <c r="BA18" i="99"/>
  <c r="BB18" i="99"/>
  <c r="BI18" i="99"/>
  <c r="AZ18" i="99" s="1"/>
  <c r="AW18" i="99"/>
  <c r="BK18" i="99"/>
  <c r="I18" i="99" s="1"/>
  <c r="AY18" i="99"/>
  <c r="AX11" i="99"/>
  <c r="AY11" i="99"/>
  <c r="BK11" i="99"/>
  <c r="I11" i="99" s="1"/>
  <c r="BA11" i="99"/>
  <c r="AW11" i="99"/>
  <c r="BB11" i="99"/>
  <c r="BI11" i="99"/>
  <c r="AZ11" i="99" s="1"/>
  <c r="AY25" i="99"/>
  <c r="BK25" i="99"/>
  <c r="I25" i="99" s="1"/>
  <c r="BA25" i="99"/>
  <c r="BB25" i="99"/>
  <c r="BI25" i="99"/>
  <c r="AZ25" i="99" s="1"/>
  <c r="AW25" i="99"/>
  <c r="AY31" i="99"/>
  <c r="BK31" i="99"/>
  <c r="I31" i="99" s="1"/>
  <c r="BA31" i="99"/>
  <c r="BB31" i="99"/>
  <c r="AW31" i="99"/>
  <c r="BI31" i="99"/>
  <c r="AK30" i="99"/>
  <c r="BJ30" i="99"/>
  <c r="H30" i="99" s="1"/>
  <c r="BF30" i="99" s="1"/>
  <c r="BN30" i="99"/>
  <c r="BM30" i="99"/>
  <c r="AY28" i="99"/>
  <c r="BK28" i="99"/>
  <c r="I28" i="99" s="1"/>
  <c r="BA28" i="99"/>
  <c r="BB28" i="99"/>
  <c r="AW28" i="99"/>
  <c r="AX28" i="99"/>
  <c r="BI28" i="99"/>
  <c r="I13" i="99"/>
  <c r="BN13" i="99"/>
  <c r="AK24" i="99"/>
  <c r="BM24" i="99"/>
  <c r="BN24" i="99"/>
  <c r="AK20" i="99"/>
  <c r="BJ20" i="99"/>
  <c r="H20" i="99" s="1"/>
  <c r="BF20" i="99" s="1"/>
  <c r="BN20" i="99"/>
  <c r="BM20" i="99"/>
  <c r="BA22" i="99"/>
  <c r="BB22" i="99"/>
  <c r="AW22" i="99"/>
  <c r="AY22" i="99"/>
  <c r="BI22" i="99"/>
  <c r="BK22" i="99"/>
  <c r="I22" i="99" s="1"/>
  <c r="AK27" i="99"/>
  <c r="BJ27" i="99"/>
  <c r="H27" i="99" s="1"/>
  <c r="BF27" i="99" s="1"/>
  <c r="BM27" i="99"/>
  <c r="BN27" i="99"/>
  <c r="AZ27" i="99"/>
  <c r="BM17" i="99"/>
  <c r="AK17" i="99"/>
  <c r="BN17" i="99"/>
  <c r="BJ17" i="99"/>
  <c r="H17" i="99" s="1"/>
  <c r="BF17" i="99" s="1"/>
  <c r="B20" i="99"/>
  <c r="B21" i="99" s="1"/>
  <c r="AP21" i="99" s="1"/>
  <c r="BM29" i="98"/>
  <c r="AZ29" i="98"/>
  <c r="AK29" i="98"/>
  <c r="AM29" i="98" s="1"/>
  <c r="B14" i="98"/>
  <c r="B15" i="98" s="1"/>
  <c r="BN29" i="98"/>
  <c r="BN9" i="98"/>
  <c r="AM9" i="98"/>
  <c r="AR9" i="98"/>
  <c r="AV9" i="98" s="1"/>
  <c r="AT9" i="98"/>
  <c r="AK11" i="98"/>
  <c r="BJ11" i="98"/>
  <c r="H11" i="98" s="1"/>
  <c r="BM11" i="98"/>
  <c r="BJ17" i="98"/>
  <c r="H17" i="98" s="1"/>
  <c r="BF17" i="98" s="1"/>
  <c r="AK17" i="98"/>
  <c r="BN17" i="98"/>
  <c r="BA12" i="98"/>
  <c r="BB12" i="98"/>
  <c r="BK12" i="98"/>
  <c r="I12" i="98" s="1"/>
  <c r="AW12" i="98"/>
  <c r="AY12" i="98"/>
  <c r="BI12" i="98"/>
  <c r="AK25" i="98"/>
  <c r="BM25" i="98"/>
  <c r="BJ25" i="98"/>
  <c r="H25" i="98" s="1"/>
  <c r="BF25" i="98" s="1"/>
  <c r="BN25" i="98"/>
  <c r="AK27" i="98"/>
  <c r="BN27" i="98"/>
  <c r="AZ27" i="98"/>
  <c r="BM27" i="98"/>
  <c r="BN11" i="98"/>
  <c r="BN13" i="98"/>
  <c r="AW19" i="98"/>
  <c r="BI19" i="98"/>
  <c r="AZ19" i="98" s="1"/>
  <c r="AY19" i="98"/>
  <c r="BA19" i="98"/>
  <c r="BB19" i="98"/>
  <c r="BK19" i="98"/>
  <c r="I19" i="98" s="1"/>
  <c r="BN26" i="98"/>
  <c r="AY21" i="98"/>
  <c r="BK21" i="98"/>
  <c r="I21" i="98" s="1"/>
  <c r="BA21" i="98"/>
  <c r="BI21" i="98"/>
  <c r="AZ21" i="98" s="1"/>
  <c r="BB21" i="98"/>
  <c r="AW21" i="98"/>
  <c r="AK18" i="98"/>
  <c r="BM18" i="98"/>
  <c r="BN18" i="98"/>
  <c r="AK24" i="98"/>
  <c r="BN24" i="98"/>
  <c r="AZ24" i="98"/>
  <c r="BM24" i="98"/>
  <c r="BJ24" i="98"/>
  <c r="H24" i="98" s="1"/>
  <c r="BF24" i="98" s="1"/>
  <c r="AK15" i="98"/>
  <c r="BJ15" i="98"/>
  <c r="H15" i="98" s="1"/>
  <c r="BF15" i="98" s="1"/>
  <c r="BN15" i="98"/>
  <c r="AZ15" i="98"/>
  <c r="BM15" i="98"/>
  <c r="BJ10" i="98"/>
  <c r="H10" i="98" s="1"/>
  <c r="AK10" i="98"/>
  <c r="BM10" i="98"/>
  <c r="BN10" i="98"/>
  <c r="AK28" i="98"/>
  <c r="BM28" i="98"/>
  <c r="BJ28" i="98"/>
  <c r="H28" i="98" s="1"/>
  <c r="BF28" i="98" s="1"/>
  <c r="BN28" i="98"/>
  <c r="BA16" i="98"/>
  <c r="BB16" i="98"/>
  <c r="BK16" i="98"/>
  <c r="I16" i="98" s="1"/>
  <c r="AW16" i="98"/>
  <c r="BI16" i="98"/>
  <c r="AZ16" i="98" s="1"/>
  <c r="AY16" i="98"/>
  <c r="AY23" i="98"/>
  <c r="BK23" i="98"/>
  <c r="I23" i="98" s="1"/>
  <c r="BA23" i="98"/>
  <c r="BB23" i="98"/>
  <c r="AW23" i="98"/>
  <c r="AX23" i="98"/>
  <c r="BI23" i="98"/>
  <c r="AZ23" i="98" s="1"/>
  <c r="BA20" i="98"/>
  <c r="BB20" i="98"/>
  <c r="BI20" i="98"/>
  <c r="AZ20" i="98" s="1"/>
  <c r="BK20" i="98"/>
  <c r="I20" i="98" s="1"/>
  <c r="AW20" i="98"/>
  <c r="AY20" i="98"/>
  <c r="BG13" i="98"/>
  <c r="BJ14" i="98"/>
  <c r="H14" i="98" s="1"/>
  <c r="BF14" i="98" s="1"/>
  <c r="AK14" i="98"/>
  <c r="BM14" i="98"/>
  <c r="BN14" i="98"/>
  <c r="BJ22" i="98"/>
  <c r="H22" i="98" s="1"/>
  <c r="BF22" i="98" s="1"/>
  <c r="AK22" i="98"/>
  <c r="BM22" i="98"/>
  <c r="BN22" i="98"/>
  <c r="AV42" i="98"/>
  <c r="AV46" i="98" s="1"/>
  <c r="E42" i="98"/>
  <c r="Q6" i="98"/>
  <c r="AJ14" i="98"/>
  <c r="AJ15" i="98" s="1"/>
  <c r="AJ16" i="98" s="1"/>
  <c r="AJ17" i="98" s="1"/>
  <c r="AJ18" i="98" s="1"/>
  <c r="AK30" i="98"/>
  <c r="BM30" i="98"/>
  <c r="BN30" i="98"/>
  <c r="BJ30" i="98"/>
  <c r="H30" i="98" s="1"/>
  <c r="BF30" i="98" s="1"/>
  <c r="BM17" i="98"/>
  <c r="AZ10" i="98"/>
  <c r="AZ28" i="98"/>
  <c r="AY20" i="97"/>
  <c r="BI20" i="97"/>
  <c r="BB20" i="97"/>
  <c r="BK24" i="97"/>
  <c r="I24" i="97" s="1"/>
  <c r="AW24" i="97"/>
  <c r="AY24" i="97"/>
  <c r="BI24" i="97"/>
  <c r="BA24" i="97"/>
  <c r="BB24" i="97"/>
  <c r="BK13" i="97"/>
  <c r="I13" i="97" s="1"/>
  <c r="BA13" i="97"/>
  <c r="BB13" i="97"/>
  <c r="AY13" i="97"/>
  <c r="AK26" i="97"/>
  <c r="AZ26" i="97" s="1"/>
  <c r="BJ26" i="97"/>
  <c r="H26" i="97" s="1"/>
  <c r="BF26" i="97" s="1"/>
  <c r="BK16" i="97"/>
  <c r="I16" i="97" s="1"/>
  <c r="AW16" i="97"/>
  <c r="BI16" i="97"/>
  <c r="AY16" i="97"/>
  <c r="BB16" i="97"/>
  <c r="AN42" i="94"/>
  <c r="AN9" i="96"/>
  <c r="BN11" i="97"/>
  <c r="BI27" i="97"/>
  <c r="BK27" i="97"/>
  <c r="I27" i="97" s="1"/>
  <c r="AW27" i="97"/>
  <c r="AY27" i="97"/>
  <c r="BA27" i="97"/>
  <c r="BB27" i="97"/>
  <c r="BN19" i="97"/>
  <c r="AW17" i="97"/>
  <c r="BI17" i="97"/>
  <c r="AY17" i="97"/>
  <c r="BA17" i="97"/>
  <c r="BB17" i="97"/>
  <c r="BK17" i="97"/>
  <c r="I17" i="97" s="1"/>
  <c r="AK13" i="97"/>
  <c r="AZ13" i="97" s="1"/>
  <c r="BJ13" i="97"/>
  <c r="H13" i="97" s="1"/>
  <c r="BF13" i="97" s="1"/>
  <c r="BM13" i="97"/>
  <c r="AY25" i="97"/>
  <c r="BK25" i="97"/>
  <c r="I25" i="97" s="1"/>
  <c r="BB25" i="97"/>
  <c r="BI25" i="97"/>
  <c r="AW25" i="97"/>
  <c r="BA25" i="97"/>
  <c r="BN26" i="97"/>
  <c r="AW21" i="97"/>
  <c r="BI21" i="97"/>
  <c r="BK21" i="97"/>
  <c r="I21" i="97" s="1"/>
  <c r="AY21" i="97"/>
  <c r="BA21" i="97"/>
  <c r="BB21" i="97"/>
  <c r="BJ12" i="97"/>
  <c r="H12" i="97" s="1"/>
  <c r="BF12" i="97" s="1"/>
  <c r="BM12" i="97"/>
  <c r="BN12" i="97"/>
  <c r="AK12" i="97"/>
  <c r="AZ12" i="97" s="1"/>
  <c r="AV44" i="97"/>
  <c r="AV48" i="97" s="1"/>
  <c r="Q8" i="97"/>
  <c r="E44" i="97"/>
  <c r="B16" i="97"/>
  <c r="C12" i="97"/>
  <c r="AY23" i="97"/>
  <c r="BK23" i="97"/>
  <c r="I23" i="97" s="1"/>
  <c r="BA23" i="97"/>
  <c r="AW23" i="97"/>
  <c r="BB23" i="97"/>
  <c r="BI23" i="97"/>
  <c r="B14" i="97"/>
  <c r="BA22" i="97"/>
  <c r="BB22" i="97"/>
  <c r="BI22" i="97"/>
  <c r="AY22" i="97"/>
  <c r="BK22" i="97"/>
  <c r="I22" i="97" s="1"/>
  <c r="AW22" i="97"/>
  <c r="AJ21" i="97"/>
  <c r="AJ22" i="97" s="1"/>
  <c r="AJ23" i="97" s="1"/>
  <c r="AJ24" i="97" s="1"/>
  <c r="AX15" i="97"/>
  <c r="AY15" i="97"/>
  <c r="BK15" i="97"/>
  <c r="I15" i="97" s="1"/>
  <c r="BA15" i="97"/>
  <c r="BI15" i="97"/>
  <c r="AW15" i="97"/>
  <c r="BB15" i="97"/>
  <c r="BG11" i="97"/>
  <c r="BA18" i="97"/>
  <c r="BB18" i="97"/>
  <c r="BI18" i="97"/>
  <c r="BK18" i="97"/>
  <c r="I18" i="97" s="1"/>
  <c r="AW18" i="97"/>
  <c r="AY18" i="97"/>
  <c r="BA14" i="97"/>
  <c r="BB14" i="97"/>
  <c r="AY14" i="97"/>
  <c r="BK14" i="97"/>
  <c r="I14" i="97" s="1"/>
  <c r="BI14" i="97"/>
  <c r="AW14" i="97"/>
  <c r="AM19" i="97"/>
  <c r="AT19" i="97"/>
  <c r="AR19" i="97"/>
  <c r="AV19" i="97" s="1"/>
  <c r="BN20" i="97"/>
  <c r="BI23" i="96"/>
  <c r="AW23" i="96"/>
  <c r="BN19" i="96"/>
  <c r="BI15" i="96"/>
  <c r="BB15" i="96"/>
  <c r="BB23" i="96"/>
  <c r="BM25" i="96"/>
  <c r="AW15" i="96"/>
  <c r="BB11" i="96"/>
  <c r="AW11" i="96"/>
  <c r="BA15" i="96"/>
  <c r="BK15" i="96"/>
  <c r="I15" i="96" s="1"/>
  <c r="BI11" i="96"/>
  <c r="AZ11" i="96" s="1"/>
  <c r="AW24" i="96"/>
  <c r="BI24" i="96"/>
  <c r="AZ24" i="96" s="1"/>
  <c r="AX24" i="96"/>
  <c r="BK24" i="96"/>
  <c r="I24" i="96" s="1"/>
  <c r="AY24" i="96"/>
  <c r="BA24" i="96"/>
  <c r="BB24" i="96"/>
  <c r="AY15" i="96"/>
  <c r="AW17" i="96"/>
  <c r="BI17" i="96"/>
  <c r="AY17" i="96"/>
  <c r="BK17" i="96"/>
  <c r="I17" i="96" s="1"/>
  <c r="BA17" i="96"/>
  <c r="BB17" i="96"/>
  <c r="AX20" i="96"/>
  <c r="AW20" i="96"/>
  <c r="BI20" i="96"/>
  <c r="AZ20" i="96" s="1"/>
  <c r="BA20" i="96"/>
  <c r="BB20" i="96"/>
  <c r="BK20" i="96"/>
  <c r="I20" i="96" s="1"/>
  <c r="AY20" i="96"/>
  <c r="BJ27" i="96"/>
  <c r="H27" i="96" s="1"/>
  <c r="BF27" i="96" s="1"/>
  <c r="AK27" i="96"/>
  <c r="AZ27" i="96" s="1"/>
  <c r="BM27" i="96"/>
  <c r="BN27" i="96"/>
  <c r="AK26" i="96"/>
  <c r="AZ26" i="96" s="1"/>
  <c r="BJ26" i="96"/>
  <c r="H26" i="96" s="1"/>
  <c r="BF26" i="96" s="1"/>
  <c r="BM26" i="96"/>
  <c r="BN26" i="96"/>
  <c r="AW16" i="96"/>
  <c r="BI16" i="96"/>
  <c r="BA16" i="96"/>
  <c r="BB16" i="96"/>
  <c r="BK16" i="96"/>
  <c r="I16" i="96" s="1"/>
  <c r="AY16" i="96"/>
  <c r="BM14" i="96"/>
  <c r="BN14" i="96"/>
  <c r="AK14" i="96"/>
  <c r="AZ14" i="96" s="1"/>
  <c r="BJ14" i="96"/>
  <c r="H14" i="96" s="1"/>
  <c r="BF14" i="96" s="1"/>
  <c r="AV44" i="96"/>
  <c r="AV48" i="96" s="1"/>
  <c r="E44" i="96"/>
  <c r="Q8" i="96"/>
  <c r="BM18" i="96"/>
  <c r="BN18" i="96"/>
  <c r="AK18" i="96"/>
  <c r="AZ18" i="96" s="1"/>
  <c r="BJ18" i="96"/>
  <c r="H18" i="96" s="1"/>
  <c r="BF18" i="96" s="1"/>
  <c r="AJ21" i="96"/>
  <c r="BA22" i="96"/>
  <c r="BB22" i="96"/>
  <c r="AW22" i="96"/>
  <c r="BI22" i="96"/>
  <c r="AY22" i="96"/>
  <c r="BK22" i="96"/>
  <c r="I22" i="96" s="1"/>
  <c r="AW13" i="96"/>
  <c r="BI13" i="96"/>
  <c r="AY13" i="96"/>
  <c r="BK13" i="96"/>
  <c r="I13" i="96" s="1"/>
  <c r="BA13" i="96"/>
  <c r="BB13" i="96"/>
  <c r="B14" i="96"/>
  <c r="B16" i="96" s="1"/>
  <c r="AW21" i="96"/>
  <c r="BI21" i="96"/>
  <c r="AY21" i="96"/>
  <c r="BK21" i="96"/>
  <c r="I21" i="96" s="1"/>
  <c r="BA21" i="96"/>
  <c r="BB21" i="96"/>
  <c r="AW12" i="96"/>
  <c r="BI12" i="96"/>
  <c r="BA12" i="96"/>
  <c r="BB12" i="96"/>
  <c r="BK12" i="96"/>
  <c r="I12" i="96" s="1"/>
  <c r="AY12" i="96"/>
  <c r="BN25" i="96"/>
  <c r="AN7" i="94"/>
  <c r="BN11" i="93"/>
  <c r="AN42" i="95"/>
  <c r="AX18" i="95"/>
  <c r="AY18" i="95"/>
  <c r="BA18" i="95"/>
  <c r="BK18" i="95"/>
  <c r="I18" i="95" s="1"/>
  <c r="BB18" i="95"/>
  <c r="AK25" i="95"/>
  <c r="AZ25" i="95"/>
  <c r="BN25" i="95"/>
  <c r="BJ25" i="95"/>
  <c r="H25" i="95" s="1"/>
  <c r="BF25" i="95" s="1"/>
  <c r="BM25" i="95"/>
  <c r="BM15" i="95"/>
  <c r="BJ15" i="95"/>
  <c r="H15" i="95" s="1"/>
  <c r="BF15" i="95" s="1"/>
  <c r="AK15" i="95"/>
  <c r="BN15" i="95"/>
  <c r="AN7" i="95"/>
  <c r="AZ15" i="95"/>
  <c r="AX9" i="95"/>
  <c r="AY9" i="95"/>
  <c r="BK9" i="95"/>
  <c r="I9" i="95" s="1"/>
  <c r="BI9" i="95"/>
  <c r="AZ9" i="95" s="1"/>
  <c r="AW9" i="95"/>
  <c r="BA9" i="95"/>
  <c r="BB9" i="95"/>
  <c r="B14" i="95"/>
  <c r="B15" i="95" s="1"/>
  <c r="B16" i="95" s="1"/>
  <c r="BA16" i="95"/>
  <c r="BB16" i="95"/>
  <c r="BK16" i="95"/>
  <c r="I16" i="95" s="1"/>
  <c r="BI16" i="95"/>
  <c r="AZ16" i="95" s="1"/>
  <c r="AW16" i="95"/>
  <c r="AY16" i="95"/>
  <c r="BA11" i="95"/>
  <c r="AY11" i="95"/>
  <c r="BB11" i="95"/>
  <c r="BK11" i="95"/>
  <c r="I11" i="95" s="1"/>
  <c r="BI11" i="95"/>
  <c r="AZ11" i="95" s="1"/>
  <c r="AW11" i="95"/>
  <c r="AX13" i="95"/>
  <c r="AY13" i="95"/>
  <c r="BK13" i="95"/>
  <c r="I13" i="95" s="1"/>
  <c r="BI13" i="95"/>
  <c r="AW13" i="95"/>
  <c r="BA13" i="95"/>
  <c r="BB13" i="95"/>
  <c r="AV42" i="95"/>
  <c r="AV46" i="95" s="1"/>
  <c r="Q6" i="95"/>
  <c r="E42" i="95"/>
  <c r="AK24" i="95"/>
  <c r="BJ24" i="95"/>
  <c r="H24" i="95" s="1"/>
  <c r="BF24" i="95" s="1"/>
  <c r="BN24" i="95"/>
  <c r="BM24" i="95"/>
  <c r="AY21" i="95"/>
  <c r="BK21" i="95"/>
  <c r="I21" i="95" s="1"/>
  <c r="BB21" i="95"/>
  <c r="AW21" i="95"/>
  <c r="BA21" i="95"/>
  <c r="BI21" i="95"/>
  <c r="AK22" i="95"/>
  <c r="BM22" i="95"/>
  <c r="BN22" i="95"/>
  <c r="AK19" i="95"/>
  <c r="BJ19" i="95"/>
  <c r="H19" i="95" s="1"/>
  <c r="BF19" i="95" s="1"/>
  <c r="BM19" i="95"/>
  <c r="BN19" i="95"/>
  <c r="BA12" i="95"/>
  <c r="BB12" i="95"/>
  <c r="BI12" i="95"/>
  <c r="AZ12" i="95" s="1"/>
  <c r="AY12" i="95"/>
  <c r="AW12" i="95"/>
  <c r="BK12" i="95"/>
  <c r="I12" i="95" s="1"/>
  <c r="AY17" i="95"/>
  <c r="BK17" i="95"/>
  <c r="I17" i="95" s="1"/>
  <c r="AW17" i="95"/>
  <c r="BA17" i="95"/>
  <c r="BB17" i="95"/>
  <c r="BI17" i="95"/>
  <c r="AK18" i="95"/>
  <c r="AZ18" i="95"/>
  <c r="BM18" i="95"/>
  <c r="AY23" i="95"/>
  <c r="BK23" i="95"/>
  <c r="I23" i="95" s="1"/>
  <c r="BA23" i="95"/>
  <c r="AW23" i="95"/>
  <c r="BB23" i="95"/>
  <c r="BI23" i="95"/>
  <c r="AZ23" i="95" s="1"/>
  <c r="AK14" i="95"/>
  <c r="BJ14" i="95"/>
  <c r="H14" i="95" s="1"/>
  <c r="BF14" i="95" s="1"/>
  <c r="BN14" i="95"/>
  <c r="AZ14" i="95"/>
  <c r="BM14" i="95"/>
  <c r="AK10" i="95"/>
  <c r="BM10" i="95"/>
  <c r="BN10" i="95"/>
  <c r="BJ10" i="95"/>
  <c r="H10" i="95" s="1"/>
  <c r="AZ24" i="95"/>
  <c r="BA20" i="95"/>
  <c r="BB20" i="95"/>
  <c r="AW20" i="95"/>
  <c r="BK20" i="95"/>
  <c r="I20" i="95" s="1"/>
  <c r="AY20" i="95"/>
  <c r="BI20" i="95"/>
  <c r="AZ20" i="95" s="1"/>
  <c r="C10" i="95"/>
  <c r="AJ19" i="95"/>
  <c r="AP11" i="93"/>
  <c r="AN7" i="93"/>
  <c r="AK19" i="94"/>
  <c r="BJ19" i="94"/>
  <c r="H19" i="94" s="1"/>
  <c r="BF19" i="94" s="1"/>
  <c r="BM19" i="94"/>
  <c r="BN19" i="94"/>
  <c r="AZ19" i="94"/>
  <c r="AV42" i="94"/>
  <c r="AV46" i="94" s="1"/>
  <c r="E42" i="94"/>
  <c r="Q6" i="94"/>
  <c r="BA16" i="94"/>
  <c r="BB16" i="94"/>
  <c r="BI16" i="94"/>
  <c r="BK16" i="94"/>
  <c r="I16" i="94" s="1"/>
  <c r="AY16" i="94"/>
  <c r="AW16" i="94"/>
  <c r="AK24" i="94"/>
  <c r="BN24" i="94"/>
  <c r="AZ24" i="94"/>
  <c r="BJ24" i="94"/>
  <c r="H24" i="94" s="1"/>
  <c r="BF24" i="94" s="1"/>
  <c r="BM24" i="94"/>
  <c r="BA12" i="94"/>
  <c r="BB12" i="94"/>
  <c r="AW12" i="94"/>
  <c r="AY12" i="94"/>
  <c r="BK12" i="94"/>
  <c r="I12" i="94" s="1"/>
  <c r="BI12" i="94"/>
  <c r="AY23" i="94"/>
  <c r="BK23" i="94"/>
  <c r="I23" i="94" s="1"/>
  <c r="BA23" i="94"/>
  <c r="BB23" i="94"/>
  <c r="BI23" i="94"/>
  <c r="AZ23" i="94" s="1"/>
  <c r="AW23" i="94"/>
  <c r="AJ14" i="94"/>
  <c r="AJ15" i="94" s="1"/>
  <c r="AJ16" i="94" s="1"/>
  <c r="AJ17" i="94" s="1"/>
  <c r="AJ18" i="94" s="1"/>
  <c r="AK18" i="94"/>
  <c r="BM18" i="94"/>
  <c r="BN18" i="94"/>
  <c r="AX9" i="94"/>
  <c r="AY9" i="94"/>
  <c r="BK9" i="94"/>
  <c r="I9" i="94" s="1"/>
  <c r="BA9" i="94"/>
  <c r="BB9" i="94"/>
  <c r="AW9" i="94"/>
  <c r="BI9" i="94"/>
  <c r="AZ9" i="94" s="1"/>
  <c r="BM14" i="94"/>
  <c r="AK14" i="94"/>
  <c r="BJ14" i="94"/>
  <c r="H14" i="94" s="1"/>
  <c r="BF14" i="94" s="1"/>
  <c r="BN14" i="94"/>
  <c r="AK15" i="94"/>
  <c r="BJ15" i="94"/>
  <c r="H15" i="94" s="1"/>
  <c r="BF15" i="94" s="1"/>
  <c r="BN15" i="94"/>
  <c r="BM15" i="94"/>
  <c r="AY21" i="94"/>
  <c r="BK21" i="94"/>
  <c r="I21" i="94" s="1"/>
  <c r="BA21" i="94"/>
  <c r="BB21" i="94"/>
  <c r="BI21" i="94"/>
  <c r="AZ21" i="94" s="1"/>
  <c r="AW21" i="94"/>
  <c r="BM22" i="94"/>
  <c r="AK22" i="94"/>
  <c r="BN22" i="94"/>
  <c r="BA20" i="94"/>
  <c r="BB20" i="94"/>
  <c r="BI20" i="94"/>
  <c r="AZ20" i="94" s="1"/>
  <c r="AY20" i="94"/>
  <c r="BK20" i="94"/>
  <c r="I20" i="94" s="1"/>
  <c r="AW20" i="94"/>
  <c r="AX13" i="94"/>
  <c r="AY13" i="94"/>
  <c r="BK13" i="94"/>
  <c r="I13" i="94" s="1"/>
  <c r="BA13" i="94"/>
  <c r="BB13" i="94"/>
  <c r="AW13" i="94"/>
  <c r="BI13" i="94"/>
  <c r="BJ11" i="94"/>
  <c r="H11" i="94" s="1"/>
  <c r="AK11" i="94"/>
  <c r="BM11" i="94"/>
  <c r="BN11" i="94"/>
  <c r="BM10" i="94"/>
  <c r="AK10" i="94"/>
  <c r="BJ10" i="94"/>
  <c r="H10" i="94" s="1"/>
  <c r="BN10" i="94"/>
  <c r="B14" i="94"/>
  <c r="AY17" i="94"/>
  <c r="BK17" i="94"/>
  <c r="I17" i="94" s="1"/>
  <c r="BA17" i="94"/>
  <c r="BB17" i="94"/>
  <c r="AW17" i="94"/>
  <c r="BI17" i="94"/>
  <c r="AZ17" i="94" s="1"/>
  <c r="AZ22" i="94"/>
  <c r="BM25" i="94"/>
  <c r="AK25" i="94"/>
  <c r="BJ25" i="94"/>
  <c r="H25" i="94" s="1"/>
  <c r="BF25" i="94" s="1"/>
  <c r="BN25" i="94"/>
  <c r="AN42" i="93"/>
  <c r="AV46" i="93"/>
  <c r="AZ19" i="93"/>
  <c r="BB17" i="93"/>
  <c r="BI17" i="93"/>
  <c r="BA20" i="93"/>
  <c r="BB20" i="93"/>
  <c r="BI20" i="93"/>
  <c r="AZ20" i="93" s="1"/>
  <c r="BK20" i="93"/>
  <c r="I20" i="93" s="1"/>
  <c r="AW20" i="93"/>
  <c r="AY20" i="93"/>
  <c r="C10" i="93"/>
  <c r="AK14" i="93"/>
  <c r="BJ14" i="93"/>
  <c r="H14" i="93" s="1"/>
  <c r="BF14" i="93" s="1"/>
  <c r="BM14" i="93"/>
  <c r="BN14" i="93"/>
  <c r="AZ14" i="93"/>
  <c r="B14" i="93"/>
  <c r="AK18" i="93"/>
  <c r="BM18" i="93"/>
  <c r="BN18" i="93"/>
  <c r="AZ18" i="93"/>
  <c r="BI23" i="93"/>
  <c r="AZ23" i="93" s="1"/>
  <c r="AW23" i="93"/>
  <c r="BK23" i="93"/>
  <c r="I23" i="93" s="1"/>
  <c r="AY23" i="93"/>
  <c r="BB23" i="93"/>
  <c r="BA23" i="93"/>
  <c r="BJ15" i="93"/>
  <c r="H15" i="93" s="1"/>
  <c r="BF15" i="93" s="1"/>
  <c r="AK15" i="93"/>
  <c r="AX9" i="93"/>
  <c r="AY9" i="93"/>
  <c r="BK9" i="93"/>
  <c r="I9" i="93" s="1"/>
  <c r="AW9" i="93"/>
  <c r="BA9" i="93"/>
  <c r="BI9" i="93"/>
  <c r="BB9" i="93"/>
  <c r="BJ21" i="93"/>
  <c r="H21" i="93" s="1"/>
  <c r="BF21" i="93" s="1"/>
  <c r="BM21" i="93"/>
  <c r="AK21" i="93"/>
  <c r="BN15" i="93"/>
  <c r="AX13" i="93"/>
  <c r="AY13" i="93"/>
  <c r="BK13" i="93"/>
  <c r="I13" i="93" s="1"/>
  <c r="BI13" i="93"/>
  <c r="AZ13" i="93" s="1"/>
  <c r="BB13" i="93"/>
  <c r="AW13" i="93"/>
  <c r="BA13" i="93"/>
  <c r="AK10" i="93"/>
  <c r="BM10" i="93"/>
  <c r="BN10" i="93"/>
  <c r="BJ10" i="93"/>
  <c r="H10" i="93" s="1"/>
  <c r="BN21" i="93"/>
  <c r="AR11" i="93"/>
  <c r="AV11" i="93" s="1"/>
  <c r="AT11" i="93"/>
  <c r="AM11" i="93"/>
  <c r="AX11" i="93"/>
  <c r="BA16" i="93"/>
  <c r="BB16" i="93"/>
  <c r="AY16" i="93"/>
  <c r="AW16" i="93"/>
  <c r="BI16" i="93"/>
  <c r="BK16" i="93"/>
  <c r="I16" i="93" s="1"/>
  <c r="BA12" i="93"/>
  <c r="BB12" i="93"/>
  <c r="AW12" i="93"/>
  <c r="BK12" i="93"/>
  <c r="I12" i="93" s="1"/>
  <c r="AY12" i="93"/>
  <c r="BI12" i="93"/>
  <c r="BN19" i="93"/>
  <c r="BJ19" i="93"/>
  <c r="H19" i="93" s="1"/>
  <c r="BF19" i="93" s="1"/>
  <c r="AK19" i="93"/>
  <c r="AK22" i="93"/>
  <c r="BN22" i="93"/>
  <c r="BM22" i="93"/>
  <c r="AZ22" i="93"/>
  <c r="BM15" i="93"/>
  <c r="AJ19" i="93"/>
  <c r="AJ20" i="93" s="1"/>
  <c r="AJ21" i="93" s="1"/>
  <c r="AJ22" i="93" s="1"/>
  <c r="AK25" i="93"/>
  <c r="BJ25" i="93"/>
  <c r="H25" i="93" s="1"/>
  <c r="BF25" i="93" s="1"/>
  <c r="BN25" i="93"/>
  <c r="BM25" i="93"/>
  <c r="AY24" i="93"/>
  <c r="BK24" i="93"/>
  <c r="I24" i="93" s="1"/>
  <c r="BI24" i="93"/>
  <c r="AZ24" i="93" s="1"/>
  <c r="AW24" i="93"/>
  <c r="BA24" i="93"/>
  <c r="BB24" i="93"/>
  <c r="AZ15" i="93"/>
  <c r="BJ13" i="102" l="1"/>
  <c r="H13" i="102" s="1"/>
  <c r="AK13" i="102"/>
  <c r="BN13" i="102"/>
  <c r="BM13" i="102"/>
  <c r="BJ9" i="102"/>
  <c r="H9" i="102" s="1"/>
  <c r="AK9" i="102"/>
  <c r="BM9" i="102"/>
  <c r="BN9" i="102"/>
  <c r="BF11" i="102"/>
  <c r="AP11" i="102"/>
  <c r="AY5" i="102"/>
  <c r="AZ13" i="102"/>
  <c r="BJ10" i="102"/>
  <c r="H10" i="102" s="1"/>
  <c r="AK10" i="102"/>
  <c r="BN10" i="102"/>
  <c r="BM10" i="102"/>
  <c r="BA5" i="102"/>
  <c r="BJ14" i="102"/>
  <c r="H14" i="102" s="1"/>
  <c r="AK14" i="102"/>
  <c r="BM14" i="102"/>
  <c r="BN14" i="102"/>
  <c r="AM11" i="102"/>
  <c r="AT11" i="102"/>
  <c r="AR11" i="102"/>
  <c r="AV11" i="102" s="1"/>
  <c r="AX11" i="102"/>
  <c r="AP13" i="99"/>
  <c r="AZ9" i="102"/>
  <c r="BB7" i="97"/>
  <c r="AX25" i="96"/>
  <c r="AM25" i="96"/>
  <c r="AZ25" i="96"/>
  <c r="AM9" i="100"/>
  <c r="AT9" i="100"/>
  <c r="AR9" i="100"/>
  <c r="AV9" i="100" s="1"/>
  <c r="AX9" i="100"/>
  <c r="AK16" i="100"/>
  <c r="BJ16" i="100"/>
  <c r="H16" i="100" s="1"/>
  <c r="BF16" i="100" s="1"/>
  <c r="BM16" i="100"/>
  <c r="BN16" i="100"/>
  <c r="AK8" i="100"/>
  <c r="BN8" i="100"/>
  <c r="BM8" i="100"/>
  <c r="AM17" i="100"/>
  <c r="AP17" i="100" s="1"/>
  <c r="BG17" i="100" s="1"/>
  <c r="AT17" i="100"/>
  <c r="AR17" i="100"/>
  <c r="AV17" i="100" s="1"/>
  <c r="BF9" i="100"/>
  <c r="AP9" i="100"/>
  <c r="AM21" i="100"/>
  <c r="AR21" i="100"/>
  <c r="AV21" i="100" s="1"/>
  <c r="AT21" i="100"/>
  <c r="AX21" i="100"/>
  <c r="AY4" i="100"/>
  <c r="AP14" i="100"/>
  <c r="AK12" i="100"/>
  <c r="BJ12" i="100"/>
  <c r="H12" i="100" s="1"/>
  <c r="BN12" i="100"/>
  <c r="BM12" i="100"/>
  <c r="AZ16" i="100"/>
  <c r="AK20" i="100"/>
  <c r="BJ20" i="100"/>
  <c r="H20" i="100" s="1"/>
  <c r="BF20" i="100" s="1"/>
  <c r="BN20" i="100"/>
  <c r="BM20" i="100"/>
  <c r="AZ8" i="100"/>
  <c r="BM11" i="96"/>
  <c r="AR29" i="98"/>
  <c r="AV29" i="98" s="1"/>
  <c r="AY5" i="98"/>
  <c r="BA4" i="100"/>
  <c r="AM13" i="100"/>
  <c r="AR13" i="100"/>
  <c r="AV13" i="100" s="1"/>
  <c r="AT13" i="100"/>
  <c r="AX13" i="100"/>
  <c r="BJ15" i="100"/>
  <c r="H15" i="100" s="1"/>
  <c r="BF15" i="100" s="1"/>
  <c r="AK15" i="100"/>
  <c r="BM15" i="100"/>
  <c r="BN15" i="100"/>
  <c r="AZ12" i="100"/>
  <c r="BB4" i="100"/>
  <c r="BM11" i="100"/>
  <c r="AK11" i="100"/>
  <c r="BN11" i="100"/>
  <c r="AK19" i="100"/>
  <c r="BN19" i="100"/>
  <c r="BM19" i="100"/>
  <c r="AJ11" i="100"/>
  <c r="AT14" i="100"/>
  <c r="AM14" i="100"/>
  <c r="AX14" i="100"/>
  <c r="AR14" i="100"/>
  <c r="AV14" i="100" s="1"/>
  <c r="B18" i="100"/>
  <c r="AP13" i="100"/>
  <c r="AT18" i="100"/>
  <c r="AX18" i="100"/>
  <c r="AM18" i="100"/>
  <c r="AR18" i="100"/>
  <c r="AV18" i="100" s="1"/>
  <c r="BG21" i="99"/>
  <c r="AR25" i="96"/>
  <c r="AV25" i="96" s="1"/>
  <c r="AT29" i="98"/>
  <c r="AP17" i="99"/>
  <c r="AX29" i="98"/>
  <c r="AM13" i="99"/>
  <c r="AR13" i="99"/>
  <c r="AV13" i="99" s="1"/>
  <c r="AT13" i="99"/>
  <c r="AX13" i="99"/>
  <c r="BG13" i="99" s="1"/>
  <c r="AY7" i="99"/>
  <c r="AZ29" i="99"/>
  <c r="AK29" i="99"/>
  <c r="BJ29" i="99"/>
  <c r="H29" i="99" s="1"/>
  <c r="BF29" i="99" s="1"/>
  <c r="BN29" i="99"/>
  <c r="BM29" i="99"/>
  <c r="BN13" i="97"/>
  <c r="BJ14" i="99"/>
  <c r="H14" i="99" s="1"/>
  <c r="AK14" i="99"/>
  <c r="BM14" i="99"/>
  <c r="BN14" i="99"/>
  <c r="AT30" i="99"/>
  <c r="AM30" i="99"/>
  <c r="AR30" i="99"/>
  <c r="AV30" i="99" s="1"/>
  <c r="AX30" i="99"/>
  <c r="AM16" i="99"/>
  <c r="AR16" i="99"/>
  <c r="AV16" i="99" s="1"/>
  <c r="AT16" i="99"/>
  <c r="AX16" i="99"/>
  <c r="AK31" i="99"/>
  <c r="BJ31" i="99"/>
  <c r="H31" i="99" s="1"/>
  <c r="BF31" i="99" s="1"/>
  <c r="BM31" i="99"/>
  <c r="BN31" i="99"/>
  <c r="BJ26" i="99"/>
  <c r="H26" i="99" s="1"/>
  <c r="BF26" i="99" s="1"/>
  <c r="AK26" i="99"/>
  <c r="BM26" i="99"/>
  <c r="BN26" i="99"/>
  <c r="AK15" i="99"/>
  <c r="BN15" i="99"/>
  <c r="BM15" i="99"/>
  <c r="AZ26" i="99"/>
  <c r="AJ20" i="99"/>
  <c r="AJ21" i="99" s="1"/>
  <c r="AJ22" i="99" s="1"/>
  <c r="AJ23" i="99" s="1"/>
  <c r="AJ24" i="99" s="1"/>
  <c r="AK28" i="99"/>
  <c r="BN28" i="99"/>
  <c r="BM28" i="99"/>
  <c r="AT27" i="99"/>
  <c r="AM27" i="99"/>
  <c r="AR27" i="99"/>
  <c r="AV27" i="99" s="1"/>
  <c r="AX27" i="99"/>
  <c r="AZ31" i="99"/>
  <c r="BF12" i="99"/>
  <c r="AP12" i="99"/>
  <c r="AM20" i="99"/>
  <c r="AT20" i="99"/>
  <c r="AR20" i="99"/>
  <c r="AV20" i="99" s="1"/>
  <c r="AX20" i="99"/>
  <c r="AZ28" i="99"/>
  <c r="AK11" i="99"/>
  <c r="BN11" i="99"/>
  <c r="BM11" i="99"/>
  <c r="AZ15" i="99"/>
  <c r="AP20" i="99"/>
  <c r="B22" i="99"/>
  <c r="B23" i="99" s="1"/>
  <c r="AK19" i="99"/>
  <c r="BN19" i="99"/>
  <c r="BM19" i="99"/>
  <c r="AM12" i="99"/>
  <c r="AR12" i="99"/>
  <c r="AV12" i="99" s="1"/>
  <c r="AT12" i="99"/>
  <c r="AX12" i="99"/>
  <c r="AK22" i="99"/>
  <c r="BJ22" i="99"/>
  <c r="H22" i="99" s="1"/>
  <c r="BF22" i="99" s="1"/>
  <c r="BM22" i="99"/>
  <c r="BN22" i="99"/>
  <c r="BJ18" i="99"/>
  <c r="H18" i="99" s="1"/>
  <c r="AK18" i="99"/>
  <c r="BM18" i="99"/>
  <c r="BN18" i="99"/>
  <c r="BJ25" i="99"/>
  <c r="H25" i="99" s="1"/>
  <c r="BF25" i="99" s="1"/>
  <c r="AK25" i="99"/>
  <c r="BM25" i="99"/>
  <c r="BN25" i="99"/>
  <c r="BB7" i="99"/>
  <c r="AZ14" i="99"/>
  <c r="AP16" i="99"/>
  <c r="AR24" i="99"/>
  <c r="AV24" i="99" s="1"/>
  <c r="AT24" i="99"/>
  <c r="AM24" i="99"/>
  <c r="AP24" i="99" s="1"/>
  <c r="BG24" i="99" s="1"/>
  <c r="BA7" i="99"/>
  <c r="AR17" i="99"/>
  <c r="AV17" i="99" s="1"/>
  <c r="AT17" i="99"/>
  <c r="AM17" i="99"/>
  <c r="AX17" i="99"/>
  <c r="AZ22" i="99"/>
  <c r="BJ23" i="99"/>
  <c r="H23" i="99" s="1"/>
  <c r="BF23" i="99" s="1"/>
  <c r="AK23" i="99"/>
  <c r="BN23" i="99"/>
  <c r="BM23" i="99"/>
  <c r="BA5" i="98"/>
  <c r="B16" i="98"/>
  <c r="B17" i="98" s="1"/>
  <c r="AK11" i="96"/>
  <c r="AM11" i="96" s="1"/>
  <c r="BN11" i="96"/>
  <c r="BG11" i="93"/>
  <c r="BF11" i="98"/>
  <c r="AP11" i="98"/>
  <c r="AM28" i="98"/>
  <c r="AR28" i="98"/>
  <c r="AV28" i="98" s="1"/>
  <c r="AX28" i="98"/>
  <c r="AT28" i="98"/>
  <c r="AK12" i="98"/>
  <c r="BJ12" i="98"/>
  <c r="H12" i="98" s="1"/>
  <c r="BM12" i="98"/>
  <c r="BN12" i="98"/>
  <c r="AJ19" i="98"/>
  <c r="AR11" i="98"/>
  <c r="AV11" i="98" s="1"/>
  <c r="AT11" i="98"/>
  <c r="AM11" i="98"/>
  <c r="AX11" i="98"/>
  <c r="BG11" i="98" s="1"/>
  <c r="BF10" i="98"/>
  <c r="AP10" i="98"/>
  <c r="BB5" i="98"/>
  <c r="AK16" i="98"/>
  <c r="BJ16" i="98"/>
  <c r="H16" i="98" s="1"/>
  <c r="BF16" i="98" s="1"/>
  <c r="BN16" i="98"/>
  <c r="BM16" i="98"/>
  <c r="AK23" i="98"/>
  <c r="BM23" i="98"/>
  <c r="BN23" i="98"/>
  <c r="AM10" i="98"/>
  <c r="AR10" i="98"/>
  <c r="AT10" i="98"/>
  <c r="AX10" i="98"/>
  <c r="AR24" i="98"/>
  <c r="AV24" i="98" s="1"/>
  <c r="AT24" i="98"/>
  <c r="AX24" i="98"/>
  <c r="AM24" i="98"/>
  <c r="AR27" i="98"/>
  <c r="AV27" i="98" s="1"/>
  <c r="AM27" i="98"/>
  <c r="AP27" i="98" s="1"/>
  <c r="BG27" i="98" s="1"/>
  <c r="AT27" i="98"/>
  <c r="AR22" i="98"/>
  <c r="AV22" i="98" s="1"/>
  <c r="AT22" i="98"/>
  <c r="AM22" i="98"/>
  <c r="AX22" i="98"/>
  <c r="AM18" i="98"/>
  <c r="AP18" i="98" s="1"/>
  <c r="BG18" i="98" s="1"/>
  <c r="AR18" i="98"/>
  <c r="AV18" i="98" s="1"/>
  <c r="AT18" i="98"/>
  <c r="AP14" i="98"/>
  <c r="AM17" i="98"/>
  <c r="AR17" i="98"/>
  <c r="AV17" i="98" s="1"/>
  <c r="AT17" i="98"/>
  <c r="AX17" i="98"/>
  <c r="BJ20" i="98"/>
  <c r="H20" i="98" s="1"/>
  <c r="BF20" i="98" s="1"/>
  <c r="AK20" i="98"/>
  <c r="BM20" i="98"/>
  <c r="BN20" i="98"/>
  <c r="AR15" i="98"/>
  <c r="AV15" i="98" s="1"/>
  <c r="AT15" i="98"/>
  <c r="AM15" i="98"/>
  <c r="AX15" i="98"/>
  <c r="BJ21" i="98"/>
  <c r="H21" i="98" s="1"/>
  <c r="BF21" i="98" s="1"/>
  <c r="AK21" i="98"/>
  <c r="BN21" i="98"/>
  <c r="BM21" i="98"/>
  <c r="AR25" i="98"/>
  <c r="AV25" i="98" s="1"/>
  <c r="AT25" i="98"/>
  <c r="AM25" i="98"/>
  <c r="AX25" i="98"/>
  <c r="AP15" i="98"/>
  <c r="AP9" i="98"/>
  <c r="BG9" i="98" s="1"/>
  <c r="AR30" i="98"/>
  <c r="AV30" i="98" s="1"/>
  <c r="AM30" i="98"/>
  <c r="AT30" i="98"/>
  <c r="AX30" i="98"/>
  <c r="AR14" i="98"/>
  <c r="AV14" i="98" s="1"/>
  <c r="AT14" i="98"/>
  <c r="AM14" i="98"/>
  <c r="AX14" i="98"/>
  <c r="AK19" i="98"/>
  <c r="BJ19" i="98"/>
  <c r="H19" i="98" s="1"/>
  <c r="BF19" i="98" s="1"/>
  <c r="BM19" i="98"/>
  <c r="BN19" i="98"/>
  <c r="AZ12" i="98"/>
  <c r="AZ5" i="98" s="1"/>
  <c r="AK24" i="97"/>
  <c r="BN24" i="97"/>
  <c r="AZ24" i="97"/>
  <c r="BM24" i="97"/>
  <c r="AY7" i="97"/>
  <c r="BJ16" i="97"/>
  <c r="H16" i="97" s="1"/>
  <c r="BF16" i="97" s="1"/>
  <c r="AK16" i="97"/>
  <c r="AZ16" i="97" s="1"/>
  <c r="BN16" i="97"/>
  <c r="BM16" i="97"/>
  <c r="BA7" i="97"/>
  <c r="AX26" i="97"/>
  <c r="AM26" i="97"/>
  <c r="AT26" i="97"/>
  <c r="AR26" i="97"/>
  <c r="AV26" i="97" s="1"/>
  <c r="AK20" i="97"/>
  <c r="BM20" i="97"/>
  <c r="AZ20" i="97"/>
  <c r="BJ25" i="97"/>
  <c r="H25" i="97" s="1"/>
  <c r="BF25" i="97" s="1"/>
  <c r="AK25" i="97"/>
  <c r="BM25" i="97"/>
  <c r="BN25" i="97"/>
  <c r="AI15" i="97"/>
  <c r="AZ25" i="97"/>
  <c r="B17" i="97"/>
  <c r="BJ27" i="97"/>
  <c r="H27" i="97" s="1"/>
  <c r="BF27" i="97" s="1"/>
  <c r="AK27" i="97"/>
  <c r="AZ27" i="97" s="1"/>
  <c r="BN27" i="97"/>
  <c r="BM27" i="97"/>
  <c r="AR12" i="97"/>
  <c r="AT12" i="97"/>
  <c r="AM12" i="97"/>
  <c r="AX12" i="97"/>
  <c r="AK14" i="97"/>
  <c r="AZ14" i="97" s="1"/>
  <c r="BJ14" i="97"/>
  <c r="H14" i="97" s="1"/>
  <c r="BF14" i="97" s="1"/>
  <c r="BN14" i="97"/>
  <c r="BM14" i="97"/>
  <c r="AK15" i="97"/>
  <c r="BM15" i="97"/>
  <c r="BN15" i="97"/>
  <c r="AP13" i="97"/>
  <c r="BJ22" i="97"/>
  <c r="H22" i="97" s="1"/>
  <c r="BF22" i="97" s="1"/>
  <c r="AK22" i="97"/>
  <c r="AZ22" i="97" s="1"/>
  <c r="BM22" i="97"/>
  <c r="BN22" i="97"/>
  <c r="BJ23" i="97"/>
  <c r="H23" i="97" s="1"/>
  <c r="BF23" i="97" s="1"/>
  <c r="AK23" i="97"/>
  <c r="AZ23" i="97" s="1"/>
  <c r="BN23" i="97"/>
  <c r="BM23" i="97"/>
  <c r="AP12" i="97"/>
  <c r="AK17" i="97"/>
  <c r="AZ17" i="97" s="1"/>
  <c r="BJ17" i="97"/>
  <c r="H17" i="97" s="1"/>
  <c r="BF17" i="97" s="1"/>
  <c r="BN17" i="97"/>
  <c r="BM17" i="97"/>
  <c r="BJ18" i="97"/>
  <c r="H18" i="97" s="1"/>
  <c r="BF18" i="97" s="1"/>
  <c r="AK18" i="97"/>
  <c r="AZ18" i="97" s="1"/>
  <c r="BM18" i="97"/>
  <c r="BN18" i="97"/>
  <c r="AR13" i="97"/>
  <c r="AV13" i="97" s="1"/>
  <c r="AT13" i="97"/>
  <c r="AM13" i="97"/>
  <c r="AX13" i="97"/>
  <c r="AJ25" i="97"/>
  <c r="AJ26" i="97" s="1"/>
  <c r="AJ27" i="97" s="1"/>
  <c r="AZ15" i="97"/>
  <c r="AK21" i="97"/>
  <c r="AZ21" i="97" s="1"/>
  <c r="BJ21" i="97"/>
  <c r="H21" i="97" s="1"/>
  <c r="BF21" i="97" s="1"/>
  <c r="BM21" i="97"/>
  <c r="BN21" i="97"/>
  <c r="AK15" i="96"/>
  <c r="BN15" i="96"/>
  <c r="BM15" i="96"/>
  <c r="BN18" i="95"/>
  <c r="BA7" i="96"/>
  <c r="AZ15" i="96"/>
  <c r="AK24" i="96"/>
  <c r="BM24" i="96"/>
  <c r="BN24" i="96"/>
  <c r="AY7" i="96"/>
  <c r="BJ23" i="96"/>
  <c r="H23" i="96" s="1"/>
  <c r="BF23" i="96" s="1"/>
  <c r="AK23" i="96"/>
  <c r="AZ23" i="96" s="1"/>
  <c r="BN23" i="96"/>
  <c r="BM23" i="96"/>
  <c r="AK21" i="96"/>
  <c r="AZ21" i="96" s="1"/>
  <c r="BJ21" i="96"/>
  <c r="H21" i="96" s="1"/>
  <c r="BF21" i="96" s="1"/>
  <c r="BM21" i="96"/>
  <c r="BN21" i="96"/>
  <c r="AR14" i="96"/>
  <c r="AV14" i="96" s="1"/>
  <c r="AT14" i="96"/>
  <c r="AM14" i="96"/>
  <c r="AX14" i="96"/>
  <c r="AX27" i="96"/>
  <c r="AR27" i="96"/>
  <c r="AV27" i="96" s="1"/>
  <c r="AM27" i="96"/>
  <c r="AT27" i="96"/>
  <c r="AR18" i="96"/>
  <c r="AV18" i="96" s="1"/>
  <c r="AT18" i="96"/>
  <c r="AM18" i="96"/>
  <c r="AX18" i="96"/>
  <c r="AR26" i="96"/>
  <c r="AV26" i="96" s="1"/>
  <c r="AT26" i="96"/>
  <c r="AM26" i="96"/>
  <c r="AX26" i="96"/>
  <c r="BB7" i="96"/>
  <c r="AK22" i="96"/>
  <c r="AZ22" i="96" s="1"/>
  <c r="BJ22" i="96"/>
  <c r="H22" i="96" s="1"/>
  <c r="BF22" i="96" s="1"/>
  <c r="BN22" i="96"/>
  <c r="BM22" i="96"/>
  <c r="BJ12" i="96"/>
  <c r="H12" i="96" s="1"/>
  <c r="AK12" i="96"/>
  <c r="AZ12" i="96" s="1"/>
  <c r="BM12" i="96"/>
  <c r="BN12" i="96"/>
  <c r="AP14" i="96"/>
  <c r="B17" i="96"/>
  <c r="AJ22" i="96"/>
  <c r="AJ23" i="96" s="1"/>
  <c r="AJ24" i="96" s="1"/>
  <c r="AK17" i="96"/>
  <c r="AZ17" i="96" s="1"/>
  <c r="BJ17" i="96"/>
  <c r="H17" i="96" s="1"/>
  <c r="BF17" i="96" s="1"/>
  <c r="BN17" i="96"/>
  <c r="BM17" i="96"/>
  <c r="AK20" i="96"/>
  <c r="BN20" i="96"/>
  <c r="BM20" i="96"/>
  <c r="AK13" i="96"/>
  <c r="AZ13" i="96" s="1"/>
  <c r="BJ13" i="96"/>
  <c r="H13" i="96" s="1"/>
  <c r="BN13" i="96"/>
  <c r="BM13" i="96"/>
  <c r="B18" i="96"/>
  <c r="AP18" i="96" s="1"/>
  <c r="AK16" i="96"/>
  <c r="AZ16" i="96" s="1"/>
  <c r="BJ16" i="96"/>
  <c r="H16" i="96" s="1"/>
  <c r="BF16" i="96" s="1"/>
  <c r="BN16" i="96"/>
  <c r="BM16" i="96"/>
  <c r="BB5" i="95"/>
  <c r="AR19" i="95"/>
  <c r="AV19" i="95" s="1"/>
  <c r="AT19" i="95"/>
  <c r="AM19" i="95"/>
  <c r="AX19" i="95"/>
  <c r="AK13" i="95"/>
  <c r="BN13" i="95"/>
  <c r="BM13" i="95"/>
  <c r="AM22" i="95"/>
  <c r="AP22" i="95" s="1"/>
  <c r="BG22" i="95" s="1"/>
  <c r="AR22" i="95"/>
  <c r="AV22" i="95" s="1"/>
  <c r="AT22" i="95"/>
  <c r="AR24" i="95"/>
  <c r="AV24" i="95" s="1"/>
  <c r="AM24" i="95"/>
  <c r="AT24" i="95"/>
  <c r="AX24" i="95"/>
  <c r="BM9" i="95"/>
  <c r="AK9" i="95"/>
  <c r="BN9" i="95"/>
  <c r="AZ13" i="95"/>
  <c r="AR15" i="95"/>
  <c r="AV15" i="95" s="1"/>
  <c r="AT15" i="95"/>
  <c r="AM15" i="95"/>
  <c r="AX15" i="95"/>
  <c r="BF10" i="95"/>
  <c r="AP10" i="95"/>
  <c r="AM14" i="95"/>
  <c r="AT14" i="95"/>
  <c r="AR14" i="95"/>
  <c r="AV14" i="95" s="1"/>
  <c r="AX14" i="95"/>
  <c r="AR18" i="95"/>
  <c r="AV18" i="95" s="1"/>
  <c r="AM18" i="95"/>
  <c r="AP18" i="95" s="1"/>
  <c r="BG18" i="95" s="1"/>
  <c r="AT18" i="95"/>
  <c r="BJ21" i="95"/>
  <c r="H21" i="95" s="1"/>
  <c r="BF21" i="95" s="1"/>
  <c r="BN21" i="95"/>
  <c r="AK21" i="95"/>
  <c r="BM21" i="95"/>
  <c r="BJ16" i="95"/>
  <c r="H16" i="95" s="1"/>
  <c r="BF16" i="95" s="1"/>
  <c r="AK16" i="95"/>
  <c r="BM16" i="95"/>
  <c r="BN16" i="95"/>
  <c r="AJ20" i="95"/>
  <c r="AJ21" i="95" s="1"/>
  <c r="AJ22" i="95" s="1"/>
  <c r="BA5" i="95"/>
  <c r="BJ17" i="95"/>
  <c r="H17" i="95" s="1"/>
  <c r="BF17" i="95" s="1"/>
  <c r="BN17" i="95"/>
  <c r="AK17" i="95"/>
  <c r="BM17" i="95"/>
  <c r="AR25" i="95"/>
  <c r="AV25" i="95" s="1"/>
  <c r="AT25" i="95"/>
  <c r="AX25" i="95"/>
  <c r="AM25" i="95"/>
  <c r="BJ23" i="95"/>
  <c r="H23" i="95" s="1"/>
  <c r="BF23" i="95" s="1"/>
  <c r="AK23" i="95"/>
  <c r="BN23" i="95"/>
  <c r="BM23" i="95"/>
  <c r="BJ12" i="95"/>
  <c r="H12" i="95" s="1"/>
  <c r="AK12" i="95"/>
  <c r="BN12" i="95"/>
  <c r="BM12" i="95"/>
  <c r="AY5" i="95"/>
  <c r="AZ21" i="95"/>
  <c r="AP15" i="95"/>
  <c r="B17" i="95"/>
  <c r="AK20" i="95"/>
  <c r="BJ20" i="95"/>
  <c r="H20" i="95" s="1"/>
  <c r="BF20" i="95" s="1"/>
  <c r="BN20" i="95"/>
  <c r="BM20" i="95"/>
  <c r="AR10" i="95"/>
  <c r="AV10" i="95" s="1"/>
  <c r="AM10" i="95"/>
  <c r="AT10" i="95"/>
  <c r="AX10" i="95"/>
  <c r="BM11" i="95"/>
  <c r="BJ11" i="95"/>
  <c r="H11" i="95" s="1"/>
  <c r="AK11" i="95"/>
  <c r="BN11" i="95"/>
  <c r="B19" i="95"/>
  <c r="AP19" i="95" s="1"/>
  <c r="AZ17" i="95"/>
  <c r="AP14" i="95"/>
  <c r="BA5" i="94"/>
  <c r="AJ19" i="94"/>
  <c r="AJ20" i="94" s="1"/>
  <c r="AJ21" i="94" s="1"/>
  <c r="AJ22" i="94" s="1"/>
  <c r="AM22" i="94"/>
  <c r="AP22" i="94" s="1"/>
  <c r="BG22" i="94" s="1"/>
  <c r="AR22" i="94"/>
  <c r="AV22" i="94" s="1"/>
  <c r="AT22" i="94"/>
  <c r="BF11" i="94"/>
  <c r="AP11" i="94"/>
  <c r="AK12" i="94"/>
  <c r="BJ12" i="94"/>
  <c r="H12" i="94" s="1"/>
  <c r="BM12" i="94"/>
  <c r="BN12" i="94"/>
  <c r="BJ21" i="94"/>
  <c r="H21" i="94" s="1"/>
  <c r="BF21" i="94" s="1"/>
  <c r="AK21" i="94"/>
  <c r="BM21" i="94"/>
  <c r="BN21" i="94"/>
  <c r="AR24" i="94"/>
  <c r="AV24" i="94" s="1"/>
  <c r="AT24" i="94"/>
  <c r="AM24" i="94"/>
  <c r="AX24" i="94"/>
  <c r="AP14" i="94"/>
  <c r="B15" i="94"/>
  <c r="B16" i="94" s="1"/>
  <c r="BJ20" i="94"/>
  <c r="H20" i="94" s="1"/>
  <c r="BF20" i="94" s="1"/>
  <c r="AK20" i="94"/>
  <c r="BN20" i="94"/>
  <c r="BM20" i="94"/>
  <c r="AM25" i="94"/>
  <c r="AR25" i="94"/>
  <c r="AV25" i="94" s="1"/>
  <c r="AT25" i="94"/>
  <c r="AX25" i="94"/>
  <c r="AK9" i="94"/>
  <c r="BM9" i="94"/>
  <c r="BN9" i="94"/>
  <c r="BJ23" i="94"/>
  <c r="H23" i="94" s="1"/>
  <c r="BF23" i="94" s="1"/>
  <c r="AK23" i="94"/>
  <c r="BN23" i="94"/>
  <c r="BM23" i="94"/>
  <c r="AZ12" i="94"/>
  <c r="AY5" i="94"/>
  <c r="AK13" i="94"/>
  <c r="BM13" i="94"/>
  <c r="BN13" i="94"/>
  <c r="AM14" i="94"/>
  <c r="AT14" i="94"/>
  <c r="AR14" i="94"/>
  <c r="AV14" i="94" s="1"/>
  <c r="AX14" i="94"/>
  <c r="AM18" i="94"/>
  <c r="AP18" i="94" s="1"/>
  <c r="BG18" i="94" s="1"/>
  <c r="AR18" i="94"/>
  <c r="AV18" i="94" s="1"/>
  <c r="AT18" i="94"/>
  <c r="AZ13" i="94"/>
  <c r="BB5" i="94"/>
  <c r="AK16" i="94"/>
  <c r="BJ16" i="94"/>
  <c r="H16" i="94" s="1"/>
  <c r="BF16" i="94" s="1"/>
  <c r="BN16" i="94"/>
  <c r="BM16" i="94"/>
  <c r="AR19" i="94"/>
  <c r="AV19" i="94" s="1"/>
  <c r="AT19" i="94"/>
  <c r="AM19" i="94"/>
  <c r="AX19" i="94"/>
  <c r="AR11" i="94"/>
  <c r="AV11" i="94" s="1"/>
  <c r="AT11" i="94"/>
  <c r="AM11" i="94"/>
  <c r="AX11" i="94"/>
  <c r="AR15" i="94"/>
  <c r="AV15" i="94" s="1"/>
  <c r="AT15" i="94"/>
  <c r="AM15" i="94"/>
  <c r="AX15" i="94"/>
  <c r="BF10" i="94"/>
  <c r="AP10" i="94"/>
  <c r="AM10" i="94"/>
  <c r="AT10" i="94"/>
  <c r="AR10" i="94"/>
  <c r="AV10" i="94" s="1"/>
  <c r="AX10" i="94"/>
  <c r="BJ17" i="94"/>
  <c r="H17" i="94" s="1"/>
  <c r="BF17" i="94" s="1"/>
  <c r="AK17" i="94"/>
  <c r="BN17" i="94"/>
  <c r="BM17" i="94"/>
  <c r="AZ16" i="94"/>
  <c r="B15" i="93"/>
  <c r="AP15" i="93" s="1"/>
  <c r="BJ17" i="93"/>
  <c r="H17" i="93" s="1"/>
  <c r="BF17" i="93" s="1"/>
  <c r="AK17" i="93"/>
  <c r="BN17" i="93"/>
  <c r="BM17" i="93"/>
  <c r="AZ17" i="93"/>
  <c r="BA5" i="93"/>
  <c r="AR19" i="93"/>
  <c r="AV19" i="93" s="1"/>
  <c r="AT19" i="93"/>
  <c r="AM19" i="93"/>
  <c r="AX19" i="93"/>
  <c r="AM14" i="93"/>
  <c r="AR14" i="93"/>
  <c r="AV14" i="93" s="1"/>
  <c r="AX14" i="93"/>
  <c r="AT14" i="93"/>
  <c r="AK9" i="93"/>
  <c r="BM9" i="93"/>
  <c r="BN9" i="93"/>
  <c r="AK16" i="93"/>
  <c r="BJ16" i="93"/>
  <c r="H16" i="93" s="1"/>
  <c r="BF16" i="93" s="1"/>
  <c r="BM16" i="93"/>
  <c r="BN16" i="93"/>
  <c r="BF10" i="93"/>
  <c r="AP10" i="93"/>
  <c r="AZ16" i="93"/>
  <c r="AR25" i="93"/>
  <c r="AV25" i="93" s="1"/>
  <c r="AM25" i="93"/>
  <c r="AT25" i="93"/>
  <c r="AX25" i="93"/>
  <c r="BJ12" i="93"/>
  <c r="H12" i="93" s="1"/>
  <c r="AK12" i="93"/>
  <c r="BM12" i="93"/>
  <c r="BN12" i="93"/>
  <c r="AJ23" i="93"/>
  <c r="AZ12" i="93"/>
  <c r="AY5" i="93"/>
  <c r="BJ23" i="93"/>
  <c r="H23" i="93" s="1"/>
  <c r="BF23" i="93" s="1"/>
  <c r="BM23" i="93"/>
  <c r="BN23" i="93"/>
  <c r="AK23" i="93"/>
  <c r="BJ20" i="93"/>
  <c r="H20" i="93" s="1"/>
  <c r="BF20" i="93" s="1"/>
  <c r="BM20" i="93"/>
  <c r="AK20" i="93"/>
  <c r="BN20" i="93"/>
  <c r="BJ24" i="93"/>
  <c r="H24" i="93" s="1"/>
  <c r="BF24" i="93" s="1"/>
  <c r="AK24" i="93"/>
  <c r="BN24" i="93"/>
  <c r="BM24" i="93"/>
  <c r="AZ9" i="93"/>
  <c r="AM10" i="93"/>
  <c r="AX10" i="93"/>
  <c r="AR10" i="93"/>
  <c r="AV10" i="93" s="1"/>
  <c r="AT10" i="93"/>
  <c r="AM21" i="93"/>
  <c r="AR21" i="93"/>
  <c r="AV21" i="93" s="1"/>
  <c r="AT21" i="93"/>
  <c r="AX21" i="93"/>
  <c r="AR15" i="93"/>
  <c r="AV15" i="93" s="1"/>
  <c r="AT15" i="93"/>
  <c r="AM15" i="93"/>
  <c r="AX15" i="93"/>
  <c r="BB5" i="93"/>
  <c r="AR18" i="93"/>
  <c r="AV18" i="93" s="1"/>
  <c r="AM18" i="93"/>
  <c r="AP18" i="93" s="1"/>
  <c r="BG18" i="93" s="1"/>
  <c r="AT18" i="93"/>
  <c r="AM22" i="93"/>
  <c r="AP22" i="93" s="1"/>
  <c r="BG22" i="93" s="1"/>
  <c r="AR22" i="93"/>
  <c r="AV22" i="93" s="1"/>
  <c r="AT22" i="93"/>
  <c r="AK13" i="93"/>
  <c r="BN13" i="93"/>
  <c r="BM13" i="93"/>
  <c r="AP14" i="93"/>
  <c r="BG14" i="100" l="1"/>
  <c r="BG9" i="100"/>
  <c r="BG11" i="102"/>
  <c r="BF10" i="102"/>
  <c r="AP10" i="102"/>
  <c r="BF9" i="102"/>
  <c r="AP9" i="102"/>
  <c r="AZ5" i="102"/>
  <c r="H42" i="102"/>
  <c r="BF13" i="102"/>
  <c r="AP13" i="102"/>
  <c r="BG13" i="102" s="1"/>
  <c r="AM10" i="102"/>
  <c r="AT10" i="102"/>
  <c r="AR10" i="102"/>
  <c r="AV10" i="102" s="1"/>
  <c r="AX10" i="102"/>
  <c r="AT13" i="102"/>
  <c r="AR13" i="102"/>
  <c r="AV13" i="102" s="1"/>
  <c r="AM13" i="102"/>
  <c r="AX13" i="102"/>
  <c r="BG13" i="100"/>
  <c r="BG16" i="99"/>
  <c r="AT9" i="102"/>
  <c r="AR9" i="102"/>
  <c r="AM9" i="102"/>
  <c r="AX9" i="102"/>
  <c r="AM14" i="102"/>
  <c r="AT14" i="102"/>
  <c r="AR14" i="102"/>
  <c r="AV14" i="102" s="1"/>
  <c r="AX14" i="102"/>
  <c r="BF14" i="102"/>
  <c r="AP14" i="102"/>
  <c r="AI24" i="97"/>
  <c r="C24" i="97" s="1"/>
  <c r="AP15" i="100"/>
  <c r="AM12" i="100"/>
  <c r="AT12" i="100"/>
  <c r="AR12" i="100"/>
  <c r="AV12" i="100" s="1"/>
  <c r="AX12" i="100"/>
  <c r="BG12" i="99"/>
  <c r="AZ4" i="100"/>
  <c r="AM16" i="100"/>
  <c r="AT16" i="100"/>
  <c r="AR16" i="100"/>
  <c r="AV16" i="100" s="1"/>
  <c r="AX16" i="100"/>
  <c r="AP14" i="97"/>
  <c r="BG17" i="99"/>
  <c r="AR15" i="100"/>
  <c r="AV15" i="100" s="1"/>
  <c r="AM15" i="100"/>
  <c r="AT15" i="100"/>
  <c r="AX15" i="100"/>
  <c r="AJ12" i="100"/>
  <c r="AJ13" i="100" s="1"/>
  <c r="AJ14" i="100" s="1"/>
  <c r="AJ15" i="100" s="1"/>
  <c r="AJ16" i="100" s="1"/>
  <c r="AJ17" i="100" s="1"/>
  <c r="AP16" i="100"/>
  <c r="AM8" i="100"/>
  <c r="AT8" i="100"/>
  <c r="AR8" i="100"/>
  <c r="AM20" i="100"/>
  <c r="AT20" i="100"/>
  <c r="AR20" i="100"/>
  <c r="AV20" i="100" s="1"/>
  <c r="AX20" i="100"/>
  <c r="AT11" i="96"/>
  <c r="AP18" i="100"/>
  <c r="BG18" i="100" s="1"/>
  <c r="B20" i="100"/>
  <c r="AR11" i="100"/>
  <c r="AV11" i="100" s="1"/>
  <c r="AT11" i="100"/>
  <c r="AM11" i="100"/>
  <c r="AP11" i="100" s="1"/>
  <c r="BG11" i="100" s="1"/>
  <c r="AR19" i="100"/>
  <c r="AV19" i="100" s="1"/>
  <c r="AT19" i="100"/>
  <c r="AM19" i="100"/>
  <c r="AP19" i="100" s="1"/>
  <c r="BG19" i="100" s="1"/>
  <c r="BF12" i="100"/>
  <c r="AP12" i="100"/>
  <c r="AX29" i="99"/>
  <c r="AR29" i="99"/>
  <c r="AV29" i="99" s="1"/>
  <c r="AT29" i="99"/>
  <c r="AM29" i="99"/>
  <c r="BG14" i="98"/>
  <c r="BG20" i="99"/>
  <c r="AR11" i="96"/>
  <c r="BG14" i="96"/>
  <c r="AZ7" i="99"/>
  <c r="AP23" i="99"/>
  <c r="AM15" i="99"/>
  <c r="AP15" i="99" s="1"/>
  <c r="BG15" i="99" s="1"/>
  <c r="AR15" i="99"/>
  <c r="AV15" i="99" s="1"/>
  <c r="AT15" i="99"/>
  <c r="AR18" i="99"/>
  <c r="AV18" i="99" s="1"/>
  <c r="AT18" i="99"/>
  <c r="AM18" i="99"/>
  <c r="AX18" i="99"/>
  <c r="AR22" i="99"/>
  <c r="AV22" i="99" s="1"/>
  <c r="AM22" i="99"/>
  <c r="AT22" i="99"/>
  <c r="AX22" i="99"/>
  <c r="AM25" i="99"/>
  <c r="AR25" i="99"/>
  <c r="AV25" i="99" s="1"/>
  <c r="AT25" i="99"/>
  <c r="AX25" i="99"/>
  <c r="AR14" i="99"/>
  <c r="AV14" i="99" s="1"/>
  <c r="AT14" i="99"/>
  <c r="AM14" i="99"/>
  <c r="AX14" i="99"/>
  <c r="BF18" i="99"/>
  <c r="AP18" i="99"/>
  <c r="AP22" i="99"/>
  <c r="B25" i="99"/>
  <c r="AP25" i="99" s="1"/>
  <c r="AM28" i="99"/>
  <c r="AP28" i="99" s="1"/>
  <c r="BG28" i="99" s="1"/>
  <c r="AR28" i="99"/>
  <c r="AV28" i="99" s="1"/>
  <c r="AT28" i="99"/>
  <c r="AM19" i="99"/>
  <c r="AP19" i="99" s="1"/>
  <c r="BG19" i="99" s="1"/>
  <c r="AR19" i="99"/>
  <c r="AV19" i="99" s="1"/>
  <c r="AT19" i="99"/>
  <c r="AR26" i="99"/>
  <c r="AV26" i="99" s="1"/>
  <c r="AT26" i="99"/>
  <c r="AM26" i="99"/>
  <c r="AX26" i="99"/>
  <c r="AJ25" i="99"/>
  <c r="AJ26" i="99" s="1"/>
  <c r="AJ27" i="99" s="1"/>
  <c r="AJ28" i="99" s="1"/>
  <c r="BF14" i="99"/>
  <c r="AP14" i="99"/>
  <c r="BG14" i="99" s="1"/>
  <c r="AM31" i="99"/>
  <c r="AR31" i="99"/>
  <c r="AV31" i="99" s="1"/>
  <c r="AT31" i="99"/>
  <c r="AX31" i="99"/>
  <c r="AM23" i="99"/>
  <c r="AT23" i="99"/>
  <c r="AR23" i="99"/>
  <c r="AV23" i="99" s="1"/>
  <c r="AX23" i="99"/>
  <c r="AM11" i="99"/>
  <c r="AT11" i="99"/>
  <c r="AR11" i="99"/>
  <c r="BG18" i="96"/>
  <c r="BG15" i="98"/>
  <c r="AP16" i="98"/>
  <c r="AV10" i="98"/>
  <c r="AP17" i="98"/>
  <c r="BG17" i="98" s="1"/>
  <c r="B19" i="98"/>
  <c r="AR20" i="98"/>
  <c r="AV20" i="98" s="1"/>
  <c r="AT20" i="98"/>
  <c r="AM20" i="98"/>
  <c r="AX20" i="98"/>
  <c r="AM23" i="98"/>
  <c r="AP23" i="98" s="1"/>
  <c r="BG23" i="98" s="1"/>
  <c r="AR23" i="98"/>
  <c r="AV23" i="98" s="1"/>
  <c r="AT23" i="98"/>
  <c r="BG10" i="98"/>
  <c r="AR16" i="98"/>
  <c r="AV16" i="98" s="1"/>
  <c r="AT16" i="98"/>
  <c r="AM16" i="98"/>
  <c r="AX16" i="98"/>
  <c r="AJ20" i="98"/>
  <c r="B20" i="98"/>
  <c r="AP20" i="98" s="1"/>
  <c r="BF12" i="98"/>
  <c r="AP12" i="98"/>
  <c r="AR19" i="98"/>
  <c r="AV19" i="98" s="1"/>
  <c r="AT19" i="98"/>
  <c r="AM19" i="98"/>
  <c r="AX19" i="98"/>
  <c r="AM21" i="98"/>
  <c r="AR21" i="98"/>
  <c r="AV21" i="98" s="1"/>
  <c r="AT21" i="98"/>
  <c r="AX21" i="98"/>
  <c r="AR12" i="98"/>
  <c r="AV12" i="98" s="1"/>
  <c r="AT12" i="98"/>
  <c r="AM12" i="98"/>
  <c r="AX12" i="98"/>
  <c r="BG15" i="93"/>
  <c r="BG14" i="94"/>
  <c r="AP16" i="94"/>
  <c r="AZ7" i="97"/>
  <c r="AR16" i="97"/>
  <c r="AV16" i="97" s="1"/>
  <c r="AM16" i="97"/>
  <c r="AT16" i="97"/>
  <c r="AX16" i="97"/>
  <c r="BG13" i="97"/>
  <c r="AM20" i="97"/>
  <c r="AP20" i="97" s="1"/>
  <c r="BG20" i="97" s="1"/>
  <c r="AR20" i="97"/>
  <c r="AV20" i="97" s="1"/>
  <c r="AT20" i="97"/>
  <c r="BG14" i="95"/>
  <c r="AI11" i="97"/>
  <c r="C11" i="97" s="1"/>
  <c r="AR24" i="97"/>
  <c r="AV24" i="97" s="1"/>
  <c r="AM24" i="97"/>
  <c r="AP24" i="97" s="1"/>
  <c r="BG24" i="97" s="1"/>
  <c r="AT24" i="97"/>
  <c r="AI20" i="97"/>
  <c r="C20" i="97" s="1"/>
  <c r="AP16" i="97"/>
  <c r="AV12" i="97"/>
  <c r="AR21" i="97"/>
  <c r="AV21" i="97" s="1"/>
  <c r="AM21" i="97"/>
  <c r="AT21" i="97"/>
  <c r="AX21" i="97"/>
  <c r="AM15" i="97"/>
  <c r="AP15" i="97" s="1"/>
  <c r="BG15" i="97" s="1"/>
  <c r="AR15" i="97"/>
  <c r="AV15" i="97" s="1"/>
  <c r="AT15" i="97"/>
  <c r="AR27" i="97"/>
  <c r="AV27" i="97" s="1"/>
  <c r="AT27" i="97"/>
  <c r="AM27" i="97"/>
  <c r="AX27" i="97"/>
  <c r="AM25" i="97"/>
  <c r="AR25" i="97"/>
  <c r="AV25" i="97" s="1"/>
  <c r="AT25" i="97"/>
  <c r="AX25" i="97"/>
  <c r="AR17" i="97"/>
  <c r="AV17" i="97" s="1"/>
  <c r="AM17" i="97"/>
  <c r="AT17" i="97"/>
  <c r="AX17" i="97"/>
  <c r="AR18" i="97"/>
  <c r="AV18" i="97" s="1"/>
  <c r="AT18" i="97"/>
  <c r="AM18" i="97"/>
  <c r="AX18" i="97"/>
  <c r="AP17" i="97"/>
  <c r="B18" i="97"/>
  <c r="AR22" i="97"/>
  <c r="AV22" i="97" s="1"/>
  <c r="AT22" i="97"/>
  <c r="AM22" i="97"/>
  <c r="AX22" i="97"/>
  <c r="C15" i="97"/>
  <c r="AI46" i="97"/>
  <c r="AM23" i="97"/>
  <c r="AR23" i="97"/>
  <c r="AV23" i="97" s="1"/>
  <c r="AT23" i="97"/>
  <c r="AX23" i="97"/>
  <c r="AR14" i="97"/>
  <c r="AV14" i="97" s="1"/>
  <c r="AT14" i="97"/>
  <c r="AM14" i="97"/>
  <c r="AX14" i="97"/>
  <c r="BG12" i="97"/>
  <c r="AX23" i="96"/>
  <c r="AT23" i="96"/>
  <c r="AM23" i="96"/>
  <c r="AR23" i="96"/>
  <c r="AV23" i="96" s="1"/>
  <c r="BG15" i="95"/>
  <c r="AR24" i="96"/>
  <c r="AV24" i="96" s="1"/>
  <c r="AT24" i="96"/>
  <c r="AM24" i="96"/>
  <c r="AP24" i="96" s="1"/>
  <c r="BG24" i="96" s="1"/>
  <c r="B19" i="96"/>
  <c r="AP19" i="96" s="1"/>
  <c r="BG19" i="96" s="1"/>
  <c r="AM15" i="96"/>
  <c r="AP15" i="96" s="1"/>
  <c r="BG15" i="96" s="1"/>
  <c r="AR15" i="96"/>
  <c r="AV15" i="96" s="1"/>
  <c r="AT15" i="96"/>
  <c r="AR21" i="96"/>
  <c r="AV21" i="96" s="1"/>
  <c r="AT21" i="96"/>
  <c r="AM21" i="96"/>
  <c r="AX21" i="96"/>
  <c r="AR20" i="96"/>
  <c r="AV20" i="96" s="1"/>
  <c r="AM20" i="96"/>
  <c r="AP20" i="96" s="1"/>
  <c r="BG20" i="96" s="1"/>
  <c r="AT20" i="96"/>
  <c r="AV11" i="96"/>
  <c r="AP11" i="96"/>
  <c r="BG11" i="96" s="1"/>
  <c r="AR17" i="96"/>
  <c r="AV17" i="96" s="1"/>
  <c r="AT17" i="96"/>
  <c r="AM17" i="96"/>
  <c r="AX17" i="96"/>
  <c r="AR12" i="96"/>
  <c r="AV12" i="96" s="1"/>
  <c r="AM12" i="96"/>
  <c r="AT12" i="96"/>
  <c r="AX12" i="96"/>
  <c r="AP16" i="96"/>
  <c r="BF12" i="96"/>
  <c r="AP12" i="96"/>
  <c r="AR22" i="96"/>
  <c r="AV22" i="96" s="1"/>
  <c r="AT22" i="96"/>
  <c r="AM22" i="96"/>
  <c r="AX22" i="96"/>
  <c r="AR13" i="96"/>
  <c r="AV13" i="96" s="1"/>
  <c r="AT13" i="96"/>
  <c r="AM13" i="96"/>
  <c r="AX13" i="96"/>
  <c r="AZ7" i="96"/>
  <c r="AJ25" i="96"/>
  <c r="AR16" i="96"/>
  <c r="AV16" i="96" s="1"/>
  <c r="AM16" i="96"/>
  <c r="AT16" i="96"/>
  <c r="AX16" i="96"/>
  <c r="BF13" i="96"/>
  <c r="AP13" i="96"/>
  <c r="AP17" i="96"/>
  <c r="BG10" i="93"/>
  <c r="AP16" i="95"/>
  <c r="AM21" i="95"/>
  <c r="AR21" i="95"/>
  <c r="AV21" i="95" s="1"/>
  <c r="AT21" i="95"/>
  <c r="AX21" i="95"/>
  <c r="AR11" i="95"/>
  <c r="AV11" i="95" s="1"/>
  <c r="AT11" i="95"/>
  <c r="AM11" i="95"/>
  <c r="AX11" i="95"/>
  <c r="AP17" i="95"/>
  <c r="AJ23" i="95"/>
  <c r="AM23" i="95"/>
  <c r="AR23" i="95"/>
  <c r="AV23" i="95" s="1"/>
  <c r="AT23" i="95"/>
  <c r="AX23" i="95"/>
  <c r="AT20" i="95"/>
  <c r="AR20" i="95"/>
  <c r="AV20" i="95" s="1"/>
  <c r="AM20" i="95"/>
  <c r="AX20" i="95"/>
  <c r="BF12" i="95"/>
  <c r="AP12" i="95"/>
  <c r="BG19" i="95"/>
  <c r="BF11" i="95"/>
  <c r="AP11" i="95"/>
  <c r="AM13" i="95"/>
  <c r="AP13" i="95" s="1"/>
  <c r="BG13" i="95" s="1"/>
  <c r="AT13" i="95"/>
  <c r="AR13" i="95"/>
  <c r="AV13" i="95" s="1"/>
  <c r="AR12" i="95"/>
  <c r="AV12" i="95" s="1"/>
  <c r="AM12" i="95"/>
  <c r="AT12" i="95"/>
  <c r="AX12" i="95"/>
  <c r="AZ5" i="95"/>
  <c r="B20" i="95"/>
  <c r="AM9" i="95"/>
  <c r="AR9" i="95"/>
  <c r="AT9" i="95"/>
  <c r="BG10" i="95"/>
  <c r="AM17" i="95"/>
  <c r="AR17" i="95"/>
  <c r="AV17" i="95" s="1"/>
  <c r="AT17" i="95"/>
  <c r="AX17" i="95"/>
  <c r="AM16" i="95"/>
  <c r="AT16" i="95"/>
  <c r="AR16" i="95"/>
  <c r="AV16" i="95" s="1"/>
  <c r="AX16" i="95"/>
  <c r="AZ5" i="94"/>
  <c r="B17" i="94"/>
  <c r="AP17" i="94" s="1"/>
  <c r="AM23" i="94"/>
  <c r="AR23" i="94"/>
  <c r="AV23" i="94" s="1"/>
  <c r="AT23" i="94"/>
  <c r="AX23" i="94"/>
  <c r="AP15" i="94"/>
  <c r="BG15" i="94" s="1"/>
  <c r="AR21" i="94"/>
  <c r="AV21" i="94" s="1"/>
  <c r="AM21" i="94"/>
  <c r="AT21" i="94"/>
  <c r="AX21" i="94"/>
  <c r="AT16" i="94"/>
  <c r="AR16" i="94"/>
  <c r="AV16" i="94" s="1"/>
  <c r="AM16" i="94"/>
  <c r="AX16" i="94"/>
  <c r="AM9" i="94"/>
  <c r="AR9" i="94"/>
  <c r="AT9" i="94"/>
  <c r="AT20" i="94"/>
  <c r="AR20" i="94"/>
  <c r="AV20" i="94" s="1"/>
  <c r="AM20" i="94"/>
  <c r="AX20" i="94"/>
  <c r="BG11" i="94"/>
  <c r="AR17" i="94"/>
  <c r="AV17" i="94" s="1"/>
  <c r="AM17" i="94"/>
  <c r="AT17" i="94"/>
  <c r="AX17" i="94"/>
  <c r="BG10" i="94"/>
  <c r="AM13" i="94"/>
  <c r="AP13" i="94" s="1"/>
  <c r="BG13" i="94" s="1"/>
  <c r="AR13" i="94"/>
  <c r="AV13" i="94" s="1"/>
  <c r="AT13" i="94"/>
  <c r="AJ23" i="94"/>
  <c r="BF12" i="94"/>
  <c r="AP12" i="94"/>
  <c r="AR12" i="94"/>
  <c r="AV12" i="94" s="1"/>
  <c r="AT12" i="94"/>
  <c r="AM12" i="94"/>
  <c r="AX12" i="94"/>
  <c r="AX17" i="93"/>
  <c r="AR17" i="93"/>
  <c r="AV17" i="93" s="1"/>
  <c r="AT17" i="93"/>
  <c r="AM17" i="93"/>
  <c r="BG14" i="93"/>
  <c r="B16" i="93"/>
  <c r="B17" i="93" s="1"/>
  <c r="AP17" i="93" s="1"/>
  <c r="AM20" i="93"/>
  <c r="AR20" i="93"/>
  <c r="AV20" i="93" s="1"/>
  <c r="AT20" i="93"/>
  <c r="AX20" i="93"/>
  <c r="AZ5" i="93"/>
  <c r="AT16" i="93"/>
  <c r="AM16" i="93"/>
  <c r="AR16" i="93"/>
  <c r="AV16" i="93" s="1"/>
  <c r="AX16" i="93"/>
  <c r="AM13" i="93"/>
  <c r="AP13" i="93" s="1"/>
  <c r="BG13" i="93" s="1"/>
  <c r="AT13" i="93"/>
  <c r="AR13" i="93"/>
  <c r="AV13" i="93" s="1"/>
  <c r="AR23" i="93"/>
  <c r="AV23" i="93" s="1"/>
  <c r="AT23" i="93"/>
  <c r="AM23" i="93"/>
  <c r="AX23" i="93"/>
  <c r="AR12" i="93"/>
  <c r="AV12" i="93" s="1"/>
  <c r="AT12" i="93"/>
  <c r="AM12" i="93"/>
  <c r="AX12" i="93"/>
  <c r="BF12" i="93"/>
  <c r="AP12" i="93"/>
  <c r="AM9" i="93"/>
  <c r="AR9" i="93"/>
  <c r="AT9" i="93"/>
  <c r="AR24" i="93"/>
  <c r="AV24" i="93" s="1"/>
  <c r="AM24" i="93"/>
  <c r="AT24" i="93"/>
  <c r="AX24" i="93"/>
  <c r="B19" i="93"/>
  <c r="AP16" i="93"/>
  <c r="AJ24" i="93"/>
  <c r="BG9" i="102" l="1"/>
  <c r="BG14" i="102"/>
  <c r="AV9" i="102"/>
  <c r="AR42" i="102"/>
  <c r="AR46" i="102" s="1"/>
  <c r="AM42" i="102"/>
  <c r="AX5" i="102" s="1"/>
  <c r="AM7" i="102"/>
  <c r="BG10" i="102"/>
  <c r="BG16" i="97"/>
  <c r="BG16" i="94"/>
  <c r="BG14" i="97"/>
  <c r="BG16" i="100"/>
  <c r="BG15" i="100"/>
  <c r="AP20" i="100"/>
  <c r="BG20" i="100" s="1"/>
  <c r="B21" i="100"/>
  <c r="AP21" i="100" s="1"/>
  <c r="BG21" i="100" s="1"/>
  <c r="AJ18" i="100"/>
  <c r="BG22" i="99"/>
  <c r="BG12" i="100"/>
  <c r="AM41" i="100"/>
  <c r="AM6" i="100"/>
  <c r="J41" i="100" s="1"/>
  <c r="AP8" i="100"/>
  <c r="BG8" i="100" s="1"/>
  <c r="AV8" i="100"/>
  <c r="AR41" i="100"/>
  <c r="AR45" i="100" s="1"/>
  <c r="BG18" i="99"/>
  <c r="AV11" i="99"/>
  <c r="AR44" i="99"/>
  <c r="AR48" i="99" s="1"/>
  <c r="AM44" i="99"/>
  <c r="AM9" i="99"/>
  <c r="J44" i="99" s="1"/>
  <c r="AP11" i="99"/>
  <c r="BG11" i="99" s="1"/>
  <c r="BG23" i="99"/>
  <c r="AJ29" i="99"/>
  <c r="BG25" i="99"/>
  <c r="B26" i="99"/>
  <c r="BG12" i="98"/>
  <c r="BG16" i="98"/>
  <c r="AP19" i="98"/>
  <c r="BG19" i="98" s="1"/>
  <c r="AJ21" i="98"/>
  <c r="AR42" i="98"/>
  <c r="AR46" i="98" s="1"/>
  <c r="BG20" i="98"/>
  <c r="AM7" i="98"/>
  <c r="J42" i="98" s="1"/>
  <c r="AM42" i="98"/>
  <c r="B21" i="98"/>
  <c r="AP21" i="98" s="1"/>
  <c r="BG21" i="98" s="1"/>
  <c r="AM9" i="97"/>
  <c r="AM44" i="97"/>
  <c r="AR44" i="97"/>
  <c r="AR48" i="97" s="1"/>
  <c r="AP18" i="97"/>
  <c r="BG18" i="97" s="1"/>
  <c r="B19" i="97"/>
  <c r="BG17" i="97"/>
  <c r="BG16" i="96"/>
  <c r="B22" i="96"/>
  <c r="AP22" i="96" s="1"/>
  <c r="BG22" i="96" s="1"/>
  <c r="B21" i="96"/>
  <c r="AP21" i="96" s="1"/>
  <c r="BG21" i="96" s="1"/>
  <c r="AM44" i="96"/>
  <c r="BG17" i="96"/>
  <c r="BG16" i="95"/>
  <c r="AJ26" i="96"/>
  <c r="BG12" i="96"/>
  <c r="AM9" i="96"/>
  <c r="BG13" i="96"/>
  <c r="AR44" i="96"/>
  <c r="AR48" i="96" s="1"/>
  <c r="AR49" i="96" s="1"/>
  <c r="B44" i="96" s="1"/>
  <c r="BG12" i="95"/>
  <c r="BG17" i="95"/>
  <c r="BG16" i="93"/>
  <c r="AV9" i="95"/>
  <c r="AR42" i="95"/>
  <c r="AR46" i="95" s="1"/>
  <c r="AJ24" i="95"/>
  <c r="BG11" i="95"/>
  <c r="AM7" i="95"/>
  <c r="J42" i="95" s="1"/>
  <c r="AM42" i="95"/>
  <c r="AP9" i="95"/>
  <c r="BG9" i="95" s="1"/>
  <c r="AP20" i="95"/>
  <c r="BG20" i="95" s="1"/>
  <c r="B21" i="95"/>
  <c r="BG17" i="94"/>
  <c r="AM42" i="94"/>
  <c r="AX5" i="94" s="1"/>
  <c r="AM7" i="94"/>
  <c r="J42" i="94" s="1"/>
  <c r="AP9" i="94"/>
  <c r="BG9" i="94" s="1"/>
  <c r="BG12" i="94"/>
  <c r="AV9" i="94"/>
  <c r="AR42" i="94"/>
  <c r="AR46" i="94" s="1"/>
  <c r="AJ24" i="94"/>
  <c r="B19" i="94"/>
  <c r="BG17" i="93"/>
  <c r="AJ25" i="93"/>
  <c r="AI13" i="93" s="1"/>
  <c r="AI18" i="93"/>
  <c r="C18" i="93" s="1"/>
  <c r="AV9" i="93"/>
  <c r="AR42" i="93"/>
  <c r="AR46" i="93" s="1"/>
  <c r="BG12" i="93"/>
  <c r="AM7" i="93"/>
  <c r="J42" i="93" s="1"/>
  <c r="AM42" i="93"/>
  <c r="AX5" i="93" s="1"/>
  <c r="AP9" i="93"/>
  <c r="BG9" i="93" s="1"/>
  <c r="AP19" i="93"/>
  <c r="BG19" i="93" s="1"/>
  <c r="B20" i="93"/>
  <c r="J42" i="102" l="1"/>
  <c r="AW5" i="102"/>
  <c r="U45" i="102" s="1"/>
  <c r="U46" i="102"/>
  <c r="AR47" i="102"/>
  <c r="B42" i="102" s="1"/>
  <c r="J44" i="97"/>
  <c r="F41" i="100"/>
  <c r="U48" i="100" s="1"/>
  <c r="U49" i="100" s="1"/>
  <c r="Q6" i="100"/>
  <c r="F14" i="7" s="1"/>
  <c r="AW4" i="100"/>
  <c r="U44" i="100" s="1"/>
  <c r="O40" i="100" s="1"/>
  <c r="U45" i="100"/>
  <c r="Q40" i="100" s="1"/>
  <c r="AR46" i="100"/>
  <c r="B41" i="100" s="1"/>
  <c r="AJ19" i="100"/>
  <c r="AX4" i="100"/>
  <c r="J44" i="96"/>
  <c r="F44" i="99"/>
  <c r="U51" i="99" s="1"/>
  <c r="U52" i="99" s="1"/>
  <c r="Q9" i="99"/>
  <c r="F19" i="8" s="1"/>
  <c r="C96" i="14" s="1"/>
  <c r="AW7" i="99"/>
  <c r="U47" i="99" s="1"/>
  <c r="O43" i="99" s="1"/>
  <c r="AR49" i="99"/>
  <c r="B44" i="99" s="1"/>
  <c r="AP26" i="99"/>
  <c r="BG26" i="99" s="1"/>
  <c r="B27" i="99"/>
  <c r="B29" i="99" s="1"/>
  <c r="AP29" i="99" s="1"/>
  <c r="BG29" i="99" s="1"/>
  <c r="AJ30" i="99"/>
  <c r="AX7" i="99"/>
  <c r="U48" i="99" s="1"/>
  <c r="Q43" i="99" s="1"/>
  <c r="B22" i="98"/>
  <c r="AP22" i="98" s="1"/>
  <c r="BG22" i="98" s="1"/>
  <c r="B24" i="98"/>
  <c r="Q7" i="98"/>
  <c r="F18" i="8" s="1"/>
  <c r="C95" i="14" s="1"/>
  <c r="F42" i="98"/>
  <c r="U49" i="98" s="1"/>
  <c r="U50" i="98" s="1"/>
  <c r="AW5" i="98"/>
  <c r="U45" i="98" s="1"/>
  <c r="O41" i="98" s="1"/>
  <c r="AR47" i="98"/>
  <c r="B42" i="98" s="1"/>
  <c r="AJ22" i="98"/>
  <c r="AX5" i="98"/>
  <c r="U46" i="98" s="1"/>
  <c r="Q41" i="98" s="1"/>
  <c r="B25" i="98"/>
  <c r="AX7" i="96"/>
  <c r="U48" i="96" s="1"/>
  <c r="Q43" i="96" s="1"/>
  <c r="AW7" i="96"/>
  <c r="U47" i="96" s="1"/>
  <c r="O43" i="96" s="1"/>
  <c r="AP19" i="97"/>
  <c r="BG19" i="97" s="1"/>
  <c r="AR49" i="97"/>
  <c r="B44" i="97" s="1"/>
  <c r="AW7" i="97"/>
  <c r="U47" i="97" s="1"/>
  <c r="O43" i="97" s="1"/>
  <c r="AX7" i="97"/>
  <c r="U48" i="97" s="1"/>
  <c r="Q43" i="97" s="1"/>
  <c r="B21" i="97"/>
  <c r="B23" i="96"/>
  <c r="B25" i="96" s="1"/>
  <c r="AP25" i="96" s="1"/>
  <c r="BG25" i="96" s="1"/>
  <c r="B26" i="96"/>
  <c r="AP26" i="96" s="1"/>
  <c r="BG26" i="96" s="1"/>
  <c r="AP23" i="96"/>
  <c r="BG23" i="96" s="1"/>
  <c r="B27" i="96"/>
  <c r="AP27" i="96" s="1"/>
  <c r="BG27" i="96" s="1"/>
  <c r="AJ27" i="96"/>
  <c r="AI24" i="96" s="1"/>
  <c r="C24" i="96" s="1"/>
  <c r="F42" i="95"/>
  <c r="U49" i="95" s="1"/>
  <c r="U50" i="95" s="1"/>
  <c r="Q7" i="95"/>
  <c r="F20" i="8" s="1"/>
  <c r="AW5" i="95"/>
  <c r="U45" i="95" s="1"/>
  <c r="O41" i="95" s="1"/>
  <c r="AX5" i="95"/>
  <c r="U46" i="95" s="1"/>
  <c r="Q41" i="95" s="1"/>
  <c r="AP21" i="95"/>
  <c r="BG21" i="95" s="1"/>
  <c r="B23" i="95"/>
  <c r="AP23" i="95" s="1"/>
  <c r="BG23" i="95" s="1"/>
  <c r="AJ25" i="95"/>
  <c r="AI22" i="95" s="1"/>
  <c r="C22" i="95" s="1"/>
  <c r="B24" i="95"/>
  <c r="AP24" i="95" s="1"/>
  <c r="BG24" i="95" s="1"/>
  <c r="AR47" i="95"/>
  <c r="B42" i="95" s="1"/>
  <c r="B21" i="94"/>
  <c r="AP21" i="94" s="1"/>
  <c r="BG21" i="94" s="1"/>
  <c r="B20" i="94"/>
  <c r="AP20" i="94" s="1"/>
  <c r="BG20" i="94" s="1"/>
  <c r="U46" i="94"/>
  <c r="Q41" i="94" s="1"/>
  <c r="AR47" i="94"/>
  <c r="B42" i="94" s="1"/>
  <c r="AJ25" i="94"/>
  <c r="AI22" i="94"/>
  <c r="C22" i="94" s="1"/>
  <c r="AP19" i="94"/>
  <c r="BG19" i="94" s="1"/>
  <c r="AI13" i="94"/>
  <c r="F42" i="94"/>
  <c r="U49" i="94" s="1"/>
  <c r="U50" i="94" s="1"/>
  <c r="Q7" i="94"/>
  <c r="F21" i="8" s="1"/>
  <c r="AW5" i="94"/>
  <c r="U45" i="94" s="1"/>
  <c r="O41" i="94" s="1"/>
  <c r="U46" i="93"/>
  <c r="Q41" i="93" s="1"/>
  <c r="AR47" i="93"/>
  <c r="B42" i="93" s="1"/>
  <c r="AI22" i="93"/>
  <c r="C22" i="93" s="1"/>
  <c r="AP20" i="93"/>
  <c r="BG20" i="93" s="1"/>
  <c r="B21" i="93"/>
  <c r="AI9" i="93"/>
  <c r="C9" i="93" s="1"/>
  <c r="C13" i="93"/>
  <c r="AI44" i="93"/>
  <c r="Q7" i="93"/>
  <c r="F22" i="8" s="1"/>
  <c r="F42" i="93"/>
  <c r="U49" i="93" s="1"/>
  <c r="U50" i="93" s="1"/>
  <c r="AW5" i="93"/>
  <c r="U45" i="93" s="1"/>
  <c r="O41" i="93" s="1"/>
  <c r="F42" i="102" l="1"/>
  <c r="U48" i="102" s="1"/>
  <c r="U50" i="102" s="1"/>
  <c r="O42" i="102"/>
  <c r="BO35" i="102"/>
  <c r="O41" i="102"/>
  <c r="Q41" i="102"/>
  <c r="BO40" i="102"/>
  <c r="Q42" i="102"/>
  <c r="F44" i="97"/>
  <c r="U51" i="97" s="1"/>
  <c r="U52" i="97" s="1"/>
  <c r="AJ20" i="100"/>
  <c r="F44" i="96"/>
  <c r="AJ31" i="99"/>
  <c r="AI28" i="99"/>
  <c r="C28" i="99" s="1"/>
  <c r="AP27" i="99"/>
  <c r="BG27" i="99" s="1"/>
  <c r="B30" i="99"/>
  <c r="AP30" i="99" s="1"/>
  <c r="BG30" i="99" s="1"/>
  <c r="AI19" i="99"/>
  <c r="C19" i="99" s="1"/>
  <c r="AI15" i="99"/>
  <c r="AJ23" i="98"/>
  <c r="AP25" i="98"/>
  <c r="BG25" i="98" s="1"/>
  <c r="B26" i="98"/>
  <c r="AP26" i="98" s="1"/>
  <c r="BG26" i="98" s="1"/>
  <c r="AP24" i="98"/>
  <c r="BG24" i="98" s="1"/>
  <c r="AP21" i="97"/>
  <c r="BG21" i="97" s="1"/>
  <c r="B22" i="97"/>
  <c r="AP22" i="97" s="1"/>
  <c r="BG22" i="97" s="1"/>
  <c r="B23" i="97"/>
  <c r="AI20" i="96"/>
  <c r="C20" i="96" s="1"/>
  <c r="AI15" i="96"/>
  <c r="AI11" i="96"/>
  <c r="C11" i="96" s="1"/>
  <c r="B25" i="95"/>
  <c r="AP25" i="95" s="1"/>
  <c r="BG25" i="95" s="1"/>
  <c r="AI9" i="95"/>
  <c r="C9" i="95" s="1"/>
  <c r="AI18" i="95"/>
  <c r="C18" i="95" s="1"/>
  <c r="AI13" i="95"/>
  <c r="B23" i="94"/>
  <c r="AP23" i="94" s="1"/>
  <c r="BG23" i="94" s="1"/>
  <c r="AI9" i="94"/>
  <c r="C9" i="94" s="1"/>
  <c r="AI18" i="94"/>
  <c r="C18" i="94" s="1"/>
  <c r="C13" i="94"/>
  <c r="AI44" i="94"/>
  <c r="AP21" i="93"/>
  <c r="BG21" i="93" s="1"/>
  <c r="B23" i="93"/>
  <c r="AP23" i="93" s="1"/>
  <c r="BG23" i="93" s="1"/>
  <c r="Q7" i="102" l="1"/>
  <c r="Q9" i="97"/>
  <c r="F17" i="8" s="1"/>
  <c r="AJ21" i="100"/>
  <c r="AI17" i="100" s="1"/>
  <c r="C17" i="100" s="1"/>
  <c r="AI11" i="100"/>
  <c r="AI8" i="100"/>
  <c r="C8" i="100" s="1"/>
  <c r="AI19" i="100"/>
  <c r="C19" i="100" s="1"/>
  <c r="U51" i="96"/>
  <c r="U52" i="96" s="1"/>
  <c r="Q9" i="96"/>
  <c r="F16" i="8" s="1"/>
  <c r="B31" i="99"/>
  <c r="AP31" i="99" s="1"/>
  <c r="BG31" i="99" s="1"/>
  <c r="C15" i="99"/>
  <c r="AI46" i="99"/>
  <c r="AI24" i="99"/>
  <c r="C24" i="99" s="1"/>
  <c r="AI11" i="99"/>
  <c r="C11" i="99" s="1"/>
  <c r="B28" i="98"/>
  <c r="AJ24" i="98"/>
  <c r="AP23" i="97"/>
  <c r="BG23" i="97" s="1"/>
  <c r="B25" i="97"/>
  <c r="C15" i="96"/>
  <c r="AI46" i="96"/>
  <c r="C13" i="95"/>
  <c r="AI44" i="95"/>
  <c r="B24" i="94"/>
  <c r="B24" i="93"/>
  <c r="AP24" i="93" s="1"/>
  <c r="BG24" i="93" s="1"/>
  <c r="B25" i="93"/>
  <c r="AP25" i="93" s="1"/>
  <c r="BG25" i="93" s="1"/>
  <c r="C11" i="100" l="1"/>
  <c r="AI43" i="100"/>
  <c r="AJ25" i="98"/>
  <c r="AP28" i="98"/>
  <c r="BG28" i="98" s="1"/>
  <c r="B29" i="98"/>
  <c r="AP25" i="97"/>
  <c r="BG25" i="97" s="1"/>
  <c r="B26" i="97"/>
  <c r="AP24" i="94"/>
  <c r="BG24" i="94" s="1"/>
  <c r="B25" i="94"/>
  <c r="AP25" i="94" s="1"/>
  <c r="BG25" i="94" s="1"/>
  <c r="AJ26" i="98" l="1"/>
  <c r="AP29" i="98"/>
  <c r="BG29" i="98" s="1"/>
  <c r="B30" i="98"/>
  <c r="AP30" i="98" s="1"/>
  <c r="BG30" i="98" s="1"/>
  <c r="AP26" i="97"/>
  <c r="BG26" i="97" s="1"/>
  <c r="B27" i="97"/>
  <c r="AP27" i="97" s="1"/>
  <c r="BG27" i="97" s="1"/>
  <c r="AJ27" i="98" l="1"/>
  <c r="AJ28" i="98" l="1"/>
  <c r="AJ29" i="98" s="1"/>
  <c r="AJ30" i="98" s="1"/>
  <c r="AI23" i="98"/>
  <c r="C23" i="98" s="1"/>
  <c r="AI9" i="98" l="1"/>
  <c r="C9" i="98" s="1"/>
  <c r="AI13" i="98"/>
  <c r="AI18" i="98"/>
  <c r="C18" i="98" s="1"/>
  <c r="AI27" i="98"/>
  <c r="C27" i="98" s="1"/>
  <c r="C13" i="98" l="1"/>
  <c r="AI44" i="98"/>
  <c r="AV9" i="91" l="1"/>
  <c r="B11" i="91"/>
  <c r="AG11" i="91"/>
  <c r="AH11" i="91"/>
  <c r="AN11" i="91" s="1"/>
  <c r="AJ11" i="91"/>
  <c r="AL11" i="91"/>
  <c r="AO11" i="91"/>
  <c r="AQ11" i="91"/>
  <c r="AS11" i="91"/>
  <c r="AU11" i="91"/>
  <c r="BC11" i="91"/>
  <c r="BD11" i="91"/>
  <c r="BE11" i="91"/>
  <c r="BH11" i="91"/>
  <c r="BL11" i="91" s="1"/>
  <c r="BJ11" i="91"/>
  <c r="H11" i="91" s="1"/>
  <c r="BF11" i="91" s="1"/>
  <c r="AG12" i="91"/>
  <c r="AH12" i="91"/>
  <c r="AL12" i="91"/>
  <c r="AO12" i="91"/>
  <c r="AQ12" i="91"/>
  <c r="AS12" i="91"/>
  <c r="AU12" i="91"/>
  <c r="BC12" i="91"/>
  <c r="BD12" i="91"/>
  <c r="BE12" i="91"/>
  <c r="BH12" i="91"/>
  <c r="BL12" i="91" s="1"/>
  <c r="AG13" i="91"/>
  <c r="AH13" i="91"/>
  <c r="AL13" i="91"/>
  <c r="AO13" i="91"/>
  <c r="AQ13" i="91"/>
  <c r="AS13" i="91"/>
  <c r="AU13" i="91"/>
  <c r="BC13" i="91"/>
  <c r="BD13" i="91"/>
  <c r="BE13" i="91"/>
  <c r="BH13" i="91"/>
  <c r="G13" i="91" s="1"/>
  <c r="AG14" i="91"/>
  <c r="AH14" i="91"/>
  <c r="AN14" i="91" s="1"/>
  <c r="AL14" i="91"/>
  <c r="AO14" i="91"/>
  <c r="AQ14" i="91"/>
  <c r="AS14" i="91"/>
  <c r="AU14" i="91"/>
  <c r="BC14" i="91"/>
  <c r="BD14" i="91"/>
  <c r="BE14" i="91"/>
  <c r="BH14" i="91"/>
  <c r="G14" i="91" s="1"/>
  <c r="BL14" i="91"/>
  <c r="B15" i="91"/>
  <c r="AG15" i="91"/>
  <c r="AH15" i="91"/>
  <c r="AN15" i="91" s="1"/>
  <c r="AL15" i="91"/>
  <c r="AO15" i="91"/>
  <c r="AQ15" i="91"/>
  <c r="AS15" i="91"/>
  <c r="AU15" i="91"/>
  <c r="BC15" i="91"/>
  <c r="BD15" i="91"/>
  <c r="BE15" i="91"/>
  <c r="BH15" i="91"/>
  <c r="BL15" i="91" s="1"/>
  <c r="BJ15" i="91"/>
  <c r="H15" i="91" s="1"/>
  <c r="BF15" i="91" s="1"/>
  <c r="AG16" i="91"/>
  <c r="AH16" i="91"/>
  <c r="AL16" i="91"/>
  <c r="AO16" i="91"/>
  <c r="AQ16" i="91"/>
  <c r="AS16" i="91"/>
  <c r="AU16" i="91"/>
  <c r="BC16" i="91"/>
  <c r="BD16" i="91"/>
  <c r="BE16" i="91"/>
  <c r="BH16" i="91"/>
  <c r="BL16" i="91" s="1"/>
  <c r="G17" i="91"/>
  <c r="BB17" i="91" s="1"/>
  <c r="AG17" i="91"/>
  <c r="AH17" i="91"/>
  <c r="AN17" i="91" s="1"/>
  <c r="AL17" i="91"/>
  <c r="AO17" i="91"/>
  <c r="AQ17" i="91"/>
  <c r="AS17" i="91"/>
  <c r="AU17" i="91"/>
  <c r="BC17" i="91"/>
  <c r="BD17" i="91"/>
  <c r="BE17" i="91"/>
  <c r="BH17" i="91"/>
  <c r="AG18" i="91"/>
  <c r="AH18" i="91"/>
  <c r="AN18" i="91" s="1"/>
  <c r="AL18" i="91"/>
  <c r="AO18" i="91"/>
  <c r="AQ18" i="91"/>
  <c r="AS18" i="91"/>
  <c r="AU18" i="91"/>
  <c r="BC18" i="91"/>
  <c r="BD18" i="91"/>
  <c r="BE18" i="91"/>
  <c r="BH18" i="91"/>
  <c r="BL18" i="91" s="1"/>
  <c r="AG19" i="91"/>
  <c r="AH19" i="91"/>
  <c r="AN19" i="91" s="1"/>
  <c r="AL19" i="91"/>
  <c r="AO19" i="91"/>
  <c r="AQ19" i="91"/>
  <c r="AS19" i="91"/>
  <c r="AU19" i="91"/>
  <c r="BC19" i="91"/>
  <c r="BD19" i="91"/>
  <c r="BE19" i="91"/>
  <c r="BH19" i="91"/>
  <c r="BL19" i="91" s="1"/>
  <c r="B20" i="91"/>
  <c r="AG20" i="91"/>
  <c r="AH20" i="91"/>
  <c r="AN20" i="91" s="1"/>
  <c r="AL20" i="91"/>
  <c r="AO20" i="91"/>
  <c r="AQ20" i="91"/>
  <c r="AS20" i="91"/>
  <c r="AU20" i="91"/>
  <c r="BC20" i="91"/>
  <c r="BD20" i="91"/>
  <c r="BE20" i="91"/>
  <c r="BH20" i="91"/>
  <c r="BL20" i="91" s="1"/>
  <c r="BJ20" i="91"/>
  <c r="H20" i="91" s="1"/>
  <c r="BF20" i="91" s="1"/>
  <c r="AG21" i="91"/>
  <c r="AH21" i="91"/>
  <c r="AL21" i="91"/>
  <c r="AO21" i="91"/>
  <c r="AQ21" i="91"/>
  <c r="AS21" i="91"/>
  <c r="AU21" i="91"/>
  <c r="BC21" i="91"/>
  <c r="BD21" i="91"/>
  <c r="BE21" i="91"/>
  <c r="BH21" i="91"/>
  <c r="AG22" i="91"/>
  <c r="AH22" i="91"/>
  <c r="AN22" i="91" s="1"/>
  <c r="AL22" i="91"/>
  <c r="AO22" i="91"/>
  <c r="AQ22" i="91"/>
  <c r="AS22" i="91"/>
  <c r="AU22" i="91"/>
  <c r="BC22" i="91"/>
  <c r="BD22" i="91"/>
  <c r="BE22" i="91"/>
  <c r="BH22" i="91"/>
  <c r="G22" i="91" s="1"/>
  <c r="BL22" i="91"/>
  <c r="AG23" i="91"/>
  <c r="AH23" i="91"/>
  <c r="AN23" i="91" s="1"/>
  <c r="AL23" i="91"/>
  <c r="AO23" i="91"/>
  <c r="AQ23" i="91"/>
  <c r="AS23" i="91"/>
  <c r="AU23" i="91"/>
  <c r="BC23" i="91"/>
  <c r="BD23" i="91"/>
  <c r="BE23" i="91"/>
  <c r="BH23" i="91"/>
  <c r="BL23" i="91" s="1"/>
  <c r="B24" i="91"/>
  <c r="AG24" i="91"/>
  <c r="AH24" i="91"/>
  <c r="AN24" i="91" s="1"/>
  <c r="AL24" i="91"/>
  <c r="AO24" i="91"/>
  <c r="AQ24" i="91"/>
  <c r="AS24" i="91"/>
  <c r="AU24" i="91"/>
  <c r="BC24" i="91"/>
  <c r="BD24" i="91"/>
  <c r="BE24" i="91"/>
  <c r="BH24" i="91"/>
  <c r="BL24" i="91" s="1"/>
  <c r="BJ24" i="91"/>
  <c r="H24" i="91" s="1"/>
  <c r="BF24" i="91" s="1"/>
  <c r="BQ24" i="91"/>
  <c r="BR24" i="91"/>
  <c r="BS24" i="91"/>
  <c r="BT24" i="91"/>
  <c r="BU24" i="91"/>
  <c r="AG25" i="91"/>
  <c r="AH25" i="91"/>
  <c r="AL25" i="91"/>
  <c r="AO25" i="91"/>
  <c r="AQ25" i="91"/>
  <c r="AS25" i="91"/>
  <c r="AU25" i="91"/>
  <c r="BC25" i="91"/>
  <c r="BD25" i="91"/>
  <c r="BE25" i="91"/>
  <c r="BH25" i="91"/>
  <c r="BL25" i="91" s="1"/>
  <c r="BQ25" i="91"/>
  <c r="BR25" i="91"/>
  <c r="BS25" i="91"/>
  <c r="BT25" i="91"/>
  <c r="BU25" i="91"/>
  <c r="G26" i="91"/>
  <c r="BB26" i="91" s="1"/>
  <c r="AG26" i="91"/>
  <c r="AH26" i="91"/>
  <c r="AL26" i="91"/>
  <c r="AO26" i="91"/>
  <c r="AQ26" i="91"/>
  <c r="AS26" i="91"/>
  <c r="AU26" i="91"/>
  <c r="BA26" i="91"/>
  <c r="BC26" i="91"/>
  <c r="BD26" i="91"/>
  <c r="BE26" i="91"/>
  <c r="BH26" i="91"/>
  <c r="BL26" i="91"/>
  <c r="BQ26" i="91"/>
  <c r="BR26" i="91"/>
  <c r="BS26" i="91"/>
  <c r="BT26" i="91"/>
  <c r="BU26" i="91"/>
  <c r="AG27" i="91"/>
  <c r="AH27" i="91"/>
  <c r="AL27" i="91"/>
  <c r="AO27" i="91"/>
  <c r="AQ27" i="91"/>
  <c r="AS27" i="91"/>
  <c r="AU27" i="91"/>
  <c r="BC27" i="91"/>
  <c r="BD27" i="91"/>
  <c r="BE27" i="91"/>
  <c r="BH27" i="91"/>
  <c r="BL27" i="91" s="1"/>
  <c r="BQ27" i="91"/>
  <c r="BR27" i="91"/>
  <c r="BS27" i="91"/>
  <c r="BT27" i="91"/>
  <c r="BU27" i="91"/>
  <c r="B28" i="91"/>
  <c r="C28" i="91"/>
  <c r="AG28" i="91"/>
  <c r="AH28" i="91"/>
  <c r="AN28" i="91" s="1"/>
  <c r="AI28" i="91"/>
  <c r="AJ28" i="91"/>
  <c r="AL28" i="91"/>
  <c r="AO28" i="91"/>
  <c r="AP28" i="91"/>
  <c r="AQ28" i="91"/>
  <c r="AR28" i="91"/>
  <c r="AV28" i="91" s="1"/>
  <c r="AS28" i="91"/>
  <c r="AT28" i="91"/>
  <c r="AU28" i="91"/>
  <c r="AW28" i="91"/>
  <c r="AX28" i="91"/>
  <c r="AY28" i="91"/>
  <c r="AZ28" i="91"/>
  <c r="BA28" i="91"/>
  <c r="BB28" i="91"/>
  <c r="BC28" i="91"/>
  <c r="BD28" i="91"/>
  <c r="BE28" i="91"/>
  <c r="BG28" i="91"/>
  <c r="BH28" i="91"/>
  <c r="BL28" i="91" s="1"/>
  <c r="BI28" i="91"/>
  <c r="AK28" i="91" s="1"/>
  <c r="AM28" i="91" s="1"/>
  <c r="BJ28" i="91"/>
  <c r="H28" i="91" s="1"/>
  <c r="BF28" i="91" s="1"/>
  <c r="BK28" i="91"/>
  <c r="I28" i="91" s="1"/>
  <c r="BN28" i="91"/>
  <c r="BQ28" i="91"/>
  <c r="BR28" i="91"/>
  <c r="BS28" i="91"/>
  <c r="BT28" i="91"/>
  <c r="BU28" i="91"/>
  <c r="B29" i="91"/>
  <c r="C29" i="91"/>
  <c r="AG29" i="91"/>
  <c r="AH29" i="91"/>
  <c r="AN29" i="91" s="1"/>
  <c r="AI29" i="91"/>
  <c r="AJ29" i="91"/>
  <c r="AL29" i="91"/>
  <c r="AO29" i="91"/>
  <c r="AP29" i="91"/>
  <c r="AQ29" i="91"/>
  <c r="AR29" i="91"/>
  <c r="AV29" i="91" s="1"/>
  <c r="AS29" i="91"/>
  <c r="AT29" i="91"/>
  <c r="AU29" i="91"/>
  <c r="AW29" i="91"/>
  <c r="AX29" i="91"/>
  <c r="AY29" i="91"/>
  <c r="AZ29" i="91"/>
  <c r="BA29" i="91"/>
  <c r="BB29" i="91"/>
  <c r="BC29" i="91"/>
  <c r="BD29" i="91"/>
  <c r="BE29" i="91"/>
  <c r="BG29" i="91"/>
  <c r="BH29" i="91"/>
  <c r="BL29" i="91" s="1"/>
  <c r="BI29" i="91"/>
  <c r="AK29" i="91" s="1"/>
  <c r="AM29" i="91" s="1"/>
  <c r="BJ29" i="91"/>
  <c r="H29" i="91" s="1"/>
  <c r="BF29" i="91" s="1"/>
  <c r="BK29" i="91"/>
  <c r="I29" i="91" s="1"/>
  <c r="BN29" i="91"/>
  <c r="BQ29" i="91"/>
  <c r="BR29" i="91"/>
  <c r="BS29" i="91"/>
  <c r="BT29" i="91"/>
  <c r="BU29" i="91"/>
  <c r="B30" i="91"/>
  <c r="C30" i="91"/>
  <c r="AG30" i="91"/>
  <c r="AH30" i="91"/>
  <c r="AN30" i="91" s="1"/>
  <c r="AI30" i="91"/>
  <c r="AJ30" i="91"/>
  <c r="AL30" i="91"/>
  <c r="AO30" i="91"/>
  <c r="AP30" i="91"/>
  <c r="AQ30" i="91"/>
  <c r="AR30" i="91"/>
  <c r="AV30" i="91" s="1"/>
  <c r="AS30" i="91"/>
  <c r="AT30" i="91"/>
  <c r="AU30" i="91"/>
  <c r="AW30" i="91"/>
  <c r="AX30" i="91"/>
  <c r="AY30" i="91"/>
  <c r="AZ30" i="91"/>
  <c r="BA30" i="91"/>
  <c r="BB30" i="91"/>
  <c r="BC30" i="91"/>
  <c r="BD30" i="91"/>
  <c r="BE30" i="91"/>
  <c r="BG30" i="91"/>
  <c r="BH30" i="91"/>
  <c r="BL30" i="91" s="1"/>
  <c r="BI30" i="91"/>
  <c r="AK30" i="91" s="1"/>
  <c r="AM30" i="91" s="1"/>
  <c r="BJ30" i="91"/>
  <c r="H30" i="91" s="1"/>
  <c r="BF30" i="91" s="1"/>
  <c r="BK30" i="91"/>
  <c r="I30" i="91" s="1"/>
  <c r="BN30" i="91"/>
  <c r="BQ30" i="91"/>
  <c r="BR30" i="91"/>
  <c r="BS30" i="91"/>
  <c r="BT30" i="91"/>
  <c r="BU30" i="91"/>
  <c r="B31" i="91"/>
  <c r="C31" i="91"/>
  <c r="AG31" i="91"/>
  <c r="AH31" i="91"/>
  <c r="AN31" i="91" s="1"/>
  <c r="AI31" i="91"/>
  <c r="AJ31" i="91"/>
  <c r="AL31" i="91"/>
  <c r="AO31" i="91"/>
  <c r="AP31" i="91"/>
  <c r="AQ31" i="91"/>
  <c r="AR31" i="91"/>
  <c r="AV31" i="91" s="1"/>
  <c r="AS31" i="91"/>
  <c r="AT31" i="91"/>
  <c r="AU31" i="91"/>
  <c r="AW31" i="91"/>
  <c r="AX31" i="91"/>
  <c r="AY31" i="91"/>
  <c r="AZ31" i="91"/>
  <c r="BA31" i="91"/>
  <c r="BB31" i="91"/>
  <c r="BC31" i="91"/>
  <c r="BD31" i="91"/>
  <c r="BE31" i="91"/>
  <c r="BG31" i="91"/>
  <c r="BH31" i="91"/>
  <c r="BL31" i="91" s="1"/>
  <c r="BI31" i="91"/>
  <c r="AK31" i="91" s="1"/>
  <c r="AM31" i="91" s="1"/>
  <c r="BJ31" i="91"/>
  <c r="H31" i="91" s="1"/>
  <c r="BF31" i="91" s="1"/>
  <c r="BK31" i="91"/>
  <c r="I31" i="91" s="1"/>
  <c r="BN31" i="91"/>
  <c r="BQ31" i="91"/>
  <c r="BR31" i="91"/>
  <c r="BS31" i="91"/>
  <c r="BT31" i="91"/>
  <c r="BU31" i="91"/>
  <c r="B32" i="91"/>
  <c r="C32" i="91"/>
  <c r="AG32" i="91"/>
  <c r="AH32" i="91"/>
  <c r="AN32" i="91" s="1"/>
  <c r="AI32" i="91"/>
  <c r="AJ32" i="91"/>
  <c r="AL32" i="91"/>
  <c r="AO32" i="91"/>
  <c r="AP32" i="91"/>
  <c r="AQ32" i="91"/>
  <c r="AR32" i="91"/>
  <c r="AV32" i="91" s="1"/>
  <c r="AS32" i="91"/>
  <c r="AT32" i="91"/>
  <c r="AU32" i="91"/>
  <c r="AW32" i="91"/>
  <c r="AX32" i="91"/>
  <c r="AY32" i="91"/>
  <c r="AZ32" i="91"/>
  <c r="BA32" i="91"/>
  <c r="BB32" i="91"/>
  <c r="BC32" i="91"/>
  <c r="BD32" i="91"/>
  <c r="BE32" i="91"/>
  <c r="BG32" i="91"/>
  <c r="BH32" i="91"/>
  <c r="G32" i="91" s="1"/>
  <c r="BI32" i="91"/>
  <c r="AK32" i="91" s="1"/>
  <c r="AM32" i="91" s="1"/>
  <c r="BJ32" i="91"/>
  <c r="H32" i="91" s="1"/>
  <c r="BF32" i="91" s="1"/>
  <c r="BK32" i="91"/>
  <c r="I32" i="91" s="1"/>
  <c r="BN32" i="91"/>
  <c r="BQ32" i="91"/>
  <c r="BR32" i="91"/>
  <c r="BS32" i="91"/>
  <c r="BT32" i="91"/>
  <c r="BU32" i="91"/>
  <c r="B33" i="91"/>
  <c r="C33" i="91"/>
  <c r="AG33" i="91"/>
  <c r="AH33" i="91"/>
  <c r="AN33" i="91" s="1"/>
  <c r="AI33" i="91"/>
  <c r="AJ33" i="91"/>
  <c r="AL33" i="91"/>
  <c r="AO33" i="91"/>
  <c r="AP33" i="91"/>
  <c r="AQ33" i="91"/>
  <c r="AR33" i="91"/>
  <c r="AV33" i="91" s="1"/>
  <c r="AS33" i="91"/>
  <c r="AT33" i="91"/>
  <c r="AU33" i="91"/>
  <c r="AW33" i="91"/>
  <c r="AX33" i="91"/>
  <c r="AY33" i="91"/>
  <c r="AZ33" i="91"/>
  <c r="BA33" i="91"/>
  <c r="BB33" i="91"/>
  <c r="BC33" i="91"/>
  <c r="BD33" i="91"/>
  <c r="BE33" i="91"/>
  <c r="BG33" i="91"/>
  <c r="BH33" i="91"/>
  <c r="BI33" i="91"/>
  <c r="AK33" i="91" s="1"/>
  <c r="AM33" i="91" s="1"/>
  <c r="BJ33" i="91"/>
  <c r="H33" i="91" s="1"/>
  <c r="BF33" i="91" s="1"/>
  <c r="BK33" i="91"/>
  <c r="I33" i="91" s="1"/>
  <c r="BN33" i="91"/>
  <c r="B34" i="91"/>
  <c r="C34" i="91"/>
  <c r="AG34" i="91"/>
  <c r="AH34" i="91"/>
  <c r="AN34" i="91" s="1"/>
  <c r="AI34" i="91"/>
  <c r="AJ34" i="91"/>
  <c r="AL34" i="91"/>
  <c r="AO34" i="91"/>
  <c r="AP34" i="91"/>
  <c r="AQ34" i="91"/>
  <c r="AR34" i="91"/>
  <c r="AV34" i="91" s="1"/>
  <c r="AS34" i="91"/>
  <c r="AT34" i="91"/>
  <c r="AU34" i="91"/>
  <c r="AW34" i="91"/>
  <c r="AX34" i="91"/>
  <c r="AY34" i="91"/>
  <c r="AZ34" i="91"/>
  <c r="BA34" i="91"/>
  <c r="BB34" i="91"/>
  <c r="BC34" i="91"/>
  <c r="BD34" i="91"/>
  <c r="BE34" i="91"/>
  <c r="BG34" i="91"/>
  <c r="BH34" i="91"/>
  <c r="BL34" i="91" s="1"/>
  <c r="BI34" i="91"/>
  <c r="AK34" i="91" s="1"/>
  <c r="AM34" i="91" s="1"/>
  <c r="BJ34" i="91"/>
  <c r="H34" i="91" s="1"/>
  <c r="BF34" i="91" s="1"/>
  <c r="BK34" i="91"/>
  <c r="I34" i="91" s="1"/>
  <c r="BN34" i="91"/>
  <c r="B35" i="91"/>
  <c r="C35" i="91"/>
  <c r="AG35" i="91"/>
  <c r="AH35" i="91"/>
  <c r="AN35" i="91" s="1"/>
  <c r="AI35" i="91"/>
  <c r="AJ35" i="91"/>
  <c r="AL35" i="91"/>
  <c r="AO35" i="91"/>
  <c r="AP35" i="91"/>
  <c r="AQ35" i="91"/>
  <c r="AR35" i="91"/>
  <c r="AV35" i="91" s="1"/>
  <c r="AS35" i="91"/>
  <c r="AT35" i="91"/>
  <c r="AU35" i="91"/>
  <c r="AW35" i="91"/>
  <c r="AX35" i="91"/>
  <c r="AY35" i="91"/>
  <c r="AZ35" i="91"/>
  <c r="BA35" i="91"/>
  <c r="BB35" i="91"/>
  <c r="BC35" i="91"/>
  <c r="BD35" i="91"/>
  <c r="BE35" i="91"/>
  <c r="BG35" i="91"/>
  <c r="BH35" i="91"/>
  <c r="G35" i="91" s="1"/>
  <c r="BI35" i="91"/>
  <c r="BM35" i="91" s="1"/>
  <c r="BJ35" i="91"/>
  <c r="H35" i="91" s="1"/>
  <c r="BF35" i="91" s="1"/>
  <c r="BK35" i="91"/>
  <c r="I35" i="91" s="1"/>
  <c r="BL35" i="91"/>
  <c r="BN35" i="91"/>
  <c r="B36" i="91"/>
  <c r="C36" i="91"/>
  <c r="AG36" i="91"/>
  <c r="AH36" i="91"/>
  <c r="AN36" i="91" s="1"/>
  <c r="AI36" i="91"/>
  <c r="AJ36" i="91"/>
  <c r="AL36" i="91"/>
  <c r="AO36" i="91"/>
  <c r="AP36" i="91"/>
  <c r="AQ36" i="91"/>
  <c r="AR36" i="91"/>
  <c r="AV36" i="91" s="1"/>
  <c r="AS36" i="91"/>
  <c r="AT36" i="91"/>
  <c r="AU36" i="91"/>
  <c r="AW36" i="91"/>
  <c r="AX36" i="91"/>
  <c r="AY36" i="91"/>
  <c r="AZ36" i="91"/>
  <c r="BA36" i="91"/>
  <c r="BB36" i="91"/>
  <c r="BC36" i="91"/>
  <c r="BD36" i="91"/>
  <c r="BE36" i="91"/>
  <c r="BG36" i="91"/>
  <c r="BH36" i="91"/>
  <c r="G36" i="91" s="1"/>
  <c r="BI36" i="91"/>
  <c r="BM36" i="91" s="1"/>
  <c r="BJ36" i="91"/>
  <c r="H36" i="91" s="1"/>
  <c r="BF36" i="91" s="1"/>
  <c r="BK36" i="91"/>
  <c r="I36" i="91" s="1"/>
  <c r="BL36" i="91"/>
  <c r="BN36" i="91"/>
  <c r="B37" i="91"/>
  <c r="C37" i="91"/>
  <c r="AG37" i="91"/>
  <c r="AH37" i="91"/>
  <c r="AN37" i="91" s="1"/>
  <c r="AI37" i="91"/>
  <c r="AJ37" i="91"/>
  <c r="AL37" i="91"/>
  <c r="AO37" i="91"/>
  <c r="AP37" i="91"/>
  <c r="AQ37" i="91"/>
  <c r="AR37" i="91"/>
  <c r="AV37" i="91" s="1"/>
  <c r="AS37" i="91"/>
  <c r="AT37" i="91"/>
  <c r="AU37" i="91"/>
  <c r="AW37" i="91"/>
  <c r="AX37" i="91"/>
  <c r="AY37" i="91"/>
  <c r="AZ37" i="91"/>
  <c r="BA37" i="91"/>
  <c r="BB37" i="91"/>
  <c r="BC37" i="91"/>
  <c r="BD37" i="91"/>
  <c r="BE37" i="91"/>
  <c r="BG37" i="91"/>
  <c r="BH37" i="91"/>
  <c r="BI37" i="91"/>
  <c r="AK37" i="91" s="1"/>
  <c r="AM37" i="91" s="1"/>
  <c r="BJ37" i="91"/>
  <c r="H37" i="91" s="1"/>
  <c r="BF37" i="91" s="1"/>
  <c r="BK37" i="91"/>
  <c r="I37" i="91" s="1"/>
  <c r="BN37" i="91"/>
  <c r="B38" i="91"/>
  <c r="C38" i="91"/>
  <c r="AG38" i="91"/>
  <c r="AH38" i="91"/>
  <c r="AN38" i="91" s="1"/>
  <c r="AI38" i="91"/>
  <c r="AJ38" i="91"/>
  <c r="AL38" i="91"/>
  <c r="AO38" i="91"/>
  <c r="AP38" i="91"/>
  <c r="AQ38" i="91"/>
  <c r="AR38" i="91"/>
  <c r="AV38" i="91" s="1"/>
  <c r="AS38" i="91"/>
  <c r="AT38" i="91"/>
  <c r="AU38" i="91"/>
  <c r="AW38" i="91"/>
  <c r="AX38" i="91"/>
  <c r="AY38" i="91"/>
  <c r="AZ38" i="91"/>
  <c r="BA38" i="91"/>
  <c r="BB38" i="91"/>
  <c r="BC38" i="91"/>
  <c r="BD38" i="91"/>
  <c r="BE38" i="91"/>
  <c r="BG38" i="91"/>
  <c r="BH38" i="91"/>
  <c r="BL38" i="91" s="1"/>
  <c r="BI38" i="91"/>
  <c r="AK38" i="91" s="1"/>
  <c r="AM38" i="91" s="1"/>
  <c r="BJ38" i="91"/>
  <c r="H38" i="91" s="1"/>
  <c r="BF38" i="91" s="1"/>
  <c r="BK38" i="91"/>
  <c r="I38" i="91" s="1"/>
  <c r="BN38" i="91"/>
  <c r="B39" i="91"/>
  <c r="C39" i="91"/>
  <c r="AG39" i="91"/>
  <c r="AH39" i="91"/>
  <c r="AN39" i="91" s="1"/>
  <c r="AI39" i="91"/>
  <c r="AJ39" i="91"/>
  <c r="AL39" i="91"/>
  <c r="AO39" i="91"/>
  <c r="AP39" i="91"/>
  <c r="AQ39" i="91"/>
  <c r="AR39" i="91"/>
  <c r="AV39" i="91" s="1"/>
  <c r="AS39" i="91"/>
  <c r="AT39" i="91"/>
  <c r="AU39" i="91"/>
  <c r="AW39" i="91"/>
  <c r="AX39" i="91"/>
  <c r="AY39" i="91"/>
  <c r="AZ39" i="91"/>
  <c r="BA39" i="91"/>
  <c r="BB39" i="91"/>
  <c r="BC39" i="91"/>
  <c r="BD39" i="91"/>
  <c r="BE39" i="91"/>
  <c r="BG39" i="91"/>
  <c r="BH39" i="91"/>
  <c r="G39" i="91" s="1"/>
  <c r="BI39" i="91"/>
  <c r="BM39" i="91" s="1"/>
  <c r="BJ39" i="91"/>
  <c r="H39" i="91" s="1"/>
  <c r="BF39" i="91" s="1"/>
  <c r="BK39" i="91"/>
  <c r="I39" i="91" s="1"/>
  <c r="BN39" i="91"/>
  <c r="B40" i="91"/>
  <c r="C40" i="91"/>
  <c r="AG40" i="91"/>
  <c r="AH40" i="91"/>
  <c r="AN40" i="91" s="1"/>
  <c r="AI40" i="91"/>
  <c r="AJ40" i="91"/>
  <c r="AL40" i="91"/>
  <c r="AO40" i="91"/>
  <c r="AP40" i="91"/>
  <c r="AQ40" i="91"/>
  <c r="AR40" i="91"/>
  <c r="AV40" i="91" s="1"/>
  <c r="AS40" i="91"/>
  <c r="AT40" i="91"/>
  <c r="AU40" i="91"/>
  <c r="AW40" i="91"/>
  <c r="AX40" i="91"/>
  <c r="AY40" i="91"/>
  <c r="AZ40" i="91"/>
  <c r="BA40" i="91"/>
  <c r="BB40" i="91"/>
  <c r="BC40" i="91"/>
  <c r="BD40" i="91"/>
  <c r="BE40" i="91"/>
  <c r="BG40" i="91"/>
  <c r="BH40" i="91"/>
  <c r="G40" i="91" s="1"/>
  <c r="BI40" i="91"/>
  <c r="AK40" i="91" s="1"/>
  <c r="AM40" i="91" s="1"/>
  <c r="BJ40" i="91"/>
  <c r="H40" i="91" s="1"/>
  <c r="BF40" i="91" s="1"/>
  <c r="BK40" i="91"/>
  <c r="I40" i="91" s="1"/>
  <c r="BN40" i="91"/>
  <c r="B41" i="91"/>
  <c r="C41" i="91"/>
  <c r="AG41" i="91"/>
  <c r="AH41" i="91"/>
  <c r="AN41" i="91" s="1"/>
  <c r="AI41" i="91"/>
  <c r="AJ41" i="91"/>
  <c r="AL41" i="91"/>
  <c r="AO41" i="91"/>
  <c r="AP41" i="91"/>
  <c r="AQ41" i="91"/>
  <c r="AR41" i="91"/>
  <c r="AV41" i="91" s="1"/>
  <c r="AS41" i="91"/>
  <c r="AT41" i="91"/>
  <c r="AU41" i="91"/>
  <c r="AW41" i="91"/>
  <c r="AX41" i="91"/>
  <c r="AY41" i="91"/>
  <c r="AZ41" i="91"/>
  <c r="BA41" i="91"/>
  <c r="BB41" i="91"/>
  <c r="BC41" i="91"/>
  <c r="BD41" i="91"/>
  <c r="BE41" i="91"/>
  <c r="BG41" i="91"/>
  <c r="BH41" i="91"/>
  <c r="BI41" i="91"/>
  <c r="AK41" i="91" s="1"/>
  <c r="AM41" i="91" s="1"/>
  <c r="BJ41" i="91"/>
  <c r="H41" i="91" s="1"/>
  <c r="BF41" i="91" s="1"/>
  <c r="BK41" i="91"/>
  <c r="I41" i="91" s="1"/>
  <c r="BN41" i="91"/>
  <c r="B42" i="91"/>
  <c r="C42" i="91"/>
  <c r="AG42" i="91"/>
  <c r="AH42" i="91"/>
  <c r="AN42" i="91" s="1"/>
  <c r="AI42" i="91"/>
  <c r="AJ42" i="91"/>
  <c r="AL42" i="91"/>
  <c r="AO42" i="91"/>
  <c r="AP42" i="91"/>
  <c r="AQ42" i="91"/>
  <c r="AR42" i="91"/>
  <c r="AV42" i="91" s="1"/>
  <c r="AS42" i="91"/>
  <c r="AT42" i="91"/>
  <c r="AU42" i="91"/>
  <c r="AW42" i="91"/>
  <c r="AX42" i="91"/>
  <c r="AY42" i="91"/>
  <c r="AZ42" i="91"/>
  <c r="BA42" i="91"/>
  <c r="BB42" i="91"/>
  <c r="BC42" i="91"/>
  <c r="BD42" i="91"/>
  <c r="BE42" i="91"/>
  <c r="BG42" i="91"/>
  <c r="BH42" i="91"/>
  <c r="BL42" i="91" s="1"/>
  <c r="BI42" i="91"/>
  <c r="AK42" i="91" s="1"/>
  <c r="AM42" i="91" s="1"/>
  <c r="BJ42" i="91"/>
  <c r="H42" i="91" s="1"/>
  <c r="BF42" i="91" s="1"/>
  <c r="BK42" i="91"/>
  <c r="I42" i="91" s="1"/>
  <c r="BN42" i="91"/>
  <c r="H44" i="91"/>
  <c r="AT46" i="91"/>
  <c r="AT47" i="91" s="1"/>
  <c r="AR47" i="91" s="1"/>
  <c r="BE46" i="91"/>
  <c r="U50" i="91"/>
  <c r="BM32" i="91" l="1"/>
  <c r="AK36" i="91"/>
  <c r="AM36" i="91" s="1"/>
  <c r="AN25" i="91"/>
  <c r="BA22" i="91"/>
  <c r="BK22" i="91"/>
  <c r="I22" i="91" s="1"/>
  <c r="AY22" i="91"/>
  <c r="BB22" i="91"/>
  <c r="BA14" i="91"/>
  <c r="AY14" i="91"/>
  <c r="BK14" i="91"/>
  <c r="I14" i="91" s="1"/>
  <c r="BB14" i="91"/>
  <c r="G28" i="91"/>
  <c r="AN26" i="91"/>
  <c r="BM38" i="91"/>
  <c r="BL32" i="91"/>
  <c r="G25" i="91"/>
  <c r="AN13" i="91"/>
  <c r="AI21" i="91"/>
  <c r="C21" i="91" s="1"/>
  <c r="G18" i="91"/>
  <c r="AN21" i="91"/>
  <c r="BM31" i="91"/>
  <c r="AS44" i="91"/>
  <c r="AT44" i="91" s="1"/>
  <c r="AV46" i="91"/>
  <c r="AV47" i="91" s="1"/>
  <c r="G42" i="91"/>
  <c r="AI17" i="91"/>
  <c r="C17" i="91" s="1"/>
  <c r="AN12" i="91"/>
  <c r="BL39" i="91"/>
  <c r="G19" i="91"/>
  <c r="AW19" i="91" s="1"/>
  <c r="G29" i="91"/>
  <c r="G31" i="91"/>
  <c r="BM42" i="91"/>
  <c r="BM29" i="91"/>
  <c r="AN27" i="91"/>
  <c r="AW13" i="91"/>
  <c r="BI13" i="91"/>
  <c r="AZ13" i="91" s="1"/>
  <c r="AY13" i="91"/>
  <c r="BK13" i="91"/>
  <c r="I13" i="91" s="1"/>
  <c r="BA13" i="91"/>
  <c r="BB13" i="91"/>
  <c r="AI13" i="91"/>
  <c r="C13" i="91" s="1"/>
  <c r="AN16" i="91"/>
  <c r="BL21" i="91"/>
  <c r="BB19" i="91"/>
  <c r="G11" i="91"/>
  <c r="AI27" i="91"/>
  <c r="C27" i="91" s="1"/>
  <c r="BL40" i="91"/>
  <c r="BL37" i="91"/>
  <c r="BM37" i="91"/>
  <c r="G37" i="91"/>
  <c r="G34" i="91"/>
  <c r="AY25" i="91"/>
  <c r="BK25" i="91"/>
  <c r="I25" i="91" s="1"/>
  <c r="BA19" i="91"/>
  <c r="AU44" i="91"/>
  <c r="AI12" i="91"/>
  <c r="AW25" i="91"/>
  <c r="G15" i="91"/>
  <c r="B12" i="91"/>
  <c r="AI22" i="91"/>
  <c r="C22" i="91" s="1"/>
  <c r="AJ12" i="91"/>
  <c r="AJ13" i="91" s="1"/>
  <c r="AJ14" i="91" s="1"/>
  <c r="AJ15" i="91" s="1"/>
  <c r="BM40" i="91"/>
  <c r="AI23" i="91"/>
  <c r="C23" i="91" s="1"/>
  <c r="AI19" i="91"/>
  <c r="C19" i="91" s="1"/>
  <c r="AW17" i="91"/>
  <c r="BI17" i="91"/>
  <c r="BM17" i="91" s="1"/>
  <c r="BA17" i="91"/>
  <c r="AY17" i="91"/>
  <c r="BK17" i="91"/>
  <c r="I17" i="91" s="1"/>
  <c r="AY19" i="91"/>
  <c r="BK19" i="91"/>
  <c r="I19" i="91" s="1"/>
  <c r="AQ44" i="91"/>
  <c r="BL41" i="91"/>
  <c r="G41" i="91"/>
  <c r="BM41" i="91"/>
  <c r="AI26" i="91"/>
  <c r="C26" i="91" s="1"/>
  <c r="AI25" i="91"/>
  <c r="C25" i="91" s="1"/>
  <c r="G38" i="91"/>
  <c r="BM28" i="91"/>
  <c r="G23" i="91"/>
  <c r="AI16" i="91"/>
  <c r="C16" i="91" s="1"/>
  <c r="BM34" i="91"/>
  <c r="BI19" i="91"/>
  <c r="AI18" i="91"/>
  <c r="C18" i="91" s="1"/>
  <c r="BL17" i="91"/>
  <c r="BE7" i="91"/>
  <c r="BC7" i="91"/>
  <c r="G21" i="91"/>
  <c r="AI14" i="91"/>
  <c r="C14" i="91" s="1"/>
  <c r="BL13" i="91"/>
  <c r="BL33" i="91"/>
  <c r="BM33" i="91"/>
  <c r="G33" i="91"/>
  <c r="AW26" i="91"/>
  <c r="BI26" i="91"/>
  <c r="AY26" i="91"/>
  <c r="BK26" i="91"/>
  <c r="I26" i="91" s="1"/>
  <c r="BD7" i="91"/>
  <c r="BI22" i="91"/>
  <c r="AW22" i="91"/>
  <c r="BI18" i="91"/>
  <c r="AW18" i="91"/>
  <c r="BI14" i="91"/>
  <c r="AW14" i="91"/>
  <c r="AK35" i="91"/>
  <c r="AM35" i="91" s="1"/>
  <c r="G30" i="91"/>
  <c r="G27" i="91"/>
  <c r="G24" i="91"/>
  <c r="G20" i="91"/>
  <c r="G16" i="91"/>
  <c r="G12" i="91"/>
  <c r="AK39" i="91"/>
  <c r="AM39" i="91" s="1"/>
  <c r="BM30" i="91"/>
  <c r="AZ17" i="91" l="1"/>
  <c r="BM13" i="91"/>
  <c r="BA18" i="91"/>
  <c r="BK18" i="91"/>
  <c r="I18" i="91" s="1"/>
  <c r="AY18" i="91"/>
  <c r="BB18" i="91"/>
  <c r="AN9" i="91"/>
  <c r="BA25" i="91"/>
  <c r="BB25" i="91"/>
  <c r="BI25" i="91"/>
  <c r="BN25" i="91" s="1"/>
  <c r="BM14" i="91"/>
  <c r="BN14" i="91"/>
  <c r="BJ14" i="91"/>
  <c r="H14" i="91" s="1"/>
  <c r="BF14" i="91" s="1"/>
  <c r="AK14" i="91"/>
  <c r="AZ14" i="91"/>
  <c r="C12" i="91"/>
  <c r="BA12" i="91"/>
  <c r="BB12" i="91"/>
  <c r="BI12" i="91"/>
  <c r="AZ12" i="91" s="1"/>
  <c r="BK12" i="91"/>
  <c r="I12" i="91" s="1"/>
  <c r="AW12" i="91"/>
  <c r="AY12" i="91"/>
  <c r="B13" i="91"/>
  <c r="B14" i="91" s="1"/>
  <c r="BA16" i="91"/>
  <c r="BB16" i="91"/>
  <c r="BI16" i="91"/>
  <c r="AZ16" i="91" s="1"/>
  <c r="BK16" i="91"/>
  <c r="I16" i="91" s="1"/>
  <c r="AW16" i="91"/>
  <c r="AY16" i="91"/>
  <c r="BJ19" i="91"/>
  <c r="H19" i="91" s="1"/>
  <c r="BF19" i="91" s="1"/>
  <c r="BM19" i="91"/>
  <c r="BN19" i="91"/>
  <c r="AK19" i="91"/>
  <c r="BM18" i="91"/>
  <c r="AK18" i="91"/>
  <c r="BJ18" i="91"/>
  <c r="H18" i="91" s="1"/>
  <c r="BF18" i="91" s="1"/>
  <c r="AZ18" i="91"/>
  <c r="AK17" i="91"/>
  <c r="BJ17" i="91"/>
  <c r="H17" i="91" s="1"/>
  <c r="BF17" i="91" s="1"/>
  <c r="BN17" i="91"/>
  <c r="BA20" i="91"/>
  <c r="BB20" i="91"/>
  <c r="BI20" i="91"/>
  <c r="BK20" i="91"/>
  <c r="I20" i="91" s="1"/>
  <c r="AW20" i="91"/>
  <c r="AX20" i="91"/>
  <c r="AY20" i="91"/>
  <c r="AX11" i="91"/>
  <c r="AY11" i="91"/>
  <c r="BK11" i="91"/>
  <c r="I11" i="91" s="1"/>
  <c r="BB11" i="91"/>
  <c r="BI11" i="91"/>
  <c r="AZ11" i="91" s="1"/>
  <c r="BA11" i="91"/>
  <c r="AW11" i="91"/>
  <c r="AN44" i="91"/>
  <c r="AX15" i="91"/>
  <c r="AY15" i="91"/>
  <c r="BK15" i="91"/>
  <c r="I15" i="91" s="1"/>
  <c r="BI15" i="91"/>
  <c r="AZ15" i="91" s="1"/>
  <c r="BB15" i="91"/>
  <c r="AW15" i="91"/>
  <c r="BA15" i="91"/>
  <c r="AK26" i="91"/>
  <c r="BJ26" i="91"/>
  <c r="H26" i="91" s="1"/>
  <c r="BF26" i="91" s="1"/>
  <c r="BN26" i="91"/>
  <c r="BM26" i="91"/>
  <c r="BM22" i="91"/>
  <c r="BN22" i="91"/>
  <c r="AK22" i="91"/>
  <c r="BJ22" i="91"/>
  <c r="H22" i="91" s="1"/>
  <c r="BF22" i="91" s="1"/>
  <c r="AZ22" i="91"/>
  <c r="BA24" i="91"/>
  <c r="BB24" i="91"/>
  <c r="BK24" i="91"/>
  <c r="I24" i="91" s="1"/>
  <c r="AW24" i="91"/>
  <c r="AX24" i="91"/>
  <c r="AY24" i="91"/>
  <c r="BI24" i="91"/>
  <c r="AZ24" i="91" s="1"/>
  <c r="Q8" i="91"/>
  <c r="AV44" i="91"/>
  <c r="AV48" i="91" s="1"/>
  <c r="E44" i="91"/>
  <c r="AK13" i="91"/>
  <c r="BJ13" i="91"/>
  <c r="H13" i="91" s="1"/>
  <c r="BF13" i="91" s="1"/>
  <c r="BN13" i="91"/>
  <c r="BA27" i="91"/>
  <c r="BB27" i="91"/>
  <c r="AW27" i="91"/>
  <c r="AY27" i="91"/>
  <c r="BK27" i="91"/>
  <c r="I27" i="91" s="1"/>
  <c r="BI27" i="91"/>
  <c r="AZ27" i="91" s="1"/>
  <c r="AZ26" i="91"/>
  <c r="AW21" i="91"/>
  <c r="BI21" i="91"/>
  <c r="AZ21" i="91" s="1"/>
  <c r="AY21" i="91"/>
  <c r="BK21" i="91"/>
  <c r="I21" i="91" s="1"/>
  <c r="BA21" i="91"/>
  <c r="BB21" i="91"/>
  <c r="AY23" i="91"/>
  <c r="BK23" i="91"/>
  <c r="I23" i="91" s="1"/>
  <c r="AW23" i="91"/>
  <c r="BA23" i="91"/>
  <c r="BB23" i="91"/>
  <c r="BI23" i="91"/>
  <c r="AZ23" i="91" s="1"/>
  <c r="AJ16" i="91"/>
  <c r="AJ17" i="91" s="1"/>
  <c r="AJ18" i="91" s="1"/>
  <c r="AJ19" i="91" s="1"/>
  <c r="AJ20" i="91" s="1"/>
  <c r="AZ19" i="91"/>
  <c r="AP14" i="91" l="1"/>
  <c r="BN18" i="91"/>
  <c r="AK25" i="91"/>
  <c r="BJ25" i="91"/>
  <c r="H25" i="91" s="1"/>
  <c r="BF25" i="91" s="1"/>
  <c r="BM25" i="91"/>
  <c r="AZ25" i="91"/>
  <c r="AY7" i="91"/>
  <c r="AR26" i="91"/>
  <c r="AV26" i="91" s="1"/>
  <c r="AM26" i="91"/>
  <c r="AT26" i="91"/>
  <c r="AX26" i="91"/>
  <c r="AJ21" i="91"/>
  <c r="AK11" i="91"/>
  <c r="BN11" i="91"/>
  <c r="BM11" i="91"/>
  <c r="AK20" i="91"/>
  <c r="BM20" i="91"/>
  <c r="BN20" i="91"/>
  <c r="AT18" i="91"/>
  <c r="AX18" i="91"/>
  <c r="AR18" i="91"/>
  <c r="AV18" i="91" s="1"/>
  <c r="AM18" i="91"/>
  <c r="AK24" i="91"/>
  <c r="BM24" i="91"/>
  <c r="BN24" i="91"/>
  <c r="AM19" i="91"/>
  <c r="AR19" i="91"/>
  <c r="AV19" i="91" s="1"/>
  <c r="AT19" i="91"/>
  <c r="AX19" i="91"/>
  <c r="AP13" i="91"/>
  <c r="BJ16" i="91"/>
  <c r="H16" i="91" s="1"/>
  <c r="BF16" i="91" s="1"/>
  <c r="AK16" i="91"/>
  <c r="BM16" i="91"/>
  <c r="BN16" i="91"/>
  <c r="BA7" i="91"/>
  <c r="BJ23" i="91"/>
  <c r="H23" i="91" s="1"/>
  <c r="BF23" i="91" s="1"/>
  <c r="AK23" i="91"/>
  <c r="BN23" i="91"/>
  <c r="BM23" i="91"/>
  <c r="BB7" i="91"/>
  <c r="AZ20" i="91"/>
  <c r="AK21" i="91"/>
  <c r="BJ21" i="91"/>
  <c r="H21" i="91" s="1"/>
  <c r="BF21" i="91" s="1"/>
  <c r="BN21" i="91"/>
  <c r="BM21" i="91"/>
  <c r="AT14" i="91"/>
  <c r="AX14" i="91"/>
  <c r="AM14" i="91"/>
  <c r="AR14" i="91"/>
  <c r="AV14" i="91" s="1"/>
  <c r="AK15" i="91"/>
  <c r="BM15" i="91"/>
  <c r="BN15" i="91"/>
  <c r="AT22" i="91"/>
  <c r="AX22" i="91"/>
  <c r="AR22" i="91"/>
  <c r="AV22" i="91" s="1"/>
  <c r="AM22" i="91"/>
  <c r="AR17" i="91"/>
  <c r="AV17" i="91" s="1"/>
  <c r="AM17" i="91"/>
  <c r="AT17" i="91"/>
  <c r="AX17" i="91"/>
  <c r="AK12" i="91"/>
  <c r="BJ12" i="91"/>
  <c r="H12" i="91" s="1"/>
  <c r="BN12" i="91"/>
  <c r="BM12" i="91"/>
  <c r="AR13" i="91"/>
  <c r="AV13" i="91" s="1"/>
  <c r="AM13" i="91"/>
  <c r="AT13" i="91"/>
  <c r="AX13" i="91"/>
  <c r="AK27" i="91"/>
  <c r="BJ27" i="91"/>
  <c r="H27" i="91" s="1"/>
  <c r="BF27" i="91" s="1"/>
  <c r="BN27" i="91"/>
  <c r="BM27" i="91"/>
  <c r="B16" i="91"/>
  <c r="B17" i="91" s="1"/>
  <c r="BG14" i="91" l="1"/>
  <c r="BG13" i="91"/>
  <c r="AZ7" i="91"/>
  <c r="AP17" i="91"/>
  <c r="BG17" i="91" s="1"/>
  <c r="B18" i="91"/>
  <c r="AP18" i="91" s="1"/>
  <c r="BG18" i="91" s="1"/>
  <c r="AX25" i="91"/>
  <c r="AM25" i="91"/>
  <c r="AR25" i="91"/>
  <c r="AV25" i="91" s="1"/>
  <c r="AT25" i="91"/>
  <c r="AR27" i="91"/>
  <c r="AV27" i="91" s="1"/>
  <c r="AT27" i="91"/>
  <c r="AM27" i="91"/>
  <c r="AX27" i="91"/>
  <c r="AM23" i="91"/>
  <c r="AR23" i="91"/>
  <c r="AV23" i="91" s="1"/>
  <c r="AT23" i="91"/>
  <c r="AX23" i="91"/>
  <c r="B19" i="91"/>
  <c r="AP16" i="91"/>
  <c r="AR16" i="91"/>
  <c r="AV16" i="91" s="1"/>
  <c r="AM16" i="91"/>
  <c r="AT16" i="91"/>
  <c r="AX16" i="91"/>
  <c r="AM15" i="91"/>
  <c r="AP15" i="91" s="1"/>
  <c r="BG15" i="91" s="1"/>
  <c r="AR15" i="91"/>
  <c r="AV15" i="91" s="1"/>
  <c r="AT15" i="91"/>
  <c r="AR21" i="91"/>
  <c r="AV21" i="91" s="1"/>
  <c r="AM21" i="91"/>
  <c r="AT21" i="91"/>
  <c r="AX21" i="91"/>
  <c r="BF12" i="91"/>
  <c r="AP12" i="91"/>
  <c r="AR20" i="91"/>
  <c r="AV20" i="91" s="1"/>
  <c r="AT20" i="91"/>
  <c r="AM20" i="91"/>
  <c r="AP20" i="91" s="1"/>
  <c r="BG20" i="91" s="1"/>
  <c r="AR12" i="91"/>
  <c r="AV12" i="91" s="1"/>
  <c r="AM12" i="91"/>
  <c r="AT12" i="91"/>
  <c r="AX12" i="91"/>
  <c r="AR24" i="91"/>
  <c r="AV24" i="91" s="1"/>
  <c r="AT24" i="91"/>
  <c r="AM24" i="91"/>
  <c r="AP24" i="91" s="1"/>
  <c r="BG24" i="91" s="1"/>
  <c r="AM11" i="91"/>
  <c r="AR11" i="91"/>
  <c r="AT11" i="91"/>
  <c r="AJ22" i="91"/>
  <c r="AM44" i="91" l="1"/>
  <c r="AM9" i="91"/>
  <c r="J44" i="91" s="1"/>
  <c r="AP11" i="91"/>
  <c r="BG11" i="91" s="1"/>
  <c r="AP19" i="91"/>
  <c r="BG19" i="91" s="1"/>
  <c r="B21" i="91"/>
  <c r="BG12" i="91"/>
  <c r="AJ23" i="91"/>
  <c r="AV11" i="91"/>
  <c r="AR44" i="91"/>
  <c r="AR48" i="91" s="1"/>
  <c r="BG16" i="91"/>
  <c r="AJ24" i="91" l="1"/>
  <c r="AR49" i="91"/>
  <c r="B44" i="91" s="1"/>
  <c r="Q9" i="91"/>
  <c r="F44" i="91"/>
  <c r="U51" i="91" s="1"/>
  <c r="U52" i="91" s="1"/>
  <c r="AW7" i="91"/>
  <c r="U47" i="91" s="1"/>
  <c r="O43" i="91" s="1"/>
  <c r="AX7" i="91"/>
  <c r="U48" i="91" s="1"/>
  <c r="Q43" i="91" s="1"/>
  <c r="AP21" i="91"/>
  <c r="BG21" i="91" s="1"/>
  <c r="B22" i="91"/>
  <c r="AP22" i="91" s="1"/>
  <c r="BG22" i="91" s="1"/>
  <c r="B23" i="91"/>
  <c r="AJ25" i="91" l="1"/>
  <c r="AP23" i="91"/>
  <c r="BG23" i="91" s="1"/>
  <c r="B25" i="91"/>
  <c r="AJ26" i="91" l="1"/>
  <c r="AP25" i="91"/>
  <c r="BG25" i="91" s="1"/>
  <c r="B26" i="91"/>
  <c r="AP26" i="91" l="1"/>
  <c r="BG26" i="91" s="1"/>
  <c r="B27" i="91"/>
  <c r="AP27" i="91" s="1"/>
  <c r="BG27" i="91" s="1"/>
  <c r="AJ27" i="91"/>
  <c r="AI20" i="91"/>
  <c r="C20" i="91" s="1"/>
  <c r="AI24" i="91"/>
  <c r="C24" i="91" s="1"/>
  <c r="L40" i="74"/>
  <c r="K40" i="74"/>
  <c r="K34" i="74"/>
  <c r="L34" i="74" s="1"/>
  <c r="K28" i="74"/>
  <c r="L28" i="74" s="1"/>
  <c r="K22" i="74"/>
  <c r="AI15" i="91" l="1"/>
  <c r="AI11" i="91"/>
  <c r="C11" i="91" s="1"/>
  <c r="E23" i="8"/>
  <c r="D23" i="8"/>
  <c r="G23" i="9"/>
  <c r="E23" i="9"/>
  <c r="D23" i="9"/>
  <c r="C23" i="9"/>
  <c r="E10" i="8"/>
  <c r="D10" i="8"/>
  <c r="C10" i="8"/>
  <c r="B10" i="8"/>
  <c r="G22" i="9"/>
  <c r="E22" i="9"/>
  <c r="D22" i="9"/>
  <c r="C22" i="9"/>
  <c r="E9" i="8"/>
  <c r="D9" i="8"/>
  <c r="C9" i="8"/>
  <c r="B9" i="8"/>
  <c r="G21" i="9"/>
  <c r="E21" i="9"/>
  <c r="D21" i="9"/>
  <c r="C21" i="9"/>
  <c r="E8" i="8"/>
  <c r="D8" i="8"/>
  <c r="C8" i="8"/>
  <c r="B8" i="8"/>
  <c r="F15" i="8"/>
  <c r="C80" i="14" s="1"/>
  <c r="E15" i="8"/>
  <c r="D15" i="8"/>
  <c r="G20" i="9"/>
  <c r="E20" i="9"/>
  <c r="D20" i="9"/>
  <c r="C20" i="9"/>
  <c r="E9" i="7"/>
  <c r="D9" i="7"/>
  <c r="C9" i="7"/>
  <c r="B9" i="7"/>
  <c r="G19" i="9"/>
  <c r="E19" i="9"/>
  <c r="D19" i="9"/>
  <c r="C19" i="9"/>
  <c r="E8" i="7"/>
  <c r="D8" i="7"/>
  <c r="C8" i="7"/>
  <c r="B8" i="7"/>
  <c r="C27" i="14"/>
  <c r="G18" i="9"/>
  <c r="E18" i="9"/>
  <c r="D18" i="9"/>
  <c r="C18" i="9"/>
  <c r="G17" i="9"/>
  <c r="E17" i="9"/>
  <c r="D17" i="9"/>
  <c r="C17" i="9"/>
  <c r="U48" i="87"/>
  <c r="BE43" i="87"/>
  <c r="AT43" i="87"/>
  <c r="AT44" i="87" s="1"/>
  <c r="BN39" i="87"/>
  <c r="BL39" i="87"/>
  <c r="BK39" i="87"/>
  <c r="I39" i="87" s="1"/>
  <c r="BJ39" i="87"/>
  <c r="H39" i="87" s="1"/>
  <c r="BF39" i="87" s="1"/>
  <c r="BI39" i="87"/>
  <c r="BM39" i="87" s="1"/>
  <c r="BH39" i="87"/>
  <c r="BG39" i="87"/>
  <c r="BE39" i="87"/>
  <c r="BD39" i="87"/>
  <c r="BC39" i="87"/>
  <c r="BB39" i="87"/>
  <c r="BA39" i="87"/>
  <c r="AZ39" i="87"/>
  <c r="AY39" i="87"/>
  <c r="AX39" i="87"/>
  <c r="AW39" i="87"/>
  <c r="AU39" i="87"/>
  <c r="AT39" i="87"/>
  <c r="AS39" i="87"/>
  <c r="AR39" i="87"/>
  <c r="AV39" i="87" s="1"/>
  <c r="AQ39" i="87"/>
  <c r="AP39" i="87"/>
  <c r="AO39" i="87"/>
  <c r="AL39" i="87"/>
  <c r="AJ39" i="87"/>
  <c r="AI39" i="87"/>
  <c r="AH39" i="87"/>
  <c r="AN39" i="87" s="1"/>
  <c r="AG39" i="87"/>
  <c r="G39" i="87"/>
  <c r="C39" i="87"/>
  <c r="B39" i="87"/>
  <c r="BN38" i="87"/>
  <c r="BL38" i="87"/>
  <c r="BK38" i="87"/>
  <c r="I38" i="87" s="1"/>
  <c r="BJ38" i="87"/>
  <c r="H38" i="87" s="1"/>
  <c r="BF38" i="87" s="1"/>
  <c r="BI38" i="87"/>
  <c r="BM38" i="87" s="1"/>
  <c r="BH38" i="87"/>
  <c r="BG38" i="87"/>
  <c r="BE38" i="87"/>
  <c r="BD38" i="87"/>
  <c r="BC38" i="87"/>
  <c r="BB38" i="87"/>
  <c r="BA38" i="87"/>
  <c r="AZ38" i="87"/>
  <c r="AY38" i="87"/>
  <c r="AX38" i="87"/>
  <c r="AW38" i="87"/>
  <c r="AU38" i="87"/>
  <c r="AT38" i="87"/>
  <c r="AS38" i="87"/>
  <c r="AR38" i="87"/>
  <c r="AV38" i="87" s="1"/>
  <c r="AQ38" i="87"/>
  <c r="AP38" i="87"/>
  <c r="AO38" i="87"/>
  <c r="AL38" i="87"/>
  <c r="AJ38" i="87"/>
  <c r="AI38" i="87"/>
  <c r="AH38" i="87"/>
  <c r="AN38" i="87" s="1"/>
  <c r="AG38" i="87"/>
  <c r="G38" i="87"/>
  <c r="C38" i="87"/>
  <c r="B38" i="87"/>
  <c r="BN37" i="87"/>
  <c r="BL37" i="87"/>
  <c r="BK37" i="87"/>
  <c r="I37" i="87" s="1"/>
  <c r="BJ37" i="87"/>
  <c r="H37" i="87" s="1"/>
  <c r="BF37" i="87" s="1"/>
  <c r="BI37" i="87"/>
  <c r="AK37" i="87" s="1"/>
  <c r="AM37" i="87" s="1"/>
  <c r="BH37" i="87"/>
  <c r="G37" i="87" s="1"/>
  <c r="BG37" i="87"/>
  <c r="BE37" i="87"/>
  <c r="BD37" i="87"/>
  <c r="BC37" i="87"/>
  <c r="BB37" i="87"/>
  <c r="BA37" i="87"/>
  <c r="AZ37" i="87"/>
  <c r="AY37" i="87"/>
  <c r="AX37" i="87"/>
  <c r="AW37" i="87"/>
  <c r="AU37" i="87"/>
  <c r="AT37" i="87"/>
  <c r="AS37" i="87"/>
  <c r="AR37" i="87"/>
  <c r="AV37" i="87" s="1"/>
  <c r="AQ37" i="87"/>
  <c r="AP37" i="87"/>
  <c r="AO37" i="87"/>
  <c r="AL37" i="87"/>
  <c r="AJ37" i="87"/>
  <c r="AI37" i="87"/>
  <c r="AH37" i="87"/>
  <c r="AN37" i="87" s="1"/>
  <c r="AG37" i="87"/>
  <c r="C37" i="87"/>
  <c r="B37" i="87"/>
  <c r="BN36" i="87"/>
  <c r="BK36" i="87"/>
  <c r="I36" i="87" s="1"/>
  <c r="BJ36" i="87"/>
  <c r="H36" i="87" s="1"/>
  <c r="BF36" i="87" s="1"/>
  <c r="BI36" i="87"/>
  <c r="AK36" i="87" s="1"/>
  <c r="AM36" i="87" s="1"/>
  <c r="BH36" i="87"/>
  <c r="G36" i="87" s="1"/>
  <c r="BG36" i="87"/>
  <c r="BE36" i="87"/>
  <c r="BD36" i="87"/>
  <c r="BC36" i="87"/>
  <c r="BB36" i="87"/>
  <c r="BA36" i="87"/>
  <c r="AZ36" i="87"/>
  <c r="AY36" i="87"/>
  <c r="AX36" i="87"/>
  <c r="AW36" i="87"/>
  <c r="AU36" i="87"/>
  <c r="AT36" i="87"/>
  <c r="AS36" i="87"/>
  <c r="AR36" i="87"/>
  <c r="AV36" i="87" s="1"/>
  <c r="AQ36" i="87"/>
  <c r="AP36" i="87"/>
  <c r="AO36" i="87"/>
  <c r="AL36" i="87"/>
  <c r="AJ36" i="87"/>
  <c r="AI36" i="87"/>
  <c r="AH36" i="87"/>
  <c r="AN36" i="87" s="1"/>
  <c r="AG36" i="87"/>
  <c r="C36" i="87"/>
  <c r="B36" i="87"/>
  <c r="BN35" i="87"/>
  <c r="BL35" i="87"/>
  <c r="BK35" i="87"/>
  <c r="I35" i="87" s="1"/>
  <c r="BJ35" i="87"/>
  <c r="H35" i="87" s="1"/>
  <c r="BF35" i="87" s="1"/>
  <c r="BI35" i="87"/>
  <c r="BM35" i="87" s="1"/>
  <c r="BH35" i="87"/>
  <c r="BG35" i="87"/>
  <c r="BE35" i="87"/>
  <c r="BD35" i="87"/>
  <c r="BC35" i="87"/>
  <c r="BB35" i="87"/>
  <c r="BA35" i="87"/>
  <c r="AZ35" i="87"/>
  <c r="AY35" i="87"/>
  <c r="AX35" i="87"/>
  <c r="AW35" i="87"/>
  <c r="AU35" i="87"/>
  <c r="AT35" i="87"/>
  <c r="AS35" i="87"/>
  <c r="AR35" i="87"/>
  <c r="AV35" i="87" s="1"/>
  <c r="AQ35" i="87"/>
  <c r="AP35" i="87"/>
  <c r="AO35" i="87"/>
  <c r="AL35" i="87"/>
  <c r="AJ35" i="87"/>
  <c r="AI35" i="87"/>
  <c r="AH35" i="87"/>
  <c r="AN35" i="87" s="1"/>
  <c r="AG35" i="87"/>
  <c r="G35" i="87"/>
  <c r="C35" i="87"/>
  <c r="B35" i="87"/>
  <c r="BN34" i="87"/>
  <c r="BL34" i="87"/>
  <c r="BK34" i="87"/>
  <c r="I34" i="87" s="1"/>
  <c r="BJ34" i="87"/>
  <c r="H34" i="87" s="1"/>
  <c r="BF34" i="87" s="1"/>
  <c r="BI34" i="87"/>
  <c r="BM34" i="87" s="1"/>
  <c r="BH34" i="87"/>
  <c r="BG34" i="87"/>
  <c r="BE34" i="87"/>
  <c r="BD34" i="87"/>
  <c r="BC34" i="87"/>
  <c r="BB34" i="87"/>
  <c r="BA34" i="87"/>
  <c r="AZ34" i="87"/>
  <c r="AY34" i="87"/>
  <c r="AX34" i="87"/>
  <c r="AW34" i="87"/>
  <c r="AU34" i="87"/>
  <c r="AT34" i="87"/>
  <c r="AS34" i="87"/>
  <c r="AR34" i="87"/>
  <c r="AV34" i="87" s="1"/>
  <c r="AQ34" i="87"/>
  <c r="AP34" i="87"/>
  <c r="AO34" i="87"/>
  <c r="AL34" i="87"/>
  <c r="AJ34" i="87"/>
  <c r="AI34" i="87"/>
  <c r="AH34" i="87"/>
  <c r="AN34" i="87" s="1"/>
  <c r="AG34" i="87"/>
  <c r="G34" i="87"/>
  <c r="C34" i="87"/>
  <c r="B34" i="87"/>
  <c r="BN33" i="87"/>
  <c r="BL33" i="87"/>
  <c r="BK33" i="87"/>
  <c r="I33" i="87" s="1"/>
  <c r="BJ33" i="87"/>
  <c r="H33" i="87" s="1"/>
  <c r="BF33" i="87" s="1"/>
  <c r="BI33" i="87"/>
  <c r="AK33" i="87" s="1"/>
  <c r="AM33" i="87" s="1"/>
  <c r="BH33" i="87"/>
  <c r="G33" i="87" s="1"/>
  <c r="BG33" i="87"/>
  <c r="BE33" i="87"/>
  <c r="BD33" i="87"/>
  <c r="BC33" i="87"/>
  <c r="BB33" i="87"/>
  <c r="BA33" i="87"/>
  <c r="AZ33" i="87"/>
  <c r="AY33" i="87"/>
  <c r="AX33" i="87"/>
  <c r="AW33" i="87"/>
  <c r="AU33" i="87"/>
  <c r="AT33" i="87"/>
  <c r="AS33" i="87"/>
  <c r="AR33" i="87"/>
  <c r="AV33" i="87" s="1"/>
  <c r="AQ33" i="87"/>
  <c r="AP33" i="87"/>
  <c r="AO33" i="87"/>
  <c r="AL33" i="87"/>
  <c r="AJ33" i="87"/>
  <c r="AI33" i="87"/>
  <c r="AH33" i="87"/>
  <c r="AN33" i="87" s="1"/>
  <c r="AG33" i="87"/>
  <c r="C33" i="87"/>
  <c r="B33" i="87"/>
  <c r="BN32" i="87"/>
  <c r="BK32" i="87"/>
  <c r="I32" i="87" s="1"/>
  <c r="BJ32" i="87"/>
  <c r="H32" i="87" s="1"/>
  <c r="BF32" i="87" s="1"/>
  <c r="BI32" i="87"/>
  <c r="AK32" i="87" s="1"/>
  <c r="AM32" i="87" s="1"/>
  <c r="BH32" i="87"/>
  <c r="G32" i="87" s="1"/>
  <c r="BG32" i="87"/>
  <c r="BE32" i="87"/>
  <c r="BD32" i="87"/>
  <c r="BC32" i="87"/>
  <c r="BB32" i="87"/>
  <c r="BA32" i="87"/>
  <c r="AZ32" i="87"/>
  <c r="AY32" i="87"/>
  <c r="AX32" i="87"/>
  <c r="AW32" i="87"/>
  <c r="AU32" i="87"/>
  <c r="AT32" i="87"/>
  <c r="AS32" i="87"/>
  <c r="AR32" i="87"/>
  <c r="AV32" i="87" s="1"/>
  <c r="AQ32" i="87"/>
  <c r="AP32" i="87"/>
  <c r="AO32" i="87"/>
  <c r="AL32" i="87"/>
  <c r="AJ32" i="87"/>
  <c r="AI32" i="87"/>
  <c r="AH32" i="87"/>
  <c r="AN32" i="87" s="1"/>
  <c r="AG32" i="87"/>
  <c r="C32" i="87"/>
  <c r="B32" i="87"/>
  <c r="BN31" i="87"/>
  <c r="BL31" i="87"/>
  <c r="BK31" i="87"/>
  <c r="I31" i="87" s="1"/>
  <c r="BJ31" i="87"/>
  <c r="H31" i="87" s="1"/>
  <c r="BF31" i="87" s="1"/>
  <c r="BI31" i="87"/>
  <c r="BM31" i="87" s="1"/>
  <c r="BH31" i="87"/>
  <c r="BG31" i="87"/>
  <c r="BE31" i="87"/>
  <c r="BD31" i="87"/>
  <c r="BC31" i="87"/>
  <c r="BB31" i="87"/>
  <c r="BA31" i="87"/>
  <c r="AZ31" i="87"/>
  <c r="AY31" i="87"/>
  <c r="AX31" i="87"/>
  <c r="AW31" i="87"/>
  <c r="AU31" i="87"/>
  <c r="AT31" i="87"/>
  <c r="AS31" i="87"/>
  <c r="AR31" i="87"/>
  <c r="AV31" i="87" s="1"/>
  <c r="AQ31" i="87"/>
  <c r="AP31" i="87"/>
  <c r="AO31" i="87"/>
  <c r="AL31" i="87"/>
  <c r="AJ31" i="87"/>
  <c r="AI31" i="87"/>
  <c r="AH31" i="87"/>
  <c r="AN31" i="87" s="1"/>
  <c r="AG31" i="87"/>
  <c r="G31" i="87"/>
  <c r="C31" i="87"/>
  <c r="B31" i="87"/>
  <c r="BN30" i="87"/>
  <c r="BL30" i="87"/>
  <c r="BK30" i="87"/>
  <c r="I30" i="87" s="1"/>
  <c r="BJ30" i="87"/>
  <c r="H30" i="87" s="1"/>
  <c r="BF30" i="87" s="1"/>
  <c r="BI30" i="87"/>
  <c r="BM30" i="87" s="1"/>
  <c r="BH30" i="87"/>
  <c r="BG30" i="87"/>
  <c r="BE30" i="87"/>
  <c r="BD30" i="87"/>
  <c r="BC30" i="87"/>
  <c r="BB30" i="87"/>
  <c r="BA30" i="87"/>
  <c r="AZ30" i="87"/>
  <c r="AY30" i="87"/>
  <c r="AX30" i="87"/>
  <c r="AW30" i="87"/>
  <c r="AU30" i="87"/>
  <c r="AT30" i="87"/>
  <c r="AS30" i="87"/>
  <c r="AR30" i="87"/>
  <c r="AV30" i="87" s="1"/>
  <c r="AQ30" i="87"/>
  <c r="AP30" i="87"/>
  <c r="AO30" i="87"/>
  <c r="AL30" i="87"/>
  <c r="AJ30" i="87"/>
  <c r="AI30" i="87"/>
  <c r="AH30" i="87"/>
  <c r="AN30" i="87" s="1"/>
  <c r="AG30" i="87"/>
  <c r="G30" i="87"/>
  <c r="C30" i="87"/>
  <c r="B30" i="87"/>
  <c r="BU29" i="87"/>
  <c r="BT29" i="87"/>
  <c r="BS29" i="87"/>
  <c r="BR29" i="87"/>
  <c r="BQ29" i="87"/>
  <c r="BN29" i="87"/>
  <c r="BK29" i="87"/>
  <c r="I29" i="87" s="1"/>
  <c r="BJ29" i="87"/>
  <c r="H29" i="87" s="1"/>
  <c r="BF29" i="87" s="1"/>
  <c r="BI29" i="87"/>
  <c r="AK29" i="87" s="1"/>
  <c r="AM29" i="87" s="1"/>
  <c r="BH29" i="87"/>
  <c r="G29" i="87" s="1"/>
  <c r="BG29" i="87"/>
  <c r="BE29" i="87"/>
  <c r="BD29" i="87"/>
  <c r="BC29" i="87"/>
  <c r="BB29" i="87"/>
  <c r="BA29" i="87"/>
  <c r="AZ29" i="87"/>
  <c r="AY29" i="87"/>
  <c r="AX29" i="87"/>
  <c r="AW29" i="87"/>
  <c r="AU29" i="87"/>
  <c r="AT29" i="87"/>
  <c r="AS29" i="87"/>
  <c r="AR29" i="87"/>
  <c r="AV29" i="87" s="1"/>
  <c r="AQ29" i="87"/>
  <c r="AP29" i="87"/>
  <c r="AO29" i="87"/>
  <c r="AL29" i="87"/>
  <c r="AJ29" i="87"/>
  <c r="AI29" i="87"/>
  <c r="AH29" i="87"/>
  <c r="AN29" i="87" s="1"/>
  <c r="AG29" i="87"/>
  <c r="C29" i="87"/>
  <c r="B29" i="87"/>
  <c r="BU28" i="87"/>
  <c r="BT28" i="87"/>
  <c r="BS28" i="87"/>
  <c r="BR28" i="87"/>
  <c r="BQ28" i="87"/>
  <c r="BN28" i="87"/>
  <c r="BK28" i="87"/>
  <c r="I28" i="87" s="1"/>
  <c r="BJ28" i="87"/>
  <c r="H28" i="87" s="1"/>
  <c r="BF28" i="87" s="1"/>
  <c r="BI28" i="87"/>
  <c r="BM28" i="87" s="1"/>
  <c r="BH28" i="87"/>
  <c r="BL28" i="87" s="1"/>
  <c r="BG28" i="87"/>
  <c r="BE28" i="87"/>
  <c r="BD28" i="87"/>
  <c r="BC28" i="87"/>
  <c r="BB28" i="87"/>
  <c r="BA28" i="87"/>
  <c r="AZ28" i="87"/>
  <c r="AY28" i="87"/>
  <c r="AX28" i="87"/>
  <c r="AW28" i="87"/>
  <c r="AU28" i="87"/>
  <c r="AT28" i="87"/>
  <c r="AS28" i="87"/>
  <c r="AR28" i="87"/>
  <c r="AV28" i="87" s="1"/>
  <c r="AQ28" i="87"/>
  <c r="AP28" i="87"/>
  <c r="AO28" i="87"/>
  <c r="AL28" i="87"/>
  <c r="AJ28" i="87"/>
  <c r="AI28" i="87"/>
  <c r="AH28" i="87"/>
  <c r="AN28" i="87" s="1"/>
  <c r="AG28" i="87"/>
  <c r="G28" i="87"/>
  <c r="C28" i="87"/>
  <c r="B28" i="87"/>
  <c r="BU27" i="87"/>
  <c r="BT27" i="87"/>
  <c r="BS27" i="87"/>
  <c r="BR27" i="87"/>
  <c r="BQ27" i="87"/>
  <c r="BN27" i="87"/>
  <c r="BL27" i="87"/>
  <c r="BK27" i="87"/>
  <c r="I27" i="87" s="1"/>
  <c r="BJ27" i="87"/>
  <c r="H27" i="87" s="1"/>
  <c r="BF27" i="87" s="1"/>
  <c r="BI27" i="87"/>
  <c r="BM27" i="87" s="1"/>
  <c r="BH27" i="87"/>
  <c r="BG27" i="87"/>
  <c r="BE27" i="87"/>
  <c r="BD27" i="87"/>
  <c r="BC27" i="87"/>
  <c r="BB27" i="87"/>
  <c r="BA27" i="87"/>
  <c r="AZ27" i="87"/>
  <c r="AY27" i="87"/>
  <c r="AX27" i="87"/>
  <c r="AW27" i="87"/>
  <c r="AU27" i="87"/>
  <c r="AT27" i="87"/>
  <c r="AS27" i="87"/>
  <c r="AR27" i="87"/>
  <c r="AV27" i="87" s="1"/>
  <c r="AQ27" i="87"/>
  <c r="AP27" i="87"/>
  <c r="AO27" i="87"/>
  <c r="AL27" i="87"/>
  <c r="AJ27" i="87"/>
  <c r="AI27" i="87"/>
  <c r="AH27" i="87"/>
  <c r="AN27" i="87" s="1"/>
  <c r="AG27" i="87"/>
  <c r="G27" i="87"/>
  <c r="C27" i="87"/>
  <c r="B27" i="87"/>
  <c r="BU26" i="87"/>
  <c r="BT26" i="87"/>
  <c r="BS26" i="87"/>
  <c r="BR26" i="87"/>
  <c r="BQ26" i="87"/>
  <c r="BN26" i="87"/>
  <c r="BK26" i="87"/>
  <c r="I26" i="87" s="1"/>
  <c r="BJ26" i="87"/>
  <c r="H26" i="87" s="1"/>
  <c r="BF26" i="87" s="1"/>
  <c r="BI26" i="87"/>
  <c r="AK26" i="87" s="1"/>
  <c r="AM26" i="87" s="1"/>
  <c r="BH26" i="87"/>
  <c r="G26" i="87" s="1"/>
  <c r="BG26" i="87"/>
  <c r="BE26" i="87"/>
  <c r="BD26" i="87"/>
  <c r="BC26" i="87"/>
  <c r="BB26" i="87"/>
  <c r="BA26" i="87"/>
  <c r="AZ26" i="87"/>
  <c r="AY26" i="87"/>
  <c r="AX26" i="87"/>
  <c r="AW26" i="87"/>
  <c r="AU26" i="87"/>
  <c r="AT26" i="87"/>
  <c r="AS26" i="87"/>
  <c r="AR26" i="87"/>
  <c r="AV26" i="87" s="1"/>
  <c r="AQ26" i="87"/>
  <c r="AP26" i="87"/>
  <c r="AO26" i="87"/>
  <c r="AL26" i="87"/>
  <c r="AJ26" i="87"/>
  <c r="AI26" i="87"/>
  <c r="AH26" i="87"/>
  <c r="AN26" i="87" s="1"/>
  <c r="AG26" i="87"/>
  <c r="C26" i="87"/>
  <c r="B26" i="87"/>
  <c r="BU25" i="87"/>
  <c r="BT25" i="87"/>
  <c r="BS25" i="87"/>
  <c r="BR25" i="87"/>
  <c r="BQ25" i="87"/>
  <c r="BN25" i="87"/>
  <c r="BK25" i="87"/>
  <c r="I25" i="87" s="1"/>
  <c r="BJ25" i="87"/>
  <c r="H25" i="87" s="1"/>
  <c r="BF25" i="87" s="1"/>
  <c r="BI25" i="87"/>
  <c r="BM25" i="87" s="1"/>
  <c r="BH25" i="87"/>
  <c r="BL25" i="87" s="1"/>
  <c r="BG25" i="87"/>
  <c r="BE25" i="87"/>
  <c r="BD25" i="87"/>
  <c r="BC25" i="87"/>
  <c r="BB25" i="87"/>
  <c r="BA25" i="87"/>
  <c r="AZ25" i="87"/>
  <c r="AY25" i="87"/>
  <c r="AX25" i="87"/>
  <c r="AW25" i="87"/>
  <c r="AU25" i="87"/>
  <c r="AT25" i="87"/>
  <c r="AS25" i="87"/>
  <c r="AR25" i="87"/>
  <c r="AV25" i="87" s="1"/>
  <c r="AQ25" i="87"/>
  <c r="AP25" i="87"/>
  <c r="AO25" i="87"/>
  <c r="AL25" i="87"/>
  <c r="AJ25" i="87"/>
  <c r="AI25" i="87"/>
  <c r="AH25" i="87"/>
  <c r="AN25" i="87" s="1"/>
  <c r="AG25" i="87"/>
  <c r="G25" i="87"/>
  <c r="C25" i="87"/>
  <c r="B25" i="87"/>
  <c r="BU24" i="87"/>
  <c r="BT24" i="87"/>
  <c r="BS24" i="87"/>
  <c r="BR24" i="87"/>
  <c r="BQ24" i="87"/>
  <c r="BN24" i="87"/>
  <c r="BL24" i="87"/>
  <c r="BK24" i="87"/>
  <c r="I24" i="87" s="1"/>
  <c r="BJ24" i="87"/>
  <c r="H24" i="87" s="1"/>
  <c r="BF24" i="87" s="1"/>
  <c r="BI24" i="87"/>
  <c r="BM24" i="87" s="1"/>
  <c r="BH24" i="87"/>
  <c r="BG24" i="87"/>
  <c r="BE24" i="87"/>
  <c r="BD24" i="87"/>
  <c r="BC24" i="87"/>
  <c r="BB24" i="87"/>
  <c r="BA24" i="87"/>
  <c r="AZ24" i="87"/>
  <c r="AY24" i="87"/>
  <c r="AX24" i="87"/>
  <c r="AW24" i="87"/>
  <c r="AU24" i="87"/>
  <c r="AT24" i="87"/>
  <c r="AS24" i="87"/>
  <c r="AR24" i="87"/>
  <c r="AV24" i="87" s="1"/>
  <c r="AQ24" i="87"/>
  <c r="AP24" i="87"/>
  <c r="AO24" i="87"/>
  <c r="AL24" i="87"/>
  <c r="AJ24" i="87"/>
  <c r="AI24" i="87"/>
  <c r="AH24" i="87"/>
  <c r="AN24" i="87" s="1"/>
  <c r="AG24" i="87"/>
  <c r="G24" i="87"/>
  <c r="C24" i="87"/>
  <c r="B24" i="87"/>
  <c r="BU23" i="87"/>
  <c r="BT23" i="87"/>
  <c r="BS23" i="87"/>
  <c r="BR23" i="87"/>
  <c r="BQ23" i="87"/>
  <c r="BN23" i="87"/>
  <c r="BK23" i="87"/>
  <c r="I23" i="87" s="1"/>
  <c r="BJ23" i="87"/>
  <c r="H23" i="87" s="1"/>
  <c r="BF23" i="87" s="1"/>
  <c r="BI23" i="87"/>
  <c r="AK23" i="87" s="1"/>
  <c r="AM23" i="87" s="1"/>
  <c r="BH23" i="87"/>
  <c r="G23" i="87" s="1"/>
  <c r="BG23" i="87"/>
  <c r="BE23" i="87"/>
  <c r="BD23" i="87"/>
  <c r="BC23" i="87"/>
  <c r="BB23" i="87"/>
  <c r="BA23" i="87"/>
  <c r="AZ23" i="87"/>
  <c r="AY23" i="87"/>
  <c r="AX23" i="87"/>
  <c r="AW23" i="87"/>
  <c r="AU23" i="87"/>
  <c r="AT23" i="87"/>
  <c r="AS23" i="87"/>
  <c r="AR23" i="87"/>
  <c r="AV23" i="87" s="1"/>
  <c r="AQ23" i="87"/>
  <c r="AP23" i="87"/>
  <c r="AO23" i="87"/>
  <c r="AL23" i="87"/>
  <c r="AJ23" i="87"/>
  <c r="AI23" i="87"/>
  <c r="AH23" i="87"/>
  <c r="AN23" i="87" s="1"/>
  <c r="AG23" i="87"/>
  <c r="C23" i="87"/>
  <c r="B23" i="87"/>
  <c r="BU22" i="87"/>
  <c r="BT22" i="87"/>
  <c r="BS22" i="87"/>
  <c r="BR22" i="87"/>
  <c r="BQ22" i="87"/>
  <c r="BN22" i="87"/>
  <c r="BK22" i="87"/>
  <c r="I22" i="87" s="1"/>
  <c r="BJ22" i="87"/>
  <c r="H22" i="87" s="1"/>
  <c r="BF22" i="87" s="1"/>
  <c r="BI22" i="87"/>
  <c r="BM22" i="87" s="1"/>
  <c r="BH22" i="87"/>
  <c r="BL22" i="87" s="1"/>
  <c r="BG22" i="87"/>
  <c r="BE22" i="87"/>
  <c r="BD22" i="87"/>
  <c r="BC22" i="87"/>
  <c r="BB22" i="87"/>
  <c r="BA22" i="87"/>
  <c r="AZ22" i="87"/>
  <c r="AY22" i="87"/>
  <c r="AX22" i="87"/>
  <c r="AW22" i="87"/>
  <c r="AU22" i="87"/>
  <c r="AT22" i="87"/>
  <c r="AS22" i="87"/>
  <c r="AR22" i="87"/>
  <c r="AV22" i="87" s="1"/>
  <c r="AQ22" i="87"/>
  <c r="AP22" i="87"/>
  <c r="AO22" i="87"/>
  <c r="AL22" i="87"/>
  <c r="AJ22" i="87"/>
  <c r="AI22" i="87"/>
  <c r="AH22" i="87"/>
  <c r="AN22" i="87" s="1"/>
  <c r="AG22" i="87"/>
  <c r="G22" i="87"/>
  <c r="C22" i="87"/>
  <c r="B22" i="87"/>
  <c r="BU21" i="87"/>
  <c r="BT21" i="87"/>
  <c r="BS21" i="87"/>
  <c r="BR21" i="87"/>
  <c r="BQ21" i="87"/>
  <c r="BN21" i="87"/>
  <c r="BL21" i="87"/>
  <c r="BK21" i="87"/>
  <c r="I21" i="87" s="1"/>
  <c r="BJ21" i="87"/>
  <c r="H21" i="87" s="1"/>
  <c r="BF21" i="87" s="1"/>
  <c r="BI21" i="87"/>
  <c r="AK21" i="87" s="1"/>
  <c r="AM21" i="87" s="1"/>
  <c r="BH21" i="87"/>
  <c r="BG21" i="87"/>
  <c r="BE21" i="87"/>
  <c r="BD21" i="87"/>
  <c r="BC21" i="87"/>
  <c r="BB21" i="87"/>
  <c r="BA21" i="87"/>
  <c r="AZ21" i="87"/>
  <c r="AY21" i="87"/>
  <c r="AX21" i="87"/>
  <c r="AW21" i="87"/>
  <c r="AU21" i="87"/>
  <c r="AT21" i="87"/>
  <c r="AS21" i="87"/>
  <c r="AR21" i="87"/>
  <c r="AV21" i="87" s="1"/>
  <c r="AQ21" i="87"/>
  <c r="AP21" i="87"/>
  <c r="AO21" i="87"/>
  <c r="AL21" i="87"/>
  <c r="AJ21" i="87"/>
  <c r="AI21" i="87"/>
  <c r="AH21" i="87"/>
  <c r="AN21" i="87" s="1"/>
  <c r="AG21" i="87"/>
  <c r="G21" i="87"/>
  <c r="C21" i="87"/>
  <c r="B21" i="87"/>
  <c r="BL20" i="87"/>
  <c r="BH20" i="87"/>
  <c r="BD20" i="87"/>
  <c r="BC20" i="87"/>
  <c r="AU20" i="87"/>
  <c r="AS20" i="87"/>
  <c r="AQ20" i="87"/>
  <c r="AI20" i="87" s="1"/>
  <c r="C20" i="87" s="1"/>
  <c r="AO20" i="87"/>
  <c r="AL20" i="87"/>
  <c r="AH20" i="87"/>
  <c r="AN20" i="87" s="1"/>
  <c r="AG20" i="87"/>
  <c r="BH19" i="87"/>
  <c r="BE19" i="87"/>
  <c r="BD19" i="87"/>
  <c r="BC19" i="87"/>
  <c r="AU19" i="87"/>
  <c r="AS19" i="87"/>
  <c r="AQ19" i="87"/>
  <c r="AO19" i="87"/>
  <c r="AL19" i="87"/>
  <c r="AH19" i="87"/>
  <c r="AN19" i="87" s="1"/>
  <c r="AG19" i="87"/>
  <c r="BL18" i="87"/>
  <c r="BI18" i="87"/>
  <c r="BH18" i="87"/>
  <c r="BE18" i="87"/>
  <c r="BD18" i="87"/>
  <c r="BC18" i="87"/>
  <c r="BA18" i="87"/>
  <c r="AW18" i="87"/>
  <c r="AU18" i="87"/>
  <c r="AS18" i="87"/>
  <c r="AQ18" i="87"/>
  <c r="AO18" i="87"/>
  <c r="AL18" i="87"/>
  <c r="AH18" i="87"/>
  <c r="AG18" i="87"/>
  <c r="G18" i="87"/>
  <c r="BB18" i="87" s="1"/>
  <c r="BL17" i="87"/>
  <c r="BI17" i="87"/>
  <c r="BJ17" i="87" s="1"/>
  <c r="H17" i="87" s="1"/>
  <c r="BF17" i="87" s="1"/>
  <c r="BH17" i="87"/>
  <c r="BE17" i="87"/>
  <c r="BD17" i="87"/>
  <c r="BC17" i="87"/>
  <c r="BA17" i="87"/>
  <c r="AW17" i="87"/>
  <c r="AU17" i="87"/>
  <c r="AS17" i="87"/>
  <c r="AQ17" i="87"/>
  <c r="AO17" i="87"/>
  <c r="AL17" i="87"/>
  <c r="AH17" i="87"/>
  <c r="AN17" i="87" s="1"/>
  <c r="AG17" i="87"/>
  <c r="G17" i="87"/>
  <c r="BK17" i="87" s="1"/>
  <c r="I17" i="87" s="1"/>
  <c r="BL16" i="87"/>
  <c r="BH16" i="87"/>
  <c r="BE16" i="87"/>
  <c r="BD16" i="87"/>
  <c r="BC16" i="87"/>
  <c r="AU16" i="87"/>
  <c r="AS16" i="87"/>
  <c r="AQ16" i="87"/>
  <c r="AO16" i="87"/>
  <c r="AL16" i="87"/>
  <c r="AH16" i="87"/>
  <c r="AN16" i="87" s="1"/>
  <c r="AG16" i="87"/>
  <c r="BH15" i="87"/>
  <c r="BE15" i="87"/>
  <c r="BD15" i="87"/>
  <c r="BC15" i="87"/>
  <c r="AU15" i="87"/>
  <c r="AS15" i="87"/>
  <c r="AQ15" i="87"/>
  <c r="AO15" i="87"/>
  <c r="AL15" i="87"/>
  <c r="AH15" i="87"/>
  <c r="AN15" i="87" s="1"/>
  <c r="AG15" i="87"/>
  <c r="BL14" i="87"/>
  <c r="BI14" i="87"/>
  <c r="AK14" i="87" s="1"/>
  <c r="BH14" i="87"/>
  <c r="BD14" i="87"/>
  <c r="BC14" i="87"/>
  <c r="BA14" i="87"/>
  <c r="AW14" i="87"/>
  <c r="AU14" i="87"/>
  <c r="AS14" i="87"/>
  <c r="AQ14" i="87"/>
  <c r="AO14" i="87"/>
  <c r="AL14" i="87"/>
  <c r="AI14" i="87"/>
  <c r="C14" i="87" s="1"/>
  <c r="AH14" i="87"/>
  <c r="AN14" i="87" s="1"/>
  <c r="AG14" i="87"/>
  <c r="G14" i="87"/>
  <c r="BB14" i="87" s="1"/>
  <c r="BL13" i="87"/>
  <c r="BJ13" i="87"/>
  <c r="H13" i="87" s="1"/>
  <c r="BF13" i="87" s="1"/>
  <c r="BI13" i="87"/>
  <c r="AK13" i="87" s="1"/>
  <c r="AM13" i="87" s="1"/>
  <c r="BH13" i="87"/>
  <c r="BE13" i="87"/>
  <c r="BD13" i="87"/>
  <c r="BC13" i="87"/>
  <c r="BA13" i="87"/>
  <c r="AX13" i="87"/>
  <c r="AW13" i="87"/>
  <c r="AU13" i="87"/>
  <c r="AS13" i="87"/>
  <c r="AQ13" i="87"/>
  <c r="AO13" i="87"/>
  <c r="AL13" i="87"/>
  <c r="AH13" i="87"/>
  <c r="AN13" i="87" s="1"/>
  <c r="AG13" i="87"/>
  <c r="G13" i="87"/>
  <c r="BK13" i="87" s="1"/>
  <c r="I13" i="87" s="1"/>
  <c r="B13" i="87"/>
  <c r="BL12" i="87"/>
  <c r="BJ12" i="87"/>
  <c r="H12" i="87" s="1"/>
  <c r="BF12" i="87" s="1"/>
  <c r="BH12" i="87"/>
  <c r="BE12" i="87"/>
  <c r="BD12" i="87"/>
  <c r="BC12" i="87"/>
  <c r="AU12" i="87"/>
  <c r="AS12" i="87"/>
  <c r="AQ12" i="87"/>
  <c r="AO12" i="87"/>
  <c r="AL12" i="87"/>
  <c r="AH12" i="87"/>
  <c r="AN12" i="87" s="1"/>
  <c r="AG12" i="87"/>
  <c r="B12" i="87"/>
  <c r="BH11" i="87"/>
  <c r="BE11" i="87"/>
  <c r="BD11" i="87"/>
  <c r="BC11" i="87"/>
  <c r="AU11" i="87"/>
  <c r="AS11" i="87"/>
  <c r="AQ11" i="87"/>
  <c r="AL11" i="87"/>
  <c r="AH11" i="87"/>
  <c r="AN11" i="87" s="1"/>
  <c r="AG11" i="87"/>
  <c r="BL10" i="87"/>
  <c r="BH10" i="87"/>
  <c r="BE10" i="87"/>
  <c r="BD10" i="87"/>
  <c r="BC10" i="87"/>
  <c r="BA10" i="87"/>
  <c r="AX10" i="87"/>
  <c r="AW10" i="87"/>
  <c r="AU10" i="87"/>
  <c r="AS10" i="87"/>
  <c r="AQ10" i="87"/>
  <c r="AL10" i="87"/>
  <c r="AH10" i="87"/>
  <c r="AN10" i="87" s="1"/>
  <c r="AG10" i="87"/>
  <c r="G10" i="87"/>
  <c r="BB10" i="87" s="1"/>
  <c r="BL9" i="87"/>
  <c r="BH9" i="87"/>
  <c r="BE9" i="87"/>
  <c r="BD9" i="87"/>
  <c r="BC9" i="87"/>
  <c r="BA9" i="87"/>
  <c r="AX9" i="87"/>
  <c r="AW9" i="87"/>
  <c r="AU9" i="87"/>
  <c r="AS9" i="87"/>
  <c r="AQ9" i="87"/>
  <c r="AI9" i="87" s="1"/>
  <c r="C9" i="87" s="1"/>
  <c r="AL9" i="87"/>
  <c r="AH9" i="87"/>
  <c r="AN9" i="87" s="1"/>
  <c r="AG9" i="87"/>
  <c r="G9" i="87"/>
  <c r="B9" i="87"/>
  <c r="BL8" i="87"/>
  <c r="BJ8" i="87"/>
  <c r="H8" i="87" s="1"/>
  <c r="BF8" i="87" s="1"/>
  <c r="BH8" i="87"/>
  <c r="BE8" i="87"/>
  <c r="BD8" i="87"/>
  <c r="BC8" i="87"/>
  <c r="AU8" i="87"/>
  <c r="AV43" i="87" s="1"/>
  <c r="AS8" i="87"/>
  <c r="AQ8" i="87"/>
  <c r="AO8" i="87"/>
  <c r="AL8" i="87"/>
  <c r="AJ8" i="87"/>
  <c r="AH8" i="87"/>
  <c r="AN8" i="87" s="1"/>
  <c r="AG8" i="87"/>
  <c r="B8" i="87"/>
  <c r="AV6" i="87"/>
  <c r="AN18" i="87" l="1"/>
  <c r="BC4" i="87"/>
  <c r="AU41" i="87"/>
  <c r="E41" i="87" s="1"/>
  <c r="BD4" i="87"/>
  <c r="AQ41" i="87"/>
  <c r="AS41" i="87"/>
  <c r="AK22" i="87"/>
  <c r="AM22" i="87" s="1"/>
  <c r="AK30" i="87"/>
  <c r="AM30" i="87" s="1"/>
  <c r="AK17" i="87"/>
  <c r="AM17" i="87" s="1"/>
  <c r="BI9" i="87"/>
  <c r="BJ9" i="87" s="1"/>
  <c r="H9" i="87" s="1"/>
  <c r="BF9" i="87" s="1"/>
  <c r="C15" i="91"/>
  <c r="AI46" i="91"/>
  <c r="BM21" i="87"/>
  <c r="AK27" i="87"/>
  <c r="AM27" i="87" s="1"/>
  <c r="AV44" i="87"/>
  <c r="AK28" i="87"/>
  <c r="AM28" i="87" s="1"/>
  <c r="AK35" i="87"/>
  <c r="AM35" i="87" s="1"/>
  <c r="AK38" i="87"/>
  <c r="AM38" i="87" s="1"/>
  <c r="BN13" i="87"/>
  <c r="BM17" i="87"/>
  <c r="BI10" i="87"/>
  <c r="BM10" i="87" s="1"/>
  <c r="AK34" i="87"/>
  <c r="AM34" i="87" s="1"/>
  <c r="BK9" i="87"/>
  <c r="I9" i="87" s="1"/>
  <c r="BM33" i="87"/>
  <c r="BM13" i="87"/>
  <c r="AK24" i="87"/>
  <c r="AM24" i="87" s="1"/>
  <c r="AK39" i="87"/>
  <c r="AM39" i="87" s="1"/>
  <c r="AP13" i="87"/>
  <c r="AZ13" i="87"/>
  <c r="AZ17" i="87"/>
  <c r="AK25" i="87"/>
  <c r="AM25" i="87" s="1"/>
  <c r="AN6" i="87"/>
  <c r="AI10" i="87"/>
  <c r="C10" i="87" s="1"/>
  <c r="AI11" i="87"/>
  <c r="C11" i="87" s="1"/>
  <c r="AR44" i="87"/>
  <c r="AT14" i="87"/>
  <c r="AR14" i="87"/>
  <c r="AV14" i="87" s="1"/>
  <c r="AX14" i="87"/>
  <c r="AM14" i="87"/>
  <c r="BJ14" i="87"/>
  <c r="H14" i="87" s="1"/>
  <c r="BB9" i="87"/>
  <c r="BK10" i="87"/>
  <c r="I10" i="87" s="1"/>
  <c r="BB13" i="87"/>
  <c r="AY14" i="87"/>
  <c r="BK14" i="87"/>
  <c r="I14" i="87" s="1"/>
  <c r="BB17" i="87"/>
  <c r="BN17" i="87"/>
  <c r="AY18" i="87"/>
  <c r="BK18" i="87"/>
  <c r="I18" i="87" s="1"/>
  <c r="AN41" i="87"/>
  <c r="AK18" i="87"/>
  <c r="B10" i="87"/>
  <c r="B14" i="87"/>
  <c r="AZ14" i="87"/>
  <c r="AZ18" i="87"/>
  <c r="AK31" i="87"/>
  <c r="AM31" i="87" s="1"/>
  <c r="AR13" i="87"/>
  <c r="AV13" i="87" s="1"/>
  <c r="BM14" i="87"/>
  <c r="BM18" i="87"/>
  <c r="BL23" i="87"/>
  <c r="BL26" i="87"/>
  <c r="BL29" i="87"/>
  <c r="BJ18" i="87"/>
  <c r="H18" i="87" s="1"/>
  <c r="BF18" i="87" s="1"/>
  <c r="BN14" i="87"/>
  <c r="BM23" i="87"/>
  <c r="BM26" i="87"/>
  <c r="BM29" i="87"/>
  <c r="B11" i="87"/>
  <c r="BL11" i="87"/>
  <c r="AT13" i="87"/>
  <c r="BL15" i="87"/>
  <c r="BL19" i="87"/>
  <c r="BL32" i="87"/>
  <c r="BL36" i="87"/>
  <c r="BM32" i="87"/>
  <c r="BM36" i="87"/>
  <c r="AJ9" i="87"/>
  <c r="G11" i="87"/>
  <c r="G15" i="87"/>
  <c r="G19" i="87"/>
  <c r="BM37" i="87"/>
  <c r="G8" i="87"/>
  <c r="G12" i="87"/>
  <c r="AY13" i="87"/>
  <c r="G16" i="87"/>
  <c r="AY17" i="87"/>
  <c r="G20" i="87"/>
  <c r="AY10" i="87" l="1"/>
  <c r="BF14" i="87"/>
  <c r="BE14" i="87"/>
  <c r="AY9" i="87"/>
  <c r="Q5" i="87"/>
  <c r="AV41" i="87"/>
  <c r="AV45" i="87" s="1"/>
  <c r="AT17" i="87"/>
  <c r="AX17" i="87"/>
  <c r="AK9" i="87"/>
  <c r="AM9" i="87" s="1"/>
  <c r="AP9" i="87"/>
  <c r="BM9" i="87"/>
  <c r="AO9" i="87"/>
  <c r="BN9" i="87"/>
  <c r="AZ9" i="87"/>
  <c r="AR17" i="87"/>
  <c r="AV17" i="87" s="1"/>
  <c r="BG13" i="87"/>
  <c r="AO10" i="87"/>
  <c r="AK10" i="87"/>
  <c r="AM10" i="87" s="1"/>
  <c r="BJ10" i="87"/>
  <c r="H10" i="87" s="1"/>
  <c r="BF10" i="87" s="1"/>
  <c r="AZ10" i="87"/>
  <c r="AT9" i="87"/>
  <c r="AR9" i="87"/>
  <c r="AV9" i="87" s="1"/>
  <c r="BB8" i="87"/>
  <c r="BA8" i="87"/>
  <c r="BK8" i="87"/>
  <c r="I8" i="87" s="1"/>
  <c r="AY8" i="87"/>
  <c r="AX8" i="87"/>
  <c r="BI8" i="87"/>
  <c r="AW8" i="87"/>
  <c r="AI18" i="87"/>
  <c r="C18" i="87" s="1"/>
  <c r="AI19" i="87"/>
  <c r="C19" i="87" s="1"/>
  <c r="AI15" i="87"/>
  <c r="C15" i="87" s="1"/>
  <c r="B16" i="87"/>
  <c r="BB20" i="87"/>
  <c r="BA20" i="87"/>
  <c r="BK20" i="87"/>
  <c r="I20" i="87" s="1"/>
  <c r="AY20" i="87"/>
  <c r="BI20" i="87"/>
  <c r="AW20" i="87"/>
  <c r="BB15" i="87"/>
  <c r="BA15" i="87"/>
  <c r="BK15" i="87"/>
  <c r="I15" i="87" s="1"/>
  <c r="AY15" i="87"/>
  <c r="BI15" i="87"/>
  <c r="AZ15" i="87" s="1"/>
  <c r="AW15" i="87"/>
  <c r="BN10" i="87"/>
  <c r="BN18" i="87"/>
  <c r="AI17" i="87"/>
  <c r="C17" i="87" s="1"/>
  <c r="AP14" i="87"/>
  <c r="BG14" i="87" s="1"/>
  <c r="BB12" i="87"/>
  <c r="BA12" i="87"/>
  <c r="BK12" i="87"/>
  <c r="I12" i="87" s="1"/>
  <c r="AY12" i="87"/>
  <c r="AX12" i="87"/>
  <c r="BI12" i="87"/>
  <c r="AZ12" i="87" s="1"/>
  <c r="AW12" i="87"/>
  <c r="AT18" i="87"/>
  <c r="AR18" i="87"/>
  <c r="AV18" i="87" s="1"/>
  <c r="AX18" i="87"/>
  <c r="AM18" i="87"/>
  <c r="BB19" i="87"/>
  <c r="BA19" i="87"/>
  <c r="BK19" i="87"/>
  <c r="I19" i="87" s="1"/>
  <c r="AY19" i="87"/>
  <c r="BI19" i="87"/>
  <c r="AZ19" i="87" s="1"/>
  <c r="AW19" i="87"/>
  <c r="BB11" i="87"/>
  <c r="BA11" i="87"/>
  <c r="BK11" i="87"/>
  <c r="I11" i="87" s="1"/>
  <c r="AX11" i="87"/>
  <c r="BI11" i="87"/>
  <c r="AZ11" i="87" s="1"/>
  <c r="AW11" i="87"/>
  <c r="BB16" i="87"/>
  <c r="BA16" i="87"/>
  <c r="BK16" i="87"/>
  <c r="I16" i="87" s="1"/>
  <c r="AY16" i="87"/>
  <c r="BI16" i="87"/>
  <c r="AW16" i="87"/>
  <c r="AJ10" i="87"/>
  <c r="AJ11" i="87" s="1"/>
  <c r="AJ12" i="87" s="1"/>
  <c r="AI16" i="87"/>
  <c r="C16" i="87" s="1"/>
  <c r="B15" i="87"/>
  <c r="AY11" i="87" l="1"/>
  <c r="BG9" i="87"/>
  <c r="AR10" i="87"/>
  <c r="AV10" i="87" s="1"/>
  <c r="AT10" i="87"/>
  <c r="AP10" i="87"/>
  <c r="BG10" i="87" s="1"/>
  <c r="AJ13" i="87"/>
  <c r="BM8" i="87"/>
  <c r="AK8" i="87"/>
  <c r="BN8" i="87"/>
  <c r="AY4" i="87"/>
  <c r="BA4" i="87"/>
  <c r="AO11" i="87"/>
  <c r="BJ11" i="87"/>
  <c r="H11" i="87" s="1"/>
  <c r="AK11" i="87"/>
  <c r="BM11" i="87"/>
  <c r="BN11" i="87"/>
  <c r="BM16" i="87"/>
  <c r="BJ16" i="87"/>
  <c r="H16" i="87" s="1"/>
  <c r="BF16" i="87" s="1"/>
  <c r="AK16" i="87"/>
  <c r="BN16" i="87"/>
  <c r="AZ8" i="87"/>
  <c r="BJ19" i="87"/>
  <c r="H19" i="87" s="1"/>
  <c r="BF19" i="87" s="1"/>
  <c r="AK19" i="87"/>
  <c r="BN19" i="87"/>
  <c r="BM19" i="87"/>
  <c r="AZ16" i="87"/>
  <c r="BM20" i="87"/>
  <c r="BJ20" i="87"/>
  <c r="H20" i="87" s="1"/>
  <c r="AK20" i="87"/>
  <c r="BN20" i="87"/>
  <c r="BB4" i="87"/>
  <c r="B17" i="87"/>
  <c r="B18" i="87" s="1"/>
  <c r="AP18" i="87" s="1"/>
  <c r="BG18" i="87" s="1"/>
  <c r="BM12" i="87"/>
  <c r="AK12" i="87"/>
  <c r="BN12" i="87"/>
  <c r="BJ15" i="87"/>
  <c r="H15" i="87" s="1"/>
  <c r="BF15" i="87" s="1"/>
  <c r="AK15" i="87"/>
  <c r="BN15" i="87"/>
  <c r="BM15" i="87"/>
  <c r="AZ20" i="87"/>
  <c r="BF20" i="87" l="1"/>
  <c r="BE20" i="87"/>
  <c r="BE4" i="87" s="1"/>
  <c r="AP16" i="87"/>
  <c r="AJ14" i="87"/>
  <c r="AJ15" i="87" s="1"/>
  <c r="AJ16" i="87" s="1"/>
  <c r="AJ17" i="87" s="1"/>
  <c r="AJ18" i="87" s="1"/>
  <c r="AJ19" i="87" s="1"/>
  <c r="AJ20" i="87" s="1"/>
  <c r="B19" i="87"/>
  <c r="AP19" i="87" s="1"/>
  <c r="AR19" i="87"/>
  <c r="AV19" i="87" s="1"/>
  <c r="AM19" i="87"/>
  <c r="AT19" i="87"/>
  <c r="AX19" i="87"/>
  <c r="BG19" i="87" s="1"/>
  <c r="AR15" i="87"/>
  <c r="AV15" i="87" s="1"/>
  <c r="AM15" i="87"/>
  <c r="AT15" i="87"/>
  <c r="AX15" i="87"/>
  <c r="AM20" i="87"/>
  <c r="AT20" i="87"/>
  <c r="AR20" i="87"/>
  <c r="AV20" i="87" s="1"/>
  <c r="AX20" i="87"/>
  <c r="AM16" i="87"/>
  <c r="AT16" i="87"/>
  <c r="AR16" i="87"/>
  <c r="AV16" i="87" s="1"/>
  <c r="AX16" i="87"/>
  <c r="BF11" i="87"/>
  <c r="AP11" i="87"/>
  <c r="BG11" i="87" s="1"/>
  <c r="AP17" i="87"/>
  <c r="BG17" i="87" s="1"/>
  <c r="B20" i="87"/>
  <c r="AP15" i="87"/>
  <c r="AZ4" i="87"/>
  <c r="AM8" i="87"/>
  <c r="AT8" i="87"/>
  <c r="AR8" i="87"/>
  <c r="AM12" i="87"/>
  <c r="AP12" i="87" s="1"/>
  <c r="BG12" i="87" s="1"/>
  <c r="AT12" i="87"/>
  <c r="AR12" i="87"/>
  <c r="AV12" i="87" s="1"/>
  <c r="AR11" i="87"/>
  <c r="AV11" i="87" s="1"/>
  <c r="AM11" i="87"/>
  <c r="AT11" i="87"/>
  <c r="H41" i="87" s="1"/>
  <c r="AP20" i="87" l="1"/>
  <c r="BG20" i="87" s="1"/>
  <c r="BG16" i="87"/>
  <c r="AT41" i="87"/>
  <c r="AM6" i="87"/>
  <c r="AM41" i="87"/>
  <c r="AX4" i="87" s="1"/>
  <c r="AP8" i="87"/>
  <c r="BG8" i="87" s="1"/>
  <c r="AI12" i="87"/>
  <c r="C12" i="87" s="1"/>
  <c r="AV8" i="87"/>
  <c r="AR41" i="87"/>
  <c r="AI8" i="87"/>
  <c r="C8" i="87" s="1"/>
  <c r="BG15" i="87"/>
  <c r="AI13" i="87"/>
  <c r="AR45" i="87" l="1"/>
  <c r="U45" i="87" s="1"/>
  <c r="Q40" i="87" s="1"/>
  <c r="C13" i="87"/>
  <c r="AI43" i="87"/>
  <c r="AW4" i="87"/>
  <c r="F41" i="87" s="1"/>
  <c r="U47" i="87" s="1"/>
  <c r="U49" i="87" s="1"/>
  <c r="J41" i="87" l="1"/>
  <c r="AR46" i="87"/>
  <c r="U44" i="87"/>
  <c r="O40" i="87" s="1"/>
  <c r="B41" i="87" l="1"/>
  <c r="Q6" i="87"/>
  <c r="E26" i="82"/>
  <c r="C26" i="82"/>
  <c r="E20" i="82"/>
  <c r="C20" i="82"/>
  <c r="C16" i="82"/>
  <c r="E16" i="82" s="1"/>
  <c r="C10" i="82"/>
  <c r="U48" i="81"/>
  <c r="BE43" i="81"/>
  <c r="AT43" i="81"/>
  <c r="AT44" i="81" s="1"/>
  <c r="AR44" i="81" s="1"/>
  <c r="BN39" i="81"/>
  <c r="BK39" i="81"/>
  <c r="I39" i="81" s="1"/>
  <c r="BJ39" i="81"/>
  <c r="H39" i="81" s="1"/>
  <c r="BF39" i="81" s="1"/>
  <c r="BI39" i="81"/>
  <c r="AK39" i="81" s="1"/>
  <c r="AM39" i="81" s="1"/>
  <c r="BH39" i="81"/>
  <c r="BG39" i="81"/>
  <c r="BE39" i="81"/>
  <c r="BD39" i="81"/>
  <c r="BC39" i="81"/>
  <c r="BB39" i="81"/>
  <c r="BA39" i="81"/>
  <c r="AZ39" i="81"/>
  <c r="AY39" i="81"/>
  <c r="AX39" i="81"/>
  <c r="AW39" i="81"/>
  <c r="AU39" i="81"/>
  <c r="AT39" i="81"/>
  <c r="AS39" i="81"/>
  <c r="AR39" i="81"/>
  <c r="AV39" i="81" s="1"/>
  <c r="AQ39" i="81"/>
  <c r="AP39" i="81"/>
  <c r="AO39" i="81"/>
  <c r="AL39" i="81"/>
  <c r="AJ39" i="81"/>
  <c r="AI39" i="81"/>
  <c r="AH39" i="81"/>
  <c r="AN39" i="81" s="1"/>
  <c r="AG39" i="81"/>
  <c r="G39" i="81"/>
  <c r="C39" i="81"/>
  <c r="B39" i="81"/>
  <c r="BN38" i="81"/>
  <c r="BL38" i="81"/>
  <c r="BK38" i="81"/>
  <c r="I38" i="81" s="1"/>
  <c r="BJ38" i="81"/>
  <c r="H38" i="81" s="1"/>
  <c r="BF38" i="81" s="1"/>
  <c r="BI38" i="81"/>
  <c r="AK38" i="81" s="1"/>
  <c r="AM38" i="81" s="1"/>
  <c r="BH38" i="81"/>
  <c r="G38" i="81" s="1"/>
  <c r="BG38" i="81"/>
  <c r="BE38" i="81"/>
  <c r="BD38" i="81"/>
  <c r="BC38" i="81"/>
  <c r="BB38" i="81"/>
  <c r="BA38" i="81"/>
  <c r="AZ38" i="81"/>
  <c r="AY38" i="81"/>
  <c r="AX38" i="81"/>
  <c r="AW38" i="81"/>
  <c r="AU38" i="81"/>
  <c r="AT38" i="81"/>
  <c r="AS38" i="81"/>
  <c r="AR38" i="81"/>
  <c r="AV38" i="81" s="1"/>
  <c r="AQ38" i="81"/>
  <c r="AP38" i="81"/>
  <c r="AO38" i="81"/>
  <c r="AL38" i="81"/>
  <c r="AJ38" i="81"/>
  <c r="AI38" i="81"/>
  <c r="AH38" i="81"/>
  <c r="AN38" i="81" s="1"/>
  <c r="AG38" i="81"/>
  <c r="C38" i="81"/>
  <c r="B38" i="81"/>
  <c r="BN37" i="81"/>
  <c r="BK37" i="81"/>
  <c r="I37" i="81" s="1"/>
  <c r="BJ37" i="81"/>
  <c r="H37" i="81" s="1"/>
  <c r="BF37" i="81" s="1"/>
  <c r="BI37" i="81"/>
  <c r="AK37" i="81" s="1"/>
  <c r="AM37" i="81" s="1"/>
  <c r="BH37" i="81"/>
  <c r="G37" i="81" s="1"/>
  <c r="BG37" i="81"/>
  <c r="BE37" i="81"/>
  <c r="BD37" i="81"/>
  <c r="BC37" i="81"/>
  <c r="BB37" i="81"/>
  <c r="BA37" i="81"/>
  <c r="AZ37" i="81"/>
  <c r="AY37" i="81"/>
  <c r="AX37" i="81"/>
  <c r="AW37" i="81"/>
  <c r="AU37" i="81"/>
  <c r="AT37" i="81"/>
  <c r="AS37" i="81"/>
  <c r="AR37" i="81"/>
  <c r="AV37" i="81" s="1"/>
  <c r="AQ37" i="81"/>
  <c r="AP37" i="81"/>
  <c r="AO37" i="81"/>
  <c r="AL37" i="81"/>
  <c r="AJ37" i="81"/>
  <c r="AI37" i="81"/>
  <c r="AH37" i="81"/>
  <c r="AN37" i="81" s="1"/>
  <c r="AG37" i="81"/>
  <c r="C37" i="81"/>
  <c r="B37" i="81"/>
  <c r="BN36" i="81"/>
  <c r="BL36" i="81"/>
  <c r="BK36" i="81"/>
  <c r="I36" i="81" s="1"/>
  <c r="BJ36" i="81"/>
  <c r="H36" i="81" s="1"/>
  <c r="BF36" i="81" s="1"/>
  <c r="BI36" i="81"/>
  <c r="BM36" i="81" s="1"/>
  <c r="BH36" i="81"/>
  <c r="BG36" i="81"/>
  <c r="BE36" i="81"/>
  <c r="BD36" i="81"/>
  <c r="BC36" i="81"/>
  <c r="BB36" i="81"/>
  <c r="BA36" i="81"/>
  <c r="AZ36" i="81"/>
  <c r="AY36" i="81"/>
  <c r="AX36" i="81"/>
  <c r="AW36" i="81"/>
  <c r="AU36" i="81"/>
  <c r="AT36" i="81"/>
  <c r="AS36" i="81"/>
  <c r="AR36" i="81"/>
  <c r="AV36" i="81" s="1"/>
  <c r="AQ36" i="81"/>
  <c r="AP36" i="81"/>
  <c r="AO36" i="81"/>
  <c r="AL36" i="81"/>
  <c r="AJ36" i="81"/>
  <c r="AI36" i="81"/>
  <c r="AH36" i="81"/>
  <c r="AN36" i="81" s="1"/>
  <c r="AG36" i="81"/>
  <c r="G36" i="81"/>
  <c r="C36" i="81"/>
  <c r="B36" i="81"/>
  <c r="BN35" i="81"/>
  <c r="BK35" i="81"/>
  <c r="I35" i="81" s="1"/>
  <c r="BJ35" i="81"/>
  <c r="H35" i="81" s="1"/>
  <c r="BF35" i="81" s="1"/>
  <c r="BI35" i="81"/>
  <c r="AK35" i="81" s="1"/>
  <c r="AM35" i="81" s="1"/>
  <c r="BH35" i="81"/>
  <c r="BG35" i="81"/>
  <c r="BE35" i="81"/>
  <c r="BD35" i="81"/>
  <c r="BC35" i="81"/>
  <c r="BB35" i="81"/>
  <c r="BA35" i="81"/>
  <c r="AZ35" i="81"/>
  <c r="AY35" i="81"/>
  <c r="AX35" i="81"/>
  <c r="AW35" i="81"/>
  <c r="AU35" i="81"/>
  <c r="AT35" i="81"/>
  <c r="AS35" i="81"/>
  <c r="AR35" i="81"/>
  <c r="AV35" i="81" s="1"/>
  <c r="AQ35" i="81"/>
  <c r="AP35" i="81"/>
  <c r="AO35" i="81"/>
  <c r="AL35" i="81"/>
  <c r="AJ35" i="81"/>
  <c r="AI35" i="81"/>
  <c r="AH35" i="81"/>
  <c r="AN35" i="81" s="1"/>
  <c r="AG35" i="81"/>
  <c r="G35" i="81"/>
  <c r="C35" i="81"/>
  <c r="B35" i="81"/>
  <c r="BN34" i="81"/>
  <c r="BL34" i="81"/>
  <c r="BK34" i="81"/>
  <c r="I34" i="81" s="1"/>
  <c r="BJ34" i="81"/>
  <c r="H34" i="81" s="1"/>
  <c r="BF34" i="81" s="1"/>
  <c r="BI34" i="81"/>
  <c r="AK34" i="81" s="1"/>
  <c r="AM34" i="81" s="1"/>
  <c r="BH34" i="81"/>
  <c r="G34" i="81" s="1"/>
  <c r="BG34" i="81"/>
  <c r="BE34" i="81"/>
  <c r="BD34" i="81"/>
  <c r="BC34" i="81"/>
  <c r="BB34" i="81"/>
  <c r="BA34" i="81"/>
  <c r="AZ34" i="81"/>
  <c r="AY34" i="81"/>
  <c r="AX34" i="81"/>
  <c r="AW34" i="81"/>
  <c r="AU34" i="81"/>
  <c r="AT34" i="81"/>
  <c r="AS34" i="81"/>
  <c r="AR34" i="81"/>
  <c r="AV34" i="81" s="1"/>
  <c r="AQ34" i="81"/>
  <c r="AP34" i="81"/>
  <c r="AO34" i="81"/>
  <c r="AL34" i="81"/>
  <c r="AJ34" i="81"/>
  <c r="AI34" i="81"/>
  <c r="AH34" i="81"/>
  <c r="AN34" i="81" s="1"/>
  <c r="AG34" i="81"/>
  <c r="C34" i="81"/>
  <c r="B34" i="81"/>
  <c r="BN33" i="81"/>
  <c r="BK33" i="81"/>
  <c r="I33" i="81" s="1"/>
  <c r="BJ33" i="81"/>
  <c r="H33" i="81" s="1"/>
  <c r="BF33" i="81" s="1"/>
  <c r="BI33" i="81"/>
  <c r="AK33" i="81" s="1"/>
  <c r="AM33" i="81" s="1"/>
  <c r="BH33" i="81"/>
  <c r="G33" i="81" s="1"/>
  <c r="BG33" i="81"/>
  <c r="BE33" i="81"/>
  <c r="BD33" i="81"/>
  <c r="BC33" i="81"/>
  <c r="BB33" i="81"/>
  <c r="BA33" i="81"/>
  <c r="AZ33" i="81"/>
  <c r="AY33" i="81"/>
  <c r="AX33" i="81"/>
  <c r="AW33" i="81"/>
  <c r="AU33" i="81"/>
  <c r="AT33" i="81"/>
  <c r="AS33" i="81"/>
  <c r="AR33" i="81"/>
  <c r="AV33" i="81" s="1"/>
  <c r="AQ33" i="81"/>
  <c r="AP33" i="81"/>
  <c r="AO33" i="81"/>
  <c r="AL33" i="81"/>
  <c r="AJ33" i="81"/>
  <c r="AI33" i="81"/>
  <c r="AH33" i="81"/>
  <c r="AN33" i="81" s="1"/>
  <c r="AG33" i="81"/>
  <c r="C33" i="81"/>
  <c r="B33" i="81"/>
  <c r="BN32" i="81"/>
  <c r="BL32" i="81"/>
  <c r="BK32" i="81"/>
  <c r="I32" i="81" s="1"/>
  <c r="BJ32" i="81"/>
  <c r="H32" i="81" s="1"/>
  <c r="BF32" i="81" s="1"/>
  <c r="BI32" i="81"/>
  <c r="BM32" i="81" s="1"/>
  <c r="BH32" i="81"/>
  <c r="BG32" i="81"/>
  <c r="BE32" i="81"/>
  <c r="BD32" i="81"/>
  <c r="BC32" i="81"/>
  <c r="BB32" i="81"/>
  <c r="BA32" i="81"/>
  <c r="AZ32" i="81"/>
  <c r="AY32" i="81"/>
  <c r="AX32" i="81"/>
  <c r="AW32" i="81"/>
  <c r="AU32" i="81"/>
  <c r="AT32" i="81"/>
  <c r="AS32" i="81"/>
  <c r="AR32" i="81"/>
  <c r="AV32" i="81" s="1"/>
  <c r="AQ32" i="81"/>
  <c r="AP32" i="81"/>
  <c r="AO32" i="81"/>
  <c r="AL32" i="81"/>
  <c r="AJ32" i="81"/>
  <c r="AI32" i="81"/>
  <c r="AH32" i="81"/>
  <c r="AN32" i="81" s="1"/>
  <c r="AG32" i="81"/>
  <c r="G32" i="81"/>
  <c r="C32" i="81"/>
  <c r="B32" i="81"/>
  <c r="BN31" i="81"/>
  <c r="BK31" i="81"/>
  <c r="I31" i="81" s="1"/>
  <c r="BJ31" i="81"/>
  <c r="H31" i="81" s="1"/>
  <c r="BF31" i="81" s="1"/>
  <c r="BI31" i="81"/>
  <c r="AK31" i="81" s="1"/>
  <c r="AM31" i="81" s="1"/>
  <c r="BH31" i="81"/>
  <c r="BG31" i="81"/>
  <c r="BE31" i="81"/>
  <c r="BD31" i="81"/>
  <c r="BC31" i="81"/>
  <c r="BB31" i="81"/>
  <c r="BA31" i="81"/>
  <c r="AZ31" i="81"/>
  <c r="AY31" i="81"/>
  <c r="AX31" i="81"/>
  <c r="AW31" i="81"/>
  <c r="AU31" i="81"/>
  <c r="AT31" i="81"/>
  <c r="AS31" i="81"/>
  <c r="AR31" i="81"/>
  <c r="AV31" i="81" s="1"/>
  <c r="AQ31" i="81"/>
  <c r="AP31" i="81"/>
  <c r="AO31" i="81"/>
  <c r="AL31" i="81"/>
  <c r="AJ31" i="81"/>
  <c r="AI31" i="81"/>
  <c r="AH31" i="81"/>
  <c r="AN31" i="81" s="1"/>
  <c r="AG31" i="81"/>
  <c r="G31" i="81"/>
  <c r="C31" i="81"/>
  <c r="B31" i="81"/>
  <c r="BN30" i="81"/>
  <c r="BL30" i="81"/>
  <c r="BK30" i="81"/>
  <c r="I30" i="81" s="1"/>
  <c r="BJ30" i="81"/>
  <c r="H30" i="81" s="1"/>
  <c r="BF30" i="81" s="1"/>
  <c r="BI30" i="81"/>
  <c r="AK30" i="81" s="1"/>
  <c r="AM30" i="81" s="1"/>
  <c r="BH30" i="81"/>
  <c r="BG30" i="81"/>
  <c r="BE30" i="81"/>
  <c r="BD30" i="81"/>
  <c r="BC30" i="81"/>
  <c r="BB30" i="81"/>
  <c r="BA30" i="81"/>
  <c r="AZ30" i="81"/>
  <c r="AY30" i="81"/>
  <c r="AX30" i="81"/>
  <c r="AW30" i="81"/>
  <c r="AU30" i="81"/>
  <c r="AT30" i="81"/>
  <c r="AS30" i="81"/>
  <c r="AR30" i="81"/>
  <c r="AV30" i="81" s="1"/>
  <c r="AQ30" i="81"/>
  <c r="AP30" i="81"/>
  <c r="AO30" i="81"/>
  <c r="AL30" i="81"/>
  <c r="AJ30" i="81"/>
  <c r="AI30" i="81"/>
  <c r="AH30" i="81"/>
  <c r="AN30" i="81" s="1"/>
  <c r="AG30" i="81"/>
  <c r="G30" i="81"/>
  <c r="C30" i="81"/>
  <c r="B30" i="81"/>
  <c r="BU29" i="81"/>
  <c r="BT29" i="81"/>
  <c r="BS29" i="81"/>
  <c r="BR29" i="81"/>
  <c r="BQ29" i="81"/>
  <c r="BN29" i="81"/>
  <c r="BK29" i="81"/>
  <c r="I29" i="81" s="1"/>
  <c r="BJ29" i="81"/>
  <c r="H29" i="81" s="1"/>
  <c r="BF29" i="81" s="1"/>
  <c r="BI29" i="81"/>
  <c r="AK29" i="81" s="1"/>
  <c r="AM29" i="81" s="1"/>
  <c r="BH29" i="81"/>
  <c r="G29" i="81" s="1"/>
  <c r="BG29" i="81"/>
  <c r="BE29" i="81"/>
  <c r="BD29" i="81"/>
  <c r="BC29" i="81"/>
  <c r="BB29" i="81"/>
  <c r="BA29" i="81"/>
  <c r="AZ29" i="81"/>
  <c r="AY29" i="81"/>
  <c r="AX29" i="81"/>
  <c r="AW29" i="81"/>
  <c r="AU29" i="81"/>
  <c r="AT29" i="81"/>
  <c r="AS29" i="81"/>
  <c r="AR29" i="81"/>
  <c r="AV29" i="81" s="1"/>
  <c r="AQ29" i="81"/>
  <c r="AP29" i="81"/>
  <c r="AO29" i="81"/>
  <c r="AL29" i="81"/>
  <c r="AJ29" i="81"/>
  <c r="AI29" i="81"/>
  <c r="AH29" i="81"/>
  <c r="AN29" i="81" s="1"/>
  <c r="AG29" i="81"/>
  <c r="C29" i="81"/>
  <c r="B29" i="81"/>
  <c r="BU28" i="81"/>
  <c r="BT28" i="81"/>
  <c r="BS28" i="81"/>
  <c r="BR28" i="81"/>
  <c r="BQ28" i="81"/>
  <c r="BL28" i="81"/>
  <c r="BI28" i="81"/>
  <c r="AK28" i="81" s="1"/>
  <c r="AM28" i="81" s="1"/>
  <c r="BH28" i="81"/>
  <c r="BE28" i="81"/>
  <c r="BD28" i="81"/>
  <c r="BC28" i="81"/>
  <c r="BA28" i="81"/>
  <c r="AW28" i="81"/>
  <c r="AU28" i="81"/>
  <c r="AS28" i="81"/>
  <c r="AQ28" i="81"/>
  <c r="AO28" i="81"/>
  <c r="AL28" i="81"/>
  <c r="AH28" i="81"/>
  <c r="AG28" i="81"/>
  <c r="G28" i="81"/>
  <c r="BB28" i="81" s="1"/>
  <c r="BU27" i="81"/>
  <c r="BT27" i="81"/>
  <c r="BS27" i="81"/>
  <c r="BR27" i="81"/>
  <c r="BQ27" i="81"/>
  <c r="BL27" i="81"/>
  <c r="BJ27" i="81"/>
  <c r="H27" i="81" s="1"/>
  <c r="BF27" i="81" s="1"/>
  <c r="BH27" i="81"/>
  <c r="BE27" i="81"/>
  <c r="BD27" i="81"/>
  <c r="BC27" i="81"/>
  <c r="AU27" i="81"/>
  <c r="AS27" i="81"/>
  <c r="AQ27" i="81"/>
  <c r="AO27" i="81"/>
  <c r="AL27" i="81"/>
  <c r="AH27" i="81"/>
  <c r="AN27" i="81" s="1"/>
  <c r="AG27" i="81"/>
  <c r="B27" i="81"/>
  <c r="BU26" i="81"/>
  <c r="BT26" i="81"/>
  <c r="BS26" i="81"/>
  <c r="BR26" i="81"/>
  <c r="BQ26" i="81"/>
  <c r="BH26" i="81"/>
  <c r="BE26" i="81"/>
  <c r="BD26" i="81"/>
  <c r="BC26" i="81"/>
  <c r="AU26" i="81"/>
  <c r="AS26" i="81"/>
  <c r="AQ26" i="81"/>
  <c r="AO26" i="81"/>
  <c r="AL26" i="81"/>
  <c r="AH26" i="81"/>
  <c r="AN26" i="81" s="1"/>
  <c r="AG26" i="81"/>
  <c r="BU25" i="81"/>
  <c r="BT25" i="81"/>
  <c r="BS25" i="81"/>
  <c r="BR25" i="81"/>
  <c r="BQ25" i="81"/>
  <c r="BL25" i="81"/>
  <c r="BI25" i="81"/>
  <c r="AK25" i="81" s="1"/>
  <c r="AM25" i="81" s="1"/>
  <c r="BH25" i="81"/>
  <c r="BE25" i="81"/>
  <c r="BD25" i="81"/>
  <c r="BC25" i="81"/>
  <c r="BA25" i="81"/>
  <c r="AW25" i="81"/>
  <c r="AU25" i="81"/>
  <c r="AS25" i="81"/>
  <c r="AQ25" i="81"/>
  <c r="AO25" i="81"/>
  <c r="AL25" i="81"/>
  <c r="AH25" i="81"/>
  <c r="AG25" i="81"/>
  <c r="G25" i="81"/>
  <c r="BB25" i="81" s="1"/>
  <c r="BU24" i="81"/>
  <c r="BT24" i="81"/>
  <c r="BS24" i="81"/>
  <c r="BR24" i="81"/>
  <c r="BQ24" i="81"/>
  <c r="BL24" i="81"/>
  <c r="BH24" i="81"/>
  <c r="BE24" i="81"/>
  <c r="BD24" i="81"/>
  <c r="BC24" i="81"/>
  <c r="AU24" i="81"/>
  <c r="AS24" i="81"/>
  <c r="AQ24" i="81"/>
  <c r="AO24" i="81"/>
  <c r="AL24" i="81"/>
  <c r="AH24" i="81"/>
  <c r="AN24" i="81" s="1"/>
  <c r="AG24" i="81"/>
  <c r="BU23" i="81"/>
  <c r="BT23" i="81"/>
  <c r="BS23" i="81"/>
  <c r="BR23" i="81"/>
  <c r="BQ23" i="81"/>
  <c r="BH23" i="81"/>
  <c r="BE23" i="81"/>
  <c r="BD23" i="81"/>
  <c r="BC23" i="81"/>
  <c r="AU23" i="81"/>
  <c r="AS23" i="81"/>
  <c r="AQ23" i="81"/>
  <c r="AO23" i="81"/>
  <c r="AL23" i="81"/>
  <c r="AH23" i="81"/>
  <c r="AN23" i="81" s="1"/>
  <c r="AG23" i="81"/>
  <c r="BU22" i="81"/>
  <c r="BT22" i="81"/>
  <c r="BS22" i="81"/>
  <c r="BR22" i="81"/>
  <c r="BQ22" i="81"/>
  <c r="BL22" i="81"/>
  <c r="BI22" i="81"/>
  <c r="AK22" i="81" s="1"/>
  <c r="BH22" i="81"/>
  <c r="BE22" i="81"/>
  <c r="BD22" i="81"/>
  <c r="BC22" i="81"/>
  <c r="BA22" i="81"/>
  <c r="AW22" i="81"/>
  <c r="AU22" i="81"/>
  <c r="AS22" i="81"/>
  <c r="AQ22" i="81"/>
  <c r="AO22" i="81"/>
  <c r="AL22" i="81"/>
  <c r="AH22" i="81"/>
  <c r="AG22" i="81"/>
  <c r="G22" i="81"/>
  <c r="BB22" i="81" s="1"/>
  <c r="BU21" i="81"/>
  <c r="BT21" i="81"/>
  <c r="BS21" i="81"/>
  <c r="BR21" i="81"/>
  <c r="BQ21" i="81"/>
  <c r="BL21" i="81"/>
  <c r="BJ21" i="81"/>
  <c r="H21" i="81" s="1"/>
  <c r="BF21" i="81" s="1"/>
  <c r="BH21" i="81"/>
  <c r="BE21" i="81"/>
  <c r="BD21" i="81"/>
  <c r="BC21" i="81"/>
  <c r="AU21" i="81"/>
  <c r="AS21" i="81"/>
  <c r="AQ21" i="81"/>
  <c r="AO21" i="81"/>
  <c r="AL21" i="81"/>
  <c r="AH21" i="81"/>
  <c r="AN21" i="81" s="1"/>
  <c r="AG21" i="81"/>
  <c r="B21" i="81"/>
  <c r="BH20" i="81"/>
  <c r="BE20" i="81"/>
  <c r="BD20" i="81"/>
  <c r="BC20" i="81"/>
  <c r="AU20" i="81"/>
  <c r="AS20" i="81"/>
  <c r="AQ20" i="81"/>
  <c r="AO20" i="81"/>
  <c r="AL20" i="81"/>
  <c r="AH20" i="81"/>
  <c r="AN20" i="81" s="1"/>
  <c r="AG20" i="81"/>
  <c r="BL19" i="81"/>
  <c r="BK19" i="81"/>
  <c r="I19" i="81" s="1"/>
  <c r="BI19" i="81"/>
  <c r="AZ19" i="81" s="1"/>
  <c r="BH19" i="81"/>
  <c r="BE19" i="81"/>
  <c r="BD19" i="81"/>
  <c r="BC19" i="81"/>
  <c r="BA19" i="81"/>
  <c r="AY19" i="81"/>
  <c r="AW19" i="81"/>
  <c r="AU19" i="81"/>
  <c r="AS19" i="81"/>
  <c r="AQ19" i="81"/>
  <c r="AO19" i="81"/>
  <c r="AL19" i="81"/>
  <c r="AH19" i="81"/>
  <c r="AN19" i="81" s="1"/>
  <c r="AG19" i="81"/>
  <c r="G19" i="81"/>
  <c r="BB19" i="81" s="1"/>
  <c r="BI18" i="81"/>
  <c r="BH18" i="81"/>
  <c r="BE18" i="81"/>
  <c r="BD18" i="81"/>
  <c r="BC18" i="81"/>
  <c r="AW18" i="81"/>
  <c r="AU18" i="81"/>
  <c r="AS18" i="81"/>
  <c r="AQ18" i="81"/>
  <c r="AI18" i="81" s="1"/>
  <c r="C18" i="81" s="1"/>
  <c r="AO18" i="81"/>
  <c r="AL18" i="81"/>
  <c r="AH18" i="81"/>
  <c r="AN18" i="81" s="1"/>
  <c r="AG18" i="81"/>
  <c r="G18" i="81"/>
  <c r="BB18" i="81" s="1"/>
  <c r="BL17" i="81"/>
  <c r="BH17" i="81"/>
  <c r="BE17" i="81"/>
  <c r="BD17" i="81"/>
  <c r="BC17" i="81"/>
  <c r="AU17" i="81"/>
  <c r="AS17" i="81"/>
  <c r="AQ17" i="81"/>
  <c r="AO17" i="81"/>
  <c r="AL17" i="81"/>
  <c r="AH17" i="81"/>
  <c r="AN17" i="81" s="1"/>
  <c r="AG17" i="81"/>
  <c r="BH16" i="81"/>
  <c r="BE16" i="81"/>
  <c r="BD16" i="81"/>
  <c r="BC16" i="81"/>
  <c r="AU16" i="81"/>
  <c r="AS16" i="81"/>
  <c r="AQ16" i="81"/>
  <c r="AO16" i="81"/>
  <c r="AL16" i="81"/>
  <c r="AH16" i="81"/>
  <c r="AN16" i="81" s="1"/>
  <c r="AG16" i="81"/>
  <c r="BL15" i="81"/>
  <c r="BK15" i="81"/>
  <c r="I15" i="81" s="1"/>
  <c r="BI15" i="81"/>
  <c r="AK15" i="81" s="1"/>
  <c r="BH15" i="81"/>
  <c r="BE15" i="81"/>
  <c r="BD15" i="81"/>
  <c r="BC15" i="81"/>
  <c r="BA15" i="81"/>
  <c r="AY15" i="81"/>
  <c r="AW15" i="81"/>
  <c r="AU15" i="81"/>
  <c r="AS15" i="81"/>
  <c r="AQ15" i="81"/>
  <c r="AI15" i="81" s="1"/>
  <c r="C15" i="81" s="1"/>
  <c r="AO15" i="81"/>
  <c r="AL15" i="81"/>
  <c r="AH15" i="81"/>
  <c r="AN15" i="81" s="1"/>
  <c r="AG15" i="81"/>
  <c r="G15" i="81"/>
  <c r="BB15" i="81" s="1"/>
  <c r="BI14" i="81"/>
  <c r="BH14" i="81"/>
  <c r="BE14" i="81"/>
  <c r="BD14" i="81"/>
  <c r="BC14" i="81"/>
  <c r="AU14" i="81"/>
  <c r="AS14" i="81"/>
  <c r="AQ14" i="81"/>
  <c r="AO14" i="81"/>
  <c r="AL14" i="81"/>
  <c r="AH14" i="81"/>
  <c r="AN14" i="81" s="1"/>
  <c r="AG14" i="81"/>
  <c r="G14" i="81"/>
  <c r="BB14" i="81" s="1"/>
  <c r="BL13" i="81"/>
  <c r="BJ13" i="81"/>
  <c r="H13" i="81" s="1"/>
  <c r="BF13" i="81" s="1"/>
  <c r="BH13" i="81"/>
  <c r="BE13" i="81"/>
  <c r="BD13" i="81"/>
  <c r="BC13" i="81"/>
  <c r="AU13" i="81"/>
  <c r="AS13" i="81"/>
  <c r="AQ13" i="81"/>
  <c r="AO13" i="81"/>
  <c r="AL13" i="81"/>
  <c r="AH13" i="81"/>
  <c r="AN13" i="81" s="1"/>
  <c r="AG13" i="81"/>
  <c r="B13" i="81"/>
  <c r="BJ12" i="81"/>
  <c r="H12" i="81" s="1"/>
  <c r="BF12" i="81" s="1"/>
  <c r="BH12" i="81"/>
  <c r="BE12" i="81"/>
  <c r="BD12" i="81"/>
  <c r="BC12" i="81"/>
  <c r="AU12" i="81"/>
  <c r="AS12" i="81"/>
  <c r="AQ12" i="81"/>
  <c r="AO12" i="81"/>
  <c r="AL12" i="81"/>
  <c r="AH12" i="81"/>
  <c r="AN12" i="81" s="1"/>
  <c r="AG12" i="81"/>
  <c r="B12" i="81"/>
  <c r="BL11" i="81"/>
  <c r="BH11" i="81"/>
  <c r="BE11" i="81"/>
  <c r="BD11" i="81"/>
  <c r="BC11" i="81"/>
  <c r="BA11" i="81"/>
  <c r="AY11" i="81"/>
  <c r="AW11" i="81"/>
  <c r="AU11" i="81"/>
  <c r="AS11" i="81"/>
  <c r="AQ11" i="81"/>
  <c r="AL11" i="81"/>
  <c r="AH11" i="81"/>
  <c r="AN11" i="81" s="1"/>
  <c r="AG11" i="81"/>
  <c r="BK11" i="81" s="1"/>
  <c r="I11" i="81" s="1"/>
  <c r="G11" i="81"/>
  <c r="BB11" i="81" s="1"/>
  <c r="BH10" i="81"/>
  <c r="BE10" i="81"/>
  <c r="BD10" i="81"/>
  <c r="BD4" i="81" s="1"/>
  <c r="BC10" i="81"/>
  <c r="AW10" i="81"/>
  <c r="AU10" i="81"/>
  <c r="AS10" i="81"/>
  <c r="AQ10" i="81"/>
  <c r="AL10" i="81"/>
  <c r="AH10" i="81"/>
  <c r="AN10" i="81" s="1"/>
  <c r="AG10" i="81"/>
  <c r="G10" i="81"/>
  <c r="BB10" i="81" s="1"/>
  <c r="BL9" i="81"/>
  <c r="BH9" i="81"/>
  <c r="BE9" i="81"/>
  <c r="BD9" i="81"/>
  <c r="BC9" i="81"/>
  <c r="AU9" i="81"/>
  <c r="AU41" i="81" s="1"/>
  <c r="AS9" i="81"/>
  <c r="AQ9" i="81"/>
  <c r="AL9" i="81"/>
  <c r="AH9" i="81"/>
  <c r="AN9" i="81" s="1"/>
  <c r="AG9" i="81"/>
  <c r="B9" i="81"/>
  <c r="BJ8" i="81"/>
  <c r="H8" i="81" s="1"/>
  <c r="BF8" i="81" s="1"/>
  <c r="BH8" i="81"/>
  <c r="BE8" i="81"/>
  <c r="BD8" i="81"/>
  <c r="BC8" i="81"/>
  <c r="BC4" i="81" s="1"/>
  <c r="AU8" i="81"/>
  <c r="AV43" i="81" s="1"/>
  <c r="AS8" i="81"/>
  <c r="AS41" i="81" s="1"/>
  <c r="AQ8" i="81"/>
  <c r="AQ41" i="81" s="1"/>
  <c r="AO8" i="81"/>
  <c r="AL8" i="81"/>
  <c r="AJ8" i="81"/>
  <c r="AH8" i="81"/>
  <c r="AN8" i="81" s="1"/>
  <c r="AG8" i="81"/>
  <c r="B8" i="81"/>
  <c r="AV6" i="81"/>
  <c r="F8" i="8" l="1"/>
  <c r="C84" i="14" s="1"/>
  <c r="F21" i="9"/>
  <c r="AK32" i="81"/>
  <c r="AM32" i="81" s="1"/>
  <c r="BM14" i="81"/>
  <c r="BM39" i="81"/>
  <c r="AN28" i="81"/>
  <c r="AM22" i="81"/>
  <c r="AR22" i="81"/>
  <c r="AV22" i="81" s="1"/>
  <c r="AV44" i="81"/>
  <c r="AZ15" i="81"/>
  <c r="BM15" i="81"/>
  <c r="BN19" i="81"/>
  <c r="AR15" i="81"/>
  <c r="AV15" i="81" s="1"/>
  <c r="AT15" i="81"/>
  <c r="AM15" i="81"/>
  <c r="BE4" i="81"/>
  <c r="BM31" i="81"/>
  <c r="BI10" i="81"/>
  <c r="BM10" i="81" s="1"/>
  <c r="AN25" i="81"/>
  <c r="BM30" i="81"/>
  <c r="BM35" i="81"/>
  <c r="E10" i="82"/>
  <c r="E31" i="82" s="1"/>
  <c r="BM18" i="81"/>
  <c r="AK36" i="81"/>
  <c r="AM36" i="81" s="1"/>
  <c r="BM19" i="81"/>
  <c r="AR28" i="81"/>
  <c r="AV28" i="81" s="1"/>
  <c r="AN22" i="81"/>
  <c r="AR25" i="81"/>
  <c r="AV25" i="81" s="1"/>
  <c r="AK19" i="81"/>
  <c r="AX19" i="81" s="1"/>
  <c r="C31" i="82"/>
  <c r="BN15" i="81"/>
  <c r="AI24" i="81"/>
  <c r="C24" i="81" s="1"/>
  <c r="AI17" i="81"/>
  <c r="C17" i="81" s="1"/>
  <c r="AI26" i="81"/>
  <c r="C26" i="81" s="1"/>
  <c r="AI28" i="81"/>
  <c r="C28" i="81" s="1"/>
  <c r="AI25" i="81"/>
  <c r="C25" i="81" s="1"/>
  <c r="AI10" i="81"/>
  <c r="C10" i="81" s="1"/>
  <c r="AI14" i="81"/>
  <c r="C14" i="81" s="1"/>
  <c r="AI19" i="81"/>
  <c r="C19" i="81" s="1"/>
  <c r="AI23" i="81"/>
  <c r="C23" i="81" s="1"/>
  <c r="AI9" i="81"/>
  <c r="C9" i="81" s="1"/>
  <c r="AI11" i="81"/>
  <c r="C11" i="81" s="1"/>
  <c r="AI16" i="81"/>
  <c r="C16" i="81" s="1"/>
  <c r="AI22" i="81"/>
  <c r="C22" i="81" s="1"/>
  <c r="E41" i="81"/>
  <c r="AV41" i="81"/>
  <c r="Q5" i="81"/>
  <c r="AI20" i="81"/>
  <c r="C20" i="81" s="1"/>
  <c r="AX10" i="81"/>
  <c r="BJ14" i="81"/>
  <c r="H14" i="81" s="1"/>
  <c r="BF14" i="81" s="1"/>
  <c r="BJ18" i="81"/>
  <c r="H18" i="81" s="1"/>
  <c r="BF18" i="81" s="1"/>
  <c r="BM34" i="81"/>
  <c r="BM38" i="81"/>
  <c r="G9" i="81"/>
  <c r="AY10" i="81"/>
  <c r="BK10" i="81"/>
  <c r="I10" i="81" s="1"/>
  <c r="G13" i="81"/>
  <c r="AY14" i="81"/>
  <c r="BK14" i="81"/>
  <c r="I14" i="81" s="1"/>
  <c r="G17" i="81"/>
  <c r="AY18" i="81"/>
  <c r="BK18" i="81"/>
  <c r="I18" i="81" s="1"/>
  <c r="G21" i="81"/>
  <c r="AT22" i="81"/>
  <c r="G24" i="81"/>
  <c r="AT25" i="81"/>
  <c r="G27" i="81"/>
  <c r="AT28" i="81"/>
  <c r="AK14" i="81"/>
  <c r="AX14" i="81" s="1"/>
  <c r="AK18" i="81"/>
  <c r="B10" i="81"/>
  <c r="BL10" i="81"/>
  <c r="BI11" i="81"/>
  <c r="AZ14" i="81"/>
  <c r="BL14" i="81"/>
  <c r="AZ18" i="81"/>
  <c r="BL18" i="81"/>
  <c r="BL31" i="81"/>
  <c r="BL35" i="81"/>
  <c r="BL39" i="81"/>
  <c r="AW14" i="81"/>
  <c r="BA10" i="81"/>
  <c r="AX11" i="81"/>
  <c r="BA14" i="81"/>
  <c r="AX15" i="81"/>
  <c r="BJ15" i="81"/>
  <c r="H15" i="81" s="1"/>
  <c r="BF15" i="81" s="1"/>
  <c r="BA18" i="81"/>
  <c r="BJ19" i="81"/>
  <c r="H19" i="81" s="1"/>
  <c r="BF19" i="81" s="1"/>
  <c r="BL23" i="81"/>
  <c r="BL26" i="81"/>
  <c r="BL29" i="81"/>
  <c r="BM29" i="81"/>
  <c r="AX22" i="81"/>
  <c r="BJ22" i="81"/>
  <c r="H22" i="81" s="1"/>
  <c r="BF22" i="81" s="1"/>
  <c r="G23" i="81"/>
  <c r="AX25" i="81"/>
  <c r="BJ25" i="81"/>
  <c r="H25" i="81" s="1"/>
  <c r="BF25" i="81" s="1"/>
  <c r="G26" i="81"/>
  <c r="AX28" i="81"/>
  <c r="BJ28" i="81"/>
  <c r="H28" i="81" s="1"/>
  <c r="BF28" i="81" s="1"/>
  <c r="AY22" i="81"/>
  <c r="BK22" i="81"/>
  <c r="I22" i="81" s="1"/>
  <c r="AY25" i="81"/>
  <c r="BK25" i="81"/>
  <c r="I25" i="81" s="1"/>
  <c r="AY28" i="81"/>
  <c r="BK28" i="81"/>
  <c r="I28" i="81" s="1"/>
  <c r="AJ9" i="81"/>
  <c r="AJ10" i="81" s="1"/>
  <c r="AJ11" i="81" s="1"/>
  <c r="AJ12" i="81" s="1"/>
  <c r="AZ22" i="81"/>
  <c r="AZ25" i="81"/>
  <c r="AZ28" i="81"/>
  <c r="BL8" i="81"/>
  <c r="BL12" i="81"/>
  <c r="BL16" i="81"/>
  <c r="BL20" i="81"/>
  <c r="BM22" i="81"/>
  <c r="BM25" i="81"/>
  <c r="BM28" i="81"/>
  <c r="BL33" i="81"/>
  <c r="BL37" i="81"/>
  <c r="BM33" i="81"/>
  <c r="BM37" i="81"/>
  <c r="G8" i="81"/>
  <c r="G12" i="81"/>
  <c r="G16" i="81"/>
  <c r="G20" i="81"/>
  <c r="U48" i="80"/>
  <c r="BE43" i="80"/>
  <c r="AT43" i="80"/>
  <c r="AT44" i="80" s="1"/>
  <c r="AR44" i="80" s="1"/>
  <c r="BN39" i="80"/>
  <c r="BK39" i="80"/>
  <c r="I39" i="80" s="1"/>
  <c r="BJ39" i="80"/>
  <c r="H39" i="80" s="1"/>
  <c r="BF39" i="80" s="1"/>
  <c r="BI39" i="80"/>
  <c r="BM39" i="80" s="1"/>
  <c r="BH39" i="80"/>
  <c r="BL39" i="80" s="1"/>
  <c r="BG39" i="80"/>
  <c r="BE39" i="80"/>
  <c r="BD39" i="80"/>
  <c r="BC39" i="80"/>
  <c r="BB39" i="80"/>
  <c r="BA39" i="80"/>
  <c r="AZ39" i="80"/>
  <c r="AY39" i="80"/>
  <c r="AX39" i="80"/>
  <c r="AW39" i="80"/>
  <c r="AU39" i="80"/>
  <c r="AT39" i="80"/>
  <c r="AS39" i="80"/>
  <c r="AR39" i="80"/>
  <c r="AV39" i="80" s="1"/>
  <c r="AQ39" i="80"/>
  <c r="AP39" i="80"/>
  <c r="AO39" i="80"/>
  <c r="AL39" i="80"/>
  <c r="AJ39" i="80"/>
  <c r="AI39" i="80"/>
  <c r="AH39" i="80"/>
  <c r="AN39" i="80" s="1"/>
  <c r="AG39" i="80"/>
  <c r="G39" i="80"/>
  <c r="C39" i="80"/>
  <c r="B39" i="80"/>
  <c r="BN38" i="80"/>
  <c r="BK38" i="80"/>
  <c r="I38" i="80" s="1"/>
  <c r="BJ38" i="80"/>
  <c r="H38" i="80" s="1"/>
  <c r="BF38" i="80" s="1"/>
  <c r="BI38" i="80"/>
  <c r="AK38" i="80" s="1"/>
  <c r="AM38" i="80" s="1"/>
  <c r="BH38" i="80"/>
  <c r="BG38" i="80"/>
  <c r="BE38" i="80"/>
  <c r="BD38" i="80"/>
  <c r="BC38" i="80"/>
  <c r="BB38" i="80"/>
  <c r="BA38" i="80"/>
  <c r="AZ38" i="80"/>
  <c r="AY38" i="80"/>
  <c r="AX38" i="80"/>
  <c r="AW38" i="80"/>
  <c r="AU38" i="80"/>
  <c r="AT38" i="80"/>
  <c r="AS38" i="80"/>
  <c r="AR38" i="80"/>
  <c r="AV38" i="80" s="1"/>
  <c r="AQ38" i="80"/>
  <c r="AP38" i="80"/>
  <c r="AO38" i="80"/>
  <c r="AL38" i="80"/>
  <c r="AJ38" i="80"/>
  <c r="AI38" i="80"/>
  <c r="AH38" i="80"/>
  <c r="AN38" i="80" s="1"/>
  <c r="AG38" i="80"/>
  <c r="C38" i="80"/>
  <c r="B38" i="80"/>
  <c r="BN37" i="80"/>
  <c r="BK37" i="80"/>
  <c r="I37" i="80" s="1"/>
  <c r="BJ37" i="80"/>
  <c r="H37" i="80" s="1"/>
  <c r="BF37" i="80" s="1"/>
  <c r="BI37" i="80"/>
  <c r="AK37" i="80" s="1"/>
  <c r="AM37" i="80" s="1"/>
  <c r="BH37" i="80"/>
  <c r="G37" i="80" s="1"/>
  <c r="BG37" i="80"/>
  <c r="BE37" i="80"/>
  <c r="BD37" i="80"/>
  <c r="BC37" i="80"/>
  <c r="BB37" i="80"/>
  <c r="BA37" i="80"/>
  <c r="AZ37" i="80"/>
  <c r="AY37" i="80"/>
  <c r="AX37" i="80"/>
  <c r="AW37" i="80"/>
  <c r="AU37" i="80"/>
  <c r="AT37" i="80"/>
  <c r="AS37" i="80"/>
  <c r="AR37" i="80"/>
  <c r="AV37" i="80" s="1"/>
  <c r="AQ37" i="80"/>
  <c r="AP37" i="80"/>
  <c r="AO37" i="80"/>
  <c r="AL37" i="80"/>
  <c r="AJ37" i="80"/>
  <c r="AI37" i="80"/>
  <c r="AH37" i="80"/>
  <c r="AN37" i="80" s="1"/>
  <c r="AG37" i="80"/>
  <c r="C37" i="80"/>
  <c r="B37" i="80"/>
  <c r="BN36" i="80"/>
  <c r="BL36" i="80"/>
  <c r="BK36" i="80"/>
  <c r="I36" i="80" s="1"/>
  <c r="BJ36" i="80"/>
  <c r="H36" i="80" s="1"/>
  <c r="BF36" i="80" s="1"/>
  <c r="BI36" i="80"/>
  <c r="AK36" i="80" s="1"/>
  <c r="AM36" i="80" s="1"/>
  <c r="BH36" i="80"/>
  <c r="BG36" i="80"/>
  <c r="BE36" i="80"/>
  <c r="BD36" i="80"/>
  <c r="BC36" i="80"/>
  <c r="BB36" i="80"/>
  <c r="BA36" i="80"/>
  <c r="AZ36" i="80"/>
  <c r="AY36" i="80"/>
  <c r="AX36" i="80"/>
  <c r="AW36" i="80"/>
  <c r="AU36" i="80"/>
  <c r="AT36" i="80"/>
  <c r="AS36" i="80"/>
  <c r="AR36" i="80"/>
  <c r="AV36" i="80" s="1"/>
  <c r="AQ36" i="80"/>
  <c r="AP36" i="80"/>
  <c r="AO36" i="80"/>
  <c r="AL36" i="80"/>
  <c r="AJ36" i="80"/>
  <c r="AI36" i="80"/>
  <c r="AH36" i="80"/>
  <c r="AN36" i="80" s="1"/>
  <c r="AG36" i="80"/>
  <c r="G36" i="80"/>
  <c r="C36" i="80"/>
  <c r="B36" i="80"/>
  <c r="BN35" i="80"/>
  <c r="BK35" i="80"/>
  <c r="I35" i="80" s="1"/>
  <c r="BJ35" i="80"/>
  <c r="H35" i="80" s="1"/>
  <c r="BF35" i="80" s="1"/>
  <c r="BI35" i="80"/>
  <c r="AK35" i="80" s="1"/>
  <c r="AM35" i="80" s="1"/>
  <c r="BH35" i="80"/>
  <c r="BL35" i="80" s="1"/>
  <c r="BG35" i="80"/>
  <c r="BE35" i="80"/>
  <c r="BD35" i="80"/>
  <c r="BC35" i="80"/>
  <c r="BB35" i="80"/>
  <c r="BA35" i="80"/>
  <c r="AZ35" i="80"/>
  <c r="AY35" i="80"/>
  <c r="AX35" i="80"/>
  <c r="AW35" i="80"/>
  <c r="AU35" i="80"/>
  <c r="AT35" i="80"/>
  <c r="AS35" i="80"/>
  <c r="AR35" i="80"/>
  <c r="AV35" i="80" s="1"/>
  <c r="AQ35" i="80"/>
  <c r="AP35" i="80"/>
  <c r="AO35" i="80"/>
  <c r="AL35" i="80"/>
  <c r="AJ35" i="80"/>
  <c r="AI35" i="80"/>
  <c r="AH35" i="80"/>
  <c r="AN35" i="80" s="1"/>
  <c r="AG35" i="80"/>
  <c r="G35" i="80"/>
  <c r="C35" i="80"/>
  <c r="B35" i="80"/>
  <c r="BN34" i="80"/>
  <c r="BK34" i="80"/>
  <c r="I34" i="80" s="1"/>
  <c r="BJ34" i="80"/>
  <c r="H34" i="80" s="1"/>
  <c r="BF34" i="80" s="1"/>
  <c r="BI34" i="80"/>
  <c r="AK34" i="80" s="1"/>
  <c r="AM34" i="80" s="1"/>
  <c r="BH34" i="80"/>
  <c r="BG34" i="80"/>
  <c r="BE34" i="80"/>
  <c r="BD34" i="80"/>
  <c r="BC34" i="80"/>
  <c r="BB34" i="80"/>
  <c r="BA34" i="80"/>
  <c r="AZ34" i="80"/>
  <c r="AY34" i="80"/>
  <c r="AX34" i="80"/>
  <c r="AW34" i="80"/>
  <c r="AU34" i="80"/>
  <c r="AT34" i="80"/>
  <c r="AS34" i="80"/>
  <c r="AR34" i="80"/>
  <c r="AV34" i="80" s="1"/>
  <c r="AQ34" i="80"/>
  <c r="AP34" i="80"/>
  <c r="AO34" i="80"/>
  <c r="AL34" i="80"/>
  <c r="AJ34" i="80"/>
  <c r="AI34" i="80"/>
  <c r="AH34" i="80"/>
  <c r="AN34" i="80" s="1"/>
  <c r="AG34" i="80"/>
  <c r="C34" i="80"/>
  <c r="B34" i="80"/>
  <c r="BN33" i="80"/>
  <c r="BK33" i="80"/>
  <c r="I33" i="80" s="1"/>
  <c r="BJ33" i="80"/>
  <c r="H33" i="80" s="1"/>
  <c r="BF33" i="80" s="1"/>
  <c r="BI33" i="80"/>
  <c r="AK33" i="80" s="1"/>
  <c r="AM33" i="80" s="1"/>
  <c r="BH33" i="80"/>
  <c r="G33" i="80" s="1"/>
  <c r="BG33" i="80"/>
  <c r="BE33" i="80"/>
  <c r="BD33" i="80"/>
  <c r="BC33" i="80"/>
  <c r="BB33" i="80"/>
  <c r="BA33" i="80"/>
  <c r="AZ33" i="80"/>
  <c r="AY33" i="80"/>
  <c r="AX33" i="80"/>
  <c r="AW33" i="80"/>
  <c r="AU33" i="80"/>
  <c r="AT33" i="80"/>
  <c r="AS33" i="80"/>
  <c r="AR33" i="80"/>
  <c r="AV33" i="80" s="1"/>
  <c r="AQ33" i="80"/>
  <c r="AP33" i="80"/>
  <c r="AO33" i="80"/>
  <c r="AL33" i="80"/>
  <c r="AJ33" i="80"/>
  <c r="AI33" i="80"/>
  <c r="AH33" i="80"/>
  <c r="AN33" i="80" s="1"/>
  <c r="AG33" i="80"/>
  <c r="C33" i="80"/>
  <c r="B33" i="80"/>
  <c r="BN32" i="80"/>
  <c r="BL32" i="80"/>
  <c r="BK32" i="80"/>
  <c r="I32" i="80" s="1"/>
  <c r="BJ32" i="80"/>
  <c r="H32" i="80" s="1"/>
  <c r="BF32" i="80" s="1"/>
  <c r="BI32" i="80"/>
  <c r="BM32" i="80" s="1"/>
  <c r="BH32" i="80"/>
  <c r="BG32" i="80"/>
  <c r="BE32" i="80"/>
  <c r="BD32" i="80"/>
  <c r="BC32" i="80"/>
  <c r="BB32" i="80"/>
  <c r="BA32" i="80"/>
  <c r="AZ32" i="80"/>
  <c r="AY32" i="80"/>
  <c r="AX32" i="80"/>
  <c r="AW32" i="80"/>
  <c r="AU32" i="80"/>
  <c r="AT32" i="80"/>
  <c r="AS32" i="80"/>
  <c r="AR32" i="80"/>
  <c r="AV32" i="80" s="1"/>
  <c r="AQ32" i="80"/>
  <c r="AP32" i="80"/>
  <c r="AO32" i="80"/>
  <c r="AL32" i="80"/>
  <c r="AJ32" i="80"/>
  <c r="AI32" i="80"/>
  <c r="AH32" i="80"/>
  <c r="AN32" i="80" s="1"/>
  <c r="AG32" i="80"/>
  <c r="G32" i="80"/>
  <c r="C32" i="80"/>
  <c r="B32" i="80"/>
  <c r="BN31" i="80"/>
  <c r="BK31" i="80"/>
  <c r="I31" i="80" s="1"/>
  <c r="BJ31" i="80"/>
  <c r="H31" i="80" s="1"/>
  <c r="BF31" i="80" s="1"/>
  <c r="BI31" i="80"/>
  <c r="BM31" i="80" s="1"/>
  <c r="BH31" i="80"/>
  <c r="BL31" i="80" s="1"/>
  <c r="BG31" i="80"/>
  <c r="BE31" i="80"/>
  <c r="BD31" i="80"/>
  <c r="BC31" i="80"/>
  <c r="BB31" i="80"/>
  <c r="BA31" i="80"/>
  <c r="AZ31" i="80"/>
  <c r="AY31" i="80"/>
  <c r="AX31" i="80"/>
  <c r="AW31" i="80"/>
  <c r="AU31" i="80"/>
  <c r="AT31" i="80"/>
  <c r="AS31" i="80"/>
  <c r="AR31" i="80"/>
  <c r="AV31" i="80" s="1"/>
  <c r="AQ31" i="80"/>
  <c r="AP31" i="80"/>
  <c r="AO31" i="80"/>
  <c r="AL31" i="80"/>
  <c r="AJ31" i="80"/>
  <c r="AI31" i="80"/>
  <c r="AH31" i="80"/>
  <c r="AN31" i="80" s="1"/>
  <c r="AG31" i="80"/>
  <c r="G31" i="80"/>
  <c r="C31" i="80"/>
  <c r="B31" i="80"/>
  <c r="BN30" i="80"/>
  <c r="BK30" i="80"/>
  <c r="I30" i="80" s="1"/>
  <c r="BJ30" i="80"/>
  <c r="H30" i="80" s="1"/>
  <c r="BF30" i="80" s="1"/>
  <c r="BI30" i="80"/>
  <c r="AK30" i="80" s="1"/>
  <c r="AM30" i="80" s="1"/>
  <c r="BH30" i="80"/>
  <c r="BG30" i="80"/>
  <c r="BE30" i="80"/>
  <c r="BD30" i="80"/>
  <c r="BC30" i="80"/>
  <c r="BB30" i="80"/>
  <c r="BA30" i="80"/>
  <c r="AZ30" i="80"/>
  <c r="AY30" i="80"/>
  <c r="AX30" i="80"/>
  <c r="AW30" i="80"/>
  <c r="AU30" i="80"/>
  <c r="AT30" i="80"/>
  <c r="AS30" i="80"/>
  <c r="AR30" i="80"/>
  <c r="AV30" i="80" s="1"/>
  <c r="AQ30" i="80"/>
  <c r="AP30" i="80"/>
  <c r="AO30" i="80"/>
  <c r="AL30" i="80"/>
  <c r="AJ30" i="80"/>
  <c r="AI30" i="80"/>
  <c r="AH30" i="80"/>
  <c r="AN30" i="80" s="1"/>
  <c r="AG30" i="80"/>
  <c r="C30" i="80"/>
  <c r="B30" i="80"/>
  <c r="BU29" i="80"/>
  <c r="BT29" i="80"/>
  <c r="BS29" i="80"/>
  <c r="BR29" i="80"/>
  <c r="BQ29" i="80"/>
  <c r="BN29" i="80"/>
  <c r="BL29" i="80"/>
  <c r="BK29" i="80"/>
  <c r="I29" i="80" s="1"/>
  <c r="BJ29" i="80"/>
  <c r="H29" i="80" s="1"/>
  <c r="BF29" i="80" s="1"/>
  <c r="BI29" i="80"/>
  <c r="BM29" i="80" s="1"/>
  <c r="BH29" i="80"/>
  <c r="BG29" i="80"/>
  <c r="BE29" i="80"/>
  <c r="BD29" i="80"/>
  <c r="BC29" i="80"/>
  <c r="BB29" i="80"/>
  <c r="BA29" i="80"/>
  <c r="AZ29" i="80"/>
  <c r="AY29" i="80"/>
  <c r="AX29" i="80"/>
  <c r="AW29" i="80"/>
  <c r="AU29" i="80"/>
  <c r="AT29" i="80"/>
  <c r="AS29" i="80"/>
  <c r="AR29" i="80"/>
  <c r="AV29" i="80" s="1"/>
  <c r="AQ29" i="80"/>
  <c r="AP29" i="80"/>
  <c r="AO29" i="80"/>
  <c r="AL29" i="80"/>
  <c r="AJ29" i="80"/>
  <c r="AI29" i="80"/>
  <c r="AH29" i="80"/>
  <c r="AN29" i="80" s="1"/>
  <c r="AG29" i="80"/>
  <c r="G29" i="80"/>
  <c r="C29" i="80"/>
  <c r="B29" i="80"/>
  <c r="BU28" i="80"/>
  <c r="BT28" i="80"/>
  <c r="BS28" i="80"/>
  <c r="BR28" i="80"/>
  <c r="BQ28" i="80"/>
  <c r="BH28" i="80"/>
  <c r="BE28" i="80"/>
  <c r="BD28" i="80"/>
  <c r="BC28" i="80"/>
  <c r="BB28" i="80"/>
  <c r="AY28" i="80"/>
  <c r="AU28" i="80"/>
  <c r="AS28" i="80"/>
  <c r="AQ28" i="80"/>
  <c r="AO28" i="80"/>
  <c r="AL28" i="80"/>
  <c r="AH28" i="80"/>
  <c r="AG28" i="80"/>
  <c r="G28" i="80"/>
  <c r="BK28" i="80" s="1"/>
  <c r="I28" i="80" s="1"/>
  <c r="BU27" i="80"/>
  <c r="BT27" i="80"/>
  <c r="BS27" i="80"/>
  <c r="BR27" i="80"/>
  <c r="BQ27" i="80"/>
  <c r="BJ27" i="80"/>
  <c r="H27" i="80" s="1"/>
  <c r="BF27" i="80" s="1"/>
  <c r="BH27" i="80"/>
  <c r="BE27" i="80"/>
  <c r="BD27" i="80"/>
  <c r="BC27" i="80"/>
  <c r="AU27" i="80"/>
  <c r="AS27" i="80"/>
  <c r="AQ27" i="80"/>
  <c r="AO27" i="80"/>
  <c r="AL27" i="80"/>
  <c r="AH27" i="80"/>
  <c r="AN27" i="80" s="1"/>
  <c r="AG27" i="80"/>
  <c r="B27" i="80"/>
  <c r="BU26" i="80"/>
  <c r="BT26" i="80"/>
  <c r="BS26" i="80"/>
  <c r="BR26" i="80"/>
  <c r="BQ26" i="80"/>
  <c r="BL26" i="80"/>
  <c r="BH26" i="80"/>
  <c r="BE26" i="80"/>
  <c r="BD26" i="80"/>
  <c r="BC26" i="80"/>
  <c r="AU26" i="80"/>
  <c r="AS26" i="80"/>
  <c r="AQ26" i="80"/>
  <c r="AO26" i="80"/>
  <c r="AL26" i="80"/>
  <c r="AH26" i="80"/>
  <c r="AG26" i="80"/>
  <c r="G26" i="80"/>
  <c r="BB26" i="80" s="1"/>
  <c r="BU25" i="80"/>
  <c r="BT25" i="80"/>
  <c r="BS25" i="80"/>
  <c r="BR25" i="80"/>
  <c r="BQ25" i="80"/>
  <c r="BH25" i="80"/>
  <c r="G25" i="80" s="1"/>
  <c r="BE25" i="80"/>
  <c r="BD25" i="80"/>
  <c r="BC25" i="80"/>
  <c r="AU25" i="80"/>
  <c r="AS25" i="80"/>
  <c r="AQ25" i="80"/>
  <c r="AO25" i="80"/>
  <c r="AL25" i="80"/>
  <c r="AH25" i="80"/>
  <c r="AG25" i="80"/>
  <c r="BU24" i="80"/>
  <c r="BT24" i="80"/>
  <c r="BS24" i="80"/>
  <c r="BR24" i="80"/>
  <c r="BQ24" i="80"/>
  <c r="BH24" i="80"/>
  <c r="BE24" i="80"/>
  <c r="BD24" i="80"/>
  <c r="BC24" i="80"/>
  <c r="AU24" i="80"/>
  <c r="AS24" i="80"/>
  <c r="AQ24" i="80"/>
  <c r="AO24" i="80"/>
  <c r="AL24" i="80"/>
  <c r="AH24" i="80"/>
  <c r="AG24" i="80"/>
  <c r="BU23" i="80"/>
  <c r="BT23" i="80"/>
  <c r="BS23" i="80"/>
  <c r="BR23" i="80"/>
  <c r="BQ23" i="80"/>
  <c r="BL23" i="80"/>
  <c r="BH23" i="80"/>
  <c r="BE23" i="80"/>
  <c r="BD23" i="80"/>
  <c r="BC23" i="80"/>
  <c r="BB23" i="80"/>
  <c r="AU23" i="80"/>
  <c r="AS23" i="80"/>
  <c r="AQ23" i="80"/>
  <c r="AO23" i="80"/>
  <c r="AL23" i="80"/>
  <c r="AH23" i="80"/>
  <c r="AG23" i="80"/>
  <c r="G23" i="80"/>
  <c r="BU22" i="80"/>
  <c r="BT22" i="80"/>
  <c r="BS22" i="80"/>
  <c r="BR22" i="80"/>
  <c r="BQ22" i="80"/>
  <c r="BH22" i="80"/>
  <c r="G22" i="80" s="1"/>
  <c r="BE22" i="80"/>
  <c r="BD22" i="80"/>
  <c r="BC22" i="80"/>
  <c r="AU22" i="80"/>
  <c r="AS22" i="80"/>
  <c r="AQ22" i="80"/>
  <c r="AO22" i="80"/>
  <c r="AL22" i="80"/>
  <c r="AH22" i="80"/>
  <c r="AG22" i="80"/>
  <c r="BU21" i="80"/>
  <c r="BT21" i="80"/>
  <c r="BS21" i="80"/>
  <c r="BR21" i="80"/>
  <c r="BQ21" i="80"/>
  <c r="BJ21" i="80"/>
  <c r="H21" i="80" s="1"/>
  <c r="BF21" i="80" s="1"/>
  <c r="BH21" i="80"/>
  <c r="BE21" i="80"/>
  <c r="BD21" i="80"/>
  <c r="BC21" i="80"/>
  <c r="AU21" i="80"/>
  <c r="AS21" i="80"/>
  <c r="AQ21" i="80"/>
  <c r="AO21" i="80"/>
  <c r="AL21" i="80"/>
  <c r="AH21" i="80"/>
  <c r="AN21" i="80" s="1"/>
  <c r="AG21" i="80"/>
  <c r="B21" i="80"/>
  <c r="BK20" i="80"/>
  <c r="I20" i="80" s="1"/>
  <c r="BH20" i="80"/>
  <c r="BL20" i="80" s="1"/>
  <c r="BE20" i="80"/>
  <c r="BD20" i="80"/>
  <c r="BC20" i="80"/>
  <c r="BB20" i="80"/>
  <c r="BA20" i="80"/>
  <c r="AY20" i="80"/>
  <c r="AW20" i="80"/>
  <c r="AU20" i="80"/>
  <c r="AS20" i="80"/>
  <c r="AQ20" i="80"/>
  <c r="AO20" i="80"/>
  <c r="AL20" i="80"/>
  <c r="AH20" i="80"/>
  <c r="AG20" i="80"/>
  <c r="G20" i="80"/>
  <c r="BL19" i="80"/>
  <c r="BK19" i="80"/>
  <c r="I19" i="80" s="1"/>
  <c r="BH19" i="80"/>
  <c r="BE19" i="80"/>
  <c r="BD19" i="80"/>
  <c r="BC19" i="80"/>
  <c r="BB19" i="80"/>
  <c r="AU19" i="80"/>
  <c r="AS19" i="80"/>
  <c r="AQ19" i="80"/>
  <c r="AO19" i="80"/>
  <c r="AL19" i="80"/>
  <c r="AH19" i="80"/>
  <c r="AG19" i="80"/>
  <c r="G19" i="80"/>
  <c r="BH18" i="80"/>
  <c r="BL18" i="80" s="1"/>
  <c r="BE18" i="80"/>
  <c r="BD18" i="80"/>
  <c r="BC18" i="80"/>
  <c r="AU18" i="80"/>
  <c r="AS18" i="80"/>
  <c r="AQ18" i="80"/>
  <c r="AO18" i="80"/>
  <c r="AL18" i="80"/>
  <c r="AH18" i="80"/>
  <c r="AG18" i="80"/>
  <c r="BH17" i="80"/>
  <c r="BE17" i="80"/>
  <c r="BD17" i="80"/>
  <c r="BC17" i="80"/>
  <c r="AU17" i="80"/>
  <c r="AS17" i="80"/>
  <c r="AQ17" i="80"/>
  <c r="AO17" i="80"/>
  <c r="AL17" i="80"/>
  <c r="AH17" i="80"/>
  <c r="AN17" i="80" s="1"/>
  <c r="AG17" i="80"/>
  <c r="BK16" i="80"/>
  <c r="I16" i="80" s="1"/>
  <c r="BH16" i="80"/>
  <c r="BL16" i="80" s="1"/>
  <c r="BE16" i="80"/>
  <c r="BD16" i="80"/>
  <c r="BC16" i="80"/>
  <c r="BB16" i="80"/>
  <c r="BA16" i="80"/>
  <c r="AY16" i="80"/>
  <c r="AW16" i="80"/>
  <c r="AU16" i="80"/>
  <c r="AS16" i="80"/>
  <c r="AQ16" i="80"/>
  <c r="AO16" i="80"/>
  <c r="AL16" i="80"/>
  <c r="AH16" i="80"/>
  <c r="AG16" i="80"/>
  <c r="G16" i="80"/>
  <c r="BL15" i="80"/>
  <c r="BK15" i="80"/>
  <c r="I15" i="80" s="1"/>
  <c r="BH15" i="80"/>
  <c r="BE15" i="80"/>
  <c r="BD15" i="80"/>
  <c r="BC15" i="80"/>
  <c r="BB15" i="80"/>
  <c r="AU15" i="80"/>
  <c r="AS15" i="80"/>
  <c r="AQ15" i="80"/>
  <c r="AO15" i="80"/>
  <c r="AL15" i="80"/>
  <c r="AH15" i="80"/>
  <c r="AG15" i="80"/>
  <c r="G15" i="80"/>
  <c r="BH14" i="80"/>
  <c r="BL14" i="80" s="1"/>
  <c r="BE14" i="80"/>
  <c r="BD14" i="80"/>
  <c r="BC14" i="80"/>
  <c r="AU14" i="80"/>
  <c r="AS14" i="80"/>
  <c r="AQ14" i="80"/>
  <c r="AI14" i="80" s="1"/>
  <c r="C14" i="80" s="1"/>
  <c r="AO14" i="80"/>
  <c r="AL14" i="80"/>
  <c r="AH14" i="80"/>
  <c r="AG14" i="80"/>
  <c r="BJ13" i="80"/>
  <c r="H13" i="80" s="1"/>
  <c r="BF13" i="80" s="1"/>
  <c r="BH13" i="80"/>
  <c r="BE13" i="80"/>
  <c r="BD13" i="80"/>
  <c r="BC13" i="80"/>
  <c r="AU13" i="80"/>
  <c r="AS13" i="80"/>
  <c r="AQ13" i="80"/>
  <c r="AO13" i="80"/>
  <c r="AL13" i="80"/>
  <c r="AH13" i="80"/>
  <c r="AN13" i="80" s="1"/>
  <c r="AG13" i="80"/>
  <c r="B13" i="80"/>
  <c r="BK12" i="80"/>
  <c r="I12" i="80" s="1"/>
  <c r="BJ12" i="80"/>
  <c r="H12" i="80" s="1"/>
  <c r="BF12" i="80" s="1"/>
  <c r="BH12" i="80"/>
  <c r="BL12" i="80" s="1"/>
  <c r="BE12" i="80"/>
  <c r="BD12" i="80"/>
  <c r="BC12" i="80"/>
  <c r="BB12" i="80"/>
  <c r="BA12" i="80"/>
  <c r="AY12" i="80"/>
  <c r="AX12" i="80"/>
  <c r="AW12" i="80"/>
  <c r="AU12" i="80"/>
  <c r="AS12" i="80"/>
  <c r="AQ12" i="80"/>
  <c r="AO12" i="80"/>
  <c r="AL12" i="80"/>
  <c r="AH12" i="80"/>
  <c r="AN12" i="80" s="1"/>
  <c r="AG12" i="80"/>
  <c r="G12" i="80"/>
  <c r="B12" i="80"/>
  <c r="BL11" i="80"/>
  <c r="BH11" i="80"/>
  <c r="BE11" i="80"/>
  <c r="BD11" i="80"/>
  <c r="BC11" i="80"/>
  <c r="AU11" i="80"/>
  <c r="AS11" i="80"/>
  <c r="AQ11" i="80"/>
  <c r="AL11" i="80"/>
  <c r="AH11" i="80"/>
  <c r="AG11" i="80"/>
  <c r="G11" i="80"/>
  <c r="AY11" i="80" s="1"/>
  <c r="BH10" i="80"/>
  <c r="BL10" i="80" s="1"/>
  <c r="BE10" i="80"/>
  <c r="BD10" i="80"/>
  <c r="BC10" i="80"/>
  <c r="BB10" i="80"/>
  <c r="BA10" i="80"/>
  <c r="AU10" i="80"/>
  <c r="AS10" i="80"/>
  <c r="AQ10" i="80"/>
  <c r="AL10" i="80"/>
  <c r="AH10" i="80"/>
  <c r="AG10" i="80"/>
  <c r="G10" i="80"/>
  <c r="BH9" i="80"/>
  <c r="BE9" i="80"/>
  <c r="BD9" i="80"/>
  <c r="BC9" i="80"/>
  <c r="AU9" i="80"/>
  <c r="AS9" i="80"/>
  <c r="AQ9" i="80"/>
  <c r="AL9" i="80"/>
  <c r="AJ9" i="80"/>
  <c r="AJ10" i="80" s="1"/>
  <c r="AJ11" i="80" s="1"/>
  <c r="AJ12" i="80" s="1"/>
  <c r="AH9" i="80"/>
  <c r="AG9" i="80"/>
  <c r="B9" i="80"/>
  <c r="BJ8" i="80"/>
  <c r="H8" i="80" s="1"/>
  <c r="BF8" i="80" s="1"/>
  <c r="BH8" i="80"/>
  <c r="G8" i="80" s="1"/>
  <c r="BE8" i="80"/>
  <c r="BD8" i="80"/>
  <c r="BC8" i="80"/>
  <c r="AU8" i="80"/>
  <c r="AS8" i="80"/>
  <c r="AQ8" i="80"/>
  <c r="AO8" i="80"/>
  <c r="AL8" i="80"/>
  <c r="AJ8" i="80"/>
  <c r="AH8" i="80"/>
  <c r="AN8" i="80" s="1"/>
  <c r="AG8" i="80"/>
  <c r="B8" i="80"/>
  <c r="AV6" i="80"/>
  <c r="AV45" i="81" l="1"/>
  <c r="AN41" i="81"/>
  <c r="BM35" i="80"/>
  <c r="AN10" i="80"/>
  <c r="AN26" i="80"/>
  <c r="AN14" i="80"/>
  <c r="AN15" i="80"/>
  <c r="AN23" i="80"/>
  <c r="AI11" i="80"/>
  <c r="C11" i="80" s="1"/>
  <c r="AN18" i="80"/>
  <c r="AN19" i="80"/>
  <c r="AN24" i="80"/>
  <c r="AI24" i="80"/>
  <c r="C24" i="80" s="1"/>
  <c r="AI9" i="80"/>
  <c r="C9" i="80" s="1"/>
  <c r="AI10" i="80"/>
  <c r="C10" i="80" s="1"/>
  <c r="AU41" i="80"/>
  <c r="E41" i="80" s="1"/>
  <c r="AI18" i="80"/>
  <c r="C18" i="80" s="1"/>
  <c r="AN25" i="80"/>
  <c r="BD4" i="80"/>
  <c r="AN6" i="81"/>
  <c r="AO10" i="81"/>
  <c r="AZ10" i="81"/>
  <c r="BJ10" i="81"/>
  <c r="H10" i="81" s="1"/>
  <c r="BF10" i="81" s="1"/>
  <c r="AK10" i="81"/>
  <c r="AR10" i="81" s="1"/>
  <c r="AV10" i="81" s="1"/>
  <c r="AN20" i="80"/>
  <c r="BN22" i="81"/>
  <c r="AM19" i="81"/>
  <c r="AR19" i="81"/>
  <c r="AV19" i="81" s="1"/>
  <c r="AT19" i="81"/>
  <c r="AK29" i="80"/>
  <c r="AM29" i="80" s="1"/>
  <c r="AN28" i="80"/>
  <c r="BN25" i="81"/>
  <c r="BN10" i="81"/>
  <c r="BN28" i="81"/>
  <c r="BB23" i="81"/>
  <c r="BA23" i="81"/>
  <c r="BK23" i="81"/>
  <c r="I23" i="81" s="1"/>
  <c r="AY23" i="81"/>
  <c r="BI23" i="81"/>
  <c r="AW23" i="81"/>
  <c r="BK17" i="81"/>
  <c r="I17" i="81" s="1"/>
  <c r="AY17" i="81"/>
  <c r="BI17" i="81"/>
  <c r="AZ17" i="81" s="1"/>
  <c r="AW17" i="81"/>
  <c r="BB17" i="81"/>
  <c r="BA17" i="81"/>
  <c r="AK31" i="80"/>
  <c r="AM31" i="80" s="1"/>
  <c r="BM36" i="80"/>
  <c r="BB8" i="81"/>
  <c r="BA8" i="81"/>
  <c r="BK8" i="81"/>
  <c r="I8" i="81" s="1"/>
  <c r="AY8" i="81"/>
  <c r="AW8" i="81"/>
  <c r="AX8" i="81"/>
  <c r="BI8" i="81"/>
  <c r="AZ8" i="81" s="1"/>
  <c r="AT18" i="81"/>
  <c r="AR18" i="81"/>
  <c r="AV18" i="81" s="1"/>
  <c r="AM18" i="81"/>
  <c r="AN11" i="80"/>
  <c r="AT14" i="81"/>
  <c r="AR14" i="81"/>
  <c r="AV14" i="81" s="1"/>
  <c r="AM14" i="81"/>
  <c r="BN18" i="81"/>
  <c r="AN16" i="80"/>
  <c r="AK39" i="80"/>
  <c r="AM39" i="80" s="1"/>
  <c r="BK13" i="81"/>
  <c r="I13" i="81" s="1"/>
  <c r="AY13" i="81"/>
  <c r="AX13" i="81"/>
  <c r="BI13" i="81"/>
  <c r="AZ13" i="81" s="1"/>
  <c r="AW13" i="81"/>
  <c r="BB13" i="81"/>
  <c r="BA13" i="81"/>
  <c r="AX18" i="81"/>
  <c r="AJ13" i="81"/>
  <c r="BN14" i="81"/>
  <c r="BK9" i="81"/>
  <c r="I9" i="81" s="1"/>
  <c r="AY9" i="81"/>
  <c r="AX9" i="81"/>
  <c r="BI9" i="81"/>
  <c r="AZ9" i="81" s="1"/>
  <c r="AW9" i="81"/>
  <c r="BB9" i="81"/>
  <c r="BA9" i="81"/>
  <c r="BK27" i="81"/>
  <c r="I27" i="81" s="1"/>
  <c r="AY27" i="81"/>
  <c r="AX27" i="81"/>
  <c r="BI27" i="81"/>
  <c r="AZ27" i="81" s="1"/>
  <c r="AW27" i="81"/>
  <c r="BB27" i="81"/>
  <c r="BA27" i="81"/>
  <c r="B11" i="81"/>
  <c r="BB20" i="81"/>
  <c r="BA20" i="81"/>
  <c r="BK20" i="81"/>
  <c r="I20" i="81" s="1"/>
  <c r="AY20" i="81"/>
  <c r="BI20" i="81"/>
  <c r="AZ20" i="81" s="1"/>
  <c r="AW20" i="81"/>
  <c r="BK24" i="81"/>
  <c r="I24" i="81" s="1"/>
  <c r="AY24" i="81"/>
  <c r="BI24" i="81"/>
  <c r="AW24" i="81"/>
  <c r="BB24" i="81"/>
  <c r="BA24" i="81"/>
  <c r="BE4" i="80"/>
  <c r="AN22" i="80"/>
  <c r="BB16" i="81"/>
  <c r="BA16" i="81"/>
  <c r="BK16" i="81"/>
  <c r="I16" i="81" s="1"/>
  <c r="AY16" i="81"/>
  <c r="AW16" i="81"/>
  <c r="BI16" i="81"/>
  <c r="AZ16" i="81" s="1"/>
  <c r="BB26" i="81"/>
  <c r="BA26" i="81"/>
  <c r="BK26" i="81"/>
  <c r="I26" i="81" s="1"/>
  <c r="AY26" i="81"/>
  <c r="BI26" i="81"/>
  <c r="AZ26" i="81" s="1"/>
  <c r="AW26" i="81"/>
  <c r="BN11" i="81"/>
  <c r="AZ11" i="81"/>
  <c r="BM11" i="81"/>
  <c r="AO11" i="81"/>
  <c r="BJ11" i="81"/>
  <c r="H11" i="81" s="1"/>
  <c r="BF11" i="81" s="1"/>
  <c r="AK11" i="81"/>
  <c r="BK21" i="81"/>
  <c r="I21" i="81" s="1"/>
  <c r="AY21" i="81"/>
  <c r="AX21" i="81"/>
  <c r="BI21" i="81"/>
  <c r="AZ21" i="81" s="1"/>
  <c r="AW21" i="81"/>
  <c r="BB21" i="81"/>
  <c r="BA21" i="81"/>
  <c r="AK32" i="80"/>
  <c r="AM32" i="80" s="1"/>
  <c r="BB12" i="81"/>
  <c r="BA12" i="81"/>
  <c r="BK12" i="81"/>
  <c r="I12" i="81" s="1"/>
  <c r="AY12" i="81"/>
  <c r="AW12" i="81"/>
  <c r="AX12" i="81"/>
  <c r="BI12" i="81"/>
  <c r="AX8" i="80"/>
  <c r="AW8" i="80"/>
  <c r="BI8" i="80"/>
  <c r="AK8" i="80" s="1"/>
  <c r="AY8" i="80"/>
  <c r="BB8" i="80"/>
  <c r="BA8" i="80"/>
  <c r="BK8" i="80"/>
  <c r="I8" i="80" s="1"/>
  <c r="BA25" i="80"/>
  <c r="BB25" i="80"/>
  <c r="AW25" i="80"/>
  <c r="AY25" i="80"/>
  <c r="BI25" i="80"/>
  <c r="BK25" i="80"/>
  <c r="I25" i="80" s="1"/>
  <c r="AJ13" i="80"/>
  <c r="BA22" i="80"/>
  <c r="AY22" i="80"/>
  <c r="BB22" i="80"/>
  <c r="AW22" i="80"/>
  <c r="BK22" i="80"/>
  <c r="I22" i="80" s="1"/>
  <c r="BI22" i="80"/>
  <c r="AZ22" i="80" s="1"/>
  <c r="AV41" i="80"/>
  <c r="G13" i="80"/>
  <c r="BL13" i="80"/>
  <c r="AI26" i="80"/>
  <c r="C26" i="80" s="1"/>
  <c r="BK11" i="80"/>
  <c r="I11" i="80" s="1"/>
  <c r="AI19" i="80"/>
  <c r="C19" i="80" s="1"/>
  <c r="BI15" i="80"/>
  <c r="AZ15" i="80" s="1"/>
  <c r="AW15" i="80"/>
  <c r="AI17" i="80"/>
  <c r="C17" i="80" s="1"/>
  <c r="AI22" i="80"/>
  <c r="C22" i="80" s="1"/>
  <c r="BC4" i="80"/>
  <c r="BA11" i="80"/>
  <c r="BK23" i="80"/>
  <c r="I23" i="80" s="1"/>
  <c r="AY23" i="80"/>
  <c r="BI23" i="80"/>
  <c r="AZ23" i="80" s="1"/>
  <c r="AW23" i="80"/>
  <c r="BL21" i="80"/>
  <c r="G21" i="80"/>
  <c r="BL8" i="80"/>
  <c r="G27" i="80"/>
  <c r="BL27" i="80"/>
  <c r="AI23" i="80"/>
  <c r="C23" i="80" s="1"/>
  <c r="BI19" i="80"/>
  <c r="AZ19" i="80" s="1"/>
  <c r="AW19" i="80"/>
  <c r="BL25" i="80"/>
  <c r="B10" i="80"/>
  <c r="BB11" i="80"/>
  <c r="AY15" i="80"/>
  <c r="AY19" i="80"/>
  <c r="G24" i="80"/>
  <c r="BL24" i="80"/>
  <c r="AI28" i="80"/>
  <c r="C28" i="80" s="1"/>
  <c r="BM37" i="80"/>
  <c r="BA26" i="80"/>
  <c r="BK26" i="80"/>
  <c r="I26" i="80" s="1"/>
  <c r="AY26" i="80"/>
  <c r="BI26" i="80"/>
  <c r="AZ26" i="80" s="1"/>
  <c r="AW26" i="80"/>
  <c r="BM33" i="80"/>
  <c r="AX11" i="80"/>
  <c r="G14" i="80"/>
  <c r="G18" i="80"/>
  <c r="AQ41" i="80"/>
  <c r="AN9" i="80"/>
  <c r="BI12" i="80"/>
  <c r="AZ12" i="80" s="1"/>
  <c r="G17" i="80"/>
  <c r="BL17" i="80"/>
  <c r="AI20" i="80"/>
  <c r="C20" i="80" s="1"/>
  <c r="AI15" i="80"/>
  <c r="C15" i="80" s="1"/>
  <c r="G30" i="80"/>
  <c r="BL30" i="80"/>
  <c r="BM30" i="80"/>
  <c r="G9" i="80"/>
  <c r="BL9" i="80"/>
  <c r="AS41" i="80"/>
  <c r="BI10" i="80"/>
  <c r="BK10" i="80"/>
  <c r="I10" i="80" s="1"/>
  <c r="AY10" i="80"/>
  <c r="AX10" i="80"/>
  <c r="AW10" i="80"/>
  <c r="BA15" i="80"/>
  <c r="BI16" i="80"/>
  <c r="BA19" i="80"/>
  <c r="BI20" i="80"/>
  <c r="AZ20" i="80" s="1"/>
  <c r="BL22" i="80"/>
  <c r="BA23" i="80"/>
  <c r="BL28" i="80"/>
  <c r="G34" i="80"/>
  <c r="BM34" i="80"/>
  <c r="BL34" i="80"/>
  <c r="AV43" i="80"/>
  <c r="AV44" i="80" s="1"/>
  <c r="BA28" i="80"/>
  <c r="BI28" i="80"/>
  <c r="BM28" i="80" s="1"/>
  <c r="AW28" i="80"/>
  <c r="BI11" i="80"/>
  <c r="AZ11" i="80" s="1"/>
  <c r="AW11" i="80"/>
  <c r="AI25" i="80"/>
  <c r="C25" i="80" s="1"/>
  <c r="G38" i="80"/>
  <c r="BL38" i="80"/>
  <c r="BM38" i="80"/>
  <c r="AI16" i="80"/>
  <c r="C16" i="80" s="1"/>
  <c r="BL33" i="80"/>
  <c r="BL37" i="80"/>
  <c r="U47" i="78"/>
  <c r="BE43" i="78"/>
  <c r="AT43" i="78"/>
  <c r="AT44" i="78" s="1"/>
  <c r="AR44" i="78" s="1"/>
  <c r="H41" i="78"/>
  <c r="BN39" i="78"/>
  <c r="BK39" i="78"/>
  <c r="I39" i="78" s="1"/>
  <c r="BJ39" i="78"/>
  <c r="H39" i="78" s="1"/>
  <c r="BF39" i="78" s="1"/>
  <c r="BI39" i="78"/>
  <c r="AK39" i="78" s="1"/>
  <c r="AM39" i="78" s="1"/>
  <c r="BH39" i="78"/>
  <c r="G39" i="78" s="1"/>
  <c r="BG39" i="78"/>
  <c r="BE39" i="78"/>
  <c r="BD39" i="78"/>
  <c r="BC39" i="78"/>
  <c r="BB39" i="78"/>
  <c r="BA39" i="78"/>
  <c r="AZ39" i="78"/>
  <c r="AY39" i="78"/>
  <c r="AX39" i="78"/>
  <c r="AW39" i="78"/>
  <c r="AU39" i="78"/>
  <c r="AT39" i="78"/>
  <c r="AS39" i="78"/>
  <c r="AR39" i="78"/>
  <c r="AV39" i="78" s="1"/>
  <c r="AQ39" i="78"/>
  <c r="AP39" i="78"/>
  <c r="AO39" i="78"/>
  <c r="AL39" i="78"/>
  <c r="AJ39" i="78"/>
  <c r="AI39" i="78"/>
  <c r="AH39" i="78"/>
  <c r="AN39" i="78" s="1"/>
  <c r="AG39" i="78"/>
  <c r="C39" i="78"/>
  <c r="B39" i="78"/>
  <c r="BN38" i="78"/>
  <c r="BL38" i="78"/>
  <c r="BK38" i="78"/>
  <c r="I38" i="78" s="1"/>
  <c r="BJ38" i="78"/>
  <c r="H38" i="78" s="1"/>
  <c r="BF38" i="78" s="1"/>
  <c r="BI38" i="78"/>
  <c r="BM38" i="78" s="1"/>
  <c r="BH38" i="78"/>
  <c r="BG38" i="78"/>
  <c r="BE38" i="78"/>
  <c r="BD38" i="78"/>
  <c r="BC38" i="78"/>
  <c r="BB38" i="78"/>
  <c r="BA38" i="78"/>
  <c r="AZ38" i="78"/>
  <c r="AY38" i="78"/>
  <c r="AX38" i="78"/>
  <c r="AW38" i="78"/>
  <c r="AU38" i="78"/>
  <c r="AT38" i="78"/>
  <c r="AS38" i="78"/>
  <c r="AR38" i="78"/>
  <c r="AV38" i="78" s="1"/>
  <c r="AQ38" i="78"/>
  <c r="AP38" i="78"/>
  <c r="AO38" i="78"/>
  <c r="AL38" i="78"/>
  <c r="AJ38" i="78"/>
  <c r="AI38" i="78"/>
  <c r="AH38" i="78"/>
  <c r="AN38" i="78" s="1"/>
  <c r="AG38" i="78"/>
  <c r="G38" i="78"/>
  <c r="C38" i="78"/>
  <c r="B38" i="78"/>
  <c r="BN37" i="78"/>
  <c r="BL37" i="78"/>
  <c r="BK37" i="78"/>
  <c r="I37" i="78" s="1"/>
  <c r="BJ37" i="78"/>
  <c r="H37" i="78" s="1"/>
  <c r="BF37" i="78" s="1"/>
  <c r="BI37" i="78"/>
  <c r="AK37" i="78" s="1"/>
  <c r="AM37" i="78" s="1"/>
  <c r="BH37" i="78"/>
  <c r="BG37" i="78"/>
  <c r="BE37" i="78"/>
  <c r="BD37" i="78"/>
  <c r="BC37" i="78"/>
  <c r="BB37" i="78"/>
  <c r="BA37" i="78"/>
  <c r="AZ37" i="78"/>
  <c r="AY37" i="78"/>
  <c r="AX37" i="78"/>
  <c r="AW37" i="78"/>
  <c r="AU37" i="78"/>
  <c r="AT37" i="78"/>
  <c r="AS37" i="78"/>
  <c r="AR37" i="78"/>
  <c r="AV37" i="78" s="1"/>
  <c r="AQ37" i="78"/>
  <c r="AP37" i="78"/>
  <c r="AO37" i="78"/>
  <c r="AL37" i="78"/>
  <c r="AJ37" i="78"/>
  <c r="AI37" i="78"/>
  <c r="AH37" i="78"/>
  <c r="AN37" i="78" s="1"/>
  <c r="AG37" i="78"/>
  <c r="G37" i="78"/>
  <c r="C37" i="78"/>
  <c r="B37" i="78"/>
  <c r="BN36" i="78"/>
  <c r="BK36" i="78"/>
  <c r="I36" i="78" s="1"/>
  <c r="BJ36" i="78"/>
  <c r="H36" i="78" s="1"/>
  <c r="BF36" i="78" s="1"/>
  <c r="BI36" i="78"/>
  <c r="AK36" i="78" s="1"/>
  <c r="AM36" i="78" s="1"/>
  <c r="BH36" i="78"/>
  <c r="G36" i="78" s="1"/>
  <c r="BG36" i="78"/>
  <c r="BE36" i="78"/>
  <c r="BD36" i="78"/>
  <c r="BC36" i="78"/>
  <c r="BB36" i="78"/>
  <c r="BA36" i="78"/>
  <c r="AZ36" i="78"/>
  <c r="AY36" i="78"/>
  <c r="AX36" i="78"/>
  <c r="AW36" i="78"/>
  <c r="AU36" i="78"/>
  <c r="AT36" i="78"/>
  <c r="AS36" i="78"/>
  <c r="AR36" i="78"/>
  <c r="AV36" i="78" s="1"/>
  <c r="AQ36" i="78"/>
  <c r="AP36" i="78"/>
  <c r="AO36" i="78"/>
  <c r="AL36" i="78"/>
  <c r="AJ36" i="78"/>
  <c r="AI36" i="78"/>
  <c r="AH36" i="78"/>
  <c r="AN36" i="78" s="1"/>
  <c r="AG36" i="78"/>
  <c r="C36" i="78"/>
  <c r="B36" i="78"/>
  <c r="BN35" i="78"/>
  <c r="BK35" i="78"/>
  <c r="I35" i="78" s="1"/>
  <c r="BJ35" i="78"/>
  <c r="H35" i="78" s="1"/>
  <c r="BF35" i="78" s="1"/>
  <c r="BI35" i="78"/>
  <c r="AK35" i="78" s="1"/>
  <c r="AM35" i="78" s="1"/>
  <c r="BH35" i="78"/>
  <c r="G35" i="78" s="1"/>
  <c r="BG35" i="78"/>
  <c r="BE35" i="78"/>
  <c r="BD35" i="78"/>
  <c r="BC35" i="78"/>
  <c r="BB35" i="78"/>
  <c r="BA35" i="78"/>
  <c r="AZ35" i="78"/>
  <c r="AY35" i="78"/>
  <c r="AX35" i="78"/>
  <c r="AW35" i="78"/>
  <c r="AU35" i="78"/>
  <c r="AT35" i="78"/>
  <c r="AS35" i="78"/>
  <c r="AR35" i="78"/>
  <c r="AV35" i="78" s="1"/>
  <c r="AQ35" i="78"/>
  <c r="AP35" i="78"/>
  <c r="AO35" i="78"/>
  <c r="AL35" i="78"/>
  <c r="AJ35" i="78"/>
  <c r="AI35" i="78"/>
  <c r="AH35" i="78"/>
  <c r="AN35" i="78" s="1"/>
  <c r="AG35" i="78"/>
  <c r="C35" i="78"/>
  <c r="B35" i="78"/>
  <c r="BN34" i="78"/>
  <c r="BL34" i="78"/>
  <c r="BK34" i="78"/>
  <c r="I34" i="78" s="1"/>
  <c r="BJ34" i="78"/>
  <c r="H34" i="78" s="1"/>
  <c r="BF34" i="78" s="1"/>
  <c r="BI34" i="78"/>
  <c r="AK34" i="78" s="1"/>
  <c r="AM34" i="78" s="1"/>
  <c r="BH34" i="78"/>
  <c r="BG34" i="78"/>
  <c r="BE34" i="78"/>
  <c r="BD34" i="78"/>
  <c r="BC34" i="78"/>
  <c r="BB34" i="78"/>
  <c r="BA34" i="78"/>
  <c r="AZ34" i="78"/>
  <c r="AY34" i="78"/>
  <c r="AX34" i="78"/>
  <c r="AW34" i="78"/>
  <c r="AU34" i="78"/>
  <c r="AT34" i="78"/>
  <c r="AS34" i="78"/>
  <c r="AR34" i="78"/>
  <c r="AV34" i="78" s="1"/>
  <c r="AQ34" i="78"/>
  <c r="AP34" i="78"/>
  <c r="AO34" i="78"/>
  <c r="AL34" i="78"/>
  <c r="AJ34" i="78"/>
  <c r="AI34" i="78"/>
  <c r="AH34" i="78"/>
  <c r="AN34" i="78" s="1"/>
  <c r="AG34" i="78"/>
  <c r="G34" i="78"/>
  <c r="C34" i="78"/>
  <c r="B34" i="78"/>
  <c r="BN33" i="78"/>
  <c r="BL33" i="78"/>
  <c r="BK33" i="78"/>
  <c r="I33" i="78" s="1"/>
  <c r="BJ33" i="78"/>
  <c r="H33" i="78" s="1"/>
  <c r="BF33" i="78" s="1"/>
  <c r="BI33" i="78"/>
  <c r="AK33" i="78" s="1"/>
  <c r="AM33" i="78" s="1"/>
  <c r="BH33" i="78"/>
  <c r="BG33" i="78"/>
  <c r="BE33" i="78"/>
  <c r="BD33" i="78"/>
  <c r="BC33" i="78"/>
  <c r="BB33" i="78"/>
  <c r="BA33" i="78"/>
  <c r="AZ33" i="78"/>
  <c r="AY33" i="78"/>
  <c r="AX33" i="78"/>
  <c r="AW33" i="78"/>
  <c r="AU33" i="78"/>
  <c r="AT33" i="78"/>
  <c r="AS33" i="78"/>
  <c r="AR33" i="78"/>
  <c r="AV33" i="78" s="1"/>
  <c r="AQ33" i="78"/>
  <c r="AP33" i="78"/>
  <c r="AO33" i="78"/>
  <c r="AL33" i="78"/>
  <c r="AJ33" i="78"/>
  <c r="AI33" i="78"/>
  <c r="AH33" i="78"/>
  <c r="AN33" i="78" s="1"/>
  <c r="AG33" i="78"/>
  <c r="G33" i="78"/>
  <c r="C33" i="78"/>
  <c r="B33" i="78"/>
  <c r="BN32" i="78"/>
  <c r="BK32" i="78"/>
  <c r="I32" i="78" s="1"/>
  <c r="BJ32" i="78"/>
  <c r="H32" i="78" s="1"/>
  <c r="BF32" i="78" s="1"/>
  <c r="BI32" i="78"/>
  <c r="AK32" i="78" s="1"/>
  <c r="AM32" i="78" s="1"/>
  <c r="BH32" i="78"/>
  <c r="G32" i="78" s="1"/>
  <c r="BG32" i="78"/>
  <c r="BE32" i="78"/>
  <c r="BD32" i="78"/>
  <c r="BC32" i="78"/>
  <c r="BB32" i="78"/>
  <c r="BA32" i="78"/>
  <c r="AZ32" i="78"/>
  <c r="AY32" i="78"/>
  <c r="AX32" i="78"/>
  <c r="AW32" i="78"/>
  <c r="AU32" i="78"/>
  <c r="AT32" i="78"/>
  <c r="AS32" i="78"/>
  <c r="AR32" i="78"/>
  <c r="AV32" i="78" s="1"/>
  <c r="AQ32" i="78"/>
  <c r="AP32" i="78"/>
  <c r="AO32" i="78"/>
  <c r="AL32" i="78"/>
  <c r="AJ32" i="78"/>
  <c r="AI32" i="78"/>
  <c r="AH32" i="78"/>
  <c r="AN32" i="78" s="1"/>
  <c r="AG32" i="78"/>
  <c r="C32" i="78"/>
  <c r="B32" i="78"/>
  <c r="BN31" i="78"/>
  <c r="BK31" i="78"/>
  <c r="I31" i="78" s="1"/>
  <c r="BJ31" i="78"/>
  <c r="H31" i="78" s="1"/>
  <c r="BF31" i="78" s="1"/>
  <c r="BI31" i="78"/>
  <c r="AK31" i="78" s="1"/>
  <c r="AM31" i="78" s="1"/>
  <c r="BH31" i="78"/>
  <c r="G31" i="78" s="1"/>
  <c r="BG31" i="78"/>
  <c r="BE31" i="78"/>
  <c r="BD31" i="78"/>
  <c r="BC31" i="78"/>
  <c r="BB31" i="78"/>
  <c r="BA31" i="78"/>
  <c r="AZ31" i="78"/>
  <c r="AY31" i="78"/>
  <c r="AX31" i="78"/>
  <c r="AW31" i="78"/>
  <c r="AU31" i="78"/>
  <c r="AT31" i="78"/>
  <c r="AS31" i="78"/>
  <c r="AR31" i="78"/>
  <c r="AV31" i="78" s="1"/>
  <c r="AQ31" i="78"/>
  <c r="AP31" i="78"/>
  <c r="AO31" i="78"/>
  <c r="AL31" i="78"/>
  <c r="AJ31" i="78"/>
  <c r="AI31" i="78"/>
  <c r="AH31" i="78"/>
  <c r="AN31" i="78" s="1"/>
  <c r="AG31" i="78"/>
  <c r="C31" i="78"/>
  <c r="B31" i="78"/>
  <c r="BN30" i="78"/>
  <c r="BL30" i="78"/>
  <c r="BK30" i="78"/>
  <c r="I30" i="78" s="1"/>
  <c r="BJ30" i="78"/>
  <c r="H30" i="78" s="1"/>
  <c r="BF30" i="78" s="1"/>
  <c r="BI30" i="78"/>
  <c r="BM30" i="78" s="1"/>
  <c r="BH30" i="78"/>
  <c r="BG30" i="78"/>
  <c r="BE30" i="78"/>
  <c r="BD30" i="78"/>
  <c r="BC30" i="78"/>
  <c r="BB30" i="78"/>
  <c r="BA30" i="78"/>
  <c r="AZ30" i="78"/>
  <c r="AY30" i="78"/>
  <c r="AX30" i="78"/>
  <c r="AW30" i="78"/>
  <c r="AU30" i="78"/>
  <c r="AT30" i="78"/>
  <c r="AS30" i="78"/>
  <c r="AR30" i="78"/>
  <c r="AV30" i="78" s="1"/>
  <c r="AQ30" i="78"/>
  <c r="AP30" i="78"/>
  <c r="AO30" i="78"/>
  <c r="AL30" i="78"/>
  <c r="AJ30" i="78"/>
  <c r="AI30" i="78"/>
  <c r="AH30" i="78"/>
  <c r="AN30" i="78" s="1"/>
  <c r="AG30" i="78"/>
  <c r="G30" i="78"/>
  <c r="C30" i="78"/>
  <c r="B30" i="78"/>
  <c r="BU29" i="78"/>
  <c r="BT29" i="78"/>
  <c r="BS29" i="78"/>
  <c r="BR29" i="78"/>
  <c r="BQ29" i="78"/>
  <c r="BN29" i="78"/>
  <c r="BK29" i="78"/>
  <c r="I29" i="78" s="1"/>
  <c r="BJ29" i="78"/>
  <c r="H29" i="78" s="1"/>
  <c r="BF29" i="78" s="1"/>
  <c r="BI29" i="78"/>
  <c r="AK29" i="78" s="1"/>
  <c r="AM29" i="78" s="1"/>
  <c r="BH29" i="78"/>
  <c r="G29" i="78" s="1"/>
  <c r="BG29" i="78"/>
  <c r="BE29" i="78"/>
  <c r="BD29" i="78"/>
  <c r="BC29" i="78"/>
  <c r="BB29" i="78"/>
  <c r="BA29" i="78"/>
  <c r="AZ29" i="78"/>
  <c r="AY29" i="78"/>
  <c r="AX29" i="78"/>
  <c r="AW29" i="78"/>
  <c r="AU29" i="78"/>
  <c r="AT29" i="78"/>
  <c r="AS29" i="78"/>
  <c r="AR29" i="78"/>
  <c r="AV29" i="78" s="1"/>
  <c r="AQ29" i="78"/>
  <c r="AP29" i="78"/>
  <c r="AO29" i="78"/>
  <c r="AL29" i="78"/>
  <c r="AJ29" i="78"/>
  <c r="AI29" i="78"/>
  <c r="AH29" i="78"/>
  <c r="AN29" i="78" s="1"/>
  <c r="AG29" i="78"/>
  <c r="C29" i="78"/>
  <c r="B29" i="78"/>
  <c r="BU28" i="78"/>
  <c r="BT28" i="78"/>
  <c r="BS28" i="78"/>
  <c r="BR28" i="78"/>
  <c r="BQ28" i="78"/>
  <c r="BN28" i="78"/>
  <c r="BL28" i="78"/>
  <c r="BK28" i="78"/>
  <c r="I28" i="78" s="1"/>
  <c r="BJ28" i="78"/>
  <c r="H28" i="78" s="1"/>
  <c r="BF28" i="78" s="1"/>
  <c r="BI28" i="78"/>
  <c r="BM28" i="78" s="1"/>
  <c r="BH28" i="78"/>
  <c r="BG28" i="78"/>
  <c r="BE28" i="78"/>
  <c r="BD28" i="78"/>
  <c r="BC28" i="78"/>
  <c r="BB28" i="78"/>
  <c r="BA28" i="78"/>
  <c r="AZ28" i="78"/>
  <c r="AY28" i="78"/>
  <c r="AX28" i="78"/>
  <c r="AW28" i="78"/>
  <c r="AU28" i="78"/>
  <c r="AT28" i="78"/>
  <c r="AS28" i="78"/>
  <c r="AR28" i="78"/>
  <c r="AV28" i="78" s="1"/>
  <c r="AQ28" i="78"/>
  <c r="AP28" i="78"/>
  <c r="AO28" i="78"/>
  <c r="AL28" i="78"/>
  <c r="AJ28" i="78"/>
  <c r="AI28" i="78"/>
  <c r="AH28" i="78"/>
  <c r="AN28" i="78" s="1"/>
  <c r="AG28" i="78"/>
  <c r="G28" i="78"/>
  <c r="C28" i="78"/>
  <c r="B28" i="78"/>
  <c r="BU27" i="78"/>
  <c r="BT27" i="78"/>
  <c r="BS27" i="78"/>
  <c r="BR27" i="78"/>
  <c r="BQ27" i="78"/>
  <c r="BN27" i="78"/>
  <c r="BL27" i="78"/>
  <c r="BK27" i="78"/>
  <c r="I27" i="78" s="1"/>
  <c r="BJ27" i="78"/>
  <c r="H27" i="78" s="1"/>
  <c r="BF27" i="78" s="1"/>
  <c r="BI27" i="78"/>
  <c r="AK27" i="78" s="1"/>
  <c r="AM27" i="78" s="1"/>
  <c r="BH27" i="78"/>
  <c r="BG27" i="78"/>
  <c r="BE27" i="78"/>
  <c r="BD27" i="78"/>
  <c r="BC27" i="78"/>
  <c r="BB27" i="78"/>
  <c r="BA27" i="78"/>
  <c r="AZ27" i="78"/>
  <c r="AY27" i="78"/>
  <c r="AX27" i="78"/>
  <c r="AW27" i="78"/>
  <c r="AU27" i="78"/>
  <c r="AT27" i="78"/>
  <c r="AS27" i="78"/>
  <c r="AR27" i="78"/>
  <c r="AV27" i="78" s="1"/>
  <c r="AQ27" i="78"/>
  <c r="AP27" i="78"/>
  <c r="AO27" i="78"/>
  <c r="AL27" i="78"/>
  <c r="AJ27" i="78"/>
  <c r="AI27" i="78"/>
  <c r="AH27" i="78"/>
  <c r="AN27" i="78" s="1"/>
  <c r="AG27" i="78"/>
  <c r="G27" i="78"/>
  <c r="C27" i="78"/>
  <c r="B27" i="78"/>
  <c r="BU26" i="78"/>
  <c r="BT26" i="78"/>
  <c r="BS26" i="78"/>
  <c r="BR26" i="78"/>
  <c r="BQ26" i="78"/>
  <c r="BN26" i="78"/>
  <c r="BK26" i="78"/>
  <c r="I26" i="78" s="1"/>
  <c r="BJ26" i="78"/>
  <c r="H26" i="78" s="1"/>
  <c r="BF26" i="78" s="1"/>
  <c r="BI26" i="78"/>
  <c r="AK26" i="78" s="1"/>
  <c r="AM26" i="78" s="1"/>
  <c r="BH26" i="78"/>
  <c r="G26" i="78" s="1"/>
  <c r="BG26" i="78"/>
  <c r="BE26" i="78"/>
  <c r="BD26" i="78"/>
  <c r="BC26" i="78"/>
  <c r="BB26" i="78"/>
  <c r="BA26" i="78"/>
  <c r="AZ26" i="78"/>
  <c r="AY26" i="78"/>
  <c r="AX26" i="78"/>
  <c r="AW26" i="78"/>
  <c r="AU26" i="78"/>
  <c r="AT26" i="78"/>
  <c r="AS26" i="78"/>
  <c r="AR26" i="78"/>
  <c r="AV26" i="78" s="1"/>
  <c r="AQ26" i="78"/>
  <c r="AP26" i="78"/>
  <c r="AO26" i="78"/>
  <c r="AL26" i="78"/>
  <c r="AJ26" i="78"/>
  <c r="AI26" i="78"/>
  <c r="AH26" i="78"/>
  <c r="AN26" i="78" s="1"/>
  <c r="AG26" i="78"/>
  <c r="C26" i="78"/>
  <c r="B26" i="78"/>
  <c r="BU25" i="78"/>
  <c r="BT25" i="78"/>
  <c r="BS25" i="78"/>
  <c r="BR25" i="78"/>
  <c r="BQ25" i="78"/>
  <c r="BN25" i="78"/>
  <c r="BL25" i="78"/>
  <c r="BK25" i="78"/>
  <c r="I25" i="78" s="1"/>
  <c r="BJ25" i="78"/>
  <c r="H25" i="78" s="1"/>
  <c r="BF25" i="78" s="1"/>
  <c r="BI25" i="78"/>
  <c r="BM25" i="78" s="1"/>
  <c r="BH25" i="78"/>
  <c r="BG25" i="78"/>
  <c r="BE25" i="78"/>
  <c r="BD25" i="78"/>
  <c r="BC25" i="78"/>
  <c r="BB25" i="78"/>
  <c r="BA25" i="78"/>
  <c r="AZ25" i="78"/>
  <c r="AY25" i="78"/>
  <c r="AX25" i="78"/>
  <c r="AW25" i="78"/>
  <c r="AU25" i="78"/>
  <c r="AT25" i="78"/>
  <c r="AS25" i="78"/>
  <c r="AR25" i="78"/>
  <c r="AV25" i="78" s="1"/>
  <c r="AQ25" i="78"/>
  <c r="AP25" i="78"/>
  <c r="AO25" i="78"/>
  <c r="AL25" i="78"/>
  <c r="AJ25" i="78"/>
  <c r="AI25" i="78"/>
  <c r="AH25" i="78"/>
  <c r="AN25" i="78" s="1"/>
  <c r="AG25" i="78"/>
  <c r="G25" i="78"/>
  <c r="C25" i="78"/>
  <c r="B25" i="78"/>
  <c r="BU24" i="78"/>
  <c r="BT24" i="78"/>
  <c r="BS24" i="78"/>
  <c r="BR24" i="78"/>
  <c r="BQ24" i="78"/>
  <c r="BN24" i="78"/>
  <c r="BL24" i="78"/>
  <c r="BK24" i="78"/>
  <c r="I24" i="78" s="1"/>
  <c r="BJ24" i="78"/>
  <c r="H24" i="78" s="1"/>
  <c r="BF24" i="78" s="1"/>
  <c r="BI24" i="78"/>
  <c r="BM24" i="78" s="1"/>
  <c r="BH24" i="78"/>
  <c r="BG24" i="78"/>
  <c r="BE24" i="78"/>
  <c r="BD24" i="78"/>
  <c r="BC24" i="78"/>
  <c r="BB24" i="78"/>
  <c r="BA24" i="78"/>
  <c r="AZ24" i="78"/>
  <c r="AY24" i="78"/>
  <c r="AX24" i="78"/>
  <c r="AW24" i="78"/>
  <c r="AU24" i="78"/>
  <c r="AT24" i="78"/>
  <c r="AS24" i="78"/>
  <c r="AR24" i="78"/>
  <c r="AV24" i="78" s="1"/>
  <c r="AQ24" i="78"/>
  <c r="AP24" i="78"/>
  <c r="AO24" i="78"/>
  <c r="AL24" i="78"/>
  <c r="AJ24" i="78"/>
  <c r="AI24" i="78"/>
  <c r="AH24" i="78"/>
  <c r="AN24" i="78" s="1"/>
  <c r="AG24" i="78"/>
  <c r="G24" i="78"/>
  <c r="C24" i="78"/>
  <c r="B24" i="78"/>
  <c r="BU23" i="78"/>
  <c r="BT23" i="78"/>
  <c r="BS23" i="78"/>
  <c r="BR23" i="78"/>
  <c r="BQ23" i="78"/>
  <c r="BN23" i="78"/>
  <c r="BK23" i="78"/>
  <c r="I23" i="78" s="1"/>
  <c r="BJ23" i="78"/>
  <c r="H23" i="78" s="1"/>
  <c r="BF23" i="78" s="1"/>
  <c r="BI23" i="78"/>
  <c r="AK23" i="78" s="1"/>
  <c r="AM23" i="78" s="1"/>
  <c r="BH23" i="78"/>
  <c r="G23" i="78" s="1"/>
  <c r="BG23" i="78"/>
  <c r="BE23" i="78"/>
  <c r="BD23" i="78"/>
  <c r="BC23" i="78"/>
  <c r="BB23" i="78"/>
  <c r="BA23" i="78"/>
  <c r="AZ23" i="78"/>
  <c r="AY23" i="78"/>
  <c r="AX23" i="78"/>
  <c r="AW23" i="78"/>
  <c r="AU23" i="78"/>
  <c r="AT23" i="78"/>
  <c r="AS23" i="78"/>
  <c r="AR23" i="78"/>
  <c r="AV23" i="78" s="1"/>
  <c r="AQ23" i="78"/>
  <c r="AP23" i="78"/>
  <c r="AO23" i="78"/>
  <c r="AL23" i="78"/>
  <c r="AJ23" i="78"/>
  <c r="AI23" i="78"/>
  <c r="AH23" i="78"/>
  <c r="AN23" i="78" s="1"/>
  <c r="AG23" i="78"/>
  <c r="C23" i="78"/>
  <c r="B23" i="78"/>
  <c r="BU22" i="78"/>
  <c r="BT22" i="78"/>
  <c r="BS22" i="78"/>
  <c r="BR22" i="78"/>
  <c r="BQ22" i="78"/>
  <c r="BN22" i="78"/>
  <c r="BL22" i="78"/>
  <c r="BK22" i="78"/>
  <c r="I22" i="78" s="1"/>
  <c r="BJ22" i="78"/>
  <c r="H22" i="78" s="1"/>
  <c r="BF22" i="78" s="1"/>
  <c r="BI22" i="78"/>
  <c r="AK22" i="78" s="1"/>
  <c r="AM22" i="78" s="1"/>
  <c r="BH22" i="78"/>
  <c r="BG22" i="78"/>
  <c r="BE22" i="78"/>
  <c r="BD22" i="78"/>
  <c r="BC22" i="78"/>
  <c r="BB22" i="78"/>
  <c r="BA22" i="78"/>
  <c r="AZ22" i="78"/>
  <c r="AY22" i="78"/>
  <c r="AX22" i="78"/>
  <c r="AW22" i="78"/>
  <c r="AU22" i="78"/>
  <c r="AT22" i="78"/>
  <c r="AS22" i="78"/>
  <c r="AR22" i="78"/>
  <c r="AV22" i="78" s="1"/>
  <c r="AQ22" i="78"/>
  <c r="AP22" i="78"/>
  <c r="AO22" i="78"/>
  <c r="AL22" i="78"/>
  <c r="AJ22" i="78"/>
  <c r="AI22" i="78"/>
  <c r="AH22" i="78"/>
  <c r="AN22" i="78" s="1"/>
  <c r="AG22" i="78"/>
  <c r="G22" i="78"/>
  <c r="C22" i="78"/>
  <c r="B22" i="78"/>
  <c r="BU21" i="78"/>
  <c r="BT21" i="78"/>
  <c r="BS21" i="78"/>
  <c r="BR21" i="78"/>
  <c r="BQ21" i="78"/>
  <c r="BL21" i="78"/>
  <c r="BH21" i="78"/>
  <c r="BE21" i="78"/>
  <c r="BD21" i="78"/>
  <c r="BC21" i="78"/>
  <c r="BA21" i="78"/>
  <c r="AU21" i="78"/>
  <c r="AS21" i="78"/>
  <c r="AQ21" i="78"/>
  <c r="AO21" i="78"/>
  <c r="AL21" i="78"/>
  <c r="AH21" i="78"/>
  <c r="AG21" i="78"/>
  <c r="G21" i="78"/>
  <c r="BK21" i="78" s="1"/>
  <c r="I21" i="78" s="1"/>
  <c r="BL20" i="78"/>
  <c r="BH20" i="78"/>
  <c r="BE20" i="78"/>
  <c r="BD20" i="78"/>
  <c r="BC20" i="78"/>
  <c r="AU20" i="78"/>
  <c r="AS20" i="78"/>
  <c r="AQ20" i="78"/>
  <c r="AO20" i="78"/>
  <c r="AL20" i="78"/>
  <c r="AH20" i="78"/>
  <c r="AN20" i="78" s="1"/>
  <c r="AG20" i="78"/>
  <c r="G20" i="78"/>
  <c r="BB20" i="78" s="1"/>
  <c r="BJ19" i="78"/>
  <c r="H19" i="78" s="1"/>
  <c r="BF19" i="78" s="1"/>
  <c r="BH19" i="78"/>
  <c r="BE19" i="78"/>
  <c r="BD19" i="78"/>
  <c r="BC19" i="78"/>
  <c r="AU19" i="78"/>
  <c r="AS19" i="78"/>
  <c r="AQ19" i="78"/>
  <c r="AO19" i="78"/>
  <c r="AL19" i="78"/>
  <c r="AH19" i="78"/>
  <c r="AN19" i="78" s="1"/>
  <c r="AG19" i="78"/>
  <c r="B19" i="78"/>
  <c r="BH18" i="78"/>
  <c r="BE18" i="78"/>
  <c r="BD18" i="78"/>
  <c r="BC18" i="78"/>
  <c r="AU18" i="78"/>
  <c r="AS18" i="78"/>
  <c r="AQ18" i="78"/>
  <c r="AO18" i="78"/>
  <c r="AL18" i="78"/>
  <c r="AH18" i="78"/>
  <c r="AG18" i="78"/>
  <c r="BL17" i="78"/>
  <c r="BJ17" i="78"/>
  <c r="H17" i="78" s="1"/>
  <c r="BF17" i="78" s="1"/>
  <c r="BH17" i="78"/>
  <c r="BE17" i="78"/>
  <c r="BD17" i="78"/>
  <c r="BC17" i="78"/>
  <c r="BA17" i="78"/>
  <c r="AU17" i="78"/>
  <c r="AS17" i="78"/>
  <c r="AQ17" i="78"/>
  <c r="AO17" i="78"/>
  <c r="AL17" i="78"/>
  <c r="AH17" i="78"/>
  <c r="AN17" i="78" s="1"/>
  <c r="AG17" i="78"/>
  <c r="G17" i="78"/>
  <c r="BK17" i="78" s="1"/>
  <c r="I17" i="78" s="1"/>
  <c r="B17" i="78"/>
  <c r="BL16" i="78"/>
  <c r="BH16" i="78"/>
  <c r="BE16" i="78"/>
  <c r="BD16" i="78"/>
  <c r="BC16" i="78"/>
  <c r="AU16" i="78"/>
  <c r="AS16" i="78"/>
  <c r="AQ16" i="78"/>
  <c r="AO16" i="78"/>
  <c r="AL16" i="78"/>
  <c r="AH16" i="78"/>
  <c r="AG16" i="78"/>
  <c r="G16" i="78"/>
  <c r="BB16" i="78" s="1"/>
  <c r="BH15" i="78"/>
  <c r="BE15" i="78"/>
  <c r="BD15" i="78"/>
  <c r="BC15" i="78"/>
  <c r="AU15" i="78"/>
  <c r="AS15" i="78"/>
  <c r="AQ15" i="78"/>
  <c r="AO15" i="78"/>
  <c r="AL15" i="78"/>
  <c r="AH15" i="78"/>
  <c r="AG15" i="78"/>
  <c r="BH14" i="78"/>
  <c r="BE14" i="78"/>
  <c r="BD14" i="78"/>
  <c r="BC14" i="78"/>
  <c r="AU14" i="78"/>
  <c r="AS14" i="78"/>
  <c r="AQ14" i="78"/>
  <c r="AO14" i="78"/>
  <c r="AL14" i="78"/>
  <c r="AH14" i="78"/>
  <c r="AN14" i="78" s="1"/>
  <c r="AG14" i="78"/>
  <c r="BL13" i="78"/>
  <c r="BH13" i="78"/>
  <c r="BE13" i="78"/>
  <c r="BD13" i="78"/>
  <c r="BC13" i="78"/>
  <c r="BA13" i="78"/>
  <c r="AU13" i="78"/>
  <c r="AS13" i="78"/>
  <c r="AQ13" i="78"/>
  <c r="AO13" i="78"/>
  <c r="AL13" i="78"/>
  <c r="AH13" i="78"/>
  <c r="AG13" i="78"/>
  <c r="G13" i="78"/>
  <c r="BK13" i="78" s="1"/>
  <c r="I13" i="78" s="1"/>
  <c r="BL12" i="78"/>
  <c r="BH12" i="78"/>
  <c r="BE12" i="78"/>
  <c r="BD12" i="78"/>
  <c r="BC12" i="78"/>
  <c r="AU12" i="78"/>
  <c r="AS12" i="78"/>
  <c r="AQ12" i="78"/>
  <c r="AO12" i="78"/>
  <c r="AL12" i="78"/>
  <c r="AH12" i="78"/>
  <c r="AG12" i="78"/>
  <c r="G12" i="78"/>
  <c r="BB12" i="78" s="1"/>
  <c r="BJ11" i="78"/>
  <c r="H11" i="78" s="1"/>
  <c r="BF11" i="78" s="1"/>
  <c r="BH11" i="78"/>
  <c r="BE11" i="78"/>
  <c r="BD11" i="78"/>
  <c r="BC11" i="78"/>
  <c r="AU11" i="78"/>
  <c r="AS11" i="78"/>
  <c r="AQ11" i="78"/>
  <c r="AO11" i="78"/>
  <c r="AL11" i="78"/>
  <c r="AJ11" i="78"/>
  <c r="AJ12" i="78" s="1"/>
  <c r="AH11" i="78"/>
  <c r="AN11" i="78" s="1"/>
  <c r="AG11" i="78"/>
  <c r="B11" i="78"/>
  <c r="BH10" i="78"/>
  <c r="BE10" i="78"/>
  <c r="BD10" i="78"/>
  <c r="BC10" i="78"/>
  <c r="AU10" i="78"/>
  <c r="AS10" i="78"/>
  <c r="AQ10" i="78"/>
  <c r="AO10" i="78"/>
  <c r="AL10" i="78"/>
  <c r="AJ10" i="78"/>
  <c r="AH10" i="78"/>
  <c r="AG10" i="78"/>
  <c r="BL9" i="78"/>
  <c r="BH9" i="78"/>
  <c r="BE9" i="78"/>
  <c r="BD9" i="78"/>
  <c r="BC9" i="78"/>
  <c r="BA9" i="78"/>
  <c r="AU9" i="78"/>
  <c r="AS9" i="78"/>
  <c r="AQ9" i="78"/>
  <c r="AO9" i="78"/>
  <c r="AL9" i="78"/>
  <c r="AJ9" i="78"/>
  <c r="AH9" i="78"/>
  <c r="AG9" i="78"/>
  <c r="G9" i="78"/>
  <c r="BK9" i="78" s="1"/>
  <c r="I9" i="78" s="1"/>
  <c r="B9" i="78"/>
  <c r="BL8" i="78"/>
  <c r="BJ8" i="78"/>
  <c r="H8" i="78" s="1"/>
  <c r="BF8" i="78" s="1"/>
  <c r="BH8" i="78"/>
  <c r="BE8" i="78"/>
  <c r="BD8" i="78"/>
  <c r="BC8" i="78"/>
  <c r="AU8" i="78"/>
  <c r="AS8" i="78"/>
  <c r="AQ8" i="78"/>
  <c r="AO8" i="78"/>
  <c r="AL8" i="78"/>
  <c r="AJ8" i="78"/>
  <c r="AH8" i="78"/>
  <c r="AN8" i="78" s="1"/>
  <c r="AG8" i="78"/>
  <c r="G8" i="78"/>
  <c r="BB8" i="78" s="1"/>
  <c r="B8" i="78"/>
  <c r="AV6" i="78"/>
  <c r="C23" i="77"/>
  <c r="E16" i="77"/>
  <c r="C16" i="77"/>
  <c r="E11" i="77"/>
  <c r="E25" i="77" s="1"/>
  <c r="C11" i="77"/>
  <c r="U48" i="76"/>
  <c r="BE43" i="76"/>
  <c r="AT43" i="76"/>
  <c r="AT44" i="76" s="1"/>
  <c r="BN39" i="76"/>
  <c r="BK39" i="76"/>
  <c r="I39" i="76" s="1"/>
  <c r="BJ39" i="76"/>
  <c r="H39" i="76" s="1"/>
  <c r="BF39" i="76" s="1"/>
  <c r="BI39" i="76"/>
  <c r="AK39" i="76" s="1"/>
  <c r="AM39" i="76" s="1"/>
  <c r="BH39" i="76"/>
  <c r="G39" i="76" s="1"/>
  <c r="BG39" i="76"/>
  <c r="BE39" i="76"/>
  <c r="BD39" i="76"/>
  <c r="BC39" i="76"/>
  <c r="BB39" i="76"/>
  <c r="BA39" i="76"/>
  <c r="AZ39" i="76"/>
  <c r="AY39" i="76"/>
  <c r="AX39" i="76"/>
  <c r="AW39" i="76"/>
  <c r="AU39" i="76"/>
  <c r="AT39" i="76"/>
  <c r="AS39" i="76"/>
  <c r="AR39" i="76"/>
  <c r="AV39" i="76" s="1"/>
  <c r="AQ39" i="76"/>
  <c r="AP39" i="76"/>
  <c r="AO39" i="76"/>
  <c r="AL39" i="76"/>
  <c r="AJ39" i="76"/>
  <c r="AI39" i="76"/>
  <c r="AH39" i="76"/>
  <c r="AN39" i="76" s="1"/>
  <c r="AG39" i="76"/>
  <c r="C39" i="76"/>
  <c r="B39" i="76"/>
  <c r="BN38" i="76"/>
  <c r="BL38" i="76"/>
  <c r="BK38" i="76"/>
  <c r="I38" i="76" s="1"/>
  <c r="BJ38" i="76"/>
  <c r="H38" i="76" s="1"/>
  <c r="BF38" i="76" s="1"/>
  <c r="BI38" i="76"/>
  <c r="BM38" i="76" s="1"/>
  <c r="BH38" i="76"/>
  <c r="BG38" i="76"/>
  <c r="BE38" i="76"/>
  <c r="BD38" i="76"/>
  <c r="BC38" i="76"/>
  <c r="BB38" i="76"/>
  <c r="BA38" i="76"/>
  <c r="AZ38" i="76"/>
  <c r="AY38" i="76"/>
  <c r="AX38" i="76"/>
  <c r="AW38" i="76"/>
  <c r="AU38" i="76"/>
  <c r="AT38" i="76"/>
  <c r="AS38" i="76"/>
  <c r="AR38" i="76"/>
  <c r="AV38" i="76" s="1"/>
  <c r="AQ38" i="76"/>
  <c r="AP38" i="76"/>
  <c r="AO38" i="76"/>
  <c r="AL38" i="76"/>
  <c r="AJ38" i="76"/>
  <c r="AI38" i="76"/>
  <c r="AH38" i="76"/>
  <c r="AN38" i="76" s="1"/>
  <c r="AG38" i="76"/>
  <c r="G38" i="76"/>
  <c r="C38" i="76"/>
  <c r="B38" i="76"/>
  <c r="BN37" i="76"/>
  <c r="BK37" i="76"/>
  <c r="I37" i="76" s="1"/>
  <c r="BJ37" i="76"/>
  <c r="H37" i="76" s="1"/>
  <c r="BF37" i="76" s="1"/>
  <c r="BI37" i="76"/>
  <c r="AK37" i="76" s="1"/>
  <c r="AM37" i="76" s="1"/>
  <c r="BH37" i="76"/>
  <c r="BL37" i="76" s="1"/>
  <c r="BG37" i="76"/>
  <c r="BE37" i="76"/>
  <c r="BD37" i="76"/>
  <c r="BC37" i="76"/>
  <c r="BB37" i="76"/>
  <c r="BA37" i="76"/>
  <c r="AZ37" i="76"/>
  <c r="AY37" i="76"/>
  <c r="AX37" i="76"/>
  <c r="AW37" i="76"/>
  <c r="AU37" i="76"/>
  <c r="AT37" i="76"/>
  <c r="AS37" i="76"/>
  <c r="AR37" i="76"/>
  <c r="AV37" i="76" s="1"/>
  <c r="AQ37" i="76"/>
  <c r="AP37" i="76"/>
  <c r="AO37" i="76"/>
  <c r="AL37" i="76"/>
  <c r="AJ37" i="76"/>
  <c r="AI37" i="76"/>
  <c r="AH37" i="76"/>
  <c r="AN37" i="76" s="1"/>
  <c r="AG37" i="76"/>
  <c r="G37" i="76"/>
  <c r="C37" i="76"/>
  <c r="B37" i="76"/>
  <c r="BN36" i="76"/>
  <c r="BK36" i="76"/>
  <c r="I36" i="76" s="1"/>
  <c r="BJ36" i="76"/>
  <c r="H36" i="76" s="1"/>
  <c r="BF36" i="76" s="1"/>
  <c r="BI36" i="76"/>
  <c r="AK36" i="76" s="1"/>
  <c r="AM36" i="76" s="1"/>
  <c r="BH36" i="76"/>
  <c r="G36" i="76" s="1"/>
  <c r="BG36" i="76"/>
  <c r="BE36" i="76"/>
  <c r="BD36" i="76"/>
  <c r="BC36" i="76"/>
  <c r="BB36" i="76"/>
  <c r="BA36" i="76"/>
  <c r="AZ36" i="76"/>
  <c r="AY36" i="76"/>
  <c r="AX36" i="76"/>
  <c r="AW36" i="76"/>
  <c r="AU36" i="76"/>
  <c r="AT36" i="76"/>
  <c r="AS36" i="76"/>
  <c r="AR36" i="76"/>
  <c r="AV36" i="76" s="1"/>
  <c r="AQ36" i="76"/>
  <c r="AP36" i="76"/>
  <c r="AO36" i="76"/>
  <c r="AL36" i="76"/>
  <c r="AJ36" i="76"/>
  <c r="AI36" i="76"/>
  <c r="AH36" i="76"/>
  <c r="AN36" i="76" s="1"/>
  <c r="AG36" i="76"/>
  <c r="C36" i="76"/>
  <c r="B36" i="76"/>
  <c r="BN35" i="76"/>
  <c r="BK35" i="76"/>
  <c r="I35" i="76" s="1"/>
  <c r="BJ35" i="76"/>
  <c r="H35" i="76" s="1"/>
  <c r="BF35" i="76" s="1"/>
  <c r="BI35" i="76"/>
  <c r="AK35" i="76" s="1"/>
  <c r="AM35" i="76" s="1"/>
  <c r="BH35" i="76"/>
  <c r="G35" i="76" s="1"/>
  <c r="BG35" i="76"/>
  <c r="BE35" i="76"/>
  <c r="BD35" i="76"/>
  <c r="BC35" i="76"/>
  <c r="BB35" i="76"/>
  <c r="BA35" i="76"/>
  <c r="AZ35" i="76"/>
  <c r="AY35" i="76"/>
  <c r="AX35" i="76"/>
  <c r="AW35" i="76"/>
  <c r="AU35" i="76"/>
  <c r="AT35" i="76"/>
  <c r="AS35" i="76"/>
  <c r="AR35" i="76"/>
  <c r="AV35" i="76" s="1"/>
  <c r="AQ35" i="76"/>
  <c r="AP35" i="76"/>
  <c r="AO35" i="76"/>
  <c r="AL35" i="76"/>
  <c r="AJ35" i="76"/>
  <c r="AI35" i="76"/>
  <c r="AH35" i="76"/>
  <c r="AN35" i="76" s="1"/>
  <c r="AG35" i="76"/>
  <c r="C35" i="76"/>
  <c r="B35" i="76"/>
  <c r="BN34" i="76"/>
  <c r="BL34" i="76"/>
  <c r="BK34" i="76"/>
  <c r="I34" i="76" s="1"/>
  <c r="BJ34" i="76"/>
  <c r="H34" i="76" s="1"/>
  <c r="BF34" i="76" s="1"/>
  <c r="BI34" i="76"/>
  <c r="BM34" i="76" s="1"/>
  <c r="BH34" i="76"/>
  <c r="BG34" i="76"/>
  <c r="BE34" i="76"/>
  <c r="BD34" i="76"/>
  <c r="BC34" i="76"/>
  <c r="BB34" i="76"/>
  <c r="BA34" i="76"/>
  <c r="AZ34" i="76"/>
  <c r="AY34" i="76"/>
  <c r="AX34" i="76"/>
  <c r="AW34" i="76"/>
  <c r="AU34" i="76"/>
  <c r="AT34" i="76"/>
  <c r="AS34" i="76"/>
  <c r="AR34" i="76"/>
  <c r="AV34" i="76" s="1"/>
  <c r="AQ34" i="76"/>
  <c r="AP34" i="76"/>
  <c r="AO34" i="76"/>
  <c r="AL34" i="76"/>
  <c r="AJ34" i="76"/>
  <c r="AI34" i="76"/>
  <c r="AH34" i="76"/>
  <c r="AN34" i="76" s="1"/>
  <c r="AG34" i="76"/>
  <c r="G34" i="76"/>
  <c r="C34" i="76"/>
  <c r="B34" i="76"/>
  <c r="BN33" i="76"/>
  <c r="BK33" i="76"/>
  <c r="I33" i="76" s="1"/>
  <c r="BJ33" i="76"/>
  <c r="H33" i="76" s="1"/>
  <c r="BF33" i="76" s="1"/>
  <c r="BI33" i="76"/>
  <c r="BM33" i="76" s="1"/>
  <c r="BH33" i="76"/>
  <c r="BL33" i="76" s="1"/>
  <c r="BG33" i="76"/>
  <c r="BE33" i="76"/>
  <c r="BD33" i="76"/>
  <c r="BC33" i="76"/>
  <c r="BB33" i="76"/>
  <c r="BA33" i="76"/>
  <c r="AZ33" i="76"/>
  <c r="AY33" i="76"/>
  <c r="AX33" i="76"/>
  <c r="AW33" i="76"/>
  <c r="AU33" i="76"/>
  <c r="AT33" i="76"/>
  <c r="AS33" i="76"/>
  <c r="AR33" i="76"/>
  <c r="AV33" i="76" s="1"/>
  <c r="AQ33" i="76"/>
  <c r="AP33" i="76"/>
  <c r="AO33" i="76"/>
  <c r="AL33" i="76"/>
  <c r="AJ33" i="76"/>
  <c r="AI33" i="76"/>
  <c r="AH33" i="76"/>
  <c r="AN33" i="76" s="1"/>
  <c r="AG33" i="76"/>
  <c r="G33" i="76"/>
  <c r="C33" i="76"/>
  <c r="B33" i="76"/>
  <c r="BN32" i="76"/>
  <c r="BK32" i="76"/>
  <c r="I32" i="76" s="1"/>
  <c r="BJ32" i="76"/>
  <c r="H32" i="76" s="1"/>
  <c r="BF32" i="76" s="1"/>
  <c r="BI32" i="76"/>
  <c r="AK32" i="76" s="1"/>
  <c r="AM32" i="76" s="1"/>
  <c r="BH32" i="76"/>
  <c r="BG32" i="76"/>
  <c r="BE32" i="76"/>
  <c r="BD32" i="76"/>
  <c r="BC32" i="76"/>
  <c r="BB32" i="76"/>
  <c r="BA32" i="76"/>
  <c r="AZ32" i="76"/>
  <c r="AY32" i="76"/>
  <c r="AX32" i="76"/>
  <c r="AW32" i="76"/>
  <c r="AU32" i="76"/>
  <c r="AT32" i="76"/>
  <c r="AS32" i="76"/>
  <c r="AR32" i="76"/>
  <c r="AV32" i="76" s="1"/>
  <c r="AQ32" i="76"/>
  <c r="AP32" i="76"/>
  <c r="AO32" i="76"/>
  <c r="AL32" i="76"/>
  <c r="AJ32" i="76"/>
  <c r="AI32" i="76"/>
  <c r="AH32" i="76"/>
  <c r="AN32" i="76" s="1"/>
  <c r="AG32" i="76"/>
  <c r="G32" i="76"/>
  <c r="C32" i="76"/>
  <c r="B32" i="76"/>
  <c r="BN31" i="76"/>
  <c r="BK31" i="76"/>
  <c r="I31" i="76" s="1"/>
  <c r="BJ31" i="76"/>
  <c r="H31" i="76" s="1"/>
  <c r="BF31" i="76" s="1"/>
  <c r="BI31" i="76"/>
  <c r="AK31" i="76" s="1"/>
  <c r="AM31" i="76" s="1"/>
  <c r="BH31" i="76"/>
  <c r="G31" i="76" s="1"/>
  <c r="BG31" i="76"/>
  <c r="BE31" i="76"/>
  <c r="BD31" i="76"/>
  <c r="BC31" i="76"/>
  <c r="BB31" i="76"/>
  <c r="BA31" i="76"/>
  <c r="AZ31" i="76"/>
  <c r="AY31" i="76"/>
  <c r="AX31" i="76"/>
  <c r="AW31" i="76"/>
  <c r="AU31" i="76"/>
  <c r="AT31" i="76"/>
  <c r="AS31" i="76"/>
  <c r="AR31" i="76"/>
  <c r="AV31" i="76" s="1"/>
  <c r="AQ31" i="76"/>
  <c r="AP31" i="76"/>
  <c r="AO31" i="76"/>
  <c r="AL31" i="76"/>
  <c r="AJ31" i="76"/>
  <c r="AI31" i="76"/>
  <c r="AH31" i="76"/>
  <c r="AN31" i="76" s="1"/>
  <c r="AG31" i="76"/>
  <c r="C31" i="76"/>
  <c r="B31" i="76"/>
  <c r="BN30" i="76"/>
  <c r="BL30" i="76"/>
  <c r="BK30" i="76"/>
  <c r="I30" i="76" s="1"/>
  <c r="BJ30" i="76"/>
  <c r="H30" i="76" s="1"/>
  <c r="BF30" i="76" s="1"/>
  <c r="BI30" i="76"/>
  <c r="AK30" i="76" s="1"/>
  <c r="AM30" i="76" s="1"/>
  <c r="BH30" i="76"/>
  <c r="G30" i="76" s="1"/>
  <c r="BG30" i="76"/>
  <c r="BE30" i="76"/>
  <c r="BD30" i="76"/>
  <c r="BC30" i="76"/>
  <c r="BB30" i="76"/>
  <c r="BA30" i="76"/>
  <c r="AZ30" i="76"/>
  <c r="AY30" i="76"/>
  <c r="AX30" i="76"/>
  <c r="AW30" i="76"/>
  <c r="AU30" i="76"/>
  <c r="AT30" i="76"/>
  <c r="AS30" i="76"/>
  <c r="AR30" i="76"/>
  <c r="AV30" i="76" s="1"/>
  <c r="AQ30" i="76"/>
  <c r="AP30" i="76"/>
  <c r="AO30" i="76"/>
  <c r="AL30" i="76"/>
  <c r="AJ30" i="76"/>
  <c r="AI30" i="76"/>
  <c r="AH30" i="76"/>
  <c r="AN30" i="76" s="1"/>
  <c r="AG30" i="76"/>
  <c r="C30" i="76"/>
  <c r="B30" i="76"/>
  <c r="BU29" i="76"/>
  <c r="BT29" i="76"/>
  <c r="BS29" i="76"/>
  <c r="BR29" i="76"/>
  <c r="BQ29" i="76"/>
  <c r="BN29" i="76"/>
  <c r="BK29" i="76"/>
  <c r="I29" i="76" s="1"/>
  <c r="BJ29" i="76"/>
  <c r="H29" i="76" s="1"/>
  <c r="BF29" i="76" s="1"/>
  <c r="BI29" i="76"/>
  <c r="AK29" i="76" s="1"/>
  <c r="AM29" i="76" s="1"/>
  <c r="BH29" i="76"/>
  <c r="G29" i="76" s="1"/>
  <c r="BG29" i="76"/>
  <c r="BE29" i="76"/>
  <c r="BD29" i="76"/>
  <c r="BC29" i="76"/>
  <c r="BB29" i="76"/>
  <c r="BA29" i="76"/>
  <c r="AZ29" i="76"/>
  <c r="AY29" i="76"/>
  <c r="AX29" i="76"/>
  <c r="AW29" i="76"/>
  <c r="AU29" i="76"/>
  <c r="AT29" i="76"/>
  <c r="AS29" i="76"/>
  <c r="AR29" i="76"/>
  <c r="AV29" i="76" s="1"/>
  <c r="AQ29" i="76"/>
  <c r="AP29" i="76"/>
  <c r="AO29" i="76"/>
  <c r="AL29" i="76"/>
  <c r="AJ29" i="76"/>
  <c r="AI29" i="76"/>
  <c r="AH29" i="76"/>
  <c r="AN29" i="76" s="1"/>
  <c r="AG29" i="76"/>
  <c r="C29" i="76"/>
  <c r="B29" i="76"/>
  <c r="BU28" i="76"/>
  <c r="BT28" i="76"/>
  <c r="BS28" i="76"/>
  <c r="BR28" i="76"/>
  <c r="BQ28" i="76"/>
  <c r="BN28" i="76"/>
  <c r="BL28" i="76"/>
  <c r="BK28" i="76"/>
  <c r="I28" i="76" s="1"/>
  <c r="BJ28" i="76"/>
  <c r="H28" i="76" s="1"/>
  <c r="BF28" i="76" s="1"/>
  <c r="BI28" i="76"/>
  <c r="BM28" i="76" s="1"/>
  <c r="BH28" i="76"/>
  <c r="BG28" i="76"/>
  <c r="BE28" i="76"/>
  <c r="BD28" i="76"/>
  <c r="BC28" i="76"/>
  <c r="BB28" i="76"/>
  <c r="BA28" i="76"/>
  <c r="AZ28" i="76"/>
  <c r="AY28" i="76"/>
  <c r="AX28" i="76"/>
  <c r="AW28" i="76"/>
  <c r="AU28" i="76"/>
  <c r="AT28" i="76"/>
  <c r="AS28" i="76"/>
  <c r="AR28" i="76"/>
  <c r="AV28" i="76" s="1"/>
  <c r="AQ28" i="76"/>
  <c r="AP28" i="76"/>
  <c r="AO28" i="76"/>
  <c r="AL28" i="76"/>
  <c r="AJ28" i="76"/>
  <c r="AI28" i="76"/>
  <c r="AH28" i="76"/>
  <c r="AN28" i="76" s="1"/>
  <c r="AG28" i="76"/>
  <c r="G28" i="76"/>
  <c r="C28" i="76"/>
  <c r="B28" i="76"/>
  <c r="BU27" i="76"/>
  <c r="BT27" i="76"/>
  <c r="BS27" i="76"/>
  <c r="BR27" i="76"/>
  <c r="BQ27" i="76"/>
  <c r="BN27" i="76"/>
  <c r="BL27" i="76"/>
  <c r="BK27" i="76"/>
  <c r="I27" i="76" s="1"/>
  <c r="BJ27" i="76"/>
  <c r="H27" i="76" s="1"/>
  <c r="BF27" i="76" s="1"/>
  <c r="BI27" i="76"/>
  <c r="AK27" i="76" s="1"/>
  <c r="AM27" i="76" s="1"/>
  <c r="BH27" i="76"/>
  <c r="G27" i="76" s="1"/>
  <c r="BG27" i="76"/>
  <c r="BE27" i="76"/>
  <c r="BD27" i="76"/>
  <c r="BC27" i="76"/>
  <c r="BB27" i="76"/>
  <c r="BA27" i="76"/>
  <c r="AZ27" i="76"/>
  <c r="AY27" i="76"/>
  <c r="AX27" i="76"/>
  <c r="AW27" i="76"/>
  <c r="AU27" i="76"/>
  <c r="AT27" i="76"/>
  <c r="AS27" i="76"/>
  <c r="AR27" i="76"/>
  <c r="AV27" i="76" s="1"/>
  <c r="AQ27" i="76"/>
  <c r="AP27" i="76"/>
  <c r="AO27" i="76"/>
  <c r="AL27" i="76"/>
  <c r="AJ27" i="76"/>
  <c r="AI27" i="76"/>
  <c r="AH27" i="76"/>
  <c r="AN27" i="76" s="1"/>
  <c r="AG27" i="76"/>
  <c r="C27" i="76"/>
  <c r="B27" i="76"/>
  <c r="BU26" i="76"/>
  <c r="BT26" i="76"/>
  <c r="BS26" i="76"/>
  <c r="BR26" i="76"/>
  <c r="BQ26" i="76"/>
  <c r="BN26" i="76"/>
  <c r="BK26" i="76"/>
  <c r="I26" i="76" s="1"/>
  <c r="BJ26" i="76"/>
  <c r="H26" i="76" s="1"/>
  <c r="BF26" i="76" s="1"/>
  <c r="BI26" i="76"/>
  <c r="AK26" i="76" s="1"/>
  <c r="AM26" i="76" s="1"/>
  <c r="BH26" i="76"/>
  <c r="G26" i="76" s="1"/>
  <c r="BG26" i="76"/>
  <c r="BE26" i="76"/>
  <c r="BD26" i="76"/>
  <c r="BC26" i="76"/>
  <c r="BB26" i="76"/>
  <c r="BA26" i="76"/>
  <c r="AZ26" i="76"/>
  <c r="AY26" i="76"/>
  <c r="AX26" i="76"/>
  <c r="AW26" i="76"/>
  <c r="AU26" i="76"/>
  <c r="AT26" i="76"/>
  <c r="AS26" i="76"/>
  <c r="AR26" i="76"/>
  <c r="AV26" i="76" s="1"/>
  <c r="AQ26" i="76"/>
  <c r="AP26" i="76"/>
  <c r="AO26" i="76"/>
  <c r="AL26" i="76"/>
  <c r="AJ26" i="76"/>
  <c r="AI26" i="76"/>
  <c r="AH26" i="76"/>
  <c r="AN26" i="76" s="1"/>
  <c r="AG26" i="76"/>
  <c r="C26" i="76"/>
  <c r="B26" i="76"/>
  <c r="BU25" i="76"/>
  <c r="BT25" i="76"/>
  <c r="BS25" i="76"/>
  <c r="BR25" i="76"/>
  <c r="BQ25" i="76"/>
  <c r="BN25" i="76"/>
  <c r="BL25" i="76"/>
  <c r="BK25" i="76"/>
  <c r="I25" i="76" s="1"/>
  <c r="BJ25" i="76"/>
  <c r="H25" i="76" s="1"/>
  <c r="BF25" i="76" s="1"/>
  <c r="BI25" i="76"/>
  <c r="BM25" i="76" s="1"/>
  <c r="BH25" i="76"/>
  <c r="BG25" i="76"/>
  <c r="BE25" i="76"/>
  <c r="BD25" i="76"/>
  <c r="BC25" i="76"/>
  <c r="BB25" i="76"/>
  <c r="BA25" i="76"/>
  <c r="AZ25" i="76"/>
  <c r="AY25" i="76"/>
  <c r="AX25" i="76"/>
  <c r="AW25" i="76"/>
  <c r="AU25" i="76"/>
  <c r="AT25" i="76"/>
  <c r="AS25" i="76"/>
  <c r="AR25" i="76"/>
  <c r="AV25" i="76" s="1"/>
  <c r="AQ25" i="76"/>
  <c r="AP25" i="76"/>
  <c r="AO25" i="76"/>
  <c r="AL25" i="76"/>
  <c r="AJ25" i="76"/>
  <c r="AI25" i="76"/>
  <c r="AH25" i="76"/>
  <c r="AN25" i="76" s="1"/>
  <c r="AG25" i="76"/>
  <c r="G25" i="76"/>
  <c r="C25" i="76"/>
  <c r="B25" i="76"/>
  <c r="BU24" i="76"/>
  <c r="BT24" i="76"/>
  <c r="BS24" i="76"/>
  <c r="BR24" i="76"/>
  <c r="BQ24" i="76"/>
  <c r="BN24" i="76"/>
  <c r="BL24" i="76"/>
  <c r="BK24" i="76"/>
  <c r="I24" i="76" s="1"/>
  <c r="BJ24" i="76"/>
  <c r="H24" i="76" s="1"/>
  <c r="BF24" i="76" s="1"/>
  <c r="BI24" i="76"/>
  <c r="AK24" i="76" s="1"/>
  <c r="AM24" i="76" s="1"/>
  <c r="BH24" i="76"/>
  <c r="G24" i="76" s="1"/>
  <c r="BG24" i="76"/>
  <c r="BE24" i="76"/>
  <c r="BD24" i="76"/>
  <c r="BC24" i="76"/>
  <c r="BB24" i="76"/>
  <c r="BA24" i="76"/>
  <c r="AZ24" i="76"/>
  <c r="AY24" i="76"/>
  <c r="AX24" i="76"/>
  <c r="AW24" i="76"/>
  <c r="AU24" i="76"/>
  <c r="AT24" i="76"/>
  <c r="AS24" i="76"/>
  <c r="AR24" i="76"/>
  <c r="AV24" i="76" s="1"/>
  <c r="AQ24" i="76"/>
  <c r="AP24" i="76"/>
  <c r="AO24" i="76"/>
  <c r="AL24" i="76"/>
  <c r="AJ24" i="76"/>
  <c r="AI24" i="76"/>
  <c r="AH24" i="76"/>
  <c r="AN24" i="76" s="1"/>
  <c r="AG24" i="76"/>
  <c r="C24" i="76"/>
  <c r="B24" i="76"/>
  <c r="BU23" i="76"/>
  <c r="BT23" i="76"/>
  <c r="BS23" i="76"/>
  <c r="BR23" i="76"/>
  <c r="BQ23" i="76"/>
  <c r="BH23" i="76"/>
  <c r="BE23" i="76"/>
  <c r="BD23" i="76"/>
  <c r="BC23" i="76"/>
  <c r="AU23" i="76"/>
  <c r="AS23" i="76"/>
  <c r="AQ23" i="76"/>
  <c r="AO23" i="76"/>
  <c r="AL23" i="76"/>
  <c r="AI23" i="76"/>
  <c r="C23" i="76" s="1"/>
  <c r="AH23" i="76"/>
  <c r="AN23" i="76" s="1"/>
  <c r="AG23" i="76"/>
  <c r="BU22" i="76"/>
  <c r="BT22" i="76"/>
  <c r="BS22" i="76"/>
  <c r="BR22" i="76"/>
  <c r="BQ22" i="76"/>
  <c r="BL22" i="76"/>
  <c r="BH22" i="76"/>
  <c r="BE22" i="76"/>
  <c r="BD22" i="76"/>
  <c r="BC22" i="76"/>
  <c r="AU22" i="76"/>
  <c r="AS22" i="76"/>
  <c r="AQ22" i="76"/>
  <c r="AI22" i="76" s="1"/>
  <c r="C22" i="76" s="1"/>
  <c r="AO22" i="76"/>
  <c r="AL22" i="76"/>
  <c r="AH22" i="76"/>
  <c r="AN22" i="76" s="1"/>
  <c r="AG22" i="76"/>
  <c r="G22" i="76"/>
  <c r="BB22" i="76" s="1"/>
  <c r="BU21" i="76"/>
  <c r="BT21" i="76"/>
  <c r="BS21" i="76"/>
  <c r="BR21" i="76"/>
  <c r="BQ21" i="76"/>
  <c r="BL21" i="76"/>
  <c r="BJ21" i="76"/>
  <c r="H21" i="76" s="1"/>
  <c r="BF21" i="76" s="1"/>
  <c r="BH21" i="76"/>
  <c r="BE21" i="76"/>
  <c r="BD21" i="76"/>
  <c r="BC21" i="76"/>
  <c r="AU21" i="76"/>
  <c r="AS21" i="76"/>
  <c r="AQ21" i="76"/>
  <c r="AO21" i="76"/>
  <c r="AL21" i="76"/>
  <c r="AH21" i="76"/>
  <c r="AN21" i="76" s="1"/>
  <c r="AG21" i="76"/>
  <c r="B21" i="76"/>
  <c r="BL20" i="76"/>
  <c r="BH20" i="76"/>
  <c r="BE20" i="76"/>
  <c r="BD20" i="76"/>
  <c r="BC20" i="76"/>
  <c r="AU20" i="76"/>
  <c r="AS20" i="76"/>
  <c r="AQ20" i="76"/>
  <c r="AI20" i="76" s="1"/>
  <c r="C20" i="76" s="1"/>
  <c r="AO20" i="76"/>
  <c r="AL20" i="76"/>
  <c r="AH20" i="76"/>
  <c r="AN20" i="76" s="1"/>
  <c r="AG20" i="76"/>
  <c r="G20" i="76"/>
  <c r="BB20" i="76" s="1"/>
  <c r="BL19" i="76"/>
  <c r="BJ19" i="76"/>
  <c r="H19" i="76" s="1"/>
  <c r="BF19" i="76" s="1"/>
  <c r="BH19" i="76"/>
  <c r="BE19" i="76"/>
  <c r="BD19" i="76"/>
  <c r="BC19" i="76"/>
  <c r="AU19" i="76"/>
  <c r="AS19" i="76"/>
  <c r="AQ19" i="76"/>
  <c r="AO19" i="76"/>
  <c r="AL19" i="76"/>
  <c r="AH19" i="76"/>
  <c r="AN19" i="76" s="1"/>
  <c r="AG19" i="76"/>
  <c r="G19" i="76"/>
  <c r="BB19" i="76" s="1"/>
  <c r="B19" i="76"/>
  <c r="BH18" i="76"/>
  <c r="BE18" i="76"/>
  <c r="BD18" i="76"/>
  <c r="BC18" i="76"/>
  <c r="AU18" i="76"/>
  <c r="AS18" i="76"/>
  <c r="AQ18" i="76"/>
  <c r="AO18" i="76"/>
  <c r="AL18" i="76"/>
  <c r="AH18" i="76"/>
  <c r="AG18" i="76"/>
  <c r="BL17" i="76"/>
  <c r="BH17" i="76"/>
  <c r="BE17" i="76"/>
  <c r="BD17" i="76"/>
  <c r="BC17" i="76"/>
  <c r="AU17" i="76"/>
  <c r="AS17" i="76"/>
  <c r="AQ17" i="76"/>
  <c r="AO17" i="76"/>
  <c r="AL17" i="76"/>
  <c r="AH17" i="76"/>
  <c r="AN17" i="76" s="1"/>
  <c r="AG17" i="76"/>
  <c r="BL16" i="76"/>
  <c r="BH16" i="76"/>
  <c r="BE16" i="76"/>
  <c r="BD16" i="76"/>
  <c r="BC16" i="76"/>
  <c r="AU16" i="76"/>
  <c r="AS16" i="76"/>
  <c r="AQ16" i="76"/>
  <c r="AO16" i="76"/>
  <c r="AL16" i="76"/>
  <c r="AH16" i="76"/>
  <c r="AN16" i="76" s="1"/>
  <c r="AG16" i="76"/>
  <c r="G16" i="76"/>
  <c r="BB16" i="76" s="1"/>
  <c r="BL15" i="76"/>
  <c r="BH15" i="76"/>
  <c r="BE15" i="76"/>
  <c r="BD15" i="76"/>
  <c r="BC15" i="76"/>
  <c r="AW15" i="76"/>
  <c r="AU15" i="76"/>
  <c r="AS15" i="76"/>
  <c r="AQ15" i="76"/>
  <c r="AO15" i="76"/>
  <c r="AL15" i="76"/>
  <c r="AH15" i="76"/>
  <c r="AN15" i="76" s="1"/>
  <c r="AG15" i="76"/>
  <c r="G15" i="76"/>
  <c r="BB15" i="76" s="1"/>
  <c r="BH14" i="76"/>
  <c r="BE14" i="76"/>
  <c r="BD14" i="76"/>
  <c r="BC14" i="76"/>
  <c r="AU14" i="76"/>
  <c r="AS14" i="76"/>
  <c r="AQ14" i="76"/>
  <c r="AO14" i="76"/>
  <c r="AL14" i="76"/>
  <c r="AH14" i="76"/>
  <c r="AG14" i="76"/>
  <c r="BL13" i="76"/>
  <c r="BH13" i="76"/>
  <c r="BE13" i="76"/>
  <c r="BD13" i="76"/>
  <c r="BC13" i="76"/>
  <c r="AU13" i="76"/>
  <c r="AS13" i="76"/>
  <c r="AQ13" i="76"/>
  <c r="AO13" i="76"/>
  <c r="AL13" i="76"/>
  <c r="AH13" i="76"/>
  <c r="AN13" i="76" s="1"/>
  <c r="AG13" i="76"/>
  <c r="BL12" i="76"/>
  <c r="BJ12" i="76"/>
  <c r="H12" i="76" s="1"/>
  <c r="BF12" i="76" s="1"/>
  <c r="BH12" i="76"/>
  <c r="BE12" i="76"/>
  <c r="BD12" i="76"/>
  <c r="BC12" i="76"/>
  <c r="AU12" i="76"/>
  <c r="AS12" i="76"/>
  <c r="AQ12" i="76"/>
  <c r="AO12" i="76"/>
  <c r="AL12" i="76"/>
  <c r="AH12" i="76"/>
  <c r="AN12" i="76" s="1"/>
  <c r="AG12" i="76"/>
  <c r="G12" i="76"/>
  <c r="BB12" i="76" s="1"/>
  <c r="B12" i="76"/>
  <c r="BL11" i="76"/>
  <c r="BJ11" i="76"/>
  <c r="H11" i="76" s="1"/>
  <c r="BF11" i="76" s="1"/>
  <c r="BI11" i="76"/>
  <c r="AK11" i="76" s="1"/>
  <c r="BH11" i="76"/>
  <c r="BE11" i="76"/>
  <c r="BD11" i="76"/>
  <c r="BC11" i="76"/>
  <c r="AW11" i="76"/>
  <c r="AU11" i="76"/>
  <c r="AS11" i="76"/>
  <c r="AQ11" i="76"/>
  <c r="AO11" i="76"/>
  <c r="AL11" i="76"/>
  <c r="AH11" i="76"/>
  <c r="AN11" i="76" s="1"/>
  <c r="AG11" i="76"/>
  <c r="G11" i="76"/>
  <c r="BB11" i="76" s="1"/>
  <c r="B11" i="76"/>
  <c r="BH10" i="76"/>
  <c r="BE10" i="76"/>
  <c r="BD10" i="76"/>
  <c r="BC10" i="76"/>
  <c r="AU10" i="76"/>
  <c r="AS10" i="76"/>
  <c r="AQ10" i="76"/>
  <c r="AL10" i="76"/>
  <c r="AJ10" i="76"/>
  <c r="AJ11" i="76" s="1"/>
  <c r="AH10" i="76"/>
  <c r="AG10" i="76"/>
  <c r="BL9" i="76"/>
  <c r="BH9" i="76"/>
  <c r="BE9" i="76"/>
  <c r="BD9" i="76"/>
  <c r="BC9" i="76"/>
  <c r="AU9" i="76"/>
  <c r="AU41" i="76" s="1"/>
  <c r="AS9" i="76"/>
  <c r="AQ9" i="76"/>
  <c r="AI9" i="76" s="1"/>
  <c r="C9" i="76" s="1"/>
  <c r="AL9" i="76"/>
  <c r="AJ9" i="76"/>
  <c r="AH9" i="76"/>
  <c r="AN9" i="76" s="1"/>
  <c r="AG9" i="76"/>
  <c r="B9" i="76"/>
  <c r="BL8" i="76"/>
  <c r="BJ8" i="76"/>
  <c r="H8" i="76" s="1"/>
  <c r="BF8" i="76" s="1"/>
  <c r="BH8" i="76"/>
  <c r="BE8" i="76"/>
  <c r="BD8" i="76"/>
  <c r="BD4" i="76" s="1"/>
  <c r="BC8" i="76"/>
  <c r="BC4" i="76" s="1"/>
  <c r="BA8" i="76"/>
  <c r="AU8" i="76"/>
  <c r="AV43" i="76" s="1"/>
  <c r="AS8" i="76"/>
  <c r="AS41" i="76" s="1"/>
  <c r="AQ8" i="76"/>
  <c r="AQ41" i="76" s="1"/>
  <c r="AO8" i="76"/>
  <c r="AL8" i="76"/>
  <c r="AJ8" i="76"/>
  <c r="AH8" i="76"/>
  <c r="AN8" i="76" s="1"/>
  <c r="AG8" i="76"/>
  <c r="G8" i="76"/>
  <c r="BB8" i="76" s="1"/>
  <c r="B8" i="76"/>
  <c r="AV6" i="76"/>
  <c r="Q5" i="80" l="1"/>
  <c r="BM27" i="78"/>
  <c r="AK30" i="78"/>
  <c r="AM30" i="78" s="1"/>
  <c r="AT10" i="81"/>
  <c r="AN41" i="80"/>
  <c r="BN25" i="80"/>
  <c r="AM10" i="81"/>
  <c r="BM8" i="80"/>
  <c r="AP10" i="81"/>
  <c r="BG10" i="81" s="1"/>
  <c r="AN13" i="78"/>
  <c r="AN16" i="78"/>
  <c r="AK24" i="78"/>
  <c r="AM24" i="78" s="1"/>
  <c r="BM30" i="76"/>
  <c r="BM34" i="78"/>
  <c r="AK38" i="78"/>
  <c r="AM38" i="78" s="1"/>
  <c r="BJ23" i="81"/>
  <c r="H23" i="81" s="1"/>
  <c r="BF23" i="81" s="1"/>
  <c r="AK23" i="81"/>
  <c r="BM23" i="81"/>
  <c r="BN23" i="81"/>
  <c r="AN6" i="80"/>
  <c r="AP11" i="81"/>
  <c r="BG11" i="81" s="1"/>
  <c r="B14" i="81"/>
  <c r="AP14" i="81" s="1"/>
  <c r="BG14" i="81" s="1"/>
  <c r="B15" i="81"/>
  <c r="AP15" i="81" s="1"/>
  <c r="BG15" i="81" s="1"/>
  <c r="AK34" i="76"/>
  <c r="AM34" i="76" s="1"/>
  <c r="AK21" i="81"/>
  <c r="BM21" i="81"/>
  <c r="BN21" i="81"/>
  <c r="BJ26" i="81"/>
  <c r="H26" i="81" s="1"/>
  <c r="BF26" i="81" s="1"/>
  <c r="AK26" i="81"/>
  <c r="BN26" i="81"/>
  <c r="BM26" i="81"/>
  <c r="AK12" i="81"/>
  <c r="BN12" i="81"/>
  <c r="BM12" i="81"/>
  <c r="AK8" i="81"/>
  <c r="BN8" i="81"/>
  <c r="BM8" i="81"/>
  <c r="AZ23" i="81"/>
  <c r="AN9" i="78"/>
  <c r="BM22" i="78"/>
  <c r="BJ9" i="81"/>
  <c r="H9" i="81" s="1"/>
  <c r="AK9" i="81"/>
  <c r="AO9" i="81"/>
  <c r="BM9" i="81"/>
  <c r="BN9" i="81"/>
  <c r="BJ24" i="81"/>
  <c r="H24" i="81" s="1"/>
  <c r="BF24" i="81" s="1"/>
  <c r="AK24" i="81"/>
  <c r="BN24" i="81"/>
  <c r="BM24" i="81"/>
  <c r="AV44" i="76"/>
  <c r="AZ12" i="81"/>
  <c r="BJ20" i="81"/>
  <c r="H20" i="81" s="1"/>
  <c r="BF20" i="81" s="1"/>
  <c r="AK20" i="81"/>
  <c r="BM20" i="81"/>
  <c r="BN20" i="81"/>
  <c r="B16" i="81"/>
  <c r="BJ17" i="81"/>
  <c r="H17" i="81" s="1"/>
  <c r="BF17" i="81" s="1"/>
  <c r="AK17" i="81"/>
  <c r="BM17" i="81"/>
  <c r="BN17" i="81"/>
  <c r="AR11" i="81"/>
  <c r="AV11" i="81" s="1"/>
  <c r="AM11" i="81"/>
  <c r="AT11" i="81"/>
  <c r="AK27" i="81"/>
  <c r="BM27" i="81"/>
  <c r="BN27" i="81"/>
  <c r="AK13" i="81"/>
  <c r="BN13" i="81"/>
  <c r="BM13" i="81"/>
  <c r="AY4" i="81"/>
  <c r="AJ14" i="81"/>
  <c r="AJ15" i="81" s="1"/>
  <c r="AJ16" i="81" s="1"/>
  <c r="AJ17" i="81" s="1"/>
  <c r="AJ18" i="81" s="1"/>
  <c r="AJ19" i="81" s="1"/>
  <c r="AJ20" i="81" s="1"/>
  <c r="AJ21" i="81" s="1"/>
  <c r="AN12" i="78"/>
  <c r="BA4" i="81"/>
  <c r="BJ16" i="81"/>
  <c r="H16" i="81" s="1"/>
  <c r="BF16" i="81" s="1"/>
  <c r="AK16" i="81"/>
  <c r="BN16" i="81"/>
  <c r="BM16" i="81"/>
  <c r="AZ24" i="81"/>
  <c r="BB4" i="81"/>
  <c r="AK19" i="80"/>
  <c r="BN19" i="80"/>
  <c r="BJ19" i="80"/>
  <c r="H19" i="80" s="1"/>
  <c r="BF19" i="80" s="1"/>
  <c r="BM19" i="80"/>
  <c r="BI13" i="80"/>
  <c r="AZ13" i="80" s="1"/>
  <c r="AW13" i="80"/>
  <c r="BB13" i="80"/>
  <c r="BA13" i="80"/>
  <c r="BK13" i="80"/>
  <c r="I13" i="80" s="1"/>
  <c r="AY13" i="80"/>
  <c r="AX13" i="80"/>
  <c r="AK10" i="80"/>
  <c r="BJ10" i="80"/>
  <c r="H10" i="80" s="1"/>
  <c r="BF10" i="80" s="1"/>
  <c r="BN10" i="80"/>
  <c r="BM10" i="80"/>
  <c r="AO10" i="80"/>
  <c r="BN8" i="80"/>
  <c r="AJ14" i="80"/>
  <c r="AZ10" i="80"/>
  <c r="AV45" i="80"/>
  <c r="AK11" i="80"/>
  <c r="BJ11" i="80"/>
  <c r="H11" i="80" s="1"/>
  <c r="BF11" i="80" s="1"/>
  <c r="AO11" i="80"/>
  <c r="BN11" i="80"/>
  <c r="BM11" i="80"/>
  <c r="BN20" i="80"/>
  <c r="BJ20" i="80"/>
  <c r="H20" i="80" s="1"/>
  <c r="BF20" i="80" s="1"/>
  <c r="AK20" i="80"/>
  <c r="BM20" i="80"/>
  <c r="BM22" i="80"/>
  <c r="AK15" i="80"/>
  <c r="BN15" i="80"/>
  <c r="BM15" i="80"/>
  <c r="BJ15" i="80"/>
  <c r="H15" i="80" s="1"/>
  <c r="BF15" i="80" s="1"/>
  <c r="AZ8" i="80"/>
  <c r="AK28" i="80"/>
  <c r="AZ28" i="80"/>
  <c r="BN28" i="80"/>
  <c r="BJ28" i="80"/>
  <c r="H28" i="80" s="1"/>
  <c r="BF28" i="80" s="1"/>
  <c r="AW18" i="80"/>
  <c r="BK18" i="80"/>
  <c r="I18" i="80" s="1"/>
  <c r="AY18" i="80"/>
  <c r="BI18" i="80"/>
  <c r="AZ18" i="80" s="1"/>
  <c r="BB18" i="80"/>
  <c r="BA18" i="80"/>
  <c r="B11" i="80"/>
  <c r="BK27" i="80"/>
  <c r="I27" i="80" s="1"/>
  <c r="AY27" i="80"/>
  <c r="BI27" i="80"/>
  <c r="AZ27" i="80" s="1"/>
  <c r="AW27" i="80"/>
  <c r="BB27" i="80"/>
  <c r="BA27" i="80"/>
  <c r="AX27" i="80"/>
  <c r="BJ23" i="80"/>
  <c r="H23" i="80" s="1"/>
  <c r="BF23" i="80" s="1"/>
  <c r="AK23" i="80"/>
  <c r="BN23" i="80"/>
  <c r="BM23" i="80"/>
  <c r="AT8" i="80"/>
  <c r="AR8" i="80"/>
  <c r="AV8" i="80" s="1"/>
  <c r="AM8" i="80"/>
  <c r="BN16" i="80"/>
  <c r="BM16" i="80"/>
  <c r="BJ16" i="80"/>
  <c r="H16" i="80" s="1"/>
  <c r="BF16" i="80" s="1"/>
  <c r="AK16" i="80"/>
  <c r="BI17" i="80"/>
  <c r="AW17" i="80"/>
  <c r="BB17" i="80"/>
  <c r="BA17" i="80"/>
  <c r="BK17" i="80"/>
  <c r="I17" i="80" s="1"/>
  <c r="AY17" i="80"/>
  <c r="BI14" i="80"/>
  <c r="AZ14" i="80" s="1"/>
  <c r="BK14" i="80"/>
  <c r="I14" i="80" s="1"/>
  <c r="AY14" i="80"/>
  <c r="AW14" i="80"/>
  <c r="BB14" i="80"/>
  <c r="BA14" i="80"/>
  <c r="AK22" i="80"/>
  <c r="BN22" i="80"/>
  <c r="BJ22" i="80"/>
  <c r="H22" i="80" s="1"/>
  <c r="BF22" i="80" s="1"/>
  <c r="AK25" i="80"/>
  <c r="BJ25" i="80"/>
  <c r="H25" i="80" s="1"/>
  <c r="BF25" i="80" s="1"/>
  <c r="AZ16" i="80"/>
  <c r="BB9" i="80"/>
  <c r="BA9" i="80"/>
  <c r="AY9" i="80"/>
  <c r="AX9" i="80"/>
  <c r="BI9" i="80"/>
  <c r="AZ9" i="80" s="1"/>
  <c r="AW9" i="80"/>
  <c r="BK9" i="80"/>
  <c r="I9" i="80" s="1"/>
  <c r="BM33" i="78"/>
  <c r="BK24" i="80"/>
  <c r="I24" i="80" s="1"/>
  <c r="AY24" i="80"/>
  <c r="BI24" i="80"/>
  <c r="AW24" i="80"/>
  <c r="BB24" i="80"/>
  <c r="BA24" i="80"/>
  <c r="AZ25" i="80"/>
  <c r="BM25" i="80"/>
  <c r="BM26" i="80"/>
  <c r="BJ26" i="80"/>
  <c r="H26" i="80" s="1"/>
  <c r="BF26" i="80" s="1"/>
  <c r="AK26" i="80"/>
  <c r="BN26" i="80"/>
  <c r="BK21" i="80"/>
  <c r="I21" i="80" s="1"/>
  <c r="AY21" i="80"/>
  <c r="BI21" i="80"/>
  <c r="AZ21" i="80" s="1"/>
  <c r="AW21" i="80"/>
  <c r="BB21" i="80"/>
  <c r="BA21" i="80"/>
  <c r="AX21" i="80"/>
  <c r="AK12" i="80"/>
  <c r="BM12" i="80"/>
  <c r="BN12" i="80"/>
  <c r="AK25" i="78"/>
  <c r="AM25" i="78" s="1"/>
  <c r="BM27" i="76"/>
  <c r="AN21" i="78"/>
  <c r="BM37" i="78"/>
  <c r="BM37" i="76"/>
  <c r="AK28" i="78"/>
  <c r="AM28" i="78" s="1"/>
  <c r="AN18" i="78"/>
  <c r="BE4" i="78"/>
  <c r="AU41" i="78"/>
  <c r="AN15" i="78"/>
  <c r="AQ41" i="78"/>
  <c r="AI20" i="78"/>
  <c r="C20" i="78" s="1"/>
  <c r="AI12" i="78"/>
  <c r="C12" i="78" s="1"/>
  <c r="AS41" i="78"/>
  <c r="AT41" i="78" s="1"/>
  <c r="AV43" i="78"/>
  <c r="AV44" i="78" s="1"/>
  <c r="BC4" i="78"/>
  <c r="AN10" i="78"/>
  <c r="AI16" i="78"/>
  <c r="C16" i="78" s="1"/>
  <c r="BD4" i="78"/>
  <c r="AJ13" i="78"/>
  <c r="AJ14" i="78" s="1"/>
  <c r="AJ15" i="78" s="1"/>
  <c r="AJ16" i="78" s="1"/>
  <c r="AJ17" i="78" s="1"/>
  <c r="E41" i="78"/>
  <c r="AV41" i="78"/>
  <c r="Q5" i="78"/>
  <c r="AI18" i="78"/>
  <c r="C18" i="78" s="1"/>
  <c r="AI14" i="78"/>
  <c r="C14" i="78" s="1"/>
  <c r="AI10" i="78"/>
  <c r="C10" i="78" s="1"/>
  <c r="AI21" i="78"/>
  <c r="C21" i="78" s="1"/>
  <c r="AI13" i="78"/>
  <c r="C13" i="78" s="1"/>
  <c r="AI9" i="78"/>
  <c r="C9" i="78" s="1"/>
  <c r="AI15" i="78"/>
  <c r="C15" i="78" s="1"/>
  <c r="B10" i="78"/>
  <c r="BL10" i="78"/>
  <c r="BL14" i="78"/>
  <c r="BL18" i="78"/>
  <c r="BL31" i="78"/>
  <c r="BL35" i="78"/>
  <c r="BL39" i="78"/>
  <c r="AN10" i="76"/>
  <c r="BB13" i="78"/>
  <c r="BL23" i="78"/>
  <c r="BL26" i="78"/>
  <c r="BL29" i="78"/>
  <c r="BM31" i="78"/>
  <c r="BM35" i="78"/>
  <c r="BM39" i="78"/>
  <c r="BM24" i="76"/>
  <c r="G10" i="78"/>
  <c r="G14" i="78"/>
  <c r="G18" i="78"/>
  <c r="BM23" i="78"/>
  <c r="BM26" i="78"/>
  <c r="BM29" i="78"/>
  <c r="BB21" i="78"/>
  <c r="AW8" i="78"/>
  <c r="BI8" i="78"/>
  <c r="BL11" i="78"/>
  <c r="AW12" i="78"/>
  <c r="BI12" i="78"/>
  <c r="BL15" i="78"/>
  <c r="AW16" i="78"/>
  <c r="BI16" i="78"/>
  <c r="BL19" i="78"/>
  <c r="AW20" i="78"/>
  <c r="BI20" i="78"/>
  <c r="AZ20" i="78" s="1"/>
  <c r="BL32" i="78"/>
  <c r="BL36" i="78"/>
  <c r="BB17" i="78"/>
  <c r="AX8" i="78"/>
  <c r="BM32" i="78"/>
  <c r="BM36" i="78"/>
  <c r="AY8" i="78"/>
  <c r="BK8" i="78"/>
  <c r="I8" i="78" s="1"/>
  <c r="G11" i="78"/>
  <c r="AY12" i="78"/>
  <c r="BK12" i="78"/>
  <c r="I12" i="78" s="1"/>
  <c r="G15" i="78"/>
  <c r="AY16" i="78"/>
  <c r="BK16" i="78"/>
  <c r="I16" i="78" s="1"/>
  <c r="G19" i="78"/>
  <c r="AY20" i="78"/>
  <c r="BK20" i="78"/>
  <c r="I20" i="78" s="1"/>
  <c r="BB9" i="78"/>
  <c r="AW9" i="78"/>
  <c r="BI9" i="78"/>
  <c r="B12" i="78"/>
  <c r="AW13" i="78"/>
  <c r="BI13" i="78"/>
  <c r="AW17" i="78"/>
  <c r="BI17" i="78"/>
  <c r="AW21" i="78"/>
  <c r="BI21" i="78"/>
  <c r="BA8" i="78"/>
  <c r="BA12" i="78"/>
  <c r="BA16" i="78"/>
  <c r="AX17" i="78"/>
  <c r="BA20" i="78"/>
  <c r="AY9" i="78"/>
  <c r="AY13" i="78"/>
  <c r="AY17" i="78"/>
  <c r="AY21" i="78"/>
  <c r="AM11" i="76"/>
  <c r="AP11" i="76" s="1"/>
  <c r="AT11" i="76"/>
  <c r="AR11" i="76"/>
  <c r="AV11" i="76" s="1"/>
  <c r="AN14" i="76"/>
  <c r="AN18" i="76"/>
  <c r="AK25" i="76"/>
  <c r="AM25" i="76" s="1"/>
  <c r="AK28" i="76"/>
  <c r="AM28" i="76" s="1"/>
  <c r="BM32" i="76"/>
  <c r="AK38" i="76"/>
  <c r="AM38" i="76" s="1"/>
  <c r="AK33" i="76"/>
  <c r="AM33" i="76" s="1"/>
  <c r="BE4" i="76"/>
  <c r="E23" i="77"/>
  <c r="AJ12" i="76"/>
  <c r="E41" i="76"/>
  <c r="AV41" i="76"/>
  <c r="Q5" i="76"/>
  <c r="AI10" i="76"/>
  <c r="C10" i="76" s="1"/>
  <c r="AR44" i="76"/>
  <c r="G9" i="76"/>
  <c r="G13" i="76"/>
  <c r="G17" i="76"/>
  <c r="G21" i="76"/>
  <c r="B10" i="76"/>
  <c r="B13" i="76" s="1"/>
  <c r="BL10" i="76"/>
  <c r="BL14" i="76"/>
  <c r="BI15" i="76"/>
  <c r="AZ15" i="76" s="1"/>
  <c r="BL18" i="76"/>
  <c r="AW19" i="76"/>
  <c r="BI19" i="76"/>
  <c r="BL31" i="76"/>
  <c r="BL35" i="76"/>
  <c r="BL39" i="76"/>
  <c r="AX11" i="76"/>
  <c r="AX19" i="76"/>
  <c r="BL23" i="76"/>
  <c r="BL26" i="76"/>
  <c r="BL29" i="76"/>
  <c r="BM31" i="76"/>
  <c r="BM35" i="76"/>
  <c r="BM39" i="76"/>
  <c r="G10" i="76"/>
  <c r="AY11" i="76"/>
  <c r="BK11" i="76"/>
  <c r="I11" i="76" s="1"/>
  <c r="G14" i="76"/>
  <c r="AY15" i="76"/>
  <c r="BK15" i="76"/>
  <c r="I15" i="76" s="1"/>
  <c r="G18" i="76"/>
  <c r="AY19" i="76"/>
  <c r="BK19" i="76"/>
  <c r="I19" i="76" s="1"/>
  <c r="AW22" i="76"/>
  <c r="BI22" i="76"/>
  <c r="AZ22" i="76" s="1"/>
  <c r="BM26" i="76"/>
  <c r="BM29" i="76"/>
  <c r="AW8" i="76"/>
  <c r="BI8" i="76"/>
  <c r="AZ8" i="76" s="1"/>
  <c r="AZ11" i="76"/>
  <c r="AW12" i="76"/>
  <c r="BI12" i="76"/>
  <c r="AZ12" i="76" s="1"/>
  <c r="AW16" i="76"/>
  <c r="BI16" i="76"/>
  <c r="AZ16" i="76" s="1"/>
  <c r="AW20" i="76"/>
  <c r="BI20" i="76"/>
  <c r="AZ20" i="76" s="1"/>
  <c r="G23" i="76"/>
  <c r="BL32" i="76"/>
  <c r="BL36" i="76"/>
  <c r="AX8" i="76"/>
  <c r="BA11" i="76"/>
  <c r="BM11" i="76"/>
  <c r="AX12" i="76"/>
  <c r="BA15" i="76"/>
  <c r="BA19" i="76"/>
  <c r="AY22" i="76"/>
  <c r="BK22" i="76"/>
  <c r="I22" i="76" s="1"/>
  <c r="BM36" i="76"/>
  <c r="AY8" i="76"/>
  <c r="BK8" i="76"/>
  <c r="I8" i="76" s="1"/>
  <c r="AY12" i="76"/>
  <c r="BK12" i="76"/>
  <c r="I12" i="76" s="1"/>
  <c r="AY16" i="76"/>
  <c r="BK16" i="76"/>
  <c r="I16" i="76" s="1"/>
  <c r="AY20" i="76"/>
  <c r="BK20" i="76"/>
  <c r="I20" i="76" s="1"/>
  <c r="BA22" i="76"/>
  <c r="BA12" i="76"/>
  <c r="BA16" i="76"/>
  <c r="BA20" i="76"/>
  <c r="AZ4" i="81" l="1"/>
  <c r="BA4" i="80"/>
  <c r="BB4" i="80"/>
  <c r="AV45" i="76"/>
  <c r="AP16" i="81"/>
  <c r="AM12" i="81"/>
  <c r="AP12" i="81" s="1"/>
  <c r="BG12" i="81" s="1"/>
  <c r="AT12" i="81"/>
  <c r="AR12" i="81"/>
  <c r="AV12" i="81" s="1"/>
  <c r="AM13" i="81"/>
  <c r="AP13" i="81" s="1"/>
  <c r="BG13" i="81" s="1"/>
  <c r="AT13" i="81"/>
  <c r="AR13" i="81"/>
  <c r="AV13" i="81" s="1"/>
  <c r="AM27" i="81"/>
  <c r="AP27" i="81" s="1"/>
  <c r="BG27" i="81" s="1"/>
  <c r="AT27" i="81"/>
  <c r="AR27" i="81"/>
  <c r="AV27" i="81" s="1"/>
  <c r="AT23" i="81"/>
  <c r="AR23" i="81"/>
  <c r="AV23" i="81" s="1"/>
  <c r="AM23" i="81"/>
  <c r="AX23" i="81"/>
  <c r="AM20" i="81"/>
  <c r="AT20" i="81"/>
  <c r="AR20" i="81"/>
  <c r="AV20" i="81" s="1"/>
  <c r="AX20" i="81"/>
  <c r="AM9" i="81"/>
  <c r="AT9" i="81"/>
  <c r="AR9" i="81"/>
  <c r="AV9" i="81" s="1"/>
  <c r="BF9" i="81"/>
  <c r="AP9" i="81"/>
  <c r="BG9" i="81" s="1"/>
  <c r="AT26" i="81"/>
  <c r="AR26" i="81"/>
  <c r="AV26" i="81" s="1"/>
  <c r="AM26" i="81"/>
  <c r="AX26" i="81"/>
  <c r="AY4" i="80"/>
  <c r="AM16" i="81"/>
  <c r="AT16" i="81"/>
  <c r="AR16" i="81"/>
  <c r="AV16" i="81" s="1"/>
  <c r="AX16" i="81"/>
  <c r="AJ22" i="81"/>
  <c r="B17" i="81"/>
  <c r="AP17" i="81" s="1"/>
  <c r="AM8" i="81"/>
  <c r="AT8" i="81"/>
  <c r="AR8" i="81"/>
  <c r="H41" i="81"/>
  <c r="AM17" i="81"/>
  <c r="AT17" i="81"/>
  <c r="AR17" i="81"/>
  <c r="AV17" i="81" s="1"/>
  <c r="AX17" i="81"/>
  <c r="AM24" i="81"/>
  <c r="AT24" i="81"/>
  <c r="AR24" i="81"/>
  <c r="AV24" i="81" s="1"/>
  <c r="AX24" i="81"/>
  <c r="AM21" i="81"/>
  <c r="AP21" i="81" s="1"/>
  <c r="BG21" i="81" s="1"/>
  <c r="AT21" i="81"/>
  <c r="AR21" i="81"/>
  <c r="AV21" i="81" s="1"/>
  <c r="AT25" i="80"/>
  <c r="AR25" i="80"/>
  <c r="AV25" i="80" s="1"/>
  <c r="AM25" i="80"/>
  <c r="AX25" i="80"/>
  <c r="AK24" i="80"/>
  <c r="BJ24" i="80"/>
  <c r="H24" i="80" s="1"/>
  <c r="BF24" i="80" s="1"/>
  <c r="BN24" i="80"/>
  <c r="BM24" i="80"/>
  <c r="AP11" i="80"/>
  <c r="BG11" i="80" s="1"/>
  <c r="B14" i="80"/>
  <c r="AJ15" i="80"/>
  <c r="AJ16" i="80" s="1"/>
  <c r="AJ17" i="80" s="1"/>
  <c r="AJ18" i="80" s="1"/>
  <c r="AJ19" i="80" s="1"/>
  <c r="AJ20" i="80" s="1"/>
  <c r="AJ21" i="80" s="1"/>
  <c r="AM26" i="80"/>
  <c r="AT26" i="80"/>
  <c r="AR26" i="80"/>
  <c r="AV26" i="80" s="1"/>
  <c r="AX26" i="80"/>
  <c r="AM23" i="80"/>
  <c r="AR23" i="80"/>
  <c r="AV23" i="80" s="1"/>
  <c r="AT23" i="80"/>
  <c r="AX23" i="80"/>
  <c r="AT12" i="80"/>
  <c r="AR12" i="80"/>
  <c r="AV12" i="80" s="1"/>
  <c r="AM12" i="80"/>
  <c r="AP12" i="80" s="1"/>
  <c r="BG12" i="80" s="1"/>
  <c r="AK17" i="80"/>
  <c r="BJ17" i="80"/>
  <c r="H17" i="80" s="1"/>
  <c r="BF17" i="80" s="1"/>
  <c r="BN17" i="80"/>
  <c r="BM17" i="80"/>
  <c r="AT11" i="80"/>
  <c r="AM11" i="80"/>
  <c r="AR11" i="80"/>
  <c r="AV11" i="80" s="1"/>
  <c r="AT16" i="80"/>
  <c r="AR16" i="80"/>
  <c r="AV16" i="80" s="1"/>
  <c r="AX16" i="80"/>
  <c r="AM16" i="80"/>
  <c r="AT15" i="80"/>
  <c r="AM15" i="80"/>
  <c r="AR15" i="80"/>
  <c r="AV15" i="80" s="1"/>
  <c r="AX15" i="80"/>
  <c r="AK13" i="80"/>
  <c r="BM13" i="80"/>
  <c r="BN13" i="80"/>
  <c r="AK14" i="80"/>
  <c r="BJ14" i="80"/>
  <c r="H14" i="80" s="1"/>
  <c r="BF14" i="80" s="1"/>
  <c r="BN14" i="80"/>
  <c r="BM14" i="80"/>
  <c r="AT28" i="80"/>
  <c r="AR28" i="80"/>
  <c r="AV28" i="80" s="1"/>
  <c r="AX28" i="80"/>
  <c r="AM28" i="80"/>
  <c r="AM10" i="80"/>
  <c r="AT10" i="80"/>
  <c r="AR10" i="80"/>
  <c r="AV10" i="80" s="1"/>
  <c r="AT19" i="80"/>
  <c r="AR19" i="80"/>
  <c r="AV19" i="80" s="1"/>
  <c r="AM19" i="80"/>
  <c r="AX19" i="80"/>
  <c r="AK18" i="80"/>
  <c r="BJ18" i="80"/>
  <c r="H18" i="80" s="1"/>
  <c r="BF18" i="80" s="1"/>
  <c r="BN18" i="80"/>
  <c r="BM18" i="80"/>
  <c r="AK21" i="80"/>
  <c r="BN21" i="80"/>
  <c r="BM21" i="80"/>
  <c r="AZ24" i="80"/>
  <c r="AO9" i="80"/>
  <c r="AK9" i="80"/>
  <c r="BJ9" i="80"/>
  <c r="H9" i="80" s="1"/>
  <c r="BN9" i="80"/>
  <c r="BM9" i="80"/>
  <c r="AT22" i="80"/>
  <c r="AR22" i="80"/>
  <c r="AV22" i="80" s="1"/>
  <c r="AM22" i="80"/>
  <c r="AX22" i="80"/>
  <c r="AP8" i="80"/>
  <c r="BG8" i="80" s="1"/>
  <c r="AT20" i="80"/>
  <c r="AR20" i="80"/>
  <c r="AV20" i="80" s="1"/>
  <c r="AX20" i="80"/>
  <c r="AM20" i="80"/>
  <c r="AK27" i="80"/>
  <c r="BN27" i="80"/>
  <c r="BM27" i="80"/>
  <c r="AZ17" i="80"/>
  <c r="AP10" i="80"/>
  <c r="BG10" i="80" s="1"/>
  <c r="AN41" i="78"/>
  <c r="AN6" i="76"/>
  <c r="AN6" i="78"/>
  <c r="AV45" i="78"/>
  <c r="BJ21" i="78"/>
  <c r="H21" i="78" s="1"/>
  <c r="BF21" i="78" s="1"/>
  <c r="AK21" i="78"/>
  <c r="BN21" i="78"/>
  <c r="AZ21" i="78"/>
  <c r="BM21" i="78"/>
  <c r="BN20" i="78"/>
  <c r="BM20" i="78"/>
  <c r="BJ20" i="78"/>
  <c r="H20" i="78" s="1"/>
  <c r="BF20" i="78" s="1"/>
  <c r="AK20" i="78"/>
  <c r="AN41" i="76"/>
  <c r="BB19" i="78"/>
  <c r="BA19" i="78"/>
  <c r="BK19" i="78"/>
  <c r="I19" i="78" s="1"/>
  <c r="AY19" i="78"/>
  <c r="AX19" i="78"/>
  <c r="BI19" i="78"/>
  <c r="AZ19" i="78" s="1"/>
  <c r="AW19" i="78"/>
  <c r="BN16" i="78"/>
  <c r="BM16" i="78"/>
  <c r="AZ16" i="78"/>
  <c r="BJ16" i="78"/>
  <c r="H16" i="78" s="1"/>
  <c r="BF16" i="78" s="1"/>
  <c r="AK16" i="78"/>
  <c r="BB11" i="78"/>
  <c r="BA11" i="78"/>
  <c r="BK11" i="78"/>
  <c r="I11" i="78" s="1"/>
  <c r="AY11" i="78"/>
  <c r="AX11" i="78"/>
  <c r="BI11" i="78"/>
  <c r="AZ11" i="78" s="1"/>
  <c r="AW11" i="78"/>
  <c r="BJ9" i="78"/>
  <c r="H9" i="78" s="1"/>
  <c r="AK9" i="78"/>
  <c r="BN9" i="78"/>
  <c r="AZ9" i="78"/>
  <c r="BM9" i="78"/>
  <c r="BN8" i="78"/>
  <c r="BM8" i="78"/>
  <c r="AZ8" i="78"/>
  <c r="AK8" i="78"/>
  <c r="AK17" i="78"/>
  <c r="BN17" i="78"/>
  <c r="AZ17" i="78"/>
  <c r="BM17" i="78"/>
  <c r="BI18" i="78"/>
  <c r="BB18" i="78"/>
  <c r="BK18" i="78"/>
  <c r="I18" i="78" s="1"/>
  <c r="AW18" i="78"/>
  <c r="BA18" i="78"/>
  <c r="AY18" i="78"/>
  <c r="AY14" i="78"/>
  <c r="AW14" i="78"/>
  <c r="BB14" i="78"/>
  <c r="BA14" i="78"/>
  <c r="BK14" i="78"/>
  <c r="I14" i="78" s="1"/>
  <c r="BI14" i="78"/>
  <c r="AZ14" i="78" s="1"/>
  <c r="B13" i="78"/>
  <c r="AJ18" i="78"/>
  <c r="AJ19" i="78" s="1"/>
  <c r="BB15" i="78"/>
  <c r="BA15" i="78"/>
  <c r="BK15" i="78"/>
  <c r="I15" i="78" s="1"/>
  <c r="AY15" i="78"/>
  <c r="BI15" i="78"/>
  <c r="AZ15" i="78" s="1"/>
  <c r="AW15" i="78"/>
  <c r="AW10" i="78"/>
  <c r="BB10" i="78"/>
  <c r="AY10" i="78"/>
  <c r="BA10" i="78"/>
  <c r="BA4" i="78" s="1"/>
  <c r="BK10" i="78"/>
  <c r="I10" i="78" s="1"/>
  <c r="BI10" i="78"/>
  <c r="AZ10" i="78" s="1"/>
  <c r="BM13" i="78"/>
  <c r="BJ13" i="78"/>
  <c r="H13" i="78" s="1"/>
  <c r="BF13" i="78" s="1"/>
  <c r="AK13" i="78"/>
  <c r="AZ13" i="78"/>
  <c r="BN13" i="78"/>
  <c r="BN12" i="78"/>
  <c r="BM12" i="78"/>
  <c r="AZ12" i="78"/>
  <c r="BJ12" i="78"/>
  <c r="H12" i="78" s="1"/>
  <c r="BF12" i="78" s="1"/>
  <c r="AK12" i="78"/>
  <c r="BN11" i="76"/>
  <c r="B14" i="76"/>
  <c r="B15" i="76"/>
  <c r="B17" i="76"/>
  <c r="B18" i="76"/>
  <c r="B16" i="76"/>
  <c r="AI18" i="76"/>
  <c r="C18" i="76" s="1"/>
  <c r="AI14" i="76"/>
  <c r="C14" i="76" s="1"/>
  <c r="AI15" i="76"/>
  <c r="C15" i="76" s="1"/>
  <c r="BI18" i="76"/>
  <c r="AZ18" i="76" s="1"/>
  <c r="BB18" i="76"/>
  <c r="BA18" i="76"/>
  <c r="BK18" i="76"/>
  <c r="I18" i="76" s="1"/>
  <c r="AY18" i="76"/>
  <c r="AW18" i="76"/>
  <c r="AJ13" i="76"/>
  <c r="BK9" i="76"/>
  <c r="I9" i="76" s="1"/>
  <c r="AY9" i="76"/>
  <c r="AX9" i="76"/>
  <c r="BI9" i="76"/>
  <c r="AZ9" i="76" s="1"/>
  <c r="AW9" i="76"/>
  <c r="BA9" i="76"/>
  <c r="BB9" i="76"/>
  <c r="BK13" i="76"/>
  <c r="I13" i="76" s="1"/>
  <c r="AY13" i="76"/>
  <c r="BI13" i="76"/>
  <c r="AZ13" i="76" s="1"/>
  <c r="AW13" i="76"/>
  <c r="BA13" i="76"/>
  <c r="BB13" i="76"/>
  <c r="BG11" i="76"/>
  <c r="AI13" i="76"/>
  <c r="C13" i="76" s="1"/>
  <c r="BB23" i="76"/>
  <c r="BA23" i="76"/>
  <c r="BK23" i="76"/>
  <c r="I23" i="76" s="1"/>
  <c r="AY23" i="76"/>
  <c r="BI23" i="76"/>
  <c r="AZ23" i="76" s="1"/>
  <c r="AW23" i="76"/>
  <c r="BN8" i="76"/>
  <c r="BM8" i="76"/>
  <c r="AK8" i="76"/>
  <c r="BI14" i="76"/>
  <c r="BB14" i="76"/>
  <c r="BA14" i="76"/>
  <c r="AW14" i="76"/>
  <c r="BK14" i="76"/>
  <c r="I14" i="76" s="1"/>
  <c r="AY14" i="76"/>
  <c r="BN15" i="76"/>
  <c r="BM15" i="76"/>
  <c r="BJ15" i="76"/>
  <c r="H15" i="76" s="1"/>
  <c r="BF15" i="76" s="1"/>
  <c r="AK15" i="76"/>
  <c r="AI16" i="76"/>
  <c r="C16" i="76" s="1"/>
  <c r="B20" i="76"/>
  <c r="BN20" i="76"/>
  <c r="BM20" i="76"/>
  <c r="BJ20" i="76"/>
  <c r="H20" i="76" s="1"/>
  <c r="BF20" i="76" s="1"/>
  <c r="AK20" i="76"/>
  <c r="BK17" i="76"/>
  <c r="I17" i="76" s="1"/>
  <c r="AY17" i="76"/>
  <c r="BI17" i="76"/>
  <c r="AZ17" i="76" s="1"/>
  <c r="AW17" i="76"/>
  <c r="BB17" i="76"/>
  <c r="BA17" i="76"/>
  <c r="BB10" i="76"/>
  <c r="AX10" i="76"/>
  <c r="AW10" i="76"/>
  <c r="BA10" i="76"/>
  <c r="BI10" i="76"/>
  <c r="BK10" i="76"/>
  <c r="I10" i="76" s="1"/>
  <c r="AY10" i="76"/>
  <c r="BN19" i="76"/>
  <c r="BM19" i="76"/>
  <c r="AK19" i="76"/>
  <c r="AZ19" i="76"/>
  <c r="AI17" i="76"/>
  <c r="C17" i="76" s="1"/>
  <c r="BK21" i="76"/>
  <c r="I21" i="76" s="1"/>
  <c r="AY21" i="76"/>
  <c r="AX21" i="76"/>
  <c r="BI21" i="76"/>
  <c r="AZ21" i="76" s="1"/>
  <c r="AW21" i="76"/>
  <c r="BA21" i="76"/>
  <c r="BB21" i="76"/>
  <c r="BN12" i="76"/>
  <c r="BM12" i="76"/>
  <c r="AK12" i="76"/>
  <c r="BN16" i="76"/>
  <c r="BM16" i="76"/>
  <c r="BJ16" i="76"/>
  <c r="H16" i="76" s="1"/>
  <c r="BF16" i="76" s="1"/>
  <c r="AK16" i="76"/>
  <c r="BN22" i="76"/>
  <c r="BM22" i="76"/>
  <c r="BJ22" i="76"/>
  <c r="H22" i="76" s="1"/>
  <c r="BF22" i="76" s="1"/>
  <c r="AK22" i="76"/>
  <c r="C87" i="14" l="1"/>
  <c r="C88" i="14"/>
  <c r="AV8" i="81"/>
  <c r="AR41" i="81"/>
  <c r="AM6" i="81"/>
  <c r="J41" i="81" s="1"/>
  <c r="AM41" i="81"/>
  <c r="AP8" i="81"/>
  <c r="BG8" i="81" s="1"/>
  <c r="BG17" i="81"/>
  <c r="AT41" i="81"/>
  <c r="AJ23" i="81"/>
  <c r="AJ24" i="81" s="1"/>
  <c r="AJ25" i="81" s="1"/>
  <c r="AJ26" i="81" s="1"/>
  <c r="AJ27" i="81" s="1"/>
  <c r="BG16" i="81"/>
  <c r="B18" i="81"/>
  <c r="B19" i="81" s="1"/>
  <c r="B17" i="80"/>
  <c r="AP17" i="80" s="1"/>
  <c r="BF9" i="80"/>
  <c r="AP9" i="80"/>
  <c r="BG9" i="80" s="1"/>
  <c r="AR17" i="80"/>
  <c r="AV17" i="80" s="1"/>
  <c r="AT17" i="80"/>
  <c r="AM17" i="80"/>
  <c r="AX17" i="80"/>
  <c r="AT14" i="80"/>
  <c r="AM14" i="80"/>
  <c r="AR14" i="80"/>
  <c r="AV14" i="80" s="1"/>
  <c r="AX14" i="80"/>
  <c r="AR21" i="80"/>
  <c r="AV21" i="80" s="1"/>
  <c r="AM21" i="80"/>
  <c r="AP21" i="80" s="1"/>
  <c r="BG21" i="80" s="1"/>
  <c r="AT21" i="80"/>
  <c r="AM24" i="80"/>
  <c r="AT24" i="80"/>
  <c r="AR24" i="80"/>
  <c r="AV24" i="80" s="1"/>
  <c r="AX24" i="80"/>
  <c r="AM27" i="80"/>
  <c r="AP27" i="80" s="1"/>
  <c r="BG27" i="80" s="1"/>
  <c r="AR27" i="80"/>
  <c r="AV27" i="80" s="1"/>
  <c r="AT27" i="80"/>
  <c r="AJ22" i="80"/>
  <c r="AP14" i="80"/>
  <c r="B15" i="80"/>
  <c r="AT13" i="80"/>
  <c r="AM13" i="80"/>
  <c r="AP13" i="80" s="1"/>
  <c r="BG13" i="80" s="1"/>
  <c r="AR13" i="80"/>
  <c r="AV13" i="80" s="1"/>
  <c r="AM9" i="80"/>
  <c r="AR9" i="80"/>
  <c r="AT9" i="80"/>
  <c r="H41" i="80" s="1"/>
  <c r="AT18" i="80"/>
  <c r="AM18" i="80"/>
  <c r="AR18" i="80"/>
  <c r="AV18" i="80" s="1"/>
  <c r="AX18" i="80"/>
  <c r="B16" i="80"/>
  <c r="AP16" i="80" s="1"/>
  <c r="BG16" i="80" s="1"/>
  <c r="AZ4" i="80"/>
  <c r="AY4" i="78"/>
  <c r="BB4" i="78"/>
  <c r="BF9" i="78"/>
  <c r="AP9" i="78"/>
  <c r="AM16" i="78"/>
  <c r="AR16" i="78"/>
  <c r="AV16" i="78" s="1"/>
  <c r="AT16" i="78"/>
  <c r="AX16" i="78"/>
  <c r="AM21" i="78"/>
  <c r="AT21" i="78"/>
  <c r="AR21" i="78"/>
  <c r="AV21" i="78" s="1"/>
  <c r="AX21" i="78"/>
  <c r="AM12" i="78"/>
  <c r="AR12" i="78"/>
  <c r="AV12" i="78" s="1"/>
  <c r="AT12" i="78"/>
  <c r="AX12" i="78"/>
  <c r="AM9" i="78"/>
  <c r="AT9" i="78"/>
  <c r="AR9" i="78"/>
  <c r="AV9" i="78" s="1"/>
  <c r="AX9" i="78"/>
  <c r="BJ10" i="78"/>
  <c r="H10" i="78" s="1"/>
  <c r="AK10" i="78"/>
  <c r="BN10" i="78"/>
  <c r="BM10" i="78"/>
  <c r="AP12" i="78"/>
  <c r="AM17" i="78"/>
  <c r="AP17" i="78" s="1"/>
  <c r="BG17" i="78" s="1"/>
  <c r="AT17" i="78"/>
  <c r="AR17" i="78"/>
  <c r="AV17" i="78" s="1"/>
  <c r="AK11" i="78"/>
  <c r="BN11" i="78"/>
  <c r="BM11" i="78"/>
  <c r="BJ18" i="78"/>
  <c r="H18" i="78" s="1"/>
  <c r="BF18" i="78" s="1"/>
  <c r="AK18" i="78"/>
  <c r="BN18" i="78"/>
  <c r="BM18" i="78"/>
  <c r="AJ20" i="78"/>
  <c r="AR20" i="78"/>
  <c r="AV20" i="78" s="1"/>
  <c r="AM20" i="78"/>
  <c r="AT20" i="78"/>
  <c r="AX20" i="78"/>
  <c r="B14" i="78"/>
  <c r="AM13" i="78"/>
  <c r="AT13" i="78"/>
  <c r="AR13" i="78"/>
  <c r="AV13" i="78" s="1"/>
  <c r="AX13" i="78"/>
  <c r="AZ18" i="78"/>
  <c r="AZ4" i="78" s="1"/>
  <c r="AM8" i="78"/>
  <c r="AT8" i="78"/>
  <c r="AR8" i="78"/>
  <c r="AP13" i="78"/>
  <c r="BJ15" i="78"/>
  <c r="H15" i="78" s="1"/>
  <c r="BF15" i="78" s="1"/>
  <c r="AK15" i="78"/>
  <c r="BM15" i="78"/>
  <c r="BN15" i="78"/>
  <c r="BJ14" i="78"/>
  <c r="H14" i="78" s="1"/>
  <c r="BF14" i="78" s="1"/>
  <c r="AK14" i="78"/>
  <c r="BN14" i="78"/>
  <c r="BM14" i="78"/>
  <c r="AK19" i="78"/>
  <c r="BN19" i="78"/>
  <c r="BM19" i="78"/>
  <c r="AY4" i="76"/>
  <c r="H41" i="76" s="1"/>
  <c r="AM22" i="76"/>
  <c r="AT22" i="76"/>
  <c r="AR22" i="76"/>
  <c r="AV22" i="76" s="1"/>
  <c r="AX22" i="76"/>
  <c r="AR19" i="76"/>
  <c r="AV19" i="76" s="1"/>
  <c r="AM19" i="76"/>
  <c r="AP19" i="76" s="1"/>
  <c r="BG19" i="76" s="1"/>
  <c r="AT19" i="76"/>
  <c r="AR15" i="76"/>
  <c r="AV15" i="76" s="1"/>
  <c r="AT15" i="76"/>
  <c r="AM15" i="76"/>
  <c r="AX15" i="76"/>
  <c r="BJ14" i="76"/>
  <c r="H14" i="76" s="1"/>
  <c r="BF14" i="76" s="1"/>
  <c r="AK14" i="76"/>
  <c r="BM14" i="76"/>
  <c r="BN14" i="76"/>
  <c r="BB4" i="76"/>
  <c r="AM8" i="76"/>
  <c r="AT8" i="76"/>
  <c r="AR8" i="76"/>
  <c r="BJ17" i="76"/>
  <c r="H17" i="76" s="1"/>
  <c r="BF17" i="76" s="1"/>
  <c r="AK17" i="76"/>
  <c r="BM17" i="76"/>
  <c r="BN17" i="76"/>
  <c r="AJ14" i="76"/>
  <c r="BA4" i="76"/>
  <c r="AM16" i="76"/>
  <c r="AT16" i="76"/>
  <c r="AR16" i="76"/>
  <c r="AV16" i="76" s="1"/>
  <c r="AX16" i="76"/>
  <c r="BJ9" i="76"/>
  <c r="H9" i="76" s="1"/>
  <c r="AK9" i="76"/>
  <c r="BM9" i="76"/>
  <c r="AO9" i="76"/>
  <c r="BN9" i="76"/>
  <c r="AP16" i="76"/>
  <c r="B22" i="76"/>
  <c r="AO10" i="76"/>
  <c r="AK10" i="76"/>
  <c r="BJ10" i="76"/>
  <c r="H10" i="76" s="1"/>
  <c r="BM10" i="76"/>
  <c r="BN10" i="76"/>
  <c r="AK21" i="76"/>
  <c r="BM21" i="76"/>
  <c r="BN21" i="76"/>
  <c r="BJ23" i="76"/>
  <c r="H23" i="76" s="1"/>
  <c r="BF23" i="76" s="1"/>
  <c r="AK23" i="76"/>
  <c r="BM23" i="76"/>
  <c r="BN23" i="76"/>
  <c r="AM12" i="76"/>
  <c r="AP12" i="76" s="1"/>
  <c r="BG12" i="76" s="1"/>
  <c r="AR12" i="76"/>
  <c r="AV12" i="76" s="1"/>
  <c r="AT12" i="76"/>
  <c r="BJ13" i="76"/>
  <c r="H13" i="76" s="1"/>
  <c r="AK13" i="76"/>
  <c r="BM13" i="76"/>
  <c r="BN13" i="76"/>
  <c r="BJ18" i="76"/>
  <c r="H18" i="76" s="1"/>
  <c r="BF18" i="76" s="1"/>
  <c r="AK18" i="76"/>
  <c r="BN18" i="76"/>
  <c r="BM18" i="76"/>
  <c r="AP15" i="76"/>
  <c r="AZ10" i="76"/>
  <c r="AM20" i="76"/>
  <c r="AP20" i="76" s="1"/>
  <c r="AT20" i="76"/>
  <c r="AR20" i="76"/>
  <c r="AV20" i="76" s="1"/>
  <c r="AX20" i="76"/>
  <c r="AZ14" i="76"/>
  <c r="BG17" i="80" l="1"/>
  <c r="AR45" i="81"/>
  <c r="AR46" i="81" s="1"/>
  <c r="B41" i="81" s="1"/>
  <c r="AP19" i="81"/>
  <c r="BG19" i="81" s="1"/>
  <c r="B20" i="81"/>
  <c r="AP20" i="81" s="1"/>
  <c r="BG20" i="81" s="1"/>
  <c r="AJ28" i="81"/>
  <c r="AT41" i="80"/>
  <c r="AP18" i="81"/>
  <c r="BG18" i="81" s="1"/>
  <c r="Q6" i="81"/>
  <c r="F41" i="81"/>
  <c r="U47" i="81" s="1"/>
  <c r="U49" i="81" s="1"/>
  <c r="AW4" i="81"/>
  <c r="AX4" i="81"/>
  <c r="AP15" i="80"/>
  <c r="BG15" i="80" s="1"/>
  <c r="B18" i="80"/>
  <c r="B20" i="80"/>
  <c r="AP20" i="80" s="1"/>
  <c r="BG20" i="80" s="1"/>
  <c r="AV9" i="80"/>
  <c r="AR41" i="80"/>
  <c r="AM41" i="80"/>
  <c r="AM6" i="80"/>
  <c r="BG14" i="80"/>
  <c r="AJ23" i="80"/>
  <c r="B19" i="80"/>
  <c r="AP19" i="80" s="1"/>
  <c r="BG19" i="80" s="1"/>
  <c r="BG13" i="78"/>
  <c r="BG12" i="78"/>
  <c r="BG9" i="78"/>
  <c r="AR15" i="78"/>
  <c r="AV15" i="78" s="1"/>
  <c r="AT15" i="78"/>
  <c r="AM15" i="78"/>
  <c r="AX15" i="78"/>
  <c r="AP14" i="78"/>
  <c r="AT18" i="78"/>
  <c r="AR18" i="78"/>
  <c r="AV18" i="78" s="1"/>
  <c r="AM18" i="78"/>
  <c r="AX18" i="78"/>
  <c r="AP22" i="76"/>
  <c r="BG22" i="76" s="1"/>
  <c r="AT19" i="78"/>
  <c r="AR19" i="78"/>
  <c r="AV19" i="78" s="1"/>
  <c r="AM19" i="78"/>
  <c r="AP19" i="78" s="1"/>
  <c r="BG19" i="78" s="1"/>
  <c r="AV8" i="78"/>
  <c r="AT10" i="78"/>
  <c r="AR10" i="78"/>
  <c r="AV10" i="78" s="1"/>
  <c r="AM10" i="78"/>
  <c r="AX10" i="78"/>
  <c r="BF10" i="78"/>
  <c r="AP10" i="78"/>
  <c r="AP8" i="78"/>
  <c r="BG8" i="78" s="1"/>
  <c r="AJ21" i="78"/>
  <c r="AI19" i="78" s="1"/>
  <c r="C19" i="78" s="1"/>
  <c r="AI11" i="78"/>
  <c r="AI8" i="78"/>
  <c r="C8" i="78" s="1"/>
  <c r="AI17" i="78"/>
  <c r="C17" i="78" s="1"/>
  <c r="AT11" i="78"/>
  <c r="AR11" i="78"/>
  <c r="AV11" i="78" s="1"/>
  <c r="AM11" i="78"/>
  <c r="AP11" i="78" s="1"/>
  <c r="BG11" i="78" s="1"/>
  <c r="AT14" i="78"/>
  <c r="AR14" i="78"/>
  <c r="AV14" i="78" s="1"/>
  <c r="AM14" i="78"/>
  <c r="AX14" i="78"/>
  <c r="B15" i="78"/>
  <c r="BG15" i="76"/>
  <c r="AT14" i="76"/>
  <c r="AR14" i="76"/>
  <c r="AV14" i="76" s="1"/>
  <c r="AM14" i="76"/>
  <c r="AX14" i="76"/>
  <c r="BG20" i="76"/>
  <c r="AM13" i="76"/>
  <c r="AT13" i="76"/>
  <c r="AR13" i="76"/>
  <c r="AV13" i="76" s="1"/>
  <c r="AX13" i="76"/>
  <c r="AP14" i="76"/>
  <c r="BF13" i="76"/>
  <c r="AP13" i="76"/>
  <c r="AM21" i="76"/>
  <c r="AP21" i="76" s="1"/>
  <c r="BG21" i="76" s="1"/>
  <c r="AT21" i="76"/>
  <c r="AR21" i="76"/>
  <c r="AV21" i="76" s="1"/>
  <c r="AM9" i="76"/>
  <c r="AT9" i="76"/>
  <c r="AR9" i="76"/>
  <c r="AV9" i="76" s="1"/>
  <c r="AM17" i="76"/>
  <c r="AT17" i="76"/>
  <c r="AR17" i="76"/>
  <c r="AV17" i="76" s="1"/>
  <c r="AX17" i="76"/>
  <c r="BF9" i="76"/>
  <c r="AP9" i="76"/>
  <c r="BG9" i="76" s="1"/>
  <c r="B23" i="76"/>
  <c r="AV8" i="76"/>
  <c r="AZ4" i="76"/>
  <c r="BF10" i="76"/>
  <c r="AP10" i="76"/>
  <c r="BG10" i="76" s="1"/>
  <c r="BG16" i="76"/>
  <c r="AT18" i="76"/>
  <c r="AR18" i="76"/>
  <c r="AV18" i="76" s="1"/>
  <c r="AM18" i="76"/>
  <c r="AX18" i="76"/>
  <c r="AT23" i="76"/>
  <c r="AR23" i="76"/>
  <c r="AV23" i="76" s="1"/>
  <c r="AM23" i="76"/>
  <c r="AX23" i="76"/>
  <c r="AP17" i="76"/>
  <c r="AT10" i="76"/>
  <c r="AR10" i="76"/>
  <c r="AV10" i="76" s="1"/>
  <c r="AM10" i="76"/>
  <c r="AP8" i="76"/>
  <c r="BG8" i="76" s="1"/>
  <c r="AP18" i="76"/>
  <c r="AJ15" i="76"/>
  <c r="F20" i="9" l="1"/>
  <c r="F9" i="7"/>
  <c r="C67" i="14" s="1"/>
  <c r="U45" i="81"/>
  <c r="Q40" i="81" s="1"/>
  <c r="AR45" i="80"/>
  <c r="AR46" i="80" s="1"/>
  <c r="B41" i="80" s="1"/>
  <c r="U44" i="81"/>
  <c r="O40" i="81" s="1"/>
  <c r="AI8" i="81"/>
  <c r="C8" i="81" s="1"/>
  <c r="AI21" i="81"/>
  <c r="C21" i="81" s="1"/>
  <c r="AI12" i="81"/>
  <c r="AI13" i="81"/>
  <c r="C13" i="81" s="1"/>
  <c r="AI27" i="81"/>
  <c r="C27" i="81" s="1"/>
  <c r="BG14" i="78"/>
  <c r="B22" i="81"/>
  <c r="AW4" i="80"/>
  <c r="AJ24" i="80"/>
  <c r="AP18" i="80"/>
  <c r="BG18" i="80" s="1"/>
  <c r="B22" i="80"/>
  <c r="AX4" i="80"/>
  <c r="BG14" i="76"/>
  <c r="AM6" i="78"/>
  <c r="AR41" i="78"/>
  <c r="AR45" i="78" s="1"/>
  <c r="BG10" i="78"/>
  <c r="AP15" i="78"/>
  <c r="BG15" i="78" s="1"/>
  <c r="B16" i="78"/>
  <c r="AP16" i="78" s="1"/>
  <c r="BG16" i="78" s="1"/>
  <c r="C11" i="78"/>
  <c r="AI43" i="78"/>
  <c r="AM41" i="76"/>
  <c r="F41" i="76" s="1"/>
  <c r="U47" i="76" s="1"/>
  <c r="U49" i="76" s="1"/>
  <c r="BG17" i="76"/>
  <c r="AT41" i="76"/>
  <c r="AM41" i="78"/>
  <c r="AX4" i="78" s="1"/>
  <c r="AM6" i="76"/>
  <c r="J41" i="76" s="1"/>
  <c r="AR41" i="76"/>
  <c r="Q6" i="76"/>
  <c r="BG13" i="76"/>
  <c r="AJ16" i="76"/>
  <c r="BG18" i="76"/>
  <c r="AP23" i="76"/>
  <c r="BG23" i="76" s="1"/>
  <c r="F18" i="9" l="1"/>
  <c r="C22" i="14"/>
  <c r="F41" i="80"/>
  <c r="U47" i="80" s="1"/>
  <c r="U49" i="80" s="1"/>
  <c r="Q6" i="80"/>
  <c r="J41" i="80"/>
  <c r="U44" i="80"/>
  <c r="O40" i="80" s="1"/>
  <c r="U45" i="80"/>
  <c r="Q40" i="80" s="1"/>
  <c r="C12" i="81"/>
  <c r="AI43" i="81"/>
  <c r="AX4" i="76"/>
  <c r="AW4" i="76"/>
  <c r="AP22" i="81"/>
  <c r="BG22" i="81" s="1"/>
  <c r="B23" i="81"/>
  <c r="AJ25" i="80"/>
  <c r="AP22" i="80"/>
  <c r="BG22" i="80" s="1"/>
  <c r="B23" i="80"/>
  <c r="B24" i="80"/>
  <c r="AP24" i="80" s="1"/>
  <c r="BG24" i="80" s="1"/>
  <c r="J41" i="78"/>
  <c r="B18" i="78"/>
  <c r="AR45" i="76"/>
  <c r="AW4" i="78"/>
  <c r="F41" i="78" s="1"/>
  <c r="U48" i="78" s="1"/>
  <c r="U49" i="78" s="1"/>
  <c r="U45" i="78"/>
  <c r="Q40" i="78" s="1"/>
  <c r="AR46" i="78"/>
  <c r="B41" i="78" s="1"/>
  <c r="AJ17" i="76"/>
  <c r="F8" i="7" l="1"/>
  <c r="C62" i="14" s="1"/>
  <c r="F19" i="9"/>
  <c r="U45" i="76"/>
  <c r="Q40" i="76" s="1"/>
  <c r="AP23" i="81"/>
  <c r="BG23" i="81" s="1"/>
  <c r="B24" i="81"/>
  <c r="AP23" i="80"/>
  <c r="BG23" i="80" s="1"/>
  <c r="B25" i="80"/>
  <c r="AP25" i="80" s="1"/>
  <c r="BG25" i="80" s="1"/>
  <c r="B26" i="80"/>
  <c r="AJ26" i="80"/>
  <c r="AR46" i="76"/>
  <c r="B41" i="76" s="1"/>
  <c r="U44" i="76"/>
  <c r="O40" i="76" s="1"/>
  <c r="U44" i="78"/>
  <c r="O40" i="78" s="1"/>
  <c r="Q6" i="78"/>
  <c r="AP18" i="78"/>
  <c r="BG18" i="78" s="1"/>
  <c r="B20" i="78"/>
  <c r="AJ18" i="76"/>
  <c r="C28" i="14" l="1"/>
  <c r="C29" i="14"/>
  <c r="F17" i="9"/>
  <c r="C21" i="14"/>
  <c r="AP24" i="81"/>
  <c r="BG24" i="81" s="1"/>
  <c r="B25" i="81"/>
  <c r="AJ27" i="80"/>
  <c r="AP26" i="80"/>
  <c r="BG26" i="80" s="1"/>
  <c r="B28" i="80"/>
  <c r="AP28" i="80" s="1"/>
  <c r="BG28" i="80" s="1"/>
  <c r="AP20" i="78"/>
  <c r="BG20" i="78" s="1"/>
  <c r="B21" i="78"/>
  <c r="AP21" i="78" s="1"/>
  <c r="BG21" i="78" s="1"/>
  <c r="AJ19" i="76"/>
  <c r="AP25" i="81" l="1"/>
  <c r="BG25" i="81" s="1"/>
  <c r="B26" i="81"/>
  <c r="AJ28" i="80"/>
  <c r="AI27" i="80"/>
  <c r="C27" i="80" s="1"/>
  <c r="AI21" i="80"/>
  <c r="C21" i="80" s="1"/>
  <c r="AJ20" i="76"/>
  <c r="AP26" i="81" l="1"/>
  <c r="BG26" i="81" s="1"/>
  <c r="B28" i="81"/>
  <c r="AP28" i="81" s="1"/>
  <c r="BG28" i="81" s="1"/>
  <c r="AI13" i="80"/>
  <c r="C13" i="80" s="1"/>
  <c r="AI8" i="80"/>
  <c r="C8" i="80" s="1"/>
  <c r="AI12" i="80"/>
  <c r="AJ21" i="76"/>
  <c r="C12" i="80" l="1"/>
  <c r="AI43" i="80"/>
  <c r="AI21" i="76"/>
  <c r="C21" i="76" s="1"/>
  <c r="AJ22" i="76"/>
  <c r="AJ23" i="76" s="1"/>
  <c r="AI19" i="76"/>
  <c r="C19" i="76" s="1"/>
  <c r="AI8" i="76" l="1"/>
  <c r="C8" i="76" s="1"/>
  <c r="AI11" i="76"/>
  <c r="AI12" i="76"/>
  <c r="C12" i="76" s="1"/>
  <c r="C11" i="76" l="1"/>
  <c r="AI43" i="76"/>
  <c r="G10" i="74" l="1"/>
  <c r="F10" i="74"/>
  <c r="L22" i="74"/>
  <c r="D10" i="74" s="1"/>
  <c r="K16" i="74"/>
  <c r="L16" i="74" s="1"/>
  <c r="C10" i="74" s="1"/>
  <c r="E10" i="74"/>
  <c r="K4" i="74"/>
  <c r="H8" i="74" l="1"/>
  <c r="K5" i="74" s="1"/>
  <c r="C20" i="14" s="1"/>
  <c r="U47" i="70"/>
  <c r="BE43" i="70"/>
  <c r="AT43" i="70"/>
  <c r="AT44" i="70" s="1"/>
  <c r="AR44" i="70" s="1"/>
  <c r="H41" i="70"/>
  <c r="BN39" i="70"/>
  <c r="BK39" i="70"/>
  <c r="I39" i="70" s="1"/>
  <c r="BJ39" i="70"/>
  <c r="H39" i="70" s="1"/>
  <c r="BF39" i="70" s="1"/>
  <c r="BI39" i="70"/>
  <c r="AK39" i="70" s="1"/>
  <c r="AM39" i="70" s="1"/>
  <c r="BH39" i="70"/>
  <c r="G39" i="70" s="1"/>
  <c r="BG39" i="70"/>
  <c r="BE39" i="70"/>
  <c r="BD39" i="70"/>
  <c r="BC39" i="70"/>
  <c r="BB39" i="70"/>
  <c r="BA39" i="70"/>
  <c r="AZ39" i="70"/>
  <c r="AY39" i="70"/>
  <c r="AX39" i="70"/>
  <c r="AW39" i="70"/>
  <c r="AU39" i="70"/>
  <c r="AT39" i="70"/>
  <c r="AS39" i="70"/>
  <c r="AR39" i="70"/>
  <c r="AV39" i="70" s="1"/>
  <c r="AQ39" i="70"/>
  <c r="AP39" i="70"/>
  <c r="AO39" i="70"/>
  <c r="AL39" i="70"/>
  <c r="AJ39" i="70"/>
  <c r="AI39" i="70"/>
  <c r="AH39" i="70"/>
  <c r="AN39" i="70" s="1"/>
  <c r="AG39" i="70"/>
  <c r="C39" i="70"/>
  <c r="B39" i="70"/>
  <c r="BN38" i="70"/>
  <c r="BL38" i="70"/>
  <c r="BK38" i="70"/>
  <c r="I38" i="70" s="1"/>
  <c r="BJ38" i="70"/>
  <c r="H38" i="70" s="1"/>
  <c r="BF38" i="70" s="1"/>
  <c r="BI38" i="70"/>
  <c r="BM38" i="70" s="1"/>
  <c r="BH38" i="70"/>
  <c r="G38" i="70" s="1"/>
  <c r="BG38" i="70"/>
  <c r="BE38" i="70"/>
  <c r="BD38" i="70"/>
  <c r="BC38" i="70"/>
  <c r="BB38" i="70"/>
  <c r="BA38" i="70"/>
  <c r="AZ38" i="70"/>
  <c r="AY38" i="70"/>
  <c r="AX38" i="70"/>
  <c r="AW38" i="70"/>
  <c r="AU38" i="70"/>
  <c r="AT38" i="70"/>
  <c r="AS38" i="70"/>
  <c r="AR38" i="70"/>
  <c r="AV38" i="70" s="1"/>
  <c r="AQ38" i="70"/>
  <c r="AP38" i="70"/>
  <c r="AO38" i="70"/>
  <c r="AL38" i="70"/>
  <c r="AJ38" i="70"/>
  <c r="AI38" i="70"/>
  <c r="AH38" i="70"/>
  <c r="AN38" i="70" s="1"/>
  <c r="AG38" i="70"/>
  <c r="C38" i="70"/>
  <c r="B38" i="70"/>
  <c r="BN37" i="70"/>
  <c r="BL37" i="70"/>
  <c r="BK37" i="70"/>
  <c r="I37" i="70" s="1"/>
  <c r="BJ37" i="70"/>
  <c r="H37" i="70" s="1"/>
  <c r="BF37" i="70" s="1"/>
  <c r="BI37" i="70"/>
  <c r="BM37" i="70" s="1"/>
  <c r="BH37" i="70"/>
  <c r="BG37" i="70"/>
  <c r="BE37" i="70"/>
  <c r="BD37" i="70"/>
  <c r="BC37" i="70"/>
  <c r="BB37" i="70"/>
  <c r="BA37" i="70"/>
  <c r="AZ37" i="70"/>
  <c r="AY37" i="70"/>
  <c r="AX37" i="70"/>
  <c r="AW37" i="70"/>
  <c r="AU37" i="70"/>
  <c r="AT37" i="70"/>
  <c r="AS37" i="70"/>
  <c r="AR37" i="70"/>
  <c r="AV37" i="70" s="1"/>
  <c r="AQ37" i="70"/>
  <c r="AP37" i="70"/>
  <c r="AO37" i="70"/>
  <c r="AL37" i="70"/>
  <c r="AJ37" i="70"/>
  <c r="AI37" i="70"/>
  <c r="AH37" i="70"/>
  <c r="AN37" i="70" s="1"/>
  <c r="AG37" i="70"/>
  <c r="G37" i="70"/>
  <c r="C37" i="70"/>
  <c r="B37" i="70"/>
  <c r="BN36" i="70"/>
  <c r="BL36" i="70"/>
  <c r="BK36" i="70"/>
  <c r="I36" i="70" s="1"/>
  <c r="BJ36" i="70"/>
  <c r="H36" i="70" s="1"/>
  <c r="BF36" i="70" s="1"/>
  <c r="BI36" i="70"/>
  <c r="BM36" i="70" s="1"/>
  <c r="BH36" i="70"/>
  <c r="BG36" i="70"/>
  <c r="BE36" i="70"/>
  <c r="BD36" i="70"/>
  <c r="BC36" i="70"/>
  <c r="BB36" i="70"/>
  <c r="BA36" i="70"/>
  <c r="AZ36" i="70"/>
  <c r="AY36" i="70"/>
  <c r="AX36" i="70"/>
  <c r="AW36" i="70"/>
  <c r="AU36" i="70"/>
  <c r="AT36" i="70"/>
  <c r="AS36" i="70"/>
  <c r="AR36" i="70"/>
  <c r="AV36" i="70" s="1"/>
  <c r="AQ36" i="70"/>
  <c r="AP36" i="70"/>
  <c r="AO36" i="70"/>
  <c r="AL36" i="70"/>
  <c r="AJ36" i="70"/>
  <c r="AI36" i="70"/>
  <c r="AH36" i="70"/>
  <c r="AN36" i="70" s="1"/>
  <c r="AG36" i="70"/>
  <c r="G36" i="70"/>
  <c r="C36" i="70"/>
  <c r="B36" i="70"/>
  <c r="BN35" i="70"/>
  <c r="BK35" i="70"/>
  <c r="I35" i="70" s="1"/>
  <c r="BJ35" i="70"/>
  <c r="H35" i="70" s="1"/>
  <c r="BF35" i="70" s="1"/>
  <c r="BI35" i="70"/>
  <c r="AK35" i="70" s="1"/>
  <c r="AM35" i="70" s="1"/>
  <c r="BH35" i="70"/>
  <c r="G35" i="70" s="1"/>
  <c r="BG35" i="70"/>
  <c r="BE35" i="70"/>
  <c r="BD35" i="70"/>
  <c r="BC35" i="70"/>
  <c r="BB35" i="70"/>
  <c r="BA35" i="70"/>
  <c r="AZ35" i="70"/>
  <c r="AY35" i="70"/>
  <c r="AX35" i="70"/>
  <c r="AW35" i="70"/>
  <c r="AU35" i="70"/>
  <c r="AT35" i="70"/>
  <c r="AS35" i="70"/>
  <c r="AR35" i="70"/>
  <c r="AV35" i="70" s="1"/>
  <c r="AQ35" i="70"/>
  <c r="AP35" i="70"/>
  <c r="AO35" i="70"/>
  <c r="AL35" i="70"/>
  <c r="AJ35" i="70"/>
  <c r="AI35" i="70"/>
  <c r="AH35" i="70"/>
  <c r="AN35" i="70" s="1"/>
  <c r="AG35" i="70"/>
  <c r="C35" i="70"/>
  <c r="B35" i="70"/>
  <c r="BN34" i="70"/>
  <c r="BL34" i="70"/>
  <c r="BK34" i="70"/>
  <c r="I34" i="70" s="1"/>
  <c r="BJ34" i="70"/>
  <c r="H34" i="70" s="1"/>
  <c r="BF34" i="70" s="1"/>
  <c r="BI34" i="70"/>
  <c r="BM34" i="70" s="1"/>
  <c r="BH34" i="70"/>
  <c r="G34" i="70" s="1"/>
  <c r="BG34" i="70"/>
  <c r="BE34" i="70"/>
  <c r="BD34" i="70"/>
  <c r="BC34" i="70"/>
  <c r="BB34" i="70"/>
  <c r="BA34" i="70"/>
  <c r="AZ34" i="70"/>
  <c r="AY34" i="70"/>
  <c r="AX34" i="70"/>
  <c r="AW34" i="70"/>
  <c r="AU34" i="70"/>
  <c r="AT34" i="70"/>
  <c r="AS34" i="70"/>
  <c r="AR34" i="70"/>
  <c r="AV34" i="70" s="1"/>
  <c r="AQ34" i="70"/>
  <c r="AP34" i="70"/>
  <c r="AO34" i="70"/>
  <c r="AL34" i="70"/>
  <c r="AJ34" i="70"/>
  <c r="AI34" i="70"/>
  <c r="AH34" i="70"/>
  <c r="AN34" i="70" s="1"/>
  <c r="AG34" i="70"/>
  <c r="C34" i="70"/>
  <c r="B34" i="70"/>
  <c r="BN33" i="70"/>
  <c r="BL33" i="70"/>
  <c r="BK33" i="70"/>
  <c r="I33" i="70" s="1"/>
  <c r="BJ33" i="70"/>
  <c r="H33" i="70" s="1"/>
  <c r="BF33" i="70" s="1"/>
  <c r="BI33" i="70"/>
  <c r="BM33" i="70" s="1"/>
  <c r="BH33" i="70"/>
  <c r="BG33" i="70"/>
  <c r="BE33" i="70"/>
  <c r="BD33" i="70"/>
  <c r="BC33" i="70"/>
  <c r="BB33" i="70"/>
  <c r="BA33" i="70"/>
  <c r="AZ33" i="70"/>
  <c r="AY33" i="70"/>
  <c r="AX33" i="70"/>
  <c r="AW33" i="70"/>
  <c r="AU33" i="70"/>
  <c r="AT33" i="70"/>
  <c r="AS33" i="70"/>
  <c r="AR33" i="70"/>
  <c r="AV33" i="70" s="1"/>
  <c r="AQ33" i="70"/>
  <c r="AP33" i="70"/>
  <c r="AO33" i="70"/>
  <c r="AL33" i="70"/>
  <c r="AJ33" i="70"/>
  <c r="AI33" i="70"/>
  <c r="AH33" i="70"/>
  <c r="AN33" i="70" s="1"/>
  <c r="AG33" i="70"/>
  <c r="G33" i="70"/>
  <c r="C33" i="70"/>
  <c r="B33" i="70"/>
  <c r="BN32" i="70"/>
  <c r="BL32" i="70"/>
  <c r="BK32" i="70"/>
  <c r="I32" i="70" s="1"/>
  <c r="BJ32" i="70"/>
  <c r="H32" i="70" s="1"/>
  <c r="BF32" i="70" s="1"/>
  <c r="BI32" i="70"/>
  <c r="BM32" i="70" s="1"/>
  <c r="BH32" i="70"/>
  <c r="BG32" i="70"/>
  <c r="BE32" i="70"/>
  <c r="BD32" i="70"/>
  <c r="BC32" i="70"/>
  <c r="BB32" i="70"/>
  <c r="BA32" i="70"/>
  <c r="AZ32" i="70"/>
  <c r="AY32" i="70"/>
  <c r="AX32" i="70"/>
  <c r="AW32" i="70"/>
  <c r="AU32" i="70"/>
  <c r="AT32" i="70"/>
  <c r="AS32" i="70"/>
  <c r="AR32" i="70"/>
  <c r="AV32" i="70" s="1"/>
  <c r="AQ32" i="70"/>
  <c r="AP32" i="70"/>
  <c r="AO32" i="70"/>
  <c r="AL32" i="70"/>
  <c r="AJ32" i="70"/>
  <c r="AI32" i="70"/>
  <c r="AH32" i="70"/>
  <c r="AN32" i="70" s="1"/>
  <c r="AG32" i="70"/>
  <c r="G32" i="70"/>
  <c r="C32" i="70"/>
  <c r="B32" i="70"/>
  <c r="BN31" i="70"/>
  <c r="BK31" i="70"/>
  <c r="I31" i="70" s="1"/>
  <c r="BJ31" i="70"/>
  <c r="H31" i="70" s="1"/>
  <c r="BF31" i="70" s="1"/>
  <c r="BI31" i="70"/>
  <c r="AK31" i="70" s="1"/>
  <c r="AM31" i="70" s="1"/>
  <c r="BH31" i="70"/>
  <c r="G31" i="70" s="1"/>
  <c r="BG31" i="70"/>
  <c r="BE31" i="70"/>
  <c r="BD31" i="70"/>
  <c r="BC31" i="70"/>
  <c r="BB31" i="70"/>
  <c r="BA31" i="70"/>
  <c r="AZ31" i="70"/>
  <c r="AY31" i="70"/>
  <c r="AX31" i="70"/>
  <c r="AW31" i="70"/>
  <c r="AU31" i="70"/>
  <c r="AT31" i="70"/>
  <c r="AS31" i="70"/>
  <c r="AR31" i="70"/>
  <c r="AV31" i="70" s="1"/>
  <c r="AQ31" i="70"/>
  <c r="AP31" i="70"/>
  <c r="AO31" i="70"/>
  <c r="AL31" i="70"/>
  <c r="AJ31" i="70"/>
  <c r="AI31" i="70"/>
  <c r="AH31" i="70"/>
  <c r="AN31" i="70" s="1"/>
  <c r="AG31" i="70"/>
  <c r="C31" i="70"/>
  <c r="B31" i="70"/>
  <c r="BN30" i="70"/>
  <c r="BL30" i="70"/>
  <c r="BK30" i="70"/>
  <c r="I30" i="70" s="1"/>
  <c r="BJ30" i="70"/>
  <c r="H30" i="70" s="1"/>
  <c r="BF30" i="70" s="1"/>
  <c r="BI30" i="70"/>
  <c r="BM30" i="70" s="1"/>
  <c r="BH30" i="70"/>
  <c r="G30" i="70" s="1"/>
  <c r="BG30" i="70"/>
  <c r="BE30" i="70"/>
  <c r="BD30" i="70"/>
  <c r="BC30" i="70"/>
  <c r="BB30" i="70"/>
  <c r="BA30" i="70"/>
  <c r="AZ30" i="70"/>
  <c r="AY30" i="70"/>
  <c r="AX30" i="70"/>
  <c r="AW30" i="70"/>
  <c r="AU30" i="70"/>
  <c r="AT30" i="70"/>
  <c r="AS30" i="70"/>
  <c r="AR30" i="70"/>
  <c r="AV30" i="70" s="1"/>
  <c r="AQ30" i="70"/>
  <c r="AP30" i="70"/>
  <c r="AO30" i="70"/>
  <c r="AL30" i="70"/>
  <c r="AJ30" i="70"/>
  <c r="AI30" i="70"/>
  <c r="AH30" i="70"/>
  <c r="AN30" i="70" s="1"/>
  <c r="AG30" i="70"/>
  <c r="C30" i="70"/>
  <c r="B30" i="70"/>
  <c r="BU29" i="70"/>
  <c r="BT29" i="70"/>
  <c r="BS29" i="70"/>
  <c r="BR29" i="70"/>
  <c r="BQ29" i="70"/>
  <c r="BN29" i="70"/>
  <c r="BK29" i="70"/>
  <c r="I29" i="70" s="1"/>
  <c r="BJ29" i="70"/>
  <c r="H29" i="70" s="1"/>
  <c r="BF29" i="70" s="1"/>
  <c r="BI29" i="70"/>
  <c r="AK29" i="70" s="1"/>
  <c r="AM29" i="70" s="1"/>
  <c r="BH29" i="70"/>
  <c r="G29" i="70" s="1"/>
  <c r="BG29" i="70"/>
  <c r="BE29" i="70"/>
  <c r="BD29" i="70"/>
  <c r="BC29" i="70"/>
  <c r="BB29" i="70"/>
  <c r="BA29" i="70"/>
  <c r="AZ29" i="70"/>
  <c r="AY29" i="70"/>
  <c r="AX29" i="70"/>
  <c r="AW29" i="70"/>
  <c r="AU29" i="70"/>
  <c r="AT29" i="70"/>
  <c r="AS29" i="70"/>
  <c r="AR29" i="70"/>
  <c r="AV29" i="70" s="1"/>
  <c r="AQ29" i="70"/>
  <c r="AP29" i="70"/>
  <c r="AO29" i="70"/>
  <c r="AL29" i="70"/>
  <c r="AJ29" i="70"/>
  <c r="AI29" i="70"/>
  <c r="AH29" i="70"/>
  <c r="AN29" i="70" s="1"/>
  <c r="AG29" i="70"/>
  <c r="C29" i="70"/>
  <c r="B29" i="70"/>
  <c r="BU28" i="70"/>
  <c r="BT28" i="70"/>
  <c r="BS28" i="70"/>
  <c r="BR28" i="70"/>
  <c r="BQ28" i="70"/>
  <c r="BN28" i="70"/>
  <c r="BL28" i="70"/>
  <c r="BK28" i="70"/>
  <c r="I28" i="70" s="1"/>
  <c r="BJ28" i="70"/>
  <c r="H28" i="70" s="1"/>
  <c r="BF28" i="70" s="1"/>
  <c r="BI28" i="70"/>
  <c r="AK28" i="70" s="1"/>
  <c r="AM28" i="70" s="1"/>
  <c r="BH28" i="70"/>
  <c r="BG28" i="70"/>
  <c r="BE28" i="70"/>
  <c r="BD28" i="70"/>
  <c r="BC28" i="70"/>
  <c r="BB28" i="70"/>
  <c r="BA28" i="70"/>
  <c r="AZ28" i="70"/>
  <c r="AY28" i="70"/>
  <c r="AX28" i="70"/>
  <c r="AW28" i="70"/>
  <c r="AU28" i="70"/>
  <c r="AT28" i="70"/>
  <c r="AS28" i="70"/>
  <c r="AR28" i="70"/>
  <c r="AV28" i="70" s="1"/>
  <c r="AQ28" i="70"/>
  <c r="AP28" i="70"/>
  <c r="AO28" i="70"/>
  <c r="AL28" i="70"/>
  <c r="AJ28" i="70"/>
  <c r="AI28" i="70"/>
  <c r="AH28" i="70"/>
  <c r="AN28" i="70" s="1"/>
  <c r="AG28" i="70"/>
  <c r="G28" i="70"/>
  <c r="C28" i="70"/>
  <c r="B28" i="70"/>
  <c r="BU27" i="70"/>
  <c r="BT27" i="70"/>
  <c r="BS27" i="70"/>
  <c r="BR27" i="70"/>
  <c r="BQ27" i="70"/>
  <c r="BN27" i="70"/>
  <c r="BL27" i="70"/>
  <c r="BK27" i="70"/>
  <c r="I27" i="70" s="1"/>
  <c r="BJ27" i="70"/>
  <c r="H27" i="70" s="1"/>
  <c r="BF27" i="70" s="1"/>
  <c r="BI27" i="70"/>
  <c r="BM27" i="70" s="1"/>
  <c r="BH27" i="70"/>
  <c r="G27" i="70" s="1"/>
  <c r="BG27" i="70"/>
  <c r="BE27" i="70"/>
  <c r="BD27" i="70"/>
  <c r="BC27" i="70"/>
  <c r="BB27" i="70"/>
  <c r="BA27" i="70"/>
  <c r="AZ27" i="70"/>
  <c r="AY27" i="70"/>
  <c r="AX27" i="70"/>
  <c r="AW27" i="70"/>
  <c r="AU27" i="70"/>
  <c r="AT27" i="70"/>
  <c r="AS27" i="70"/>
  <c r="AR27" i="70"/>
  <c r="AV27" i="70" s="1"/>
  <c r="AQ27" i="70"/>
  <c r="AP27" i="70"/>
  <c r="AO27" i="70"/>
  <c r="AL27" i="70"/>
  <c r="AJ27" i="70"/>
  <c r="AI27" i="70"/>
  <c r="AH27" i="70"/>
  <c r="AN27" i="70" s="1"/>
  <c r="AG27" i="70"/>
  <c r="C27" i="70"/>
  <c r="B27" i="70"/>
  <c r="BU26" i="70"/>
  <c r="BT26" i="70"/>
  <c r="BS26" i="70"/>
  <c r="BR26" i="70"/>
  <c r="BQ26" i="70"/>
  <c r="BN26" i="70"/>
  <c r="BK26" i="70"/>
  <c r="I26" i="70" s="1"/>
  <c r="BJ26" i="70"/>
  <c r="H26" i="70" s="1"/>
  <c r="BF26" i="70" s="1"/>
  <c r="BI26" i="70"/>
  <c r="AK26" i="70" s="1"/>
  <c r="AM26" i="70" s="1"/>
  <c r="BH26" i="70"/>
  <c r="G26" i="70" s="1"/>
  <c r="BG26" i="70"/>
  <c r="BE26" i="70"/>
  <c r="BD26" i="70"/>
  <c r="BC26" i="70"/>
  <c r="BB26" i="70"/>
  <c r="BA26" i="70"/>
  <c r="AZ26" i="70"/>
  <c r="AY26" i="70"/>
  <c r="AX26" i="70"/>
  <c r="AW26" i="70"/>
  <c r="AU26" i="70"/>
  <c r="AT26" i="70"/>
  <c r="AS26" i="70"/>
  <c r="AR26" i="70"/>
  <c r="AV26" i="70" s="1"/>
  <c r="AQ26" i="70"/>
  <c r="AP26" i="70"/>
  <c r="AO26" i="70"/>
  <c r="AL26" i="70"/>
  <c r="AJ26" i="70"/>
  <c r="AI26" i="70"/>
  <c r="AH26" i="70"/>
  <c r="AN26" i="70" s="1"/>
  <c r="AG26" i="70"/>
  <c r="C26" i="70"/>
  <c r="B26" i="70"/>
  <c r="BU25" i="70"/>
  <c r="BT25" i="70"/>
  <c r="BS25" i="70"/>
  <c r="BR25" i="70"/>
  <c r="BQ25" i="70"/>
  <c r="BN25" i="70"/>
  <c r="BL25" i="70"/>
  <c r="BK25" i="70"/>
  <c r="I25" i="70" s="1"/>
  <c r="BJ25" i="70"/>
  <c r="H25" i="70" s="1"/>
  <c r="BF25" i="70" s="1"/>
  <c r="BI25" i="70"/>
  <c r="BM25" i="70" s="1"/>
  <c r="BH25" i="70"/>
  <c r="BG25" i="70"/>
  <c r="BE25" i="70"/>
  <c r="BD25" i="70"/>
  <c r="BC25" i="70"/>
  <c r="BB25" i="70"/>
  <c r="BA25" i="70"/>
  <c r="AZ25" i="70"/>
  <c r="AY25" i="70"/>
  <c r="AX25" i="70"/>
  <c r="AW25" i="70"/>
  <c r="AU25" i="70"/>
  <c r="AT25" i="70"/>
  <c r="AS25" i="70"/>
  <c r="AR25" i="70"/>
  <c r="AV25" i="70" s="1"/>
  <c r="AQ25" i="70"/>
  <c r="AP25" i="70"/>
  <c r="AO25" i="70"/>
  <c r="AL25" i="70"/>
  <c r="AJ25" i="70"/>
  <c r="AI25" i="70"/>
  <c r="AH25" i="70"/>
  <c r="AN25" i="70" s="1"/>
  <c r="AG25" i="70"/>
  <c r="G25" i="70"/>
  <c r="C25" i="70"/>
  <c r="B25" i="70"/>
  <c r="BU24" i="70"/>
  <c r="BT24" i="70"/>
  <c r="BS24" i="70"/>
  <c r="BR24" i="70"/>
  <c r="BQ24" i="70"/>
  <c r="BN24" i="70"/>
  <c r="BL24" i="70"/>
  <c r="BK24" i="70"/>
  <c r="I24" i="70" s="1"/>
  <c r="BJ24" i="70"/>
  <c r="H24" i="70" s="1"/>
  <c r="BF24" i="70" s="1"/>
  <c r="BI24" i="70"/>
  <c r="BM24" i="70" s="1"/>
  <c r="BH24" i="70"/>
  <c r="G24" i="70" s="1"/>
  <c r="BG24" i="70"/>
  <c r="BE24" i="70"/>
  <c r="BD24" i="70"/>
  <c r="BC24" i="70"/>
  <c r="BB24" i="70"/>
  <c r="BA24" i="70"/>
  <c r="AZ24" i="70"/>
  <c r="AY24" i="70"/>
  <c r="AX24" i="70"/>
  <c r="AW24" i="70"/>
  <c r="AU24" i="70"/>
  <c r="AT24" i="70"/>
  <c r="AS24" i="70"/>
  <c r="AR24" i="70"/>
  <c r="AV24" i="70" s="1"/>
  <c r="AQ24" i="70"/>
  <c r="AP24" i="70"/>
  <c r="AO24" i="70"/>
  <c r="AL24" i="70"/>
  <c r="AJ24" i="70"/>
  <c r="AI24" i="70"/>
  <c r="AH24" i="70"/>
  <c r="AN24" i="70" s="1"/>
  <c r="AG24" i="70"/>
  <c r="C24" i="70"/>
  <c r="B24" i="70"/>
  <c r="BU23" i="70"/>
  <c r="BT23" i="70"/>
  <c r="BS23" i="70"/>
  <c r="BR23" i="70"/>
  <c r="BQ23" i="70"/>
  <c r="BN23" i="70"/>
  <c r="BK23" i="70"/>
  <c r="I23" i="70" s="1"/>
  <c r="BJ23" i="70"/>
  <c r="H23" i="70" s="1"/>
  <c r="BF23" i="70" s="1"/>
  <c r="BI23" i="70"/>
  <c r="AK23" i="70" s="1"/>
  <c r="AM23" i="70" s="1"/>
  <c r="BH23" i="70"/>
  <c r="G23" i="70" s="1"/>
  <c r="BG23" i="70"/>
  <c r="BE23" i="70"/>
  <c r="BD23" i="70"/>
  <c r="BC23" i="70"/>
  <c r="BB23" i="70"/>
  <c r="BA23" i="70"/>
  <c r="AZ23" i="70"/>
  <c r="AY23" i="70"/>
  <c r="AX23" i="70"/>
  <c r="AW23" i="70"/>
  <c r="AU23" i="70"/>
  <c r="AT23" i="70"/>
  <c r="AS23" i="70"/>
  <c r="AR23" i="70"/>
  <c r="AV23" i="70" s="1"/>
  <c r="AQ23" i="70"/>
  <c r="AP23" i="70"/>
  <c r="AO23" i="70"/>
  <c r="AL23" i="70"/>
  <c r="AJ23" i="70"/>
  <c r="AI23" i="70"/>
  <c r="AH23" i="70"/>
  <c r="AN23" i="70" s="1"/>
  <c r="AG23" i="70"/>
  <c r="C23" i="70"/>
  <c r="B23" i="70"/>
  <c r="BU22" i="70"/>
  <c r="BT22" i="70"/>
  <c r="BS22" i="70"/>
  <c r="BR22" i="70"/>
  <c r="BQ22" i="70"/>
  <c r="BN22" i="70"/>
  <c r="BL22" i="70"/>
  <c r="BK22" i="70"/>
  <c r="I22" i="70" s="1"/>
  <c r="BJ22" i="70"/>
  <c r="H22" i="70" s="1"/>
  <c r="BF22" i="70" s="1"/>
  <c r="BI22" i="70"/>
  <c r="BM22" i="70" s="1"/>
  <c r="BH22" i="70"/>
  <c r="BG22" i="70"/>
  <c r="BE22" i="70"/>
  <c r="BD22" i="70"/>
  <c r="BC22" i="70"/>
  <c r="BB22" i="70"/>
  <c r="BA22" i="70"/>
  <c r="AZ22" i="70"/>
  <c r="AY22" i="70"/>
  <c r="AX22" i="70"/>
  <c r="AW22" i="70"/>
  <c r="AU22" i="70"/>
  <c r="AT22" i="70"/>
  <c r="AS22" i="70"/>
  <c r="AR22" i="70"/>
  <c r="AV22" i="70" s="1"/>
  <c r="AQ22" i="70"/>
  <c r="AP22" i="70"/>
  <c r="AO22" i="70"/>
  <c r="AL22" i="70"/>
  <c r="AJ22" i="70"/>
  <c r="AI22" i="70"/>
  <c r="AH22" i="70"/>
  <c r="AN22" i="70" s="1"/>
  <c r="AG22" i="70"/>
  <c r="G22" i="70"/>
  <c r="C22" i="70"/>
  <c r="B22" i="70"/>
  <c r="BU21" i="70"/>
  <c r="BT21" i="70"/>
  <c r="BS21" i="70"/>
  <c r="BR21" i="70"/>
  <c r="BQ21" i="70"/>
  <c r="BL21" i="70"/>
  <c r="BH21" i="70"/>
  <c r="BE21" i="70"/>
  <c r="BD21" i="70"/>
  <c r="BC21" i="70"/>
  <c r="AU21" i="70"/>
  <c r="AS21" i="70"/>
  <c r="AQ21" i="70"/>
  <c r="AO21" i="70"/>
  <c r="AL21" i="70"/>
  <c r="AH21" i="70"/>
  <c r="AN21" i="70" s="1"/>
  <c r="AG21" i="70"/>
  <c r="BL20" i="70"/>
  <c r="BK20" i="70"/>
  <c r="I20" i="70" s="1"/>
  <c r="BI20" i="70"/>
  <c r="BJ20" i="70" s="1"/>
  <c r="H20" i="70" s="1"/>
  <c r="BF20" i="70" s="1"/>
  <c r="BH20" i="70"/>
  <c r="BE20" i="70"/>
  <c r="BD20" i="70"/>
  <c r="BC20" i="70"/>
  <c r="BA20" i="70"/>
  <c r="AY20" i="70"/>
  <c r="AW20" i="70"/>
  <c r="AU20" i="70"/>
  <c r="AS20" i="70"/>
  <c r="AQ20" i="70"/>
  <c r="AI20" i="70" s="1"/>
  <c r="C20" i="70" s="1"/>
  <c r="AO20" i="70"/>
  <c r="AL20" i="70"/>
  <c r="AH20" i="70"/>
  <c r="AG20" i="70"/>
  <c r="G20" i="70"/>
  <c r="BB20" i="70" s="1"/>
  <c r="BL19" i="70"/>
  <c r="BJ19" i="70"/>
  <c r="H19" i="70" s="1"/>
  <c r="BF19" i="70" s="1"/>
  <c r="BH19" i="70"/>
  <c r="BE19" i="70"/>
  <c r="BD19" i="70"/>
  <c r="BC19" i="70"/>
  <c r="BA19" i="70"/>
  <c r="AU19" i="70"/>
  <c r="AS19" i="70"/>
  <c r="AQ19" i="70"/>
  <c r="AO19" i="70"/>
  <c r="AL19" i="70"/>
  <c r="AH19" i="70"/>
  <c r="AN19" i="70" s="1"/>
  <c r="AG19" i="70"/>
  <c r="G19" i="70"/>
  <c r="BB19" i="70" s="1"/>
  <c r="B19" i="70"/>
  <c r="BH18" i="70"/>
  <c r="BE18" i="70"/>
  <c r="BD18" i="70"/>
  <c r="BC18" i="70"/>
  <c r="AU18" i="70"/>
  <c r="AS18" i="70"/>
  <c r="AQ18" i="70"/>
  <c r="AO18" i="70"/>
  <c r="AL18" i="70"/>
  <c r="AH18" i="70"/>
  <c r="AN18" i="70" s="1"/>
  <c r="AG18" i="70"/>
  <c r="BL17" i="70"/>
  <c r="BJ17" i="70"/>
  <c r="H17" i="70" s="1"/>
  <c r="BF17" i="70" s="1"/>
  <c r="BH17" i="70"/>
  <c r="BE17" i="70"/>
  <c r="BD17" i="70"/>
  <c r="BC17" i="70"/>
  <c r="AU17" i="70"/>
  <c r="AS17" i="70"/>
  <c r="AQ17" i="70"/>
  <c r="AO17" i="70"/>
  <c r="AL17" i="70"/>
  <c r="AH17" i="70"/>
  <c r="AN17" i="70" s="1"/>
  <c r="AG17" i="70"/>
  <c r="B17" i="70"/>
  <c r="BL16" i="70"/>
  <c r="BK16" i="70"/>
  <c r="I16" i="70" s="1"/>
  <c r="BI16" i="70"/>
  <c r="AK16" i="70" s="1"/>
  <c r="AT16" i="70" s="1"/>
  <c r="BH16" i="70"/>
  <c r="BE16" i="70"/>
  <c r="BD16" i="70"/>
  <c r="BC16" i="70"/>
  <c r="BA16" i="70"/>
  <c r="AY16" i="70"/>
  <c r="AW16" i="70"/>
  <c r="AU16" i="70"/>
  <c r="AS16" i="70"/>
  <c r="AQ16" i="70"/>
  <c r="AI16" i="70" s="1"/>
  <c r="C16" i="70" s="1"/>
  <c r="AO16" i="70"/>
  <c r="AL16" i="70"/>
  <c r="AH16" i="70"/>
  <c r="AG16" i="70"/>
  <c r="G16" i="70"/>
  <c r="BB16" i="70" s="1"/>
  <c r="BL15" i="70"/>
  <c r="BH15" i="70"/>
  <c r="BE15" i="70"/>
  <c r="BD15" i="70"/>
  <c r="BC15" i="70"/>
  <c r="BA15" i="70"/>
  <c r="AU15" i="70"/>
  <c r="AS15" i="70"/>
  <c r="AQ15" i="70"/>
  <c r="AO15" i="70"/>
  <c r="AL15" i="70"/>
  <c r="AH15" i="70"/>
  <c r="AN15" i="70" s="1"/>
  <c r="AG15" i="70"/>
  <c r="G15" i="70"/>
  <c r="BB15" i="70" s="1"/>
  <c r="BH14" i="70"/>
  <c r="BE14" i="70"/>
  <c r="BD14" i="70"/>
  <c r="BC14" i="70"/>
  <c r="AU14" i="70"/>
  <c r="AS14" i="70"/>
  <c r="AQ14" i="70"/>
  <c r="AO14" i="70"/>
  <c r="AL14" i="70"/>
  <c r="AH14" i="70"/>
  <c r="AN14" i="70" s="1"/>
  <c r="AG14" i="70"/>
  <c r="BL13" i="70"/>
  <c r="BH13" i="70"/>
  <c r="BE13" i="70"/>
  <c r="BD13" i="70"/>
  <c r="BC13" i="70"/>
  <c r="AU13" i="70"/>
  <c r="AS13" i="70"/>
  <c r="AQ13" i="70"/>
  <c r="AO13" i="70"/>
  <c r="AL13" i="70"/>
  <c r="AH13" i="70"/>
  <c r="AN13" i="70" s="1"/>
  <c r="AG13" i="70"/>
  <c r="BL12" i="70"/>
  <c r="BK12" i="70"/>
  <c r="I12" i="70" s="1"/>
  <c r="BI12" i="70"/>
  <c r="AK12" i="70" s="1"/>
  <c r="AT12" i="70" s="1"/>
  <c r="BH12" i="70"/>
  <c r="BE12" i="70"/>
  <c r="BD12" i="70"/>
  <c r="BC12" i="70"/>
  <c r="BA12" i="70"/>
  <c r="AY12" i="70"/>
  <c r="AW12" i="70"/>
  <c r="AU12" i="70"/>
  <c r="AS12" i="70"/>
  <c r="AQ12" i="70"/>
  <c r="AO12" i="70"/>
  <c r="AL12" i="70"/>
  <c r="AH12" i="70"/>
  <c r="AG12" i="70"/>
  <c r="G12" i="70"/>
  <c r="BB12" i="70" s="1"/>
  <c r="BL11" i="70"/>
  <c r="BJ11" i="70"/>
  <c r="H11" i="70" s="1"/>
  <c r="BF11" i="70" s="1"/>
  <c r="BH11" i="70"/>
  <c r="BE11" i="70"/>
  <c r="BD11" i="70"/>
  <c r="BC11" i="70"/>
  <c r="BA11" i="70"/>
  <c r="AU11" i="70"/>
  <c r="AS11" i="70"/>
  <c r="AQ11" i="70"/>
  <c r="AO11" i="70"/>
  <c r="AL11" i="70"/>
  <c r="AH11" i="70"/>
  <c r="AN11" i="70" s="1"/>
  <c r="AG11" i="70"/>
  <c r="G11" i="70"/>
  <c r="BB11" i="70" s="1"/>
  <c r="B11" i="70"/>
  <c r="BH10" i="70"/>
  <c r="BE10" i="70"/>
  <c r="BD10" i="70"/>
  <c r="BC10" i="70"/>
  <c r="AU10" i="70"/>
  <c r="AS10" i="70"/>
  <c r="AQ10" i="70"/>
  <c r="AO10" i="70"/>
  <c r="AL10" i="70"/>
  <c r="AH10" i="70"/>
  <c r="AN10" i="70" s="1"/>
  <c r="AG10" i="70"/>
  <c r="BL9" i="70"/>
  <c r="BH9" i="70"/>
  <c r="BE9" i="70"/>
  <c r="BD9" i="70"/>
  <c r="BC9" i="70"/>
  <c r="AU9" i="70"/>
  <c r="AU41" i="70" s="1"/>
  <c r="AS9" i="70"/>
  <c r="AQ9" i="70"/>
  <c r="AO9" i="70"/>
  <c r="AL9" i="70"/>
  <c r="AJ9" i="70"/>
  <c r="AJ10" i="70" s="1"/>
  <c r="AJ11" i="70" s="1"/>
  <c r="AH9" i="70"/>
  <c r="AN9" i="70" s="1"/>
  <c r="AG9" i="70"/>
  <c r="B9" i="70"/>
  <c r="BL8" i="70"/>
  <c r="BK8" i="70"/>
  <c r="I8" i="70" s="1"/>
  <c r="BJ8" i="70"/>
  <c r="H8" i="70" s="1"/>
  <c r="BF8" i="70" s="1"/>
  <c r="BI8" i="70"/>
  <c r="AK8" i="70" s="1"/>
  <c r="AT8" i="70" s="1"/>
  <c r="BH8" i="70"/>
  <c r="BE8" i="70"/>
  <c r="BD8" i="70"/>
  <c r="BD4" i="70" s="1"/>
  <c r="BC8" i="70"/>
  <c r="BC4" i="70" s="1"/>
  <c r="BA8" i="70"/>
  <c r="AY8" i="70"/>
  <c r="AX8" i="70"/>
  <c r="AW8" i="70"/>
  <c r="AU8" i="70"/>
  <c r="AV43" i="70" s="1"/>
  <c r="AS8" i="70"/>
  <c r="AS41" i="70" s="1"/>
  <c r="AT41" i="70" s="1"/>
  <c r="AQ8" i="70"/>
  <c r="AQ41" i="70" s="1"/>
  <c r="AO8" i="70"/>
  <c r="AL8" i="70"/>
  <c r="AJ8" i="70"/>
  <c r="AH8" i="70"/>
  <c r="AN8" i="70" s="1"/>
  <c r="AG8" i="70"/>
  <c r="G8" i="70"/>
  <c r="BB8" i="70" s="1"/>
  <c r="B8" i="70"/>
  <c r="AV6" i="70"/>
  <c r="U48" i="65"/>
  <c r="BE43" i="65"/>
  <c r="AT43" i="65"/>
  <c r="AT44" i="65" s="1"/>
  <c r="BN39" i="65"/>
  <c r="BK39" i="65"/>
  <c r="I39" i="65" s="1"/>
  <c r="BJ39" i="65"/>
  <c r="H39" i="65" s="1"/>
  <c r="BF39" i="65" s="1"/>
  <c r="BI39" i="65"/>
  <c r="AK39" i="65" s="1"/>
  <c r="AM39" i="65" s="1"/>
  <c r="BH39" i="65"/>
  <c r="BG39" i="65"/>
  <c r="BE39" i="65"/>
  <c r="BD39" i="65"/>
  <c r="BC39" i="65"/>
  <c r="BB39" i="65"/>
  <c r="BA39" i="65"/>
  <c r="AZ39" i="65"/>
  <c r="AY39" i="65"/>
  <c r="AX39" i="65"/>
  <c r="AW39" i="65"/>
  <c r="AU39" i="65"/>
  <c r="AT39" i="65"/>
  <c r="AS39" i="65"/>
  <c r="AR39" i="65"/>
  <c r="AV39" i="65" s="1"/>
  <c r="AQ39" i="65"/>
  <c r="AP39" i="65"/>
  <c r="AO39" i="65"/>
  <c r="AL39" i="65"/>
  <c r="AJ39" i="65"/>
  <c r="AI39" i="65"/>
  <c r="AH39" i="65"/>
  <c r="AN39" i="65" s="1"/>
  <c r="AG39" i="65"/>
  <c r="G39" i="65"/>
  <c r="C39" i="65"/>
  <c r="B39" i="65"/>
  <c r="BN38" i="65"/>
  <c r="BL38" i="65"/>
  <c r="BK38" i="65"/>
  <c r="I38" i="65" s="1"/>
  <c r="BJ38" i="65"/>
  <c r="H38" i="65" s="1"/>
  <c r="BF38" i="65" s="1"/>
  <c r="BI38" i="65"/>
  <c r="BM38" i="65" s="1"/>
  <c r="BH38" i="65"/>
  <c r="BG38" i="65"/>
  <c r="BE38" i="65"/>
  <c r="BD38" i="65"/>
  <c r="BC38" i="65"/>
  <c r="BB38" i="65"/>
  <c r="BA38" i="65"/>
  <c r="AZ38" i="65"/>
  <c r="AY38" i="65"/>
  <c r="AX38" i="65"/>
  <c r="AW38" i="65"/>
  <c r="AU38" i="65"/>
  <c r="AT38" i="65"/>
  <c r="AS38" i="65"/>
  <c r="AR38" i="65"/>
  <c r="AV38" i="65" s="1"/>
  <c r="AQ38" i="65"/>
  <c r="AP38" i="65"/>
  <c r="AO38" i="65"/>
  <c r="AL38" i="65"/>
  <c r="AJ38" i="65"/>
  <c r="AI38" i="65"/>
  <c r="AH38" i="65"/>
  <c r="AN38" i="65" s="1"/>
  <c r="AG38" i="65"/>
  <c r="G38" i="65"/>
  <c r="C38" i="65"/>
  <c r="B38" i="65"/>
  <c r="BN37" i="65"/>
  <c r="BK37" i="65"/>
  <c r="I37" i="65" s="1"/>
  <c r="BJ37" i="65"/>
  <c r="H37" i="65" s="1"/>
  <c r="BF37" i="65" s="1"/>
  <c r="BI37" i="65"/>
  <c r="BM37" i="65" s="1"/>
  <c r="BH37" i="65"/>
  <c r="G37" i="65" s="1"/>
  <c r="BG37" i="65"/>
  <c r="BE37" i="65"/>
  <c r="BD37" i="65"/>
  <c r="BC37" i="65"/>
  <c r="BB37" i="65"/>
  <c r="BA37" i="65"/>
  <c r="AZ37" i="65"/>
  <c r="AY37" i="65"/>
  <c r="AX37" i="65"/>
  <c r="AW37" i="65"/>
  <c r="AU37" i="65"/>
  <c r="AT37" i="65"/>
  <c r="AS37" i="65"/>
  <c r="AR37" i="65"/>
  <c r="AV37" i="65" s="1"/>
  <c r="AQ37" i="65"/>
  <c r="AP37" i="65"/>
  <c r="AO37" i="65"/>
  <c r="AL37" i="65"/>
  <c r="AJ37" i="65"/>
  <c r="AI37" i="65"/>
  <c r="AH37" i="65"/>
  <c r="AN37" i="65" s="1"/>
  <c r="AG37" i="65"/>
  <c r="C37" i="65"/>
  <c r="B37" i="65"/>
  <c r="BN36" i="65"/>
  <c r="BL36" i="65"/>
  <c r="BK36" i="65"/>
  <c r="I36" i="65" s="1"/>
  <c r="BJ36" i="65"/>
  <c r="H36" i="65" s="1"/>
  <c r="BF36" i="65" s="1"/>
  <c r="BI36" i="65"/>
  <c r="BM36" i="65" s="1"/>
  <c r="BH36" i="65"/>
  <c r="G36" i="65" s="1"/>
  <c r="BG36" i="65"/>
  <c r="BE36" i="65"/>
  <c r="BD36" i="65"/>
  <c r="BC36" i="65"/>
  <c r="BB36" i="65"/>
  <c r="BA36" i="65"/>
  <c r="AZ36" i="65"/>
  <c r="AY36" i="65"/>
  <c r="AX36" i="65"/>
  <c r="AW36" i="65"/>
  <c r="AU36" i="65"/>
  <c r="AT36" i="65"/>
  <c r="AS36" i="65"/>
  <c r="AR36" i="65"/>
  <c r="AV36" i="65" s="1"/>
  <c r="AQ36" i="65"/>
  <c r="AP36" i="65"/>
  <c r="AO36" i="65"/>
  <c r="AL36" i="65"/>
  <c r="AJ36" i="65"/>
  <c r="AI36" i="65"/>
  <c r="AH36" i="65"/>
  <c r="AN36" i="65" s="1"/>
  <c r="AG36" i="65"/>
  <c r="C36" i="65"/>
  <c r="B36" i="65"/>
  <c r="BN35" i="65"/>
  <c r="BK35" i="65"/>
  <c r="I35" i="65" s="1"/>
  <c r="BJ35" i="65"/>
  <c r="H35" i="65" s="1"/>
  <c r="BF35" i="65" s="1"/>
  <c r="BI35" i="65"/>
  <c r="AK35" i="65" s="1"/>
  <c r="AM35" i="65" s="1"/>
  <c r="BH35" i="65"/>
  <c r="BG35" i="65"/>
  <c r="BE35" i="65"/>
  <c r="BD35" i="65"/>
  <c r="BC35" i="65"/>
  <c r="BB35" i="65"/>
  <c r="BA35" i="65"/>
  <c r="AZ35" i="65"/>
  <c r="AY35" i="65"/>
  <c r="AX35" i="65"/>
  <c r="AW35" i="65"/>
  <c r="AU35" i="65"/>
  <c r="AT35" i="65"/>
  <c r="AS35" i="65"/>
  <c r="AR35" i="65"/>
  <c r="AV35" i="65" s="1"/>
  <c r="AQ35" i="65"/>
  <c r="AP35" i="65"/>
  <c r="AO35" i="65"/>
  <c r="AL35" i="65"/>
  <c r="AJ35" i="65"/>
  <c r="AI35" i="65"/>
  <c r="AH35" i="65"/>
  <c r="AN35" i="65" s="1"/>
  <c r="AG35" i="65"/>
  <c r="G35" i="65"/>
  <c r="C35" i="65"/>
  <c r="B35" i="65"/>
  <c r="BN34" i="65"/>
  <c r="BL34" i="65"/>
  <c r="BK34" i="65"/>
  <c r="I34" i="65" s="1"/>
  <c r="BJ34" i="65"/>
  <c r="H34" i="65" s="1"/>
  <c r="BF34" i="65" s="1"/>
  <c r="BI34" i="65"/>
  <c r="AK34" i="65" s="1"/>
  <c r="AM34" i="65" s="1"/>
  <c r="BH34" i="65"/>
  <c r="BG34" i="65"/>
  <c r="BE34" i="65"/>
  <c r="BD34" i="65"/>
  <c r="BC34" i="65"/>
  <c r="BB34" i="65"/>
  <c r="BA34" i="65"/>
  <c r="AZ34" i="65"/>
  <c r="AY34" i="65"/>
  <c r="AX34" i="65"/>
  <c r="AW34" i="65"/>
  <c r="AU34" i="65"/>
  <c r="AT34" i="65"/>
  <c r="AS34" i="65"/>
  <c r="AR34" i="65"/>
  <c r="AV34" i="65" s="1"/>
  <c r="AQ34" i="65"/>
  <c r="AP34" i="65"/>
  <c r="AO34" i="65"/>
  <c r="AL34" i="65"/>
  <c r="AJ34" i="65"/>
  <c r="AI34" i="65"/>
  <c r="AH34" i="65"/>
  <c r="AN34" i="65" s="1"/>
  <c r="AG34" i="65"/>
  <c r="G34" i="65"/>
  <c r="C34" i="65"/>
  <c r="B34" i="65"/>
  <c r="BN33" i="65"/>
  <c r="BK33" i="65"/>
  <c r="I33" i="65" s="1"/>
  <c r="BJ33" i="65"/>
  <c r="H33" i="65" s="1"/>
  <c r="BF33" i="65" s="1"/>
  <c r="BI33" i="65"/>
  <c r="BM33" i="65" s="1"/>
  <c r="BH33" i="65"/>
  <c r="BL33" i="65" s="1"/>
  <c r="BG33" i="65"/>
  <c r="BE33" i="65"/>
  <c r="BD33" i="65"/>
  <c r="BC33" i="65"/>
  <c r="BB33" i="65"/>
  <c r="BA33" i="65"/>
  <c r="AZ33" i="65"/>
  <c r="AY33" i="65"/>
  <c r="AX33" i="65"/>
  <c r="AW33" i="65"/>
  <c r="AU33" i="65"/>
  <c r="AT33" i="65"/>
  <c r="AS33" i="65"/>
  <c r="AR33" i="65"/>
  <c r="AV33" i="65" s="1"/>
  <c r="AQ33" i="65"/>
  <c r="AP33" i="65"/>
  <c r="AO33" i="65"/>
  <c r="AL33" i="65"/>
  <c r="AJ33" i="65"/>
  <c r="AI33" i="65"/>
  <c r="AH33" i="65"/>
  <c r="AN33" i="65" s="1"/>
  <c r="AG33" i="65"/>
  <c r="G33" i="65"/>
  <c r="C33" i="65"/>
  <c r="B33" i="65"/>
  <c r="BN32" i="65"/>
  <c r="BL32" i="65"/>
  <c r="BK32" i="65"/>
  <c r="I32" i="65" s="1"/>
  <c r="BJ32" i="65"/>
  <c r="H32" i="65" s="1"/>
  <c r="BF32" i="65" s="1"/>
  <c r="BI32" i="65"/>
  <c r="BM32" i="65" s="1"/>
  <c r="BH32" i="65"/>
  <c r="G32" i="65" s="1"/>
  <c r="BG32" i="65"/>
  <c r="BE32" i="65"/>
  <c r="BD32" i="65"/>
  <c r="BC32" i="65"/>
  <c r="BB32" i="65"/>
  <c r="BA32" i="65"/>
  <c r="AZ32" i="65"/>
  <c r="AY32" i="65"/>
  <c r="AX32" i="65"/>
  <c r="AW32" i="65"/>
  <c r="AU32" i="65"/>
  <c r="AT32" i="65"/>
  <c r="AS32" i="65"/>
  <c r="AR32" i="65"/>
  <c r="AV32" i="65" s="1"/>
  <c r="AQ32" i="65"/>
  <c r="AP32" i="65"/>
  <c r="AO32" i="65"/>
  <c r="AL32" i="65"/>
  <c r="AJ32" i="65"/>
  <c r="AI32" i="65"/>
  <c r="AH32" i="65"/>
  <c r="AN32" i="65" s="1"/>
  <c r="AG32" i="65"/>
  <c r="C32" i="65"/>
  <c r="B32" i="65"/>
  <c r="BN31" i="65"/>
  <c r="BK31" i="65"/>
  <c r="I31" i="65" s="1"/>
  <c r="BJ31" i="65"/>
  <c r="H31" i="65" s="1"/>
  <c r="BF31" i="65" s="1"/>
  <c r="BI31" i="65"/>
  <c r="AK31" i="65" s="1"/>
  <c r="AM31" i="65" s="1"/>
  <c r="BH31" i="65"/>
  <c r="G31" i="65" s="1"/>
  <c r="BG31" i="65"/>
  <c r="BE31" i="65"/>
  <c r="BD31" i="65"/>
  <c r="BC31" i="65"/>
  <c r="BB31" i="65"/>
  <c r="BA31" i="65"/>
  <c r="AZ31" i="65"/>
  <c r="AY31" i="65"/>
  <c r="AX31" i="65"/>
  <c r="AW31" i="65"/>
  <c r="AU31" i="65"/>
  <c r="AT31" i="65"/>
  <c r="AS31" i="65"/>
  <c r="AR31" i="65"/>
  <c r="AV31" i="65" s="1"/>
  <c r="AQ31" i="65"/>
  <c r="AP31" i="65"/>
  <c r="AO31" i="65"/>
  <c r="AL31" i="65"/>
  <c r="AJ31" i="65"/>
  <c r="AI31" i="65"/>
  <c r="AH31" i="65"/>
  <c r="AN31" i="65" s="1"/>
  <c r="AG31" i="65"/>
  <c r="C31" i="65"/>
  <c r="B31" i="65"/>
  <c r="BN30" i="65"/>
  <c r="BL30" i="65"/>
  <c r="BK30" i="65"/>
  <c r="I30" i="65" s="1"/>
  <c r="BJ30" i="65"/>
  <c r="H30" i="65" s="1"/>
  <c r="BF30" i="65" s="1"/>
  <c r="BI30" i="65"/>
  <c r="BM30" i="65" s="1"/>
  <c r="BH30" i="65"/>
  <c r="BG30" i="65"/>
  <c r="BE30" i="65"/>
  <c r="BD30" i="65"/>
  <c r="BC30" i="65"/>
  <c r="BB30" i="65"/>
  <c r="BA30" i="65"/>
  <c r="AZ30" i="65"/>
  <c r="AY30" i="65"/>
  <c r="AX30" i="65"/>
  <c r="AW30" i="65"/>
  <c r="AU30" i="65"/>
  <c r="AT30" i="65"/>
  <c r="AS30" i="65"/>
  <c r="AR30" i="65"/>
  <c r="AV30" i="65" s="1"/>
  <c r="AQ30" i="65"/>
  <c r="AP30" i="65"/>
  <c r="AO30" i="65"/>
  <c r="AL30" i="65"/>
  <c r="AJ30" i="65"/>
  <c r="AI30" i="65"/>
  <c r="AH30" i="65"/>
  <c r="AN30" i="65" s="1"/>
  <c r="AG30" i="65"/>
  <c r="G30" i="65"/>
  <c r="C30" i="65"/>
  <c r="B30" i="65"/>
  <c r="BU29" i="65"/>
  <c r="BT29" i="65"/>
  <c r="BS29" i="65"/>
  <c r="BR29" i="65"/>
  <c r="BQ29" i="65"/>
  <c r="BN29" i="65"/>
  <c r="BK29" i="65"/>
  <c r="I29" i="65" s="1"/>
  <c r="BJ29" i="65"/>
  <c r="H29" i="65" s="1"/>
  <c r="BF29" i="65" s="1"/>
  <c r="BI29" i="65"/>
  <c r="AK29" i="65" s="1"/>
  <c r="AM29" i="65" s="1"/>
  <c r="BH29" i="65"/>
  <c r="G29" i="65" s="1"/>
  <c r="BG29" i="65"/>
  <c r="BE29" i="65"/>
  <c r="BD29" i="65"/>
  <c r="BC29" i="65"/>
  <c r="BB29" i="65"/>
  <c r="BA29" i="65"/>
  <c r="AZ29" i="65"/>
  <c r="AY29" i="65"/>
  <c r="AX29" i="65"/>
  <c r="AW29" i="65"/>
  <c r="AU29" i="65"/>
  <c r="AT29" i="65"/>
  <c r="AS29" i="65"/>
  <c r="AR29" i="65"/>
  <c r="AV29" i="65" s="1"/>
  <c r="AQ29" i="65"/>
  <c r="AP29" i="65"/>
  <c r="AO29" i="65"/>
  <c r="AL29" i="65"/>
  <c r="AJ29" i="65"/>
  <c r="AI29" i="65"/>
  <c r="AH29" i="65"/>
  <c r="AN29" i="65" s="1"/>
  <c r="AG29" i="65"/>
  <c r="C29" i="65"/>
  <c r="B29" i="65"/>
  <c r="BU28" i="65"/>
  <c r="BT28" i="65"/>
  <c r="BS28" i="65"/>
  <c r="BR28" i="65"/>
  <c r="BQ28" i="65"/>
  <c r="BN28" i="65"/>
  <c r="BL28" i="65"/>
  <c r="BK28" i="65"/>
  <c r="I28" i="65" s="1"/>
  <c r="BJ28" i="65"/>
  <c r="H28" i="65" s="1"/>
  <c r="BF28" i="65" s="1"/>
  <c r="BI28" i="65"/>
  <c r="BM28" i="65" s="1"/>
  <c r="BH28" i="65"/>
  <c r="BG28" i="65"/>
  <c r="BE28" i="65"/>
  <c r="BD28" i="65"/>
  <c r="BC28" i="65"/>
  <c r="BB28" i="65"/>
  <c r="BA28" i="65"/>
  <c r="AZ28" i="65"/>
  <c r="AY28" i="65"/>
  <c r="AX28" i="65"/>
  <c r="AW28" i="65"/>
  <c r="AU28" i="65"/>
  <c r="AT28" i="65"/>
  <c r="AS28" i="65"/>
  <c r="AR28" i="65"/>
  <c r="AV28" i="65" s="1"/>
  <c r="AQ28" i="65"/>
  <c r="AP28" i="65"/>
  <c r="AO28" i="65"/>
  <c r="AL28" i="65"/>
  <c r="AJ28" i="65"/>
  <c r="AI28" i="65"/>
  <c r="AH28" i="65"/>
  <c r="AN28" i="65" s="1"/>
  <c r="AG28" i="65"/>
  <c r="G28" i="65"/>
  <c r="C28" i="65"/>
  <c r="B28" i="65"/>
  <c r="BU27" i="65"/>
  <c r="BT27" i="65"/>
  <c r="BS27" i="65"/>
  <c r="BR27" i="65"/>
  <c r="BQ27" i="65"/>
  <c r="BN27" i="65"/>
  <c r="BL27" i="65"/>
  <c r="BK27" i="65"/>
  <c r="I27" i="65" s="1"/>
  <c r="BJ27" i="65"/>
  <c r="H27" i="65" s="1"/>
  <c r="BF27" i="65" s="1"/>
  <c r="BI27" i="65"/>
  <c r="BM27" i="65" s="1"/>
  <c r="BH27" i="65"/>
  <c r="BG27" i="65"/>
  <c r="BE27" i="65"/>
  <c r="BD27" i="65"/>
  <c r="BC27" i="65"/>
  <c r="BB27" i="65"/>
  <c r="BA27" i="65"/>
  <c r="AZ27" i="65"/>
  <c r="AY27" i="65"/>
  <c r="AX27" i="65"/>
  <c r="AW27" i="65"/>
  <c r="AU27" i="65"/>
  <c r="AT27" i="65"/>
  <c r="AS27" i="65"/>
  <c r="AR27" i="65"/>
  <c r="AV27" i="65" s="1"/>
  <c r="AQ27" i="65"/>
  <c r="AP27" i="65"/>
  <c r="AO27" i="65"/>
  <c r="AL27" i="65"/>
  <c r="AJ27" i="65"/>
  <c r="AI27" i="65"/>
  <c r="AH27" i="65"/>
  <c r="AN27" i="65" s="1"/>
  <c r="AG27" i="65"/>
  <c r="G27" i="65"/>
  <c r="C27" i="65"/>
  <c r="B27" i="65"/>
  <c r="BU26" i="65"/>
  <c r="BT26" i="65"/>
  <c r="BS26" i="65"/>
  <c r="BR26" i="65"/>
  <c r="BQ26" i="65"/>
  <c r="BN26" i="65"/>
  <c r="BK26" i="65"/>
  <c r="I26" i="65" s="1"/>
  <c r="BJ26" i="65"/>
  <c r="H26" i="65" s="1"/>
  <c r="BF26" i="65" s="1"/>
  <c r="BI26" i="65"/>
  <c r="AK26" i="65" s="1"/>
  <c r="AM26" i="65" s="1"/>
  <c r="BH26" i="65"/>
  <c r="G26" i="65" s="1"/>
  <c r="BG26" i="65"/>
  <c r="BE26" i="65"/>
  <c r="BD26" i="65"/>
  <c r="BC26" i="65"/>
  <c r="BB26" i="65"/>
  <c r="BA26" i="65"/>
  <c r="AZ26" i="65"/>
  <c r="AY26" i="65"/>
  <c r="AX26" i="65"/>
  <c r="AW26" i="65"/>
  <c r="AU26" i="65"/>
  <c r="AT26" i="65"/>
  <c r="AS26" i="65"/>
  <c r="AR26" i="65"/>
  <c r="AV26" i="65" s="1"/>
  <c r="AQ26" i="65"/>
  <c r="AP26" i="65"/>
  <c r="AO26" i="65"/>
  <c r="AL26" i="65"/>
  <c r="AJ26" i="65"/>
  <c r="AI26" i="65"/>
  <c r="AH26" i="65"/>
  <c r="AN26" i="65" s="1"/>
  <c r="AG26" i="65"/>
  <c r="C26" i="65"/>
  <c r="B26" i="65"/>
  <c r="BU25" i="65"/>
  <c r="BT25" i="65"/>
  <c r="BS25" i="65"/>
  <c r="BR25" i="65"/>
  <c r="BQ25" i="65"/>
  <c r="BN25" i="65"/>
  <c r="BL25" i="65"/>
  <c r="BK25" i="65"/>
  <c r="I25" i="65" s="1"/>
  <c r="BJ25" i="65"/>
  <c r="H25" i="65" s="1"/>
  <c r="BF25" i="65" s="1"/>
  <c r="BI25" i="65"/>
  <c r="BM25" i="65" s="1"/>
  <c r="BH25" i="65"/>
  <c r="BG25" i="65"/>
  <c r="BE25" i="65"/>
  <c r="BD25" i="65"/>
  <c r="BC25" i="65"/>
  <c r="BB25" i="65"/>
  <c r="BA25" i="65"/>
  <c r="AZ25" i="65"/>
  <c r="AY25" i="65"/>
  <c r="AX25" i="65"/>
  <c r="AW25" i="65"/>
  <c r="AU25" i="65"/>
  <c r="AT25" i="65"/>
  <c r="AS25" i="65"/>
  <c r="AR25" i="65"/>
  <c r="AV25" i="65" s="1"/>
  <c r="AQ25" i="65"/>
  <c r="AP25" i="65"/>
  <c r="AO25" i="65"/>
  <c r="AL25" i="65"/>
  <c r="AJ25" i="65"/>
  <c r="AI25" i="65"/>
  <c r="AH25" i="65"/>
  <c r="AN25" i="65" s="1"/>
  <c r="AG25" i="65"/>
  <c r="G25" i="65"/>
  <c r="C25" i="65"/>
  <c r="B25" i="65"/>
  <c r="BU24" i="65"/>
  <c r="BT24" i="65"/>
  <c r="BS24" i="65"/>
  <c r="BR24" i="65"/>
  <c r="BQ24" i="65"/>
  <c r="BN24" i="65"/>
  <c r="BL24" i="65"/>
  <c r="BK24" i="65"/>
  <c r="I24" i="65" s="1"/>
  <c r="BJ24" i="65"/>
  <c r="H24" i="65" s="1"/>
  <c r="BF24" i="65" s="1"/>
  <c r="BI24" i="65"/>
  <c r="AK24" i="65" s="1"/>
  <c r="AM24" i="65" s="1"/>
  <c r="BH24" i="65"/>
  <c r="BG24" i="65"/>
  <c r="BE24" i="65"/>
  <c r="BD24" i="65"/>
  <c r="BC24" i="65"/>
  <c r="BB24" i="65"/>
  <c r="BA24" i="65"/>
  <c r="AZ24" i="65"/>
  <c r="AY24" i="65"/>
  <c r="AX24" i="65"/>
  <c r="AW24" i="65"/>
  <c r="AU24" i="65"/>
  <c r="AT24" i="65"/>
  <c r="AS24" i="65"/>
  <c r="AR24" i="65"/>
  <c r="AV24" i="65" s="1"/>
  <c r="AQ24" i="65"/>
  <c r="AP24" i="65"/>
  <c r="AO24" i="65"/>
  <c r="AL24" i="65"/>
  <c r="AJ24" i="65"/>
  <c r="AI24" i="65"/>
  <c r="AH24" i="65"/>
  <c r="AN24" i="65" s="1"/>
  <c r="AG24" i="65"/>
  <c r="G24" i="65"/>
  <c r="C24" i="65"/>
  <c r="B24" i="65"/>
  <c r="BU23" i="65"/>
  <c r="BT23" i="65"/>
  <c r="BS23" i="65"/>
  <c r="BR23" i="65"/>
  <c r="BQ23" i="65"/>
  <c r="BN23" i="65"/>
  <c r="BK23" i="65"/>
  <c r="I23" i="65" s="1"/>
  <c r="BJ23" i="65"/>
  <c r="H23" i="65" s="1"/>
  <c r="BF23" i="65" s="1"/>
  <c r="BI23" i="65"/>
  <c r="AK23" i="65" s="1"/>
  <c r="AM23" i="65" s="1"/>
  <c r="BH23" i="65"/>
  <c r="G23" i="65" s="1"/>
  <c r="BG23" i="65"/>
  <c r="BE23" i="65"/>
  <c r="BD23" i="65"/>
  <c r="BC23" i="65"/>
  <c r="BB23" i="65"/>
  <c r="BA23" i="65"/>
  <c r="AZ23" i="65"/>
  <c r="AY23" i="65"/>
  <c r="AX23" i="65"/>
  <c r="AW23" i="65"/>
  <c r="AU23" i="65"/>
  <c r="AT23" i="65"/>
  <c r="AS23" i="65"/>
  <c r="AR23" i="65"/>
  <c r="AV23" i="65" s="1"/>
  <c r="AQ23" i="65"/>
  <c r="AP23" i="65"/>
  <c r="AO23" i="65"/>
  <c r="AL23" i="65"/>
  <c r="AJ23" i="65"/>
  <c r="AI23" i="65"/>
  <c r="AH23" i="65"/>
  <c r="AN23" i="65" s="1"/>
  <c r="AG23" i="65"/>
  <c r="C23" i="65"/>
  <c r="B23" i="65"/>
  <c r="BU22" i="65"/>
  <c r="BT22" i="65"/>
  <c r="BS22" i="65"/>
  <c r="BR22" i="65"/>
  <c r="BQ22" i="65"/>
  <c r="BN22" i="65"/>
  <c r="BL22" i="65"/>
  <c r="BK22" i="65"/>
  <c r="I22" i="65" s="1"/>
  <c r="BJ22" i="65"/>
  <c r="H22" i="65" s="1"/>
  <c r="BF22" i="65" s="1"/>
  <c r="BI22" i="65"/>
  <c r="BM22" i="65" s="1"/>
  <c r="BH22" i="65"/>
  <c r="BG22" i="65"/>
  <c r="BE22" i="65"/>
  <c r="BD22" i="65"/>
  <c r="BC22" i="65"/>
  <c r="BB22" i="65"/>
  <c r="BA22" i="65"/>
  <c r="AZ22" i="65"/>
  <c r="AY22" i="65"/>
  <c r="AX22" i="65"/>
  <c r="AW22" i="65"/>
  <c r="AU22" i="65"/>
  <c r="AT22" i="65"/>
  <c r="AS22" i="65"/>
  <c r="AR22" i="65"/>
  <c r="AV22" i="65" s="1"/>
  <c r="AQ22" i="65"/>
  <c r="AP22" i="65"/>
  <c r="AO22" i="65"/>
  <c r="AL22" i="65"/>
  <c r="AJ22" i="65"/>
  <c r="AI22" i="65"/>
  <c r="AH22" i="65"/>
  <c r="AN22" i="65" s="1"/>
  <c r="AG22" i="65"/>
  <c r="G22" i="65"/>
  <c r="C22" i="65"/>
  <c r="B22" i="65"/>
  <c r="BU21" i="65"/>
  <c r="BT21" i="65"/>
  <c r="BS21" i="65"/>
  <c r="BR21" i="65"/>
  <c r="BQ21" i="65"/>
  <c r="BN21" i="65"/>
  <c r="BL21" i="65"/>
  <c r="BK21" i="65"/>
  <c r="I21" i="65" s="1"/>
  <c r="BJ21" i="65"/>
  <c r="H21" i="65" s="1"/>
  <c r="BF21" i="65" s="1"/>
  <c r="BI21" i="65"/>
  <c r="BH21" i="65"/>
  <c r="BG21" i="65"/>
  <c r="BE21" i="65"/>
  <c r="BD21" i="65"/>
  <c r="BC21" i="65"/>
  <c r="BB21" i="65"/>
  <c r="BA21" i="65"/>
  <c r="AZ21" i="65"/>
  <c r="AY21" i="65"/>
  <c r="AX21" i="65"/>
  <c r="AW21" i="65"/>
  <c r="AU21" i="65"/>
  <c r="AT21" i="65"/>
  <c r="AS21" i="65"/>
  <c r="AR21" i="65"/>
  <c r="AV21" i="65" s="1"/>
  <c r="AQ21" i="65"/>
  <c r="AP21" i="65"/>
  <c r="AO21" i="65"/>
  <c r="AL21" i="65"/>
  <c r="AJ21" i="65"/>
  <c r="AI21" i="65"/>
  <c r="AH21" i="65"/>
  <c r="AN21" i="65" s="1"/>
  <c r="AG21" i="65"/>
  <c r="G21" i="65"/>
  <c r="C21" i="65"/>
  <c r="B21" i="65"/>
  <c r="BL20" i="65"/>
  <c r="BK20" i="65"/>
  <c r="I20" i="65" s="1"/>
  <c r="BI20" i="65"/>
  <c r="BN20" i="65" s="1"/>
  <c r="BH20" i="65"/>
  <c r="BE20" i="65"/>
  <c r="BD20" i="65"/>
  <c r="BC20" i="65"/>
  <c r="BA20" i="65"/>
  <c r="AY20" i="65"/>
  <c r="AW20" i="65"/>
  <c r="AU20" i="65"/>
  <c r="AS20" i="65"/>
  <c r="AQ20" i="65"/>
  <c r="AI20" i="65" s="1"/>
  <c r="C20" i="65" s="1"/>
  <c r="AO20" i="65"/>
  <c r="AL20" i="65"/>
  <c r="AH20" i="65"/>
  <c r="AN20" i="65" s="1"/>
  <c r="AG20" i="65"/>
  <c r="G20" i="65"/>
  <c r="BB20" i="65" s="1"/>
  <c r="BL19" i="65"/>
  <c r="BH19" i="65"/>
  <c r="BE19" i="65"/>
  <c r="BD19" i="65"/>
  <c r="BC19" i="65"/>
  <c r="AU19" i="65"/>
  <c r="AS19" i="65"/>
  <c r="AQ19" i="65"/>
  <c r="AO19" i="65"/>
  <c r="AL19" i="65"/>
  <c r="AH19" i="65"/>
  <c r="AN19" i="65" s="1"/>
  <c r="AG19" i="65"/>
  <c r="BH18" i="65"/>
  <c r="BE18" i="65"/>
  <c r="BD18" i="65"/>
  <c r="BC18" i="65"/>
  <c r="AU18" i="65"/>
  <c r="AS18" i="65"/>
  <c r="AQ18" i="65"/>
  <c r="AO18" i="65"/>
  <c r="AL18" i="65"/>
  <c r="AH18" i="65"/>
  <c r="AN18" i="65" s="1"/>
  <c r="AG18" i="65"/>
  <c r="BL17" i="65"/>
  <c r="BH17" i="65"/>
  <c r="BE17" i="65"/>
  <c r="BD17" i="65"/>
  <c r="BC17" i="65"/>
  <c r="BA17" i="65"/>
  <c r="AW17" i="65"/>
  <c r="AU17" i="65"/>
  <c r="AS17" i="65"/>
  <c r="AQ17" i="65"/>
  <c r="AO17" i="65"/>
  <c r="AL17" i="65"/>
  <c r="AH17" i="65"/>
  <c r="AN17" i="65" s="1"/>
  <c r="AG17" i="65"/>
  <c r="G17" i="65"/>
  <c r="BK17" i="65" s="1"/>
  <c r="I17" i="65" s="1"/>
  <c r="BL16" i="65"/>
  <c r="BK16" i="65"/>
  <c r="I16" i="65" s="1"/>
  <c r="BI16" i="65"/>
  <c r="BH16" i="65"/>
  <c r="BE16" i="65"/>
  <c r="BD16" i="65"/>
  <c r="BC16" i="65"/>
  <c r="BA16" i="65"/>
  <c r="AY16" i="65"/>
  <c r="AW16" i="65"/>
  <c r="AU16" i="65"/>
  <c r="AS16" i="65"/>
  <c r="AQ16" i="65"/>
  <c r="AO16" i="65"/>
  <c r="AL16" i="65"/>
  <c r="AH16" i="65"/>
  <c r="AG16" i="65"/>
  <c r="G16" i="65"/>
  <c r="BB16" i="65" s="1"/>
  <c r="BL15" i="65"/>
  <c r="BH15" i="65"/>
  <c r="BE15" i="65"/>
  <c r="BD15" i="65"/>
  <c r="BC15" i="65"/>
  <c r="BA15" i="65"/>
  <c r="AU15" i="65"/>
  <c r="AS15" i="65"/>
  <c r="AQ15" i="65"/>
  <c r="AO15" i="65"/>
  <c r="AL15" i="65"/>
  <c r="AH15" i="65"/>
  <c r="AN15" i="65" s="1"/>
  <c r="AG15" i="65"/>
  <c r="G15" i="65"/>
  <c r="BB15" i="65" s="1"/>
  <c r="BH14" i="65"/>
  <c r="BE14" i="65"/>
  <c r="BD14" i="65"/>
  <c r="BC14" i="65"/>
  <c r="AU14" i="65"/>
  <c r="AS14" i="65"/>
  <c r="AQ14" i="65"/>
  <c r="AI14" i="65" s="1"/>
  <c r="C14" i="65" s="1"/>
  <c r="AO14" i="65"/>
  <c r="AL14" i="65"/>
  <c r="AH14" i="65"/>
  <c r="AN14" i="65" s="1"/>
  <c r="AG14" i="65"/>
  <c r="BL13" i="65"/>
  <c r="BJ13" i="65"/>
  <c r="H13" i="65" s="1"/>
  <c r="BF13" i="65" s="1"/>
  <c r="BH13" i="65"/>
  <c r="BE13" i="65"/>
  <c r="BD13" i="65"/>
  <c r="BC13" i="65"/>
  <c r="AU13" i="65"/>
  <c r="AS13" i="65"/>
  <c r="AQ13" i="65"/>
  <c r="AO13" i="65"/>
  <c r="AL13" i="65"/>
  <c r="AH13" i="65"/>
  <c r="AN13" i="65" s="1"/>
  <c r="AG13" i="65"/>
  <c r="B13" i="65"/>
  <c r="BL12" i="65"/>
  <c r="BK12" i="65"/>
  <c r="I12" i="65" s="1"/>
  <c r="BJ12" i="65"/>
  <c r="H12" i="65" s="1"/>
  <c r="BF12" i="65" s="1"/>
  <c r="BI12" i="65"/>
  <c r="AK12" i="65" s="1"/>
  <c r="AM12" i="65" s="1"/>
  <c r="BH12" i="65"/>
  <c r="BE12" i="65"/>
  <c r="BD12" i="65"/>
  <c r="BC12" i="65"/>
  <c r="BA12" i="65"/>
  <c r="AY12" i="65"/>
  <c r="AX12" i="65"/>
  <c r="AW12" i="65"/>
  <c r="AU12" i="65"/>
  <c r="AS12" i="65"/>
  <c r="AQ12" i="65"/>
  <c r="AO12" i="65"/>
  <c r="AL12" i="65"/>
  <c r="AH12" i="65"/>
  <c r="AN12" i="65" s="1"/>
  <c r="AG12" i="65"/>
  <c r="G12" i="65"/>
  <c r="BB12" i="65" s="1"/>
  <c r="B12" i="65"/>
  <c r="BL11" i="65"/>
  <c r="BH11" i="65"/>
  <c r="BE11" i="65"/>
  <c r="BD11" i="65"/>
  <c r="BC11" i="65"/>
  <c r="BA11" i="65"/>
  <c r="AU11" i="65"/>
  <c r="AS11" i="65"/>
  <c r="AQ11" i="65"/>
  <c r="AL11" i="65"/>
  <c r="AH11" i="65"/>
  <c r="AN11" i="65" s="1"/>
  <c r="AG11" i="65"/>
  <c r="G11" i="65"/>
  <c r="BB11" i="65" s="1"/>
  <c r="BH10" i="65"/>
  <c r="BE10" i="65"/>
  <c r="BD10" i="65"/>
  <c r="BC10" i="65"/>
  <c r="AU10" i="65"/>
  <c r="AS10" i="65"/>
  <c r="AQ10" i="65"/>
  <c r="AI10" i="65" s="1"/>
  <c r="C10" i="65" s="1"/>
  <c r="AL10" i="65"/>
  <c r="AH10" i="65"/>
  <c r="AN10" i="65" s="1"/>
  <c r="AG10" i="65"/>
  <c r="BL9" i="65"/>
  <c r="BH9" i="65"/>
  <c r="BE9" i="65"/>
  <c r="BD9" i="65"/>
  <c r="BC9" i="65"/>
  <c r="AU9" i="65"/>
  <c r="AU41" i="65" s="1"/>
  <c r="AS9" i="65"/>
  <c r="AQ9" i="65"/>
  <c r="AL9" i="65"/>
  <c r="AJ9" i="65"/>
  <c r="AJ10" i="65" s="1"/>
  <c r="AJ11" i="65" s="1"/>
  <c r="AJ12" i="65" s="1"/>
  <c r="AH9" i="65"/>
  <c r="AN9" i="65" s="1"/>
  <c r="AG9" i="65"/>
  <c r="B9" i="65"/>
  <c r="BL8" i="65"/>
  <c r="BK8" i="65"/>
  <c r="I8" i="65" s="1"/>
  <c r="BJ8" i="65"/>
  <c r="H8" i="65" s="1"/>
  <c r="BF8" i="65" s="1"/>
  <c r="BI8" i="65"/>
  <c r="BH8" i="65"/>
  <c r="BE8" i="65"/>
  <c r="BD8" i="65"/>
  <c r="BD4" i="65" s="1"/>
  <c r="BC8" i="65"/>
  <c r="BC4" i="65" s="1"/>
  <c r="BA8" i="65"/>
  <c r="AY8" i="65"/>
  <c r="AX8" i="65"/>
  <c r="AW8" i="65"/>
  <c r="AU8" i="65"/>
  <c r="AV43" i="65" s="1"/>
  <c r="AS8" i="65"/>
  <c r="AS41" i="65" s="1"/>
  <c r="AQ8" i="65"/>
  <c r="AQ41" i="65" s="1"/>
  <c r="AL8" i="65"/>
  <c r="AJ8" i="65"/>
  <c r="AH8" i="65"/>
  <c r="AN8" i="65" s="1"/>
  <c r="AG8" i="65"/>
  <c r="G8" i="65"/>
  <c r="BB8" i="65" s="1"/>
  <c r="B8" i="65"/>
  <c r="AV6" i="65"/>
  <c r="U48" i="64"/>
  <c r="BE43" i="64"/>
  <c r="AT43" i="64"/>
  <c r="AT44" i="64" s="1"/>
  <c r="BN39" i="64"/>
  <c r="BK39" i="64"/>
  <c r="I39" i="64" s="1"/>
  <c r="BJ39" i="64"/>
  <c r="H39" i="64" s="1"/>
  <c r="BF39" i="64" s="1"/>
  <c r="BI39" i="64"/>
  <c r="AK39" i="64" s="1"/>
  <c r="AM39" i="64" s="1"/>
  <c r="BH39" i="64"/>
  <c r="G39" i="64" s="1"/>
  <c r="BG39" i="64"/>
  <c r="BE39" i="64"/>
  <c r="BD39" i="64"/>
  <c r="BC39" i="64"/>
  <c r="BB39" i="64"/>
  <c r="BA39" i="64"/>
  <c r="AZ39" i="64"/>
  <c r="AY39" i="64"/>
  <c r="AX39" i="64"/>
  <c r="AW39" i="64"/>
  <c r="AU39" i="64"/>
  <c r="AT39" i="64"/>
  <c r="AS39" i="64"/>
  <c r="AR39" i="64"/>
  <c r="AV39" i="64" s="1"/>
  <c r="AQ39" i="64"/>
  <c r="AP39" i="64"/>
  <c r="AO39" i="64"/>
  <c r="AL39" i="64"/>
  <c r="AJ39" i="64"/>
  <c r="AI39" i="64"/>
  <c r="AH39" i="64"/>
  <c r="AN39" i="64" s="1"/>
  <c r="AG39" i="64"/>
  <c r="C39" i="64"/>
  <c r="B39" i="64"/>
  <c r="BN38" i="64"/>
  <c r="BL38" i="64"/>
  <c r="BK38" i="64"/>
  <c r="I38" i="64" s="1"/>
  <c r="BJ38" i="64"/>
  <c r="H38" i="64" s="1"/>
  <c r="BF38" i="64" s="1"/>
  <c r="BI38" i="64"/>
  <c r="AK38" i="64" s="1"/>
  <c r="AM38" i="64" s="1"/>
  <c r="BH38" i="64"/>
  <c r="G38" i="64" s="1"/>
  <c r="BG38" i="64"/>
  <c r="BE38" i="64"/>
  <c r="BD38" i="64"/>
  <c r="BC38" i="64"/>
  <c r="BB38" i="64"/>
  <c r="BA38" i="64"/>
  <c r="AZ38" i="64"/>
  <c r="AY38" i="64"/>
  <c r="AX38" i="64"/>
  <c r="AW38" i="64"/>
  <c r="AU38" i="64"/>
  <c r="AT38" i="64"/>
  <c r="AS38" i="64"/>
  <c r="AR38" i="64"/>
  <c r="AV38" i="64" s="1"/>
  <c r="AQ38" i="64"/>
  <c r="AP38" i="64"/>
  <c r="AO38" i="64"/>
  <c r="AL38" i="64"/>
  <c r="AJ38" i="64"/>
  <c r="AI38" i="64"/>
  <c r="AH38" i="64"/>
  <c r="AN38" i="64" s="1"/>
  <c r="AG38" i="64"/>
  <c r="C38" i="64"/>
  <c r="B38" i="64"/>
  <c r="BN37" i="64"/>
  <c r="BL37" i="64"/>
  <c r="BK37" i="64"/>
  <c r="I37" i="64" s="1"/>
  <c r="BJ37" i="64"/>
  <c r="H37" i="64" s="1"/>
  <c r="BF37" i="64" s="1"/>
  <c r="BI37" i="64"/>
  <c r="BM37" i="64" s="1"/>
  <c r="BH37" i="64"/>
  <c r="BG37" i="64"/>
  <c r="BE37" i="64"/>
  <c r="BD37" i="64"/>
  <c r="BC37" i="64"/>
  <c r="BB37" i="64"/>
  <c r="BA37" i="64"/>
  <c r="AZ37" i="64"/>
  <c r="AY37" i="64"/>
  <c r="AX37" i="64"/>
  <c r="AW37" i="64"/>
  <c r="AU37" i="64"/>
  <c r="AT37" i="64"/>
  <c r="AS37" i="64"/>
  <c r="AR37" i="64"/>
  <c r="AV37" i="64" s="1"/>
  <c r="AQ37" i="64"/>
  <c r="AP37" i="64"/>
  <c r="AO37" i="64"/>
  <c r="AL37" i="64"/>
  <c r="AJ37" i="64"/>
  <c r="AI37" i="64"/>
  <c r="AH37" i="64"/>
  <c r="AN37" i="64" s="1"/>
  <c r="AG37" i="64"/>
  <c r="G37" i="64"/>
  <c r="C37" i="64"/>
  <c r="B37" i="64"/>
  <c r="BN36" i="64"/>
  <c r="BL36" i="64"/>
  <c r="BK36" i="64"/>
  <c r="I36" i="64" s="1"/>
  <c r="BJ36" i="64"/>
  <c r="H36" i="64" s="1"/>
  <c r="BF36" i="64" s="1"/>
  <c r="BI36" i="64"/>
  <c r="BM36" i="64" s="1"/>
  <c r="BH36" i="64"/>
  <c r="BG36" i="64"/>
  <c r="BE36" i="64"/>
  <c r="BD36" i="64"/>
  <c r="BC36" i="64"/>
  <c r="BB36" i="64"/>
  <c r="BA36" i="64"/>
  <c r="AZ36" i="64"/>
  <c r="AY36" i="64"/>
  <c r="AX36" i="64"/>
  <c r="AW36" i="64"/>
  <c r="AU36" i="64"/>
  <c r="AT36" i="64"/>
  <c r="AS36" i="64"/>
  <c r="AR36" i="64"/>
  <c r="AV36" i="64" s="1"/>
  <c r="AQ36" i="64"/>
  <c r="AP36" i="64"/>
  <c r="AO36" i="64"/>
  <c r="AL36" i="64"/>
  <c r="AJ36" i="64"/>
  <c r="AI36" i="64"/>
  <c r="AH36" i="64"/>
  <c r="AN36" i="64" s="1"/>
  <c r="AG36" i="64"/>
  <c r="G36" i="64"/>
  <c r="C36" i="64"/>
  <c r="B36" i="64"/>
  <c r="BN35" i="64"/>
  <c r="BK35" i="64"/>
  <c r="I35" i="64" s="1"/>
  <c r="BJ35" i="64"/>
  <c r="H35" i="64" s="1"/>
  <c r="BF35" i="64" s="1"/>
  <c r="BI35" i="64"/>
  <c r="AK35" i="64" s="1"/>
  <c r="AM35" i="64" s="1"/>
  <c r="BH35" i="64"/>
  <c r="G35" i="64" s="1"/>
  <c r="BG35" i="64"/>
  <c r="BE35" i="64"/>
  <c r="BD35" i="64"/>
  <c r="BC35" i="64"/>
  <c r="BB35" i="64"/>
  <c r="BA35" i="64"/>
  <c r="AZ35" i="64"/>
  <c r="AY35" i="64"/>
  <c r="AX35" i="64"/>
  <c r="AW35" i="64"/>
  <c r="AU35" i="64"/>
  <c r="AT35" i="64"/>
  <c r="AS35" i="64"/>
  <c r="AR35" i="64"/>
  <c r="AV35" i="64" s="1"/>
  <c r="AQ35" i="64"/>
  <c r="AP35" i="64"/>
  <c r="AO35" i="64"/>
  <c r="AL35" i="64"/>
  <c r="AJ35" i="64"/>
  <c r="AI35" i="64"/>
  <c r="AH35" i="64"/>
  <c r="AN35" i="64" s="1"/>
  <c r="AG35" i="64"/>
  <c r="C35" i="64"/>
  <c r="B35" i="64"/>
  <c r="BN34" i="64"/>
  <c r="BL34" i="64"/>
  <c r="BK34" i="64"/>
  <c r="I34" i="64" s="1"/>
  <c r="BJ34" i="64"/>
  <c r="H34" i="64" s="1"/>
  <c r="BF34" i="64" s="1"/>
  <c r="BI34" i="64"/>
  <c r="AK34" i="64" s="1"/>
  <c r="AM34" i="64" s="1"/>
  <c r="BH34" i="64"/>
  <c r="G34" i="64" s="1"/>
  <c r="BG34" i="64"/>
  <c r="BE34" i="64"/>
  <c r="BD34" i="64"/>
  <c r="BC34" i="64"/>
  <c r="BB34" i="64"/>
  <c r="BA34" i="64"/>
  <c r="AZ34" i="64"/>
  <c r="AY34" i="64"/>
  <c r="AX34" i="64"/>
  <c r="AW34" i="64"/>
  <c r="AU34" i="64"/>
  <c r="AT34" i="64"/>
  <c r="AS34" i="64"/>
  <c r="AR34" i="64"/>
  <c r="AV34" i="64" s="1"/>
  <c r="AQ34" i="64"/>
  <c r="AP34" i="64"/>
  <c r="AO34" i="64"/>
  <c r="AL34" i="64"/>
  <c r="AJ34" i="64"/>
  <c r="AI34" i="64"/>
  <c r="AH34" i="64"/>
  <c r="AN34" i="64" s="1"/>
  <c r="AG34" i="64"/>
  <c r="C34" i="64"/>
  <c r="B34" i="64"/>
  <c r="BN33" i="64"/>
  <c r="BL33" i="64"/>
  <c r="BK33" i="64"/>
  <c r="I33" i="64" s="1"/>
  <c r="BJ33" i="64"/>
  <c r="H33" i="64" s="1"/>
  <c r="BF33" i="64" s="1"/>
  <c r="BI33" i="64"/>
  <c r="BM33" i="64" s="1"/>
  <c r="BH33" i="64"/>
  <c r="BG33" i="64"/>
  <c r="BE33" i="64"/>
  <c r="BD33" i="64"/>
  <c r="BC33" i="64"/>
  <c r="BB33" i="64"/>
  <c r="BA33" i="64"/>
  <c r="AZ33" i="64"/>
  <c r="AY33" i="64"/>
  <c r="AX33" i="64"/>
  <c r="AW33" i="64"/>
  <c r="AU33" i="64"/>
  <c r="AT33" i="64"/>
  <c r="AS33" i="64"/>
  <c r="AR33" i="64"/>
  <c r="AV33" i="64" s="1"/>
  <c r="AQ33" i="64"/>
  <c r="AP33" i="64"/>
  <c r="AO33" i="64"/>
  <c r="AL33" i="64"/>
  <c r="AJ33" i="64"/>
  <c r="AI33" i="64"/>
  <c r="AH33" i="64"/>
  <c r="AN33" i="64" s="1"/>
  <c r="AG33" i="64"/>
  <c r="G33" i="64"/>
  <c r="C33" i="64"/>
  <c r="B33" i="64"/>
  <c r="BN32" i="64"/>
  <c r="BL32" i="64"/>
  <c r="BK32" i="64"/>
  <c r="I32" i="64" s="1"/>
  <c r="BJ32" i="64"/>
  <c r="H32" i="64" s="1"/>
  <c r="BF32" i="64" s="1"/>
  <c r="BI32" i="64"/>
  <c r="BM32" i="64" s="1"/>
  <c r="BH32" i="64"/>
  <c r="BG32" i="64"/>
  <c r="BE32" i="64"/>
  <c r="BD32" i="64"/>
  <c r="BC32" i="64"/>
  <c r="BB32" i="64"/>
  <c r="BA32" i="64"/>
  <c r="AZ32" i="64"/>
  <c r="AY32" i="64"/>
  <c r="AX32" i="64"/>
  <c r="AW32" i="64"/>
  <c r="AU32" i="64"/>
  <c r="AT32" i="64"/>
  <c r="AS32" i="64"/>
  <c r="AR32" i="64"/>
  <c r="AV32" i="64" s="1"/>
  <c r="AQ32" i="64"/>
  <c r="AP32" i="64"/>
  <c r="AO32" i="64"/>
  <c r="AL32" i="64"/>
  <c r="AJ32" i="64"/>
  <c r="AI32" i="64"/>
  <c r="AH32" i="64"/>
  <c r="AN32" i="64" s="1"/>
  <c r="AG32" i="64"/>
  <c r="G32" i="64"/>
  <c r="C32" i="64"/>
  <c r="B32" i="64"/>
  <c r="BN31" i="64"/>
  <c r="BK31" i="64"/>
  <c r="I31" i="64" s="1"/>
  <c r="BJ31" i="64"/>
  <c r="H31" i="64" s="1"/>
  <c r="BF31" i="64" s="1"/>
  <c r="BI31" i="64"/>
  <c r="AK31" i="64" s="1"/>
  <c r="AM31" i="64" s="1"/>
  <c r="BH31" i="64"/>
  <c r="G31" i="64" s="1"/>
  <c r="BG31" i="64"/>
  <c r="BE31" i="64"/>
  <c r="BD31" i="64"/>
  <c r="BC31" i="64"/>
  <c r="BB31" i="64"/>
  <c r="BA31" i="64"/>
  <c r="AZ31" i="64"/>
  <c r="AY31" i="64"/>
  <c r="AX31" i="64"/>
  <c r="AW31" i="64"/>
  <c r="AU31" i="64"/>
  <c r="AT31" i="64"/>
  <c r="AS31" i="64"/>
  <c r="AR31" i="64"/>
  <c r="AV31" i="64" s="1"/>
  <c r="AQ31" i="64"/>
  <c r="AP31" i="64"/>
  <c r="AO31" i="64"/>
  <c r="AL31" i="64"/>
  <c r="AJ31" i="64"/>
  <c r="AI31" i="64"/>
  <c r="AH31" i="64"/>
  <c r="AN31" i="64" s="1"/>
  <c r="AG31" i="64"/>
  <c r="C31" i="64"/>
  <c r="B31" i="64"/>
  <c r="BN30" i="64"/>
  <c r="BL30" i="64"/>
  <c r="BK30" i="64"/>
  <c r="I30" i="64" s="1"/>
  <c r="BJ30" i="64"/>
  <c r="H30" i="64" s="1"/>
  <c r="BF30" i="64" s="1"/>
  <c r="BI30" i="64"/>
  <c r="AK30" i="64" s="1"/>
  <c r="AM30" i="64" s="1"/>
  <c r="BH30" i="64"/>
  <c r="G30" i="64" s="1"/>
  <c r="BG30" i="64"/>
  <c r="BE30" i="64"/>
  <c r="BD30" i="64"/>
  <c r="BC30" i="64"/>
  <c r="BB30" i="64"/>
  <c r="BA30" i="64"/>
  <c r="AZ30" i="64"/>
  <c r="AY30" i="64"/>
  <c r="AX30" i="64"/>
  <c r="AW30" i="64"/>
  <c r="AU30" i="64"/>
  <c r="AT30" i="64"/>
  <c r="AS30" i="64"/>
  <c r="AR30" i="64"/>
  <c r="AV30" i="64" s="1"/>
  <c r="AQ30" i="64"/>
  <c r="AP30" i="64"/>
  <c r="AO30" i="64"/>
  <c r="AL30" i="64"/>
  <c r="AJ30" i="64"/>
  <c r="AI30" i="64"/>
  <c r="AH30" i="64"/>
  <c r="AN30" i="64" s="1"/>
  <c r="AG30" i="64"/>
  <c r="C30" i="64"/>
  <c r="B30" i="64"/>
  <c r="BU29" i="64"/>
  <c r="BT29" i="64"/>
  <c r="BS29" i="64"/>
  <c r="BR29" i="64"/>
  <c r="BQ29" i="64"/>
  <c r="BN29" i="64"/>
  <c r="BK29" i="64"/>
  <c r="I29" i="64" s="1"/>
  <c r="BJ29" i="64"/>
  <c r="H29" i="64" s="1"/>
  <c r="BF29" i="64" s="1"/>
  <c r="BI29" i="64"/>
  <c r="AK29" i="64" s="1"/>
  <c r="AM29" i="64" s="1"/>
  <c r="BH29" i="64"/>
  <c r="G29" i="64" s="1"/>
  <c r="BG29" i="64"/>
  <c r="BE29" i="64"/>
  <c r="BD29" i="64"/>
  <c r="BC29" i="64"/>
  <c r="BB29" i="64"/>
  <c r="BA29" i="64"/>
  <c r="AZ29" i="64"/>
  <c r="AY29" i="64"/>
  <c r="AX29" i="64"/>
  <c r="AW29" i="64"/>
  <c r="AU29" i="64"/>
  <c r="AT29" i="64"/>
  <c r="AS29" i="64"/>
  <c r="AR29" i="64"/>
  <c r="AV29" i="64" s="1"/>
  <c r="AQ29" i="64"/>
  <c r="AP29" i="64"/>
  <c r="AO29" i="64"/>
  <c r="AL29" i="64"/>
  <c r="AJ29" i="64"/>
  <c r="AI29" i="64"/>
  <c r="AH29" i="64"/>
  <c r="AN29" i="64" s="1"/>
  <c r="AG29" i="64"/>
  <c r="C29" i="64"/>
  <c r="B29" i="64"/>
  <c r="BU28" i="64"/>
  <c r="BT28" i="64"/>
  <c r="BS28" i="64"/>
  <c r="BR28" i="64"/>
  <c r="BQ28" i="64"/>
  <c r="BN28" i="64"/>
  <c r="BL28" i="64"/>
  <c r="BK28" i="64"/>
  <c r="I28" i="64" s="1"/>
  <c r="BJ28" i="64"/>
  <c r="H28" i="64" s="1"/>
  <c r="BF28" i="64" s="1"/>
  <c r="BI28" i="64"/>
  <c r="BH28" i="64"/>
  <c r="BG28" i="64"/>
  <c r="BE28" i="64"/>
  <c r="BD28" i="64"/>
  <c r="BC28" i="64"/>
  <c r="BB28" i="64"/>
  <c r="BA28" i="64"/>
  <c r="AZ28" i="64"/>
  <c r="AY28" i="64"/>
  <c r="AX28" i="64"/>
  <c r="AW28" i="64"/>
  <c r="AU28" i="64"/>
  <c r="AT28" i="64"/>
  <c r="AS28" i="64"/>
  <c r="AR28" i="64"/>
  <c r="AV28" i="64" s="1"/>
  <c r="AQ28" i="64"/>
  <c r="AP28" i="64"/>
  <c r="AO28" i="64"/>
  <c r="AL28" i="64"/>
  <c r="AJ28" i="64"/>
  <c r="AI28" i="64"/>
  <c r="AH28" i="64"/>
  <c r="AN28" i="64" s="1"/>
  <c r="AG28" i="64"/>
  <c r="G28" i="64"/>
  <c r="C28" i="64"/>
  <c r="B28" i="64"/>
  <c r="BU27" i="64"/>
  <c r="BT27" i="64"/>
  <c r="BS27" i="64"/>
  <c r="BR27" i="64"/>
  <c r="BQ27" i="64"/>
  <c r="BN27" i="64"/>
  <c r="BL27" i="64"/>
  <c r="BK27" i="64"/>
  <c r="I27" i="64" s="1"/>
  <c r="BJ27" i="64"/>
  <c r="H27" i="64" s="1"/>
  <c r="BF27" i="64" s="1"/>
  <c r="BI27" i="64"/>
  <c r="AK27" i="64" s="1"/>
  <c r="AM27" i="64" s="1"/>
  <c r="BH27" i="64"/>
  <c r="G27" i="64" s="1"/>
  <c r="BG27" i="64"/>
  <c r="BE27" i="64"/>
  <c r="BD27" i="64"/>
  <c r="BC27" i="64"/>
  <c r="BB27" i="64"/>
  <c r="BA27" i="64"/>
  <c r="AZ27" i="64"/>
  <c r="AY27" i="64"/>
  <c r="AX27" i="64"/>
  <c r="AW27" i="64"/>
  <c r="AU27" i="64"/>
  <c r="AT27" i="64"/>
  <c r="AS27" i="64"/>
  <c r="AR27" i="64"/>
  <c r="AV27" i="64" s="1"/>
  <c r="AQ27" i="64"/>
  <c r="AP27" i="64"/>
  <c r="AO27" i="64"/>
  <c r="AL27" i="64"/>
  <c r="AJ27" i="64"/>
  <c r="AI27" i="64"/>
  <c r="AH27" i="64"/>
  <c r="AN27" i="64" s="1"/>
  <c r="AG27" i="64"/>
  <c r="C27" i="64"/>
  <c r="B27" i="64"/>
  <c r="BU26" i="64"/>
  <c r="BT26" i="64"/>
  <c r="BS26" i="64"/>
  <c r="BR26" i="64"/>
  <c r="BQ26" i="64"/>
  <c r="BN26" i="64"/>
  <c r="BK26" i="64"/>
  <c r="I26" i="64" s="1"/>
  <c r="BJ26" i="64"/>
  <c r="H26" i="64" s="1"/>
  <c r="BF26" i="64" s="1"/>
  <c r="BI26" i="64"/>
  <c r="AK26" i="64" s="1"/>
  <c r="AM26" i="64" s="1"/>
  <c r="BH26" i="64"/>
  <c r="G26" i="64" s="1"/>
  <c r="BG26" i="64"/>
  <c r="BE26" i="64"/>
  <c r="BD26" i="64"/>
  <c r="BC26" i="64"/>
  <c r="BB26" i="64"/>
  <c r="BA26" i="64"/>
  <c r="AZ26" i="64"/>
  <c r="AY26" i="64"/>
  <c r="AX26" i="64"/>
  <c r="AW26" i="64"/>
  <c r="AU26" i="64"/>
  <c r="AT26" i="64"/>
  <c r="AS26" i="64"/>
  <c r="AR26" i="64"/>
  <c r="AV26" i="64" s="1"/>
  <c r="AQ26" i="64"/>
  <c r="AP26" i="64"/>
  <c r="AO26" i="64"/>
  <c r="AL26" i="64"/>
  <c r="AJ26" i="64"/>
  <c r="AI26" i="64"/>
  <c r="AH26" i="64"/>
  <c r="AN26" i="64" s="1"/>
  <c r="AG26" i="64"/>
  <c r="C26" i="64"/>
  <c r="B26" i="64"/>
  <c r="BU25" i="64"/>
  <c r="BT25" i="64"/>
  <c r="BS25" i="64"/>
  <c r="BR25" i="64"/>
  <c r="BQ25" i="64"/>
  <c r="BN25" i="64"/>
  <c r="BL25" i="64"/>
  <c r="BK25" i="64"/>
  <c r="I25" i="64" s="1"/>
  <c r="BJ25" i="64"/>
  <c r="H25" i="64" s="1"/>
  <c r="BF25" i="64" s="1"/>
  <c r="BI25" i="64"/>
  <c r="AK25" i="64" s="1"/>
  <c r="AM25" i="64" s="1"/>
  <c r="BH25" i="64"/>
  <c r="BG25" i="64"/>
  <c r="BE25" i="64"/>
  <c r="BD25" i="64"/>
  <c r="BC25" i="64"/>
  <c r="BB25" i="64"/>
  <c r="BA25" i="64"/>
  <c r="AZ25" i="64"/>
  <c r="AY25" i="64"/>
  <c r="AX25" i="64"/>
  <c r="AW25" i="64"/>
  <c r="AU25" i="64"/>
  <c r="AT25" i="64"/>
  <c r="AS25" i="64"/>
  <c r="AR25" i="64"/>
  <c r="AV25" i="64" s="1"/>
  <c r="AQ25" i="64"/>
  <c r="AP25" i="64"/>
  <c r="AO25" i="64"/>
  <c r="AL25" i="64"/>
  <c r="AJ25" i="64"/>
  <c r="AI25" i="64"/>
  <c r="AH25" i="64"/>
  <c r="AN25" i="64" s="1"/>
  <c r="AG25" i="64"/>
  <c r="G25" i="64"/>
  <c r="C25" i="64"/>
  <c r="B25" i="64"/>
  <c r="BU24" i="64"/>
  <c r="BT24" i="64"/>
  <c r="BS24" i="64"/>
  <c r="BR24" i="64"/>
  <c r="BQ24" i="64"/>
  <c r="BN24" i="64"/>
  <c r="BL24" i="64"/>
  <c r="BK24" i="64"/>
  <c r="I24" i="64" s="1"/>
  <c r="BJ24" i="64"/>
  <c r="H24" i="64" s="1"/>
  <c r="BF24" i="64" s="1"/>
  <c r="BI24" i="64"/>
  <c r="AK24" i="64" s="1"/>
  <c r="AM24" i="64" s="1"/>
  <c r="BH24" i="64"/>
  <c r="G24" i="64" s="1"/>
  <c r="BG24" i="64"/>
  <c r="BE24" i="64"/>
  <c r="BD24" i="64"/>
  <c r="BC24" i="64"/>
  <c r="BB24" i="64"/>
  <c r="BA24" i="64"/>
  <c r="AZ24" i="64"/>
  <c r="AY24" i="64"/>
  <c r="AX24" i="64"/>
  <c r="AW24" i="64"/>
  <c r="AU24" i="64"/>
  <c r="AT24" i="64"/>
  <c r="AS24" i="64"/>
  <c r="AR24" i="64"/>
  <c r="AV24" i="64" s="1"/>
  <c r="AQ24" i="64"/>
  <c r="AP24" i="64"/>
  <c r="AO24" i="64"/>
  <c r="AL24" i="64"/>
  <c r="AJ24" i="64"/>
  <c r="AI24" i="64"/>
  <c r="AH24" i="64"/>
  <c r="AN24" i="64" s="1"/>
  <c r="AG24" i="64"/>
  <c r="C24" i="64"/>
  <c r="B24" i="64"/>
  <c r="BU23" i="64"/>
  <c r="BT23" i="64"/>
  <c r="BS23" i="64"/>
  <c r="BR23" i="64"/>
  <c r="BQ23" i="64"/>
  <c r="BN23" i="64"/>
  <c r="BK23" i="64"/>
  <c r="I23" i="64" s="1"/>
  <c r="BJ23" i="64"/>
  <c r="H23" i="64" s="1"/>
  <c r="BF23" i="64" s="1"/>
  <c r="BI23" i="64"/>
  <c r="AK23" i="64" s="1"/>
  <c r="AM23" i="64" s="1"/>
  <c r="BH23" i="64"/>
  <c r="G23" i="64" s="1"/>
  <c r="BG23" i="64"/>
  <c r="BE23" i="64"/>
  <c r="BD23" i="64"/>
  <c r="BC23" i="64"/>
  <c r="BB23" i="64"/>
  <c r="BA23" i="64"/>
  <c r="AZ23" i="64"/>
  <c r="AY23" i="64"/>
  <c r="AX23" i="64"/>
  <c r="AW23" i="64"/>
  <c r="AU23" i="64"/>
  <c r="AT23" i="64"/>
  <c r="AS23" i="64"/>
  <c r="AR23" i="64"/>
  <c r="AV23" i="64" s="1"/>
  <c r="AQ23" i="64"/>
  <c r="AP23" i="64"/>
  <c r="AO23" i="64"/>
  <c r="AL23" i="64"/>
  <c r="AJ23" i="64"/>
  <c r="AI23" i="64"/>
  <c r="AH23" i="64"/>
  <c r="AN23" i="64" s="1"/>
  <c r="AG23" i="64"/>
  <c r="C23" i="64"/>
  <c r="B23" i="64"/>
  <c r="BU22" i="64"/>
  <c r="BT22" i="64"/>
  <c r="BS22" i="64"/>
  <c r="BR22" i="64"/>
  <c r="BQ22" i="64"/>
  <c r="BL22" i="64"/>
  <c r="BK22" i="64"/>
  <c r="I22" i="64" s="1"/>
  <c r="BH22" i="64"/>
  <c r="BE22" i="64"/>
  <c r="BD22" i="64"/>
  <c r="BC22" i="64"/>
  <c r="BA22" i="64"/>
  <c r="AY22" i="64"/>
  <c r="AU22" i="64"/>
  <c r="AS22" i="64"/>
  <c r="AQ22" i="64"/>
  <c r="AO22" i="64"/>
  <c r="AL22" i="64"/>
  <c r="AH22" i="64"/>
  <c r="AN22" i="64" s="1"/>
  <c r="AG22" i="64"/>
  <c r="G22" i="64"/>
  <c r="BB22" i="64" s="1"/>
  <c r="BU21" i="64"/>
  <c r="BT21" i="64"/>
  <c r="BS21" i="64"/>
  <c r="BR21" i="64"/>
  <c r="BQ21" i="64"/>
  <c r="BL21" i="64"/>
  <c r="BJ21" i="64"/>
  <c r="H21" i="64" s="1"/>
  <c r="BF21" i="64" s="1"/>
  <c r="BH21" i="64"/>
  <c r="BE21" i="64"/>
  <c r="BD21" i="64"/>
  <c r="BC21" i="64"/>
  <c r="AU21" i="64"/>
  <c r="AS21" i="64"/>
  <c r="AQ21" i="64"/>
  <c r="AO21" i="64"/>
  <c r="AL21" i="64"/>
  <c r="AH21" i="64"/>
  <c r="AN21" i="64" s="1"/>
  <c r="AG21" i="64"/>
  <c r="B21" i="64"/>
  <c r="BL20" i="64"/>
  <c r="BH20" i="64"/>
  <c r="BE20" i="64"/>
  <c r="BD20" i="64"/>
  <c r="BC20" i="64"/>
  <c r="AY20" i="64"/>
  <c r="AU20" i="64"/>
  <c r="AS20" i="64"/>
  <c r="AQ20" i="64"/>
  <c r="AI20" i="64" s="1"/>
  <c r="C20" i="64" s="1"/>
  <c r="AO20" i="64"/>
  <c r="AL20" i="64"/>
  <c r="AH20" i="64"/>
  <c r="AN20" i="64" s="1"/>
  <c r="AG20" i="64"/>
  <c r="G20" i="64"/>
  <c r="BB20" i="64" s="1"/>
  <c r="BL19" i="64"/>
  <c r="BH19" i="64"/>
  <c r="BE19" i="64"/>
  <c r="BD19" i="64"/>
  <c r="BC19" i="64"/>
  <c r="BA19" i="64"/>
  <c r="AU19" i="64"/>
  <c r="AS19" i="64"/>
  <c r="AQ19" i="64"/>
  <c r="AO19" i="64"/>
  <c r="AL19" i="64"/>
  <c r="AH19" i="64"/>
  <c r="AN19" i="64" s="1"/>
  <c r="AG19" i="64"/>
  <c r="G19" i="64"/>
  <c r="BB19" i="64" s="1"/>
  <c r="BH18" i="64"/>
  <c r="BE18" i="64"/>
  <c r="BD18" i="64"/>
  <c r="BC18" i="64"/>
  <c r="AU18" i="64"/>
  <c r="AS18" i="64"/>
  <c r="AQ18" i="64"/>
  <c r="AO18" i="64"/>
  <c r="AL18" i="64"/>
  <c r="AH18" i="64"/>
  <c r="AN18" i="64" s="1"/>
  <c r="AG18" i="64"/>
  <c r="BL17" i="64"/>
  <c r="BH17" i="64"/>
  <c r="BE17" i="64"/>
  <c r="BD17" i="64"/>
  <c r="BC17" i="64"/>
  <c r="AU17" i="64"/>
  <c r="AS17" i="64"/>
  <c r="AQ17" i="64"/>
  <c r="AO17" i="64"/>
  <c r="AL17" i="64"/>
  <c r="AH17" i="64"/>
  <c r="AN17" i="64" s="1"/>
  <c r="AG17" i="64"/>
  <c r="BL16" i="64"/>
  <c r="BK16" i="64"/>
  <c r="I16" i="64" s="1"/>
  <c r="BH16" i="64"/>
  <c r="BE16" i="64"/>
  <c r="BD16" i="64"/>
  <c r="BC16" i="64"/>
  <c r="AY16" i="64"/>
  <c r="AU16" i="64"/>
  <c r="AS16" i="64"/>
  <c r="AQ16" i="64"/>
  <c r="AO16" i="64"/>
  <c r="AL16" i="64"/>
  <c r="AH16" i="64"/>
  <c r="AG16" i="64"/>
  <c r="G16" i="64"/>
  <c r="BB16" i="64" s="1"/>
  <c r="BL15" i="64"/>
  <c r="BH15" i="64"/>
  <c r="BE15" i="64"/>
  <c r="BD15" i="64"/>
  <c r="BC15" i="64"/>
  <c r="BA15" i="64"/>
  <c r="AU15" i="64"/>
  <c r="AS15" i="64"/>
  <c r="AQ15" i="64"/>
  <c r="AO15" i="64"/>
  <c r="AL15" i="64"/>
  <c r="AH15" i="64"/>
  <c r="AN15" i="64" s="1"/>
  <c r="AG15" i="64"/>
  <c r="G15" i="64"/>
  <c r="BB15" i="64" s="1"/>
  <c r="BH14" i="64"/>
  <c r="BE14" i="64"/>
  <c r="BD14" i="64"/>
  <c r="BC14" i="64"/>
  <c r="AU14" i="64"/>
  <c r="AS14" i="64"/>
  <c r="AI14" i="64" s="1"/>
  <c r="C14" i="64" s="1"/>
  <c r="AQ14" i="64"/>
  <c r="AO14" i="64"/>
  <c r="AL14" i="64"/>
  <c r="AH14" i="64"/>
  <c r="AN14" i="64" s="1"/>
  <c r="AG14" i="64"/>
  <c r="BL13" i="64"/>
  <c r="BJ13" i="64"/>
  <c r="H13" i="64" s="1"/>
  <c r="BF13" i="64" s="1"/>
  <c r="BH13" i="64"/>
  <c r="BE13" i="64"/>
  <c r="BD13" i="64"/>
  <c r="BC13" i="64"/>
  <c r="AU13" i="64"/>
  <c r="AS13" i="64"/>
  <c r="AQ13" i="64"/>
  <c r="AO13" i="64"/>
  <c r="AL13" i="64"/>
  <c r="AH13" i="64"/>
  <c r="AN13" i="64" s="1"/>
  <c r="AG13" i="64"/>
  <c r="B13" i="64"/>
  <c r="BL12" i="64"/>
  <c r="BK12" i="64"/>
  <c r="I12" i="64" s="1"/>
  <c r="BJ12" i="64"/>
  <c r="H12" i="64" s="1"/>
  <c r="BF12" i="64" s="1"/>
  <c r="BH12" i="64"/>
  <c r="BE12" i="64"/>
  <c r="BD12" i="64"/>
  <c r="BC12" i="64"/>
  <c r="AY12" i="64"/>
  <c r="AX12" i="64"/>
  <c r="AU12" i="64"/>
  <c r="AS12" i="64"/>
  <c r="AQ12" i="64"/>
  <c r="AO12" i="64"/>
  <c r="AL12" i="64"/>
  <c r="AH12" i="64"/>
  <c r="AN12" i="64" s="1"/>
  <c r="AG12" i="64"/>
  <c r="G12" i="64"/>
  <c r="BB12" i="64" s="1"/>
  <c r="B12" i="64"/>
  <c r="BL11" i="64"/>
  <c r="BH11" i="64"/>
  <c r="BE11" i="64"/>
  <c r="BD11" i="64"/>
  <c r="BC11" i="64"/>
  <c r="BA11" i="64"/>
  <c r="AU11" i="64"/>
  <c r="AS11" i="64"/>
  <c r="AQ11" i="64"/>
  <c r="AI11" i="64" s="1"/>
  <c r="C11" i="64" s="1"/>
  <c r="AL11" i="64"/>
  <c r="AH11" i="64"/>
  <c r="AN11" i="64" s="1"/>
  <c r="AG11" i="64"/>
  <c r="G11" i="64"/>
  <c r="BB11" i="64" s="1"/>
  <c r="BH10" i="64"/>
  <c r="BE10" i="64"/>
  <c r="BD10" i="64"/>
  <c r="BD4" i="64" s="1"/>
  <c r="BC10" i="64"/>
  <c r="AU10" i="64"/>
  <c r="AS10" i="64"/>
  <c r="AI10" i="64" s="1"/>
  <c r="C10" i="64" s="1"/>
  <c r="AQ10" i="64"/>
  <c r="AL10" i="64"/>
  <c r="AH10" i="64"/>
  <c r="AN10" i="64" s="1"/>
  <c r="AG10" i="64"/>
  <c r="BL9" i="64"/>
  <c r="BH9" i="64"/>
  <c r="BE9" i="64"/>
  <c r="BD9" i="64"/>
  <c r="BC9" i="64"/>
  <c r="AU9" i="64"/>
  <c r="AV43" i="64" s="1"/>
  <c r="AS9" i="64"/>
  <c r="AQ9" i="64"/>
  <c r="AL9" i="64"/>
  <c r="AJ9" i="64"/>
  <c r="AJ10" i="64" s="1"/>
  <c r="AJ11" i="64" s="1"/>
  <c r="AJ12" i="64" s="1"/>
  <c r="AH9" i="64"/>
  <c r="AN9" i="64" s="1"/>
  <c r="AG9" i="64"/>
  <c r="B9" i="64"/>
  <c r="BL8" i="64"/>
  <c r="BK8" i="64"/>
  <c r="I8" i="64" s="1"/>
  <c r="BJ8" i="64"/>
  <c r="H8" i="64" s="1"/>
  <c r="BF8" i="64" s="1"/>
  <c r="BH8" i="64"/>
  <c r="BE8" i="64"/>
  <c r="BD8" i="64"/>
  <c r="BC8" i="64"/>
  <c r="BC4" i="64" s="1"/>
  <c r="AY8" i="64"/>
  <c r="AX8" i="64"/>
  <c r="AU8" i="64"/>
  <c r="AS8" i="64"/>
  <c r="AS41" i="64" s="1"/>
  <c r="AQ8" i="64"/>
  <c r="AQ41" i="64" s="1"/>
  <c r="AO8" i="64"/>
  <c r="AL8" i="64"/>
  <c r="AJ8" i="64"/>
  <c r="AH8" i="64"/>
  <c r="AN8" i="64" s="1"/>
  <c r="AG8" i="64"/>
  <c r="G8" i="64"/>
  <c r="BB8" i="64" s="1"/>
  <c r="B8" i="64"/>
  <c r="AV6" i="64"/>
  <c r="B10" i="74" l="1"/>
  <c r="BM16" i="70"/>
  <c r="AZ16" i="70"/>
  <c r="BJ16" i="70"/>
  <c r="H16" i="70" s="1"/>
  <c r="BF16" i="70" s="1"/>
  <c r="AK20" i="70"/>
  <c r="AT20" i="70" s="1"/>
  <c r="AK22" i="70"/>
  <c r="AM22" i="70" s="1"/>
  <c r="AK37" i="70"/>
  <c r="AM37" i="70" s="1"/>
  <c r="AK25" i="70"/>
  <c r="AM25" i="70" s="1"/>
  <c r="AN12" i="70"/>
  <c r="BN12" i="70"/>
  <c r="AN16" i="70"/>
  <c r="BJ12" i="70"/>
  <c r="H12" i="70" s="1"/>
  <c r="BF12" i="70" s="1"/>
  <c r="AZ20" i="70"/>
  <c r="AK34" i="70"/>
  <c r="AM34" i="70" s="1"/>
  <c r="BN16" i="70"/>
  <c r="AZ8" i="70"/>
  <c r="AX16" i="70"/>
  <c r="BM28" i="70"/>
  <c r="AK30" i="70"/>
  <c r="AM30" i="70" s="1"/>
  <c r="BM25" i="64"/>
  <c r="BN8" i="65"/>
  <c r="AK32" i="70"/>
  <c r="AM32" i="70" s="1"/>
  <c r="AM8" i="70"/>
  <c r="AP8" i="70" s="1"/>
  <c r="AK33" i="70"/>
  <c r="AM33" i="70" s="1"/>
  <c r="AN20" i="70"/>
  <c r="BE4" i="70"/>
  <c r="AR12" i="70"/>
  <c r="AV12" i="70" s="1"/>
  <c r="AR8" i="70"/>
  <c r="AV8" i="70" s="1"/>
  <c r="BN8" i="70"/>
  <c r="BN20" i="70"/>
  <c r="AK27" i="70"/>
  <c r="AM27" i="70" s="1"/>
  <c r="AK24" i="70"/>
  <c r="AM24" i="70" s="1"/>
  <c r="AK38" i="70"/>
  <c r="AM38" i="70" s="1"/>
  <c r="AV44" i="70"/>
  <c r="AX12" i="70"/>
  <c r="BM12" i="70"/>
  <c r="AR16" i="70"/>
  <c r="AV16" i="70" s="1"/>
  <c r="AK36" i="70"/>
  <c r="AM36" i="70" s="1"/>
  <c r="BM8" i="70"/>
  <c r="AZ12" i="70"/>
  <c r="BM20" i="70"/>
  <c r="AJ12" i="70"/>
  <c r="AJ13" i="70" s="1"/>
  <c r="AJ14" i="70" s="1"/>
  <c r="AJ15" i="70" s="1"/>
  <c r="AJ16" i="70" s="1"/>
  <c r="AJ17" i="70" s="1"/>
  <c r="AI12" i="70"/>
  <c r="C12" i="70" s="1"/>
  <c r="AI18" i="70"/>
  <c r="C18" i="70" s="1"/>
  <c r="AI14" i="70"/>
  <c r="C14" i="70" s="1"/>
  <c r="AI10" i="70"/>
  <c r="C10" i="70" s="1"/>
  <c r="AI21" i="70"/>
  <c r="C21" i="70" s="1"/>
  <c r="AI13" i="70"/>
  <c r="C13" i="70" s="1"/>
  <c r="AI9" i="70"/>
  <c r="C9" i="70" s="1"/>
  <c r="AI15" i="70"/>
  <c r="C15" i="70" s="1"/>
  <c r="E41" i="70"/>
  <c r="AV41" i="70"/>
  <c r="Q5" i="70"/>
  <c r="G9" i="70"/>
  <c r="G13" i="70"/>
  <c r="G17" i="70"/>
  <c r="G21" i="70"/>
  <c r="B10" i="70"/>
  <c r="BL10" i="70"/>
  <c r="AW11" i="70"/>
  <c r="BI11" i="70"/>
  <c r="AZ11" i="70" s="1"/>
  <c r="BL14" i="70"/>
  <c r="AW15" i="70"/>
  <c r="BI15" i="70"/>
  <c r="BL18" i="70"/>
  <c r="AW19" i="70"/>
  <c r="BI19" i="70"/>
  <c r="AZ19" i="70" s="1"/>
  <c r="BL31" i="70"/>
  <c r="BL35" i="70"/>
  <c r="BL39" i="70"/>
  <c r="AX11" i="70"/>
  <c r="AX19" i="70"/>
  <c r="BL23" i="70"/>
  <c r="BL26" i="70"/>
  <c r="BL29" i="70"/>
  <c r="BM31" i="70"/>
  <c r="BM35" i="70"/>
  <c r="BM39" i="70"/>
  <c r="G10" i="70"/>
  <c r="AY11" i="70"/>
  <c r="BK11" i="70"/>
  <c r="I11" i="70" s="1"/>
  <c r="G14" i="70"/>
  <c r="AY15" i="70"/>
  <c r="BK15" i="70"/>
  <c r="I15" i="70" s="1"/>
  <c r="G18" i="70"/>
  <c r="AY19" i="70"/>
  <c r="BK19" i="70"/>
  <c r="I19" i="70" s="1"/>
  <c r="BM23" i="70"/>
  <c r="BM26" i="70"/>
  <c r="BM29" i="70"/>
  <c r="AM12" i="70"/>
  <c r="AM16" i="70"/>
  <c r="BM34" i="65"/>
  <c r="B12" i="70"/>
  <c r="BM35" i="65"/>
  <c r="AK33" i="65"/>
  <c r="AM33" i="65" s="1"/>
  <c r="AK22" i="65"/>
  <c r="AM22" i="65" s="1"/>
  <c r="AK28" i="65"/>
  <c r="AM28" i="65" s="1"/>
  <c r="BM21" i="65"/>
  <c r="AK21" i="65"/>
  <c r="AM21" i="65" s="1"/>
  <c r="AK28" i="64"/>
  <c r="AM28" i="64" s="1"/>
  <c r="BM28" i="64"/>
  <c r="AK30" i="65"/>
  <c r="AM30" i="65" s="1"/>
  <c r="AN16" i="65"/>
  <c r="AN6" i="65" s="1"/>
  <c r="BN16" i="65"/>
  <c r="AR12" i="65"/>
  <c r="AV12" i="65" s="1"/>
  <c r="BM24" i="65"/>
  <c r="AK32" i="64"/>
  <c r="AM32" i="64" s="1"/>
  <c r="BE4" i="65"/>
  <c r="AK36" i="65"/>
  <c r="AM36" i="65" s="1"/>
  <c r="AK37" i="65"/>
  <c r="AM37" i="65" s="1"/>
  <c r="AK27" i="65"/>
  <c r="AM27" i="65" s="1"/>
  <c r="BM39" i="65"/>
  <c r="AV44" i="64"/>
  <c r="AV44" i="65"/>
  <c r="BN12" i="65"/>
  <c r="AK16" i="65"/>
  <c r="AT16" i="65" s="1"/>
  <c r="AK20" i="65"/>
  <c r="AX20" i="65" s="1"/>
  <c r="AP12" i="65"/>
  <c r="AZ8" i="65"/>
  <c r="AK32" i="65"/>
  <c r="AM32" i="65" s="1"/>
  <c r="AK38" i="65"/>
  <c r="AM38" i="65" s="1"/>
  <c r="AK25" i="65"/>
  <c r="AM25" i="65" s="1"/>
  <c r="AN16" i="64"/>
  <c r="AN6" i="64" s="1"/>
  <c r="AK8" i="65"/>
  <c r="E41" i="65"/>
  <c r="AV41" i="65"/>
  <c r="Q5" i="65"/>
  <c r="AI16" i="65"/>
  <c r="C16" i="65" s="1"/>
  <c r="AI9" i="65"/>
  <c r="C9" i="65" s="1"/>
  <c r="AR44" i="65"/>
  <c r="AI11" i="65"/>
  <c r="C11" i="65" s="1"/>
  <c r="AJ13" i="65"/>
  <c r="BE4" i="64"/>
  <c r="G9" i="65"/>
  <c r="G13" i="65"/>
  <c r="BB17" i="65"/>
  <c r="AK36" i="64"/>
  <c r="AM36" i="64" s="1"/>
  <c r="AK37" i="64"/>
  <c r="AM37" i="64" s="1"/>
  <c r="B10" i="65"/>
  <c r="BL10" i="65"/>
  <c r="AW11" i="65"/>
  <c r="BI11" i="65"/>
  <c r="AT12" i="65"/>
  <c r="BL14" i="65"/>
  <c r="AW15" i="65"/>
  <c r="BI15" i="65"/>
  <c r="BL18" i="65"/>
  <c r="BL31" i="65"/>
  <c r="BL35" i="65"/>
  <c r="BL39" i="65"/>
  <c r="AX11" i="65"/>
  <c r="BL23" i="65"/>
  <c r="BL26" i="65"/>
  <c r="BL29" i="65"/>
  <c r="BM31" i="65"/>
  <c r="AK33" i="64"/>
  <c r="AM33" i="64" s="1"/>
  <c r="G10" i="65"/>
  <c r="AY11" i="65"/>
  <c r="BK11" i="65"/>
  <c r="I11" i="65" s="1"/>
  <c r="G14" i="65"/>
  <c r="AY15" i="65"/>
  <c r="BK15" i="65"/>
  <c r="I15" i="65" s="1"/>
  <c r="G18" i="65"/>
  <c r="BM23" i="65"/>
  <c r="BM26" i="65"/>
  <c r="BM29" i="65"/>
  <c r="B11" i="65"/>
  <c r="BJ16" i="65"/>
  <c r="H16" i="65" s="1"/>
  <c r="BF16" i="65" s="1"/>
  <c r="BJ20" i="65"/>
  <c r="H20" i="65" s="1"/>
  <c r="BF20" i="65" s="1"/>
  <c r="G19" i="65"/>
  <c r="AZ12" i="65"/>
  <c r="AZ16" i="65"/>
  <c r="BI17" i="65"/>
  <c r="AZ20" i="65"/>
  <c r="BL37" i="65"/>
  <c r="AO8" i="65"/>
  <c r="BM8" i="65"/>
  <c r="BM12" i="65"/>
  <c r="BM16" i="65"/>
  <c r="BM20" i="65"/>
  <c r="AY17" i="65"/>
  <c r="AJ13" i="64"/>
  <c r="AI19" i="64"/>
  <c r="C19" i="64" s="1"/>
  <c r="AI9" i="64"/>
  <c r="C9" i="64" s="1"/>
  <c r="AR44" i="64"/>
  <c r="AI22" i="64"/>
  <c r="C22" i="64" s="1"/>
  <c r="BM24" i="64"/>
  <c r="BM27" i="64"/>
  <c r="BM30" i="64"/>
  <c r="BM34" i="64"/>
  <c r="BM38" i="64"/>
  <c r="G9" i="64"/>
  <c r="G13" i="64"/>
  <c r="G17" i="64"/>
  <c r="G21" i="64"/>
  <c r="B10" i="64"/>
  <c r="BL10" i="64"/>
  <c r="AW11" i="64"/>
  <c r="BI11" i="64"/>
  <c r="AZ11" i="64" s="1"/>
  <c r="BL14" i="64"/>
  <c r="AW15" i="64"/>
  <c r="BI15" i="64"/>
  <c r="BL18" i="64"/>
  <c r="AW19" i="64"/>
  <c r="BI19" i="64"/>
  <c r="AZ19" i="64" s="1"/>
  <c r="BL31" i="64"/>
  <c r="BL35" i="64"/>
  <c r="BL39" i="64"/>
  <c r="AX11" i="64"/>
  <c r="BL23" i="64"/>
  <c r="BL26" i="64"/>
  <c r="BL29" i="64"/>
  <c r="BM31" i="64"/>
  <c r="BM35" i="64"/>
  <c r="BM39" i="64"/>
  <c r="G10" i="64"/>
  <c r="AY11" i="64"/>
  <c r="BK11" i="64"/>
  <c r="I11" i="64" s="1"/>
  <c r="G14" i="64"/>
  <c r="AY15" i="64"/>
  <c r="BK15" i="64"/>
  <c r="I15" i="64" s="1"/>
  <c r="G18" i="64"/>
  <c r="AY19" i="64"/>
  <c r="BK19" i="64"/>
  <c r="I19" i="64" s="1"/>
  <c r="AW22" i="64"/>
  <c r="BI22" i="64"/>
  <c r="BM23" i="64"/>
  <c r="BM26" i="64"/>
  <c r="BM29" i="64"/>
  <c r="AW8" i="64"/>
  <c r="BI8" i="64"/>
  <c r="B11" i="64"/>
  <c r="AW12" i="64"/>
  <c r="BI12" i="64"/>
  <c r="AW16" i="64"/>
  <c r="BI16" i="64"/>
  <c r="AW20" i="64"/>
  <c r="BI20" i="64"/>
  <c r="AZ20" i="64" s="1"/>
  <c r="AU41" i="64"/>
  <c r="BK20" i="64"/>
  <c r="I20" i="64" s="1"/>
  <c r="BA8" i="64"/>
  <c r="BA12" i="64"/>
  <c r="BA16" i="64"/>
  <c r="BA20" i="64"/>
  <c r="AM20" i="70" l="1"/>
  <c r="AR20" i="70"/>
  <c r="AV20" i="70" s="1"/>
  <c r="AX20" i="70"/>
  <c r="AV45" i="70"/>
  <c r="AN41" i="70"/>
  <c r="AX16" i="65"/>
  <c r="BG8" i="70"/>
  <c r="AP12" i="70"/>
  <c r="BG12" i="70" s="1"/>
  <c r="AN6" i="70"/>
  <c r="BN15" i="70"/>
  <c r="BM15" i="70"/>
  <c r="BJ15" i="70"/>
  <c r="H15" i="70" s="1"/>
  <c r="BF15" i="70" s="1"/>
  <c r="AK15" i="70"/>
  <c r="AJ18" i="70"/>
  <c r="BB10" i="70"/>
  <c r="BA10" i="70"/>
  <c r="BK10" i="70"/>
  <c r="I10" i="70" s="1"/>
  <c r="AY10" i="70"/>
  <c r="BI10" i="70"/>
  <c r="AZ10" i="70" s="1"/>
  <c r="AW10" i="70"/>
  <c r="BK21" i="70"/>
  <c r="I21" i="70" s="1"/>
  <c r="AY21" i="70"/>
  <c r="BI21" i="70"/>
  <c r="AZ21" i="70" s="1"/>
  <c r="AW21" i="70"/>
  <c r="BB21" i="70"/>
  <c r="BA21" i="70"/>
  <c r="BK17" i="70"/>
  <c r="I17" i="70" s="1"/>
  <c r="AY17" i="70"/>
  <c r="AX17" i="70"/>
  <c r="BI17" i="70"/>
  <c r="AZ17" i="70" s="1"/>
  <c r="AW17" i="70"/>
  <c r="BB17" i="70"/>
  <c r="BA17" i="70"/>
  <c r="BN11" i="70"/>
  <c r="BM11" i="70"/>
  <c r="AK11" i="70"/>
  <c r="BK9" i="70"/>
  <c r="I9" i="70" s="1"/>
  <c r="AY9" i="70"/>
  <c r="BI9" i="70"/>
  <c r="AZ9" i="70" s="1"/>
  <c r="AW9" i="70"/>
  <c r="BB9" i="70"/>
  <c r="BA9" i="70"/>
  <c r="AN41" i="65"/>
  <c r="AV45" i="65"/>
  <c r="BB18" i="70"/>
  <c r="BA18" i="70"/>
  <c r="BK18" i="70"/>
  <c r="I18" i="70" s="1"/>
  <c r="AY18" i="70"/>
  <c r="BI18" i="70"/>
  <c r="AW18" i="70"/>
  <c r="BN19" i="70"/>
  <c r="BM19" i="70"/>
  <c r="AK19" i="70"/>
  <c r="BB14" i="70"/>
  <c r="BA14" i="70"/>
  <c r="BK14" i="70"/>
  <c r="I14" i="70" s="1"/>
  <c r="AY14" i="70"/>
  <c r="BI14" i="70"/>
  <c r="AZ14" i="70" s="1"/>
  <c r="AW14" i="70"/>
  <c r="B13" i="70"/>
  <c r="BK13" i="70"/>
  <c r="I13" i="70" s="1"/>
  <c r="AY13" i="70"/>
  <c r="BI13" i="70"/>
  <c r="AZ13" i="70" s="1"/>
  <c r="AW13" i="70"/>
  <c r="BB13" i="70"/>
  <c r="BA13" i="70"/>
  <c r="AZ15" i="70"/>
  <c r="AT20" i="65"/>
  <c r="AN41" i="64"/>
  <c r="BG12" i="65"/>
  <c r="AM8" i="65"/>
  <c r="AP8" i="65" s="1"/>
  <c r="BG8" i="65" s="1"/>
  <c r="AR8" i="65"/>
  <c r="AV8" i="65" s="1"/>
  <c r="AT8" i="65"/>
  <c r="AM20" i="65"/>
  <c r="AR20" i="65"/>
  <c r="AV20" i="65" s="1"/>
  <c r="AM16" i="65"/>
  <c r="AR16" i="65"/>
  <c r="AV16" i="65" s="1"/>
  <c r="AJ14" i="65"/>
  <c r="BM15" i="65"/>
  <c r="AZ15" i="65"/>
  <c r="BJ15" i="65"/>
  <c r="H15" i="65" s="1"/>
  <c r="BF15" i="65" s="1"/>
  <c r="AK15" i="65"/>
  <c r="BB10" i="65"/>
  <c r="BA10" i="65"/>
  <c r="BK10" i="65"/>
  <c r="I10" i="65" s="1"/>
  <c r="AY10" i="65"/>
  <c r="AX10" i="65"/>
  <c r="BI10" i="65"/>
  <c r="AZ10" i="65" s="1"/>
  <c r="AW10" i="65"/>
  <c r="B14" i="65"/>
  <c r="BK13" i="65"/>
  <c r="I13" i="65" s="1"/>
  <c r="AY13" i="65"/>
  <c r="AX13" i="65"/>
  <c r="BI13" i="65"/>
  <c r="AZ13" i="65" s="1"/>
  <c r="AW13" i="65"/>
  <c r="BB13" i="65"/>
  <c r="BA13" i="65"/>
  <c r="BK9" i="65"/>
  <c r="I9" i="65" s="1"/>
  <c r="AY9" i="65"/>
  <c r="AX9" i="65"/>
  <c r="BI9" i="65"/>
  <c r="AZ9" i="65" s="1"/>
  <c r="AW9" i="65"/>
  <c r="BB9" i="65"/>
  <c r="BA9" i="65"/>
  <c r="BB14" i="65"/>
  <c r="BA14" i="65"/>
  <c r="BK14" i="65"/>
  <c r="I14" i="65" s="1"/>
  <c r="AY14" i="65"/>
  <c r="BI14" i="65"/>
  <c r="AZ14" i="65" s="1"/>
  <c r="AW14" i="65"/>
  <c r="BJ17" i="65"/>
  <c r="H17" i="65" s="1"/>
  <c r="BF17" i="65" s="1"/>
  <c r="AK17" i="65"/>
  <c r="BN17" i="65"/>
  <c r="BM17" i="65"/>
  <c r="AZ17" i="65"/>
  <c r="BN11" i="65"/>
  <c r="BM11" i="65"/>
  <c r="AO11" i="65"/>
  <c r="AZ11" i="65"/>
  <c r="BJ11" i="65"/>
  <c r="H11" i="65" s="1"/>
  <c r="BF11" i="65" s="1"/>
  <c r="AK11" i="65"/>
  <c r="BN15" i="65"/>
  <c r="AI17" i="65"/>
  <c r="C17" i="65" s="1"/>
  <c r="AI19" i="65"/>
  <c r="C19" i="65" s="1"/>
  <c r="AI15" i="65"/>
  <c r="C15" i="65" s="1"/>
  <c r="BB19" i="65"/>
  <c r="BA19" i="65"/>
  <c r="BK19" i="65"/>
  <c r="I19" i="65" s="1"/>
  <c r="AY19" i="65"/>
  <c r="BI19" i="65"/>
  <c r="AZ19" i="65" s="1"/>
  <c r="AW19" i="65"/>
  <c r="BB18" i="65"/>
  <c r="BA18" i="65"/>
  <c r="BK18" i="65"/>
  <c r="I18" i="65" s="1"/>
  <c r="AY18" i="65"/>
  <c r="BI18" i="65"/>
  <c r="AZ18" i="65" s="1"/>
  <c r="AW18" i="65"/>
  <c r="AI18" i="65"/>
  <c r="C18" i="65" s="1"/>
  <c r="BN20" i="64"/>
  <c r="BM20" i="64"/>
  <c r="BJ20" i="64"/>
  <c r="H20" i="64" s="1"/>
  <c r="BF20" i="64" s="1"/>
  <c r="AK20" i="64"/>
  <c r="BN8" i="64"/>
  <c r="BM8" i="64"/>
  <c r="AZ8" i="64"/>
  <c r="AK8" i="64"/>
  <c r="BB14" i="64"/>
  <c r="BA14" i="64"/>
  <c r="BK14" i="64"/>
  <c r="I14" i="64" s="1"/>
  <c r="AY14" i="64"/>
  <c r="BI14" i="64"/>
  <c r="AZ14" i="64" s="1"/>
  <c r="AW14" i="64"/>
  <c r="BN19" i="64"/>
  <c r="BM19" i="64"/>
  <c r="BJ19" i="64"/>
  <c r="H19" i="64" s="1"/>
  <c r="BF19" i="64" s="1"/>
  <c r="AK19" i="64"/>
  <c r="BK21" i="64"/>
  <c r="I21" i="64" s="1"/>
  <c r="AY21" i="64"/>
  <c r="AX21" i="64"/>
  <c r="BI21" i="64"/>
  <c r="AZ21" i="64" s="1"/>
  <c r="AW21" i="64"/>
  <c r="BB21" i="64"/>
  <c r="BA21" i="64"/>
  <c r="AI18" i="64"/>
  <c r="C18" i="64" s="1"/>
  <c r="AI17" i="64"/>
  <c r="C17" i="64" s="1"/>
  <c r="AI15" i="64"/>
  <c r="C15" i="64" s="1"/>
  <c r="BK17" i="64"/>
  <c r="I17" i="64" s="1"/>
  <c r="AY17" i="64"/>
  <c r="BI17" i="64"/>
  <c r="AZ17" i="64" s="1"/>
  <c r="AW17" i="64"/>
  <c r="BB17" i="64"/>
  <c r="BA17" i="64"/>
  <c r="BB18" i="64"/>
  <c r="BA18" i="64"/>
  <c r="BK18" i="64"/>
  <c r="I18" i="64" s="1"/>
  <c r="AY18" i="64"/>
  <c r="BI18" i="64"/>
  <c r="AZ18" i="64" s="1"/>
  <c r="AW18" i="64"/>
  <c r="BB10" i="64"/>
  <c r="BA10" i="64"/>
  <c r="BA4" i="64" s="1"/>
  <c r="BK10" i="64"/>
  <c r="I10" i="64" s="1"/>
  <c r="AY10" i="64"/>
  <c r="AX10" i="64"/>
  <c r="BI10" i="64"/>
  <c r="AZ10" i="64" s="1"/>
  <c r="AW10" i="64"/>
  <c r="BK13" i="64"/>
  <c r="I13" i="64" s="1"/>
  <c r="AY13" i="64"/>
  <c r="AX13" i="64"/>
  <c r="BI13" i="64"/>
  <c r="AZ13" i="64" s="1"/>
  <c r="AW13" i="64"/>
  <c r="BB13" i="64"/>
  <c r="BA13" i="64"/>
  <c r="AI16" i="64"/>
  <c r="C16" i="64" s="1"/>
  <c r="BN16" i="64"/>
  <c r="BM16" i="64"/>
  <c r="AZ16" i="64"/>
  <c r="BJ16" i="64"/>
  <c r="H16" i="64" s="1"/>
  <c r="BF16" i="64" s="1"/>
  <c r="AK16" i="64"/>
  <c r="BK9" i="64"/>
  <c r="I9" i="64" s="1"/>
  <c r="AY9" i="64"/>
  <c r="AX9" i="64"/>
  <c r="BI9" i="64"/>
  <c r="AW9" i="64"/>
  <c r="BB9" i="64"/>
  <c r="BA9" i="64"/>
  <c r="E41" i="64"/>
  <c r="AV41" i="64"/>
  <c r="AV45" i="64" s="1"/>
  <c r="Q5" i="64"/>
  <c r="BN22" i="64"/>
  <c r="BM22" i="64"/>
  <c r="AZ22" i="64"/>
  <c r="BJ22" i="64"/>
  <c r="H22" i="64" s="1"/>
  <c r="BF22" i="64" s="1"/>
  <c r="AK22" i="64"/>
  <c r="BN15" i="64"/>
  <c r="BM15" i="64"/>
  <c r="BJ15" i="64"/>
  <c r="H15" i="64" s="1"/>
  <c r="BF15" i="64" s="1"/>
  <c r="AK15" i="64"/>
  <c r="AZ15" i="64"/>
  <c r="AJ14" i="64"/>
  <c r="BN11" i="64"/>
  <c r="BM11" i="64"/>
  <c r="AO11" i="64"/>
  <c r="BJ11" i="64"/>
  <c r="H11" i="64" s="1"/>
  <c r="BF11" i="64" s="1"/>
  <c r="AK11" i="64"/>
  <c r="BN12" i="64"/>
  <c r="BM12" i="64"/>
  <c r="AZ12" i="64"/>
  <c r="AK12" i="64"/>
  <c r="B14" i="64"/>
  <c r="BJ18" i="70" l="1"/>
  <c r="H18" i="70" s="1"/>
  <c r="BF18" i="70" s="1"/>
  <c r="AK18" i="70"/>
  <c r="BM18" i="70"/>
  <c r="BN18" i="70"/>
  <c r="BJ13" i="70"/>
  <c r="H13" i="70" s="1"/>
  <c r="BF13" i="70" s="1"/>
  <c r="AK13" i="70"/>
  <c r="BM13" i="70"/>
  <c r="BN13" i="70"/>
  <c r="BA4" i="70"/>
  <c r="AZ18" i="70"/>
  <c r="AZ4" i="70" s="1"/>
  <c r="BB4" i="70"/>
  <c r="BJ21" i="70"/>
  <c r="H21" i="70" s="1"/>
  <c r="BF21" i="70" s="1"/>
  <c r="AK21" i="70"/>
  <c r="BM21" i="70"/>
  <c r="BN21" i="70"/>
  <c r="B14" i="70"/>
  <c r="B15" i="70" s="1"/>
  <c r="AP15" i="70" s="1"/>
  <c r="AR19" i="70"/>
  <c r="AV19" i="70" s="1"/>
  <c r="AM19" i="70"/>
  <c r="AP19" i="70" s="1"/>
  <c r="BG19" i="70" s="1"/>
  <c r="AT19" i="70"/>
  <c r="BJ9" i="70"/>
  <c r="H9" i="70" s="1"/>
  <c r="AK9" i="70"/>
  <c r="BM9" i="70"/>
  <c r="BN9" i="70"/>
  <c r="AJ19" i="70"/>
  <c r="BJ14" i="70"/>
  <c r="H14" i="70" s="1"/>
  <c r="BF14" i="70" s="1"/>
  <c r="AK14" i="70"/>
  <c r="BN14" i="70"/>
  <c r="BM14" i="70"/>
  <c r="AR15" i="70"/>
  <c r="AV15" i="70" s="1"/>
  <c r="AM15" i="70"/>
  <c r="AT15" i="70"/>
  <c r="AX15" i="70"/>
  <c r="AY4" i="70"/>
  <c r="AK17" i="70"/>
  <c r="BM17" i="70"/>
  <c r="BN17" i="70"/>
  <c r="BJ10" i="70"/>
  <c r="H10" i="70" s="1"/>
  <c r="AK10" i="70"/>
  <c r="BN10" i="70"/>
  <c r="BM10" i="70"/>
  <c r="AR11" i="70"/>
  <c r="AV11" i="70" s="1"/>
  <c r="AM11" i="70"/>
  <c r="AP11" i="70" s="1"/>
  <c r="BG11" i="70" s="1"/>
  <c r="AT11" i="70"/>
  <c r="AP11" i="65"/>
  <c r="BG11" i="65" s="1"/>
  <c r="AO10" i="65"/>
  <c r="BJ10" i="65"/>
  <c r="H10" i="65" s="1"/>
  <c r="AK10" i="65"/>
  <c r="BN10" i="65"/>
  <c r="BM10" i="65"/>
  <c r="AR15" i="65"/>
  <c r="AV15" i="65" s="1"/>
  <c r="AM15" i="65"/>
  <c r="AT15" i="65"/>
  <c r="AX15" i="65"/>
  <c r="BM19" i="65"/>
  <c r="BJ19" i="65"/>
  <c r="H19" i="65" s="1"/>
  <c r="BF19" i="65" s="1"/>
  <c r="AK19" i="65"/>
  <c r="BN19" i="65"/>
  <c r="AZ4" i="65"/>
  <c r="AM17" i="65"/>
  <c r="AX17" i="65"/>
  <c r="AT17" i="65"/>
  <c r="AR17" i="65"/>
  <c r="AV17" i="65" s="1"/>
  <c r="BA4" i="65"/>
  <c r="BB4" i="65"/>
  <c r="AJ15" i="65"/>
  <c r="BJ18" i="65"/>
  <c r="H18" i="65" s="1"/>
  <c r="BF18" i="65" s="1"/>
  <c r="AK18" i="65"/>
  <c r="BM18" i="65"/>
  <c r="BN18" i="65"/>
  <c r="AR11" i="65"/>
  <c r="AV11" i="65" s="1"/>
  <c r="AM11" i="65"/>
  <c r="AT11" i="65"/>
  <c r="AK13" i="65"/>
  <c r="BM13" i="65"/>
  <c r="BN13" i="65"/>
  <c r="BJ14" i="65"/>
  <c r="H14" i="65" s="1"/>
  <c r="BF14" i="65" s="1"/>
  <c r="AK14" i="65"/>
  <c r="BM14" i="65"/>
  <c r="BN14" i="65"/>
  <c r="BJ9" i="65"/>
  <c r="H9" i="65" s="1"/>
  <c r="AK9" i="65"/>
  <c r="BM9" i="65"/>
  <c r="AO9" i="65"/>
  <c r="BN9" i="65"/>
  <c r="AY4" i="65"/>
  <c r="B15" i="65"/>
  <c r="BJ9" i="64"/>
  <c r="H9" i="64" s="1"/>
  <c r="AK9" i="64"/>
  <c r="AO9" i="64"/>
  <c r="BM9" i="64"/>
  <c r="BN9" i="64"/>
  <c r="AM20" i="64"/>
  <c r="AX20" i="64"/>
  <c r="AT20" i="64"/>
  <c r="AR20" i="64"/>
  <c r="AV20" i="64" s="1"/>
  <c r="AJ15" i="64"/>
  <c r="AY4" i="64"/>
  <c r="AK13" i="64"/>
  <c r="BM13" i="64"/>
  <c r="BN13" i="64"/>
  <c r="BJ17" i="64"/>
  <c r="H17" i="64" s="1"/>
  <c r="BF17" i="64" s="1"/>
  <c r="AK17" i="64"/>
  <c r="BN17" i="64"/>
  <c r="BM17" i="64"/>
  <c r="AK21" i="64"/>
  <c r="BN21" i="64"/>
  <c r="BM21" i="64"/>
  <c r="BJ14" i="64"/>
  <c r="H14" i="64" s="1"/>
  <c r="BF14" i="64" s="1"/>
  <c r="AK14" i="64"/>
  <c r="BN14" i="64"/>
  <c r="BM14" i="64"/>
  <c r="AR11" i="64"/>
  <c r="AV11" i="64" s="1"/>
  <c r="AM11" i="64"/>
  <c r="AT11" i="64"/>
  <c r="BJ18" i="64"/>
  <c r="H18" i="64" s="1"/>
  <c r="BF18" i="64" s="1"/>
  <c r="AK18" i="64"/>
  <c r="BN18" i="64"/>
  <c r="BM18" i="64"/>
  <c r="AM16" i="64"/>
  <c r="AX16" i="64"/>
  <c r="AT16" i="64"/>
  <c r="AR16" i="64"/>
  <c r="AV16" i="64" s="1"/>
  <c r="AR15" i="64"/>
  <c r="AV15" i="64" s="1"/>
  <c r="AM15" i="64"/>
  <c r="AT15" i="64"/>
  <c r="AX15" i="64"/>
  <c r="AR19" i="64"/>
  <c r="AV19" i="64" s="1"/>
  <c r="AM19" i="64"/>
  <c r="AT19" i="64"/>
  <c r="AX19" i="64"/>
  <c r="AP11" i="64"/>
  <c r="BG11" i="64" s="1"/>
  <c r="AO10" i="64"/>
  <c r="BJ10" i="64"/>
  <c r="H10" i="64" s="1"/>
  <c r="AK10" i="64"/>
  <c r="BM10" i="64"/>
  <c r="BN10" i="64"/>
  <c r="AZ9" i="64"/>
  <c r="B16" i="64"/>
  <c r="AP16" i="64" s="1"/>
  <c r="B15" i="64"/>
  <c r="AP15" i="64" s="1"/>
  <c r="AM22" i="64"/>
  <c r="AT22" i="64"/>
  <c r="AR22" i="64"/>
  <c r="AV22" i="64" s="1"/>
  <c r="AX22" i="64"/>
  <c r="AM8" i="64"/>
  <c r="AT8" i="64"/>
  <c r="AR8" i="64"/>
  <c r="AM12" i="64"/>
  <c r="AP12" i="64" s="1"/>
  <c r="BG12" i="64" s="1"/>
  <c r="AT12" i="64"/>
  <c r="AR12" i="64"/>
  <c r="AV12" i="64" s="1"/>
  <c r="BB4" i="64"/>
  <c r="BG15" i="70" l="1"/>
  <c r="AM21" i="70"/>
  <c r="AT21" i="70"/>
  <c r="AR21" i="70"/>
  <c r="AV21" i="70" s="1"/>
  <c r="AX21" i="70"/>
  <c r="AP13" i="70"/>
  <c r="AM9" i="70"/>
  <c r="AT9" i="70"/>
  <c r="AR9" i="70"/>
  <c r="AX9" i="70"/>
  <c r="BF9" i="70"/>
  <c r="AP9" i="70"/>
  <c r="AT18" i="70"/>
  <c r="AR18" i="70"/>
  <c r="AV18" i="70" s="1"/>
  <c r="AM18" i="70"/>
  <c r="AX18" i="70"/>
  <c r="AM17" i="70"/>
  <c r="AP17" i="70" s="1"/>
  <c r="BG17" i="70" s="1"/>
  <c r="AT17" i="70"/>
  <c r="AR17" i="70"/>
  <c r="AV17" i="70" s="1"/>
  <c r="AT10" i="70"/>
  <c r="AR10" i="70"/>
  <c r="AV10" i="70" s="1"/>
  <c r="AM10" i="70"/>
  <c r="AX10" i="70"/>
  <c r="B16" i="70"/>
  <c r="AP16" i="70" s="1"/>
  <c r="BG16" i="70" s="1"/>
  <c r="BF10" i="70"/>
  <c r="AP10" i="70"/>
  <c r="AJ20" i="70"/>
  <c r="AT14" i="70"/>
  <c r="AR14" i="70"/>
  <c r="AV14" i="70" s="1"/>
  <c r="AM14" i="70"/>
  <c r="AX14" i="70"/>
  <c r="AP14" i="70"/>
  <c r="B18" i="70"/>
  <c r="AP18" i="70" s="1"/>
  <c r="AM13" i="70"/>
  <c r="AT13" i="70"/>
  <c r="AR13" i="70"/>
  <c r="AV13" i="70" s="1"/>
  <c r="AX13" i="70"/>
  <c r="BG16" i="64"/>
  <c r="BG15" i="64"/>
  <c r="AJ16" i="65"/>
  <c r="H41" i="65"/>
  <c r="AM13" i="65"/>
  <c r="AP13" i="65" s="1"/>
  <c r="BG13" i="65" s="1"/>
  <c r="AT13" i="65"/>
  <c r="AR13" i="65"/>
  <c r="AV13" i="65" s="1"/>
  <c r="AR19" i="65"/>
  <c r="AV19" i="65" s="1"/>
  <c r="AM19" i="65"/>
  <c r="AT19" i="65"/>
  <c r="AX19" i="65"/>
  <c r="AT10" i="65"/>
  <c r="AR10" i="65"/>
  <c r="AV10" i="65" s="1"/>
  <c r="AM10" i="65"/>
  <c r="BF10" i="65"/>
  <c r="AP10" i="65"/>
  <c r="BG10" i="65" s="1"/>
  <c r="AM9" i="65"/>
  <c r="AT9" i="65"/>
  <c r="AR9" i="65"/>
  <c r="BF9" i="65"/>
  <c r="AP9" i="65"/>
  <c r="BG9" i="65" s="1"/>
  <c r="AP15" i="65"/>
  <c r="BG15" i="65" s="1"/>
  <c r="B16" i="65"/>
  <c r="AT14" i="65"/>
  <c r="AR14" i="65"/>
  <c r="AV14" i="65" s="1"/>
  <c r="AM14" i="65"/>
  <c r="AP14" i="65" s="1"/>
  <c r="AX14" i="65"/>
  <c r="AT18" i="65"/>
  <c r="AR18" i="65"/>
  <c r="AV18" i="65" s="1"/>
  <c r="AM18" i="65"/>
  <c r="AX18" i="65"/>
  <c r="AM17" i="64"/>
  <c r="AT17" i="64"/>
  <c r="AR17" i="64"/>
  <c r="AV17" i="64" s="1"/>
  <c r="AX17" i="64"/>
  <c r="AT10" i="64"/>
  <c r="AR10" i="64"/>
  <c r="AV10" i="64" s="1"/>
  <c r="AM10" i="64"/>
  <c r="BF10" i="64"/>
  <c r="AP10" i="64"/>
  <c r="BG10" i="64" s="1"/>
  <c r="AT18" i="64"/>
  <c r="AR18" i="64"/>
  <c r="AV18" i="64" s="1"/>
  <c r="AM18" i="64"/>
  <c r="AX18" i="64"/>
  <c r="AM13" i="64"/>
  <c r="AP13" i="64" s="1"/>
  <c r="BG13" i="64" s="1"/>
  <c r="AT13" i="64"/>
  <c r="AR13" i="64"/>
  <c r="AV13" i="64" s="1"/>
  <c r="AV8" i="64"/>
  <c r="AT14" i="64"/>
  <c r="AR14" i="64"/>
  <c r="AV14" i="64" s="1"/>
  <c r="AM14" i="64"/>
  <c r="AP14" i="64" s="1"/>
  <c r="AX14" i="64"/>
  <c r="H41" i="64"/>
  <c r="B17" i="64"/>
  <c r="AP17" i="64" s="1"/>
  <c r="AM9" i="64"/>
  <c r="AT9" i="64"/>
  <c r="AR9" i="64"/>
  <c r="AV9" i="64" s="1"/>
  <c r="AP8" i="64"/>
  <c r="BG8" i="64" s="1"/>
  <c r="AJ16" i="64"/>
  <c r="BF9" i="64"/>
  <c r="AP9" i="64"/>
  <c r="BG9" i="64" s="1"/>
  <c r="AZ4" i="64"/>
  <c r="AM21" i="64"/>
  <c r="AP21" i="64" s="1"/>
  <c r="BG21" i="64" s="1"/>
  <c r="AT21" i="64"/>
  <c r="AR21" i="64"/>
  <c r="AV21" i="64" s="1"/>
  <c r="BG18" i="70" l="1"/>
  <c r="AV9" i="70"/>
  <c r="AR41" i="70"/>
  <c r="AR45" i="70" s="1"/>
  <c r="BG13" i="70"/>
  <c r="BG9" i="70"/>
  <c r="AJ21" i="70"/>
  <c r="AI8" i="70"/>
  <c r="C8" i="70" s="1"/>
  <c r="AM41" i="70"/>
  <c r="AX4" i="70" s="1"/>
  <c r="AM6" i="70"/>
  <c r="J41" i="70" s="1"/>
  <c r="B20" i="70"/>
  <c r="AP20" i="70" s="1"/>
  <c r="BG20" i="70" s="1"/>
  <c r="B21" i="70"/>
  <c r="AP21" i="70" s="1"/>
  <c r="BG21" i="70" s="1"/>
  <c r="BG14" i="70"/>
  <c r="BG10" i="70"/>
  <c r="AM6" i="64"/>
  <c r="J41" i="64" s="1"/>
  <c r="AV9" i="65"/>
  <c r="AR41" i="65"/>
  <c r="AT41" i="65"/>
  <c r="AM6" i="65"/>
  <c r="J41" i="65" s="1"/>
  <c r="AM41" i="65"/>
  <c r="AX4" i="65" s="1"/>
  <c r="BG14" i="65"/>
  <c r="AT41" i="64"/>
  <c r="AJ17" i="65"/>
  <c r="AP16" i="65"/>
  <c r="BG16" i="65" s="1"/>
  <c r="B17" i="65"/>
  <c r="AR41" i="64"/>
  <c r="B18" i="64"/>
  <c r="AP18" i="64" s="1"/>
  <c r="BG18" i="64" s="1"/>
  <c r="B19" i="64"/>
  <c r="AP19" i="64" s="1"/>
  <c r="BG19" i="64" s="1"/>
  <c r="BG17" i="64"/>
  <c r="AJ17" i="64"/>
  <c r="BG14" i="64"/>
  <c r="AM41" i="64"/>
  <c r="AX4" i="64" s="1"/>
  <c r="C101" i="14" l="1"/>
  <c r="F41" i="70"/>
  <c r="U48" i="70" s="1"/>
  <c r="U49" i="70" s="1"/>
  <c r="Q6" i="70"/>
  <c r="F23" i="8" s="1"/>
  <c r="C103" i="14" s="1"/>
  <c r="AW4" i="70"/>
  <c r="U44" i="70" s="1"/>
  <c r="O40" i="70" s="1"/>
  <c r="AI19" i="70"/>
  <c r="C19" i="70" s="1"/>
  <c r="AI17" i="70"/>
  <c r="C17" i="70" s="1"/>
  <c r="AI11" i="70"/>
  <c r="U45" i="70"/>
  <c r="Q40" i="70" s="1"/>
  <c r="AR46" i="70"/>
  <c r="B41" i="70" s="1"/>
  <c r="C100" i="14"/>
  <c r="C99" i="14"/>
  <c r="AR45" i="64"/>
  <c r="AR46" i="64" s="1"/>
  <c r="B41" i="64" s="1"/>
  <c r="B19" i="65"/>
  <c r="AP19" i="65" s="1"/>
  <c r="BG19" i="65" s="1"/>
  <c r="AJ18" i="65"/>
  <c r="F41" i="65"/>
  <c r="U47" i="65" s="1"/>
  <c r="U49" i="65" s="1"/>
  <c r="Q6" i="65"/>
  <c r="AW4" i="65"/>
  <c r="AP17" i="65"/>
  <c r="BG17" i="65" s="1"/>
  <c r="B18" i="65"/>
  <c r="AP18" i="65" s="1"/>
  <c r="BG18" i="65" s="1"/>
  <c r="AR45" i="65"/>
  <c r="F41" i="64"/>
  <c r="U47" i="64" s="1"/>
  <c r="U49" i="64" s="1"/>
  <c r="Q6" i="64"/>
  <c r="AW4" i="64"/>
  <c r="AJ18" i="64"/>
  <c r="B20" i="64"/>
  <c r="AP20" i="64" s="1"/>
  <c r="BG20" i="64" s="1"/>
  <c r="B22" i="64"/>
  <c r="AP22" i="64" s="1"/>
  <c r="BG22" i="64" s="1"/>
  <c r="F22" i="9" l="1"/>
  <c r="F9" i="8"/>
  <c r="C85" i="14" s="1"/>
  <c r="F23" i="9"/>
  <c r="F10" i="8"/>
  <c r="C86" i="14" s="1"/>
  <c r="C11" i="70"/>
  <c r="AI43" i="70"/>
  <c r="U44" i="64"/>
  <c r="O40" i="64" s="1"/>
  <c r="U45" i="64"/>
  <c r="Q40" i="64" s="1"/>
  <c r="U45" i="65"/>
  <c r="Q40" i="65" s="1"/>
  <c r="U44" i="65"/>
  <c r="O40" i="65" s="1"/>
  <c r="AR46" i="65"/>
  <c r="B41" i="65" s="1"/>
  <c r="B20" i="65"/>
  <c r="AP20" i="65" s="1"/>
  <c r="BG20" i="65" s="1"/>
  <c r="AJ19" i="65"/>
  <c r="AJ19" i="64"/>
  <c r="AJ20" i="64" s="1"/>
  <c r="AJ21" i="64" s="1"/>
  <c r="AJ20" i="65" l="1"/>
  <c r="AI13" i="65" s="1"/>
  <c r="C13" i="65" s="1"/>
  <c r="AI8" i="65"/>
  <c r="C8" i="65" s="1"/>
  <c r="AI12" i="65"/>
  <c r="AI21" i="64"/>
  <c r="C21" i="64" s="1"/>
  <c r="AJ22" i="64"/>
  <c r="C12" i="65" l="1"/>
  <c r="AI43" i="65"/>
  <c r="AI8" i="64"/>
  <c r="C8" i="64" s="1"/>
  <c r="AI13" i="64"/>
  <c r="C13" i="64" s="1"/>
  <c r="AI12" i="64"/>
  <c r="C12" i="64" l="1"/>
  <c r="AI43" i="64"/>
  <c r="C3" i="8" l="1"/>
  <c r="A3" i="8"/>
  <c r="C2" i="8"/>
  <c r="A2" i="8"/>
  <c r="C1" i="8"/>
  <c r="A1" i="8"/>
  <c r="C3" i="7"/>
  <c r="A3" i="7"/>
  <c r="C2" i="7"/>
  <c r="A2" i="7"/>
  <c r="C1" i="7"/>
  <c r="A1" i="7"/>
  <c r="C2" i="12"/>
  <c r="C3" i="12"/>
  <c r="A2" i="12"/>
  <c r="A3" i="12"/>
  <c r="C2" i="11"/>
  <c r="C3" i="11"/>
  <c r="A3" i="11"/>
  <c r="E1" i="14" l="1"/>
  <c r="C1" i="14"/>
  <c r="C1" i="12"/>
  <c r="A1" i="12"/>
  <c r="A2" i="11"/>
  <c r="C1" i="11"/>
  <c r="A1" i="11"/>
</calcChain>
</file>

<file path=xl/sharedStrings.xml><?xml version="1.0" encoding="utf-8"?>
<sst xmlns="http://schemas.openxmlformats.org/spreadsheetml/2006/main" count="5466" uniqueCount="695">
  <si>
    <t>Class</t>
  </si>
  <si>
    <t>Grade</t>
  </si>
  <si>
    <t>Data for these columns is pulled from event gradesheets. Do not enter data here.</t>
  </si>
  <si>
    <t>Mission Event</t>
  </si>
  <si>
    <t>Platform</t>
  </si>
  <si>
    <t>Instructor</t>
  </si>
  <si>
    <t>Date</t>
  </si>
  <si>
    <t>Reports</t>
  </si>
  <si>
    <t xml:space="preserve">Flight Duration </t>
  </si>
  <si>
    <t xml:space="preserve">Date </t>
  </si>
  <si>
    <t>Flight Duration</t>
  </si>
  <si>
    <t>Probation</t>
  </si>
  <si>
    <t>Event / Aircraft</t>
  </si>
  <si>
    <t>Reason</t>
  </si>
  <si>
    <t>DO Reviewed</t>
  </si>
  <si>
    <t>Remove Date</t>
  </si>
  <si>
    <t>Alibi (Busts, Fairs, Incompletes &amp; Airsickness)</t>
  </si>
  <si>
    <t>Alibi</t>
  </si>
  <si>
    <t>Training Officer Remarks</t>
  </si>
  <si>
    <t>Training/Event Completed</t>
  </si>
  <si>
    <t>Last Flight Flown</t>
  </si>
  <si>
    <t>Flight duration</t>
  </si>
  <si>
    <t>Student</t>
  </si>
  <si>
    <t>Crew Type</t>
  </si>
  <si>
    <t>6/20/2012 EXAMPLE ENTRY</t>
  </si>
  <si>
    <t>PF 761 F-16</t>
  </si>
  <si>
    <t>Captain America demonstrated limited proficiency in formation procedures, most likely due to the curriculum break and being DNIF prior to that. Recommend an additional formation sortie in either the F-16 or T-38 to bring his continuity back up to speed.  LTC Joe Bag-o-Donuts</t>
  </si>
  <si>
    <t>Talked to LTC Bag-o-Donuts on 6/21/2012 along with Ops O. Capt America scheduled for a T-38 form prof ride on 7/17. He can continue with non-formation flights until then.</t>
  </si>
  <si>
    <t>Formation sortie completed 6/28/2012. All formation events completed satisfactorily. Col Rockstar</t>
  </si>
  <si>
    <t>Begin Date</t>
  </si>
  <si>
    <t>Maj Flyer is placed on flying probation for the next 60 days due to a substandard performance trend in accordance with USAF TPS OI 36-5, para 3.a(2), dated 25 May 07. This probation is based on your flying performance with the following deficiencies: (A) Adherence to A/C limits (B) Situational Awareness   Maj Instructor</t>
  </si>
  <si>
    <t>LT Col DO  6/22/2012</t>
  </si>
  <si>
    <t>Resource / Aircraft</t>
  </si>
  <si>
    <t>Restriction Description</t>
  </si>
  <si>
    <t>F-15 E</t>
  </si>
  <si>
    <t>Capt Alien may not fly in F-15E</t>
  </si>
  <si>
    <t>B</t>
  </si>
  <si>
    <t>G</t>
  </si>
  <si>
    <t>Y</t>
  </si>
  <si>
    <t>R</t>
  </si>
  <si>
    <t>6111E</t>
  </si>
  <si>
    <t>9111E</t>
  </si>
  <si>
    <t>SY 6000</t>
  </si>
  <si>
    <t>SY 7000</t>
  </si>
  <si>
    <t>SY 8000</t>
  </si>
  <si>
    <t>TF 5000</t>
  </si>
  <si>
    <t>TF 6000</t>
  </si>
  <si>
    <t>TF 7000</t>
  </si>
  <si>
    <t>TF 8000</t>
  </si>
  <si>
    <t>TF 9000</t>
  </si>
  <si>
    <t>6102E</t>
  </si>
  <si>
    <t>7202E</t>
  </si>
  <si>
    <t>8202E</t>
  </si>
  <si>
    <t>8102E</t>
  </si>
  <si>
    <t>SY 6100</t>
  </si>
  <si>
    <t>Electro-Optics Homework</t>
  </si>
  <si>
    <t>RADAR Homework</t>
  </si>
  <si>
    <t>SY 6200</t>
  </si>
  <si>
    <t>SY 6300</t>
  </si>
  <si>
    <t>6302Y</t>
  </si>
  <si>
    <t>SY 6400</t>
  </si>
  <si>
    <t>6401E</t>
  </si>
  <si>
    <t>Component Mission Systems End-of-Course Exam</t>
  </si>
  <si>
    <t>SY 7200</t>
  </si>
  <si>
    <t>7213C</t>
  </si>
  <si>
    <t>F-16 Weapons Delivery Control Room (ABM/FTE/STC)</t>
  </si>
  <si>
    <t>SY 7400</t>
  </si>
  <si>
    <t>7401E</t>
  </si>
  <si>
    <t>SY 7500</t>
  </si>
  <si>
    <t>7504Y</t>
  </si>
  <si>
    <t>SY 8100</t>
  </si>
  <si>
    <t>Communications and Datalinks Homework</t>
  </si>
  <si>
    <t>SY 8500</t>
  </si>
  <si>
    <t>8501E</t>
  </si>
  <si>
    <t>Kill Web Mission Systems End-of-Course Exam</t>
  </si>
  <si>
    <t>TF 5100</t>
  </si>
  <si>
    <t>5103R</t>
  </si>
  <si>
    <t>Systems Engineering for Testers Project Written Report</t>
  </si>
  <si>
    <t>TF 5200</t>
  </si>
  <si>
    <t>5232R</t>
  </si>
  <si>
    <t>TF 5300</t>
  </si>
  <si>
    <t>TF 6200</t>
  </si>
  <si>
    <t>6221C</t>
  </si>
  <si>
    <t>Control Room Test Conduct Primer (ABM/FTE/STC)</t>
  </si>
  <si>
    <t>TF 6300</t>
  </si>
  <si>
    <t>Statistics for Testers Oral Report</t>
  </si>
  <si>
    <t>6311Y</t>
  </si>
  <si>
    <t>Statistics Based Test Design Oral Report</t>
  </si>
  <si>
    <t>TF 7100</t>
  </si>
  <si>
    <t>7113R</t>
  </si>
  <si>
    <t>Graded Qual Eval 1 Report</t>
  </si>
  <si>
    <t>7123R</t>
  </si>
  <si>
    <t>Graded Qual Eval 2 Report</t>
  </si>
  <si>
    <t>7133R</t>
  </si>
  <si>
    <t>Graded Qual Eval 3 Report</t>
  </si>
  <si>
    <t>TF 7500</t>
  </si>
  <si>
    <t>7502R</t>
  </si>
  <si>
    <t>Capstone Qual Eval Test Plan</t>
  </si>
  <si>
    <t>Capstone Qual Eval Oral Report</t>
  </si>
  <si>
    <t>TF 8100</t>
  </si>
  <si>
    <t>8106R</t>
  </si>
  <si>
    <t>TMP Test Plan and Safety Package</t>
  </si>
  <si>
    <t>TF 8300</t>
  </si>
  <si>
    <t>8306R</t>
  </si>
  <si>
    <t>TMP Final Written Report (TIM)</t>
  </si>
  <si>
    <t>8307Y</t>
  </si>
  <si>
    <t>TMP Final Oral Report</t>
  </si>
  <si>
    <t>TF 9100</t>
  </si>
  <si>
    <t>9102E</t>
  </si>
  <si>
    <t>Comprehensive Written Exam</t>
  </si>
  <si>
    <t>Comprehensive Oral Exam</t>
  </si>
  <si>
    <t>TL 6000</t>
  </si>
  <si>
    <t>TL 6100</t>
  </si>
  <si>
    <t>6102Y</t>
  </si>
  <si>
    <t>Oral Report</t>
  </si>
  <si>
    <t>TL 7000</t>
  </si>
  <si>
    <t>TL 7100</t>
  </si>
  <si>
    <t>7102Y</t>
  </si>
  <si>
    <t>7103Y</t>
  </si>
  <si>
    <t>Pitch Day Presentation</t>
  </si>
  <si>
    <t>TL 8000</t>
  </si>
  <si>
    <t>TL 8100</t>
  </si>
  <si>
    <t>8102Y</t>
  </si>
  <si>
    <t>Case Study Report 1</t>
  </si>
  <si>
    <t>8111Y</t>
  </si>
  <si>
    <t>Case Study Report 2</t>
  </si>
  <si>
    <t>8121Y</t>
  </si>
  <si>
    <t>Case Study Report 3</t>
  </si>
  <si>
    <t>8131Y</t>
  </si>
  <si>
    <t>Case Study Report 4</t>
  </si>
  <si>
    <t>8141Y</t>
  </si>
  <si>
    <t>Case Study Report 5</t>
  </si>
  <si>
    <t>8151Y</t>
  </si>
  <si>
    <t>Case Study Report 6</t>
  </si>
  <si>
    <t>8161Y</t>
  </si>
  <si>
    <t>Case Study Report 7</t>
  </si>
  <si>
    <t>8171Y</t>
  </si>
  <si>
    <t>Case Study Report 8</t>
  </si>
  <si>
    <t>PF 7611F F-16</t>
  </si>
  <si>
    <t>N/A</t>
  </si>
  <si>
    <t>Review Tab</t>
  </si>
  <si>
    <t>USAF Test Pilot School</t>
  </si>
  <si>
    <t>CLASS</t>
  </si>
  <si>
    <t>DATE</t>
  </si>
  <si>
    <t>A Inc?</t>
  </si>
  <si>
    <t>AC Inc?</t>
  </si>
  <si>
    <t>A Fail?</t>
  </si>
  <si>
    <t>AC Fail?</t>
  </si>
  <si>
    <t>A NA?</t>
  </si>
  <si>
    <t>AC NA?</t>
  </si>
  <si>
    <t>FLIGHT GRADE SHEET</t>
  </si>
  <si>
    <t>Flt/S/L/CR?</t>
  </si>
  <si>
    <t>display counts/grades</t>
  </si>
  <si>
    <t>For prefill macros</t>
  </si>
  <si>
    <t>STUDENT</t>
  </si>
  <si>
    <t>CREW SOLO QUAL</t>
  </si>
  <si>
    <t>INSTRUCTOR</t>
  </si>
  <si>
    <t>ACFT TYPE/NO. or ASSET</t>
  </si>
  <si>
    <t>FLT/EVENT TIME</t>
  </si>
  <si>
    <t>Incomplete</t>
  </si>
  <si>
    <t>Fail</t>
  </si>
  <si>
    <t>NA'd by Instr?</t>
  </si>
  <si>
    <t>Inconsistency, stud</t>
  </si>
  <si>
    <t>Comment?</t>
  </si>
  <si>
    <t>Tasks</t>
  </si>
  <si>
    <t># Req</t>
  </si>
  <si>
    <t>Min Score</t>
  </si>
  <si>
    <t>Des'd Score</t>
  </si>
  <si>
    <t># Acc</t>
  </si>
  <si>
    <t>Score</t>
  </si>
  <si>
    <t>Instructor Comments</t>
  </si>
  <si>
    <t>Line #</t>
  </si>
  <si>
    <t># req</t>
  </si>
  <si>
    <t>Pri
weight</t>
  </si>
  <si>
    <t>Amn
weight</t>
  </si>
  <si>
    <t>bonus wt</t>
  </si>
  <si>
    <t>Header?</t>
  </si>
  <si>
    <t>Indent Level</t>
  </si>
  <si>
    <t>Acad=1
Amsp=0</t>
  </si>
  <si>
    <t>ACA desd</t>
  </si>
  <si>
    <t>ACA min</t>
  </si>
  <si>
    <t>P&lt;
Min?</t>
  </si>
  <si>
    <t>Logic</t>
  </si>
  <si>
    <t>Amsp
Des'd</t>
  </si>
  <si>
    <t>Amsp
Min</t>
  </si>
  <si>
    <t>%
weight</t>
  </si>
  <si>
    <t>group</t>
  </si>
  <si>
    <t>Min Grade</t>
  </si>
  <si>
    <t>Num Grade</t>
  </si>
  <si>
    <t>Aca
Graded?</t>
  </si>
  <si>
    <t>Amnsp
Graded?</t>
  </si>
  <si>
    <t>CTS</t>
  </si>
  <si>
    <t>CMNT other</t>
  </si>
  <si>
    <t>Aca Weight</t>
  </si>
  <si>
    <t>Amnshp Weight</t>
  </si>
  <si>
    <t>Bonus Weight</t>
  </si>
  <si>
    <t>Bonus</t>
  </si>
  <si>
    <t>A Ct
Low</t>
  </si>
  <si>
    <t>AC Ct
Low</t>
  </si>
  <si>
    <t>Amn
Fail</t>
  </si>
  <si>
    <t>Aca
Fail</t>
  </si>
  <si>
    <t>Amnshp</t>
  </si>
  <si>
    <t>Aca</t>
  </si>
  <si>
    <t>C, no grade</t>
  </si>
  <si>
    <t>G, no
count</t>
  </si>
  <si>
    <t>count &amp; D (NG')
or 0 &amp; D (NG)</t>
  </si>
  <si>
    <t>NA &amp; D+</t>
  </si>
  <si>
    <t>#Req</t>
  </si>
  <si>
    <t>Min</t>
  </si>
  <si>
    <t>Disp
Min</t>
  </si>
  <si>
    <t>Des'd</t>
  </si>
  <si>
    <t>Airmanship Tasks</t>
  </si>
  <si>
    <t/>
  </si>
  <si>
    <t>Grading Rubric</t>
  </si>
  <si>
    <t>D</t>
  </si>
  <si>
    <t>Demo</t>
  </si>
  <si>
    <t>Unsafe or Omitted</t>
  </si>
  <si>
    <t>Safe but Unable: most requirements not met, many errors</t>
  </si>
  <si>
    <t>Minimally Proficient: Most requirements met with many errors</t>
  </si>
  <si>
    <t>Academic Tasks</t>
  </si>
  <si>
    <t>Proficient: Most requirements met with few errors</t>
  </si>
  <si>
    <t>Test Conduct</t>
  </si>
  <si>
    <t>Highly Proficient: All requirements met with few errors</t>
  </si>
  <si>
    <t>Task Grade Computation</t>
  </si>
  <si>
    <t>Score Awarded</t>
  </si>
  <si>
    <t>NG</t>
  </si>
  <si>
    <t>Min/Expected Score</t>
  </si>
  <si>
    <t>0/1</t>
  </si>
  <si>
    <t>0/2</t>
  </si>
  <si>
    <t>0/3</t>
  </si>
  <si>
    <t>1/1</t>
  </si>
  <si>
    <t>1/2</t>
  </si>
  <si>
    <t>1/3</t>
  </si>
  <si>
    <t>2/2</t>
  </si>
  <si>
    <t>2/3</t>
  </si>
  <si>
    <t>3/3</t>
  </si>
  <si>
    <t>*</t>
  </si>
  <si>
    <t>Minimum passing score</t>
  </si>
  <si>
    <t>NA</t>
  </si>
  <si>
    <t>In "# Acc" asserts complete if # Req not met</t>
  </si>
  <si>
    <t>DO Comments</t>
  </si>
  <si>
    <t>ED Comments</t>
  </si>
  <si>
    <t>RAW GRADE</t>
  </si>
  <si>
    <t>BONUS SCORE</t>
  </si>
  <si>
    <t>STATUS</t>
  </si>
  <si>
    <t>AIRMANSHIP</t>
  </si>
  <si>
    <t>ACADEMIC</t>
  </si>
  <si>
    <t>INSTRUCTOR SIGNATURE</t>
  </si>
  <si>
    <t>STUDENT SIGNATURE</t>
  </si>
  <si>
    <t>Made?</t>
  </si>
  <si>
    <t>YES</t>
  </si>
  <si>
    <t>grade</t>
  </si>
  <si>
    <t>count</t>
  </si>
  <si>
    <t>g + c</t>
  </si>
  <si>
    <t>Test?</t>
  </si>
  <si>
    <t>Calc Max
Amnshp</t>
  </si>
  <si>
    <t>Calc Max
Bonus</t>
  </si>
  <si>
    <t>DO Rev?</t>
  </si>
  <si>
    <t>Max
Acad</t>
  </si>
  <si>
    <t>Max
Amnshp</t>
  </si>
  <si>
    <t>Max
Bonus</t>
  </si>
  <si>
    <t>ED Rev?</t>
  </si>
  <si>
    <t>Total
Score</t>
  </si>
  <si>
    <t>Locked</t>
  </si>
  <si>
    <t>Final Score</t>
  </si>
  <si>
    <t>F/S/CR ready for sig?</t>
  </si>
  <si>
    <t>Report ready for sig?</t>
  </si>
  <si>
    <t>Min/Expected</t>
  </si>
  <si>
    <t>Ready for Sig?</t>
  </si>
  <si>
    <t>Instructor Signature</t>
  </si>
  <si>
    <t>No</t>
  </si>
  <si>
    <t xml:space="preserve">Basic Aircraft Knowledge/Operations </t>
  </si>
  <si>
    <t>Basic Comm/Airspace Mechanics</t>
  </si>
  <si>
    <t>Basic SA/Judgement</t>
  </si>
  <si>
    <t xml:space="preserve">      - Mission Materials/Briefing</t>
  </si>
  <si>
    <t xml:space="preserve">      - Mission Management/Adaptability</t>
  </si>
  <si>
    <t xml:space="preserve">      - Test Plan/Card Adherence</t>
  </si>
  <si>
    <t xml:space="preserve">      - Test Specific Comm/CRM</t>
  </si>
  <si>
    <t xml:space="preserve">      - Limit Adherence/Aborts</t>
  </si>
  <si>
    <t xml:space="preserve">      - Data Collection</t>
  </si>
  <si>
    <t xml:space="preserve">      - Debrief</t>
  </si>
  <si>
    <t>Specific Learning Objective Items</t>
  </si>
  <si>
    <t>Builder Version: 2.70 (W. Gray), Gradesheet Version: 20220706 (S. Thorn)</t>
  </si>
  <si>
    <t>CONTROL ROOM GRADE SHEET</t>
  </si>
  <si>
    <t>Control Room</t>
  </si>
  <si>
    <t xml:space="preserve">Basic CR Knowledge/Operations </t>
  </si>
  <si>
    <t>Introduction</t>
  </si>
  <si>
    <t>Omitted</t>
  </si>
  <si>
    <t>Unable: Most requirements not met, many errors</t>
  </si>
  <si>
    <t>Overall</t>
  </si>
  <si>
    <t xml:space="preserve">      - Executive Summary</t>
  </si>
  <si>
    <t xml:space="preserve">      - Grammar</t>
  </si>
  <si>
    <t xml:space="preserve">      - Mechanics</t>
  </si>
  <si>
    <t>WRITTEN REPORT GRADE SHEET</t>
  </si>
  <si>
    <t xml:space="preserve">      - Test Item Description</t>
  </si>
  <si>
    <t>TF 6221C Control Room Test Conduct Primer (ABM/FTE/STC)</t>
  </si>
  <si>
    <t xml:space="preserve">      - Limit Adherence </t>
  </si>
  <si>
    <t xml:space="preserve">      - Simulated EP Response</t>
  </si>
  <si>
    <t>TF 6241F C-12 Airborne Test Conduct Intro</t>
  </si>
  <si>
    <t>TF 7113R Graded Qual Eval 1 Report</t>
  </si>
  <si>
    <t>Builder Version: 2.60 (W. Gray), Gradesheet Version: 20200619 (J. Peterson)</t>
  </si>
  <si>
    <t>TF 7123R Graded Qual Eval 2 Report</t>
  </si>
  <si>
    <t>TF 7133R Graded Qual Eval 3 Report</t>
  </si>
  <si>
    <t>TF 7502R Capstone Qual Eval Test Plan</t>
  </si>
  <si>
    <t xml:space="preserve">      - Evaluation Scenario &amp; Reqs</t>
  </si>
  <si>
    <t>Test Planning</t>
  </si>
  <si>
    <t xml:space="preserve">      - Specific Test Objectives</t>
  </si>
  <si>
    <t xml:space="preserve">      - Evaluation Elements</t>
  </si>
  <si>
    <t xml:space="preserve">      - Description</t>
  </si>
  <si>
    <t xml:space="preserve">      - Test Methodology</t>
  </si>
  <si>
    <t xml:space="preserve">      - Evaluation Criteria</t>
  </si>
  <si>
    <t>Test Cards</t>
  </si>
  <si>
    <t xml:space="preserve">      - Test Cards</t>
  </si>
  <si>
    <t>TF Summary Page</t>
  </si>
  <si>
    <t>STC</t>
  </si>
  <si>
    <t>AS 7130L Satellite Systems Labs</t>
  </si>
  <si>
    <t>(STC)</t>
  </si>
  <si>
    <t>EyasSat</t>
  </si>
  <si>
    <t>AS Summary Page</t>
  </si>
  <si>
    <t>Assignment</t>
  </si>
  <si>
    <t>Lab 1</t>
  </si>
  <si>
    <t>Lab 2</t>
  </si>
  <si>
    <t>Lab 3</t>
  </si>
  <si>
    <t>Lab 4</t>
  </si>
  <si>
    <t>Lab 5</t>
  </si>
  <si>
    <t>Points</t>
  </si>
  <si>
    <t>Available</t>
  </si>
  <si>
    <t>Final Grade</t>
  </si>
  <si>
    <t>EyasSat Lab 1 Grades</t>
  </si>
  <si>
    <t>Total</t>
  </si>
  <si>
    <t>Points Available</t>
  </si>
  <si>
    <t>Final grade</t>
  </si>
  <si>
    <t>Student Score</t>
  </si>
  <si>
    <t>EyasSat Lab 2 Grades</t>
  </si>
  <si>
    <t xml:space="preserve">EyasSat Lab 3 </t>
  </si>
  <si>
    <t xml:space="preserve">EyasSat Lab 4 </t>
  </si>
  <si>
    <t xml:space="preserve">EyasSat Lab 5 </t>
  </si>
  <si>
    <t>AS 6000</t>
  </si>
  <si>
    <t>AS 6200</t>
  </si>
  <si>
    <t>Inertial Orbits</t>
  </si>
  <si>
    <t>6202W</t>
  </si>
  <si>
    <t>The Space Environment Assessment</t>
  </si>
  <si>
    <t>6211E</t>
  </si>
  <si>
    <t>Inertial Orbits Exam</t>
  </si>
  <si>
    <t>6221O</t>
  </si>
  <si>
    <t>Aerocube Ephemeris Update Assessment</t>
  </si>
  <si>
    <t>AS 6300</t>
  </si>
  <si>
    <t>Maneuver Design</t>
  </si>
  <si>
    <t>6302E</t>
  </si>
  <si>
    <t>Inertial Maneuver Design Assessment</t>
  </si>
  <si>
    <t>AS 6400</t>
  </si>
  <si>
    <t>Orbit Estimation</t>
  </si>
  <si>
    <t>6402E</t>
  </si>
  <si>
    <t>Inertial Orbit Estimation Assessment</t>
  </si>
  <si>
    <t>6411L</t>
  </si>
  <si>
    <t>AS 6500</t>
  </si>
  <si>
    <t>Cis-Lunar Orbits</t>
  </si>
  <si>
    <t>6502E</t>
  </si>
  <si>
    <t>Cis-Lunar Orbits Assessment</t>
  </si>
  <si>
    <t>AS 7000</t>
  </si>
  <si>
    <t>AS 7100</t>
  </si>
  <si>
    <t>Satellite Sub-Systems</t>
  </si>
  <si>
    <t>7111E</t>
  </si>
  <si>
    <t>7130L</t>
  </si>
  <si>
    <t>Satellite Systems Labs</t>
  </si>
  <si>
    <t>7140S</t>
  </si>
  <si>
    <t>GROOT Handling Qualities</t>
  </si>
  <si>
    <t>7150S</t>
  </si>
  <si>
    <t>Aerocube Attitude Testing</t>
  </si>
  <si>
    <t>AS 7200</t>
  </si>
  <si>
    <t>Satellite Testing</t>
  </si>
  <si>
    <t>Satellite Pre-Launch Testing Assessment</t>
  </si>
  <si>
    <t>7211E</t>
  </si>
  <si>
    <t>Satellite "Bus" Launch and Early Orbit Period Assessment</t>
  </si>
  <si>
    <t>AS 7300</t>
  </si>
  <si>
    <t>Space Propulsion</t>
  </si>
  <si>
    <t>7310A</t>
  </si>
  <si>
    <t>7314W</t>
  </si>
  <si>
    <t>Rocket Test Plan Review</t>
  </si>
  <si>
    <t>7316R</t>
  </si>
  <si>
    <t>Rocket Test Flight V &amp; V Report</t>
  </si>
  <si>
    <t>AS 8000</t>
  </si>
  <si>
    <t>AS 8100</t>
  </si>
  <si>
    <t>Relative Orbits</t>
  </si>
  <si>
    <t>Relative Orbits Assessment</t>
  </si>
  <si>
    <t>RPO Mission Trajectory Design Oral Report</t>
  </si>
  <si>
    <t>AS 8200</t>
  </si>
  <si>
    <t>RPO Path Planning</t>
  </si>
  <si>
    <t>Rendezvous &amp; Proximity Ops Planning Assessment</t>
  </si>
  <si>
    <t>8211E</t>
  </si>
  <si>
    <t>RPO Path Controllers Assessment</t>
  </si>
  <si>
    <t>AS 8300</t>
  </si>
  <si>
    <t>RPO Navigation</t>
  </si>
  <si>
    <t>8302E</t>
  </si>
  <si>
    <t>Advanced Kalman Filter and Relative Navigation Assessment</t>
  </si>
  <si>
    <t>8311E</t>
  </si>
  <si>
    <t>Estimation Exercise Assessment</t>
  </si>
  <si>
    <t>AS 9000</t>
  </si>
  <si>
    <t>AS 9100</t>
  </si>
  <si>
    <t>Advanced Topics</t>
  </si>
  <si>
    <t>9111R</t>
  </si>
  <si>
    <t>Independent Study in Astronautical Sciences Report</t>
  </si>
  <si>
    <t>AS 9200</t>
  </si>
  <si>
    <t>Space Threats</t>
  </si>
  <si>
    <t>9210L</t>
  </si>
  <si>
    <t>Threat Workshops</t>
  </si>
  <si>
    <t>EO/IR and RADAR Systems</t>
  </si>
  <si>
    <t>Space Communications</t>
  </si>
  <si>
    <t>6240R</t>
  </si>
  <si>
    <t>Space Communications and RF Report (STC)</t>
  </si>
  <si>
    <t>Navigation and State Estimation</t>
  </si>
  <si>
    <t>Component Systems Exams and Special Topics</t>
  </si>
  <si>
    <t>Weapons Testing</t>
  </si>
  <si>
    <t>Platform Systems Exams and Special Topics</t>
  </si>
  <si>
    <t>7521O</t>
  </si>
  <si>
    <t>Space Systems Practical (STC)</t>
  </si>
  <si>
    <t>7522Y</t>
  </si>
  <si>
    <t>Space Systems Practical Oral Report (STC)</t>
  </si>
  <si>
    <t>Communications and Datalinks</t>
  </si>
  <si>
    <t>Kill Web Mission Systems Exam and Special Topics</t>
  </si>
  <si>
    <t>Systems Engineering</t>
  </si>
  <si>
    <t>Human Systems Integration</t>
  </si>
  <si>
    <t>Human Systems Evaluation Modified Technical Report</t>
  </si>
  <si>
    <t>Introduction to Test in Acquisition (STC)</t>
  </si>
  <si>
    <t>Test Policy Oral Report (STC)</t>
  </si>
  <si>
    <t>Execute</t>
  </si>
  <si>
    <t>6233C</t>
  </si>
  <si>
    <t>Sim/Control Room Test Conduct Intro (STC)</t>
  </si>
  <si>
    <t>6265R</t>
  </si>
  <si>
    <t>Glider Low Lift/Drag (L/D) Exercise Report (STC)</t>
  </si>
  <si>
    <t>Glider Low Lift/Drag (L/D) Follow-Up Exercise Report (STC)</t>
  </si>
  <si>
    <t>Analyze</t>
  </si>
  <si>
    <t>Graded Qualitative Evaluations</t>
  </si>
  <si>
    <t>Capstone Qualitative Evaluations</t>
  </si>
  <si>
    <t>TMP Planning</t>
  </si>
  <si>
    <t>TMP Reporting</t>
  </si>
  <si>
    <t>Comprehensive Exams</t>
  </si>
  <si>
    <t>Innovation</t>
  </si>
  <si>
    <t>Student Team Presentation in Class</t>
  </si>
  <si>
    <t>Case Studies</t>
  </si>
  <si>
    <t>TF 6233C Sim/Control Room Test Conduct Intro (STC)</t>
  </si>
  <si>
    <t>AS 7140S GROOT Handling Qualities</t>
  </si>
  <si>
    <t>SPACE OPS GRADE SHEET</t>
  </si>
  <si>
    <t>Ops Skills</t>
  </si>
  <si>
    <t>Procedure/CL Use</t>
  </si>
  <si>
    <t>Ops Judgement</t>
  </si>
  <si>
    <t xml:space="preserve">      - Crew Resource Management</t>
  </si>
  <si>
    <t xml:space="preserve">      - Communication</t>
  </si>
  <si>
    <t xml:space="preserve">      - Test Judgement</t>
  </si>
  <si>
    <t xml:space="preserve">      - Discipline</t>
  </si>
  <si>
    <t xml:space="preserve">      - Safety</t>
  </si>
  <si>
    <t xml:space="preserve">      - Time Management</t>
  </si>
  <si>
    <t xml:space="preserve">      - Subsystems - ADCS</t>
  </si>
  <si>
    <t>Demonstration Events (if req'd)</t>
  </si>
  <si>
    <t xml:space="preserve">      - DE 1</t>
  </si>
  <si>
    <t xml:space="preserve">      - DE 2</t>
  </si>
  <si>
    <t>Builder Version: 2.80 (E. Lowry), Gradesheet Version: 1102025 (E. Lowry)</t>
  </si>
  <si>
    <t>AS 7150S Aerocube Attitude Testing</t>
  </si>
  <si>
    <t>PRE-BRIEF:</t>
  </si>
  <si>
    <t>EXECUTION:</t>
  </si>
  <si>
    <t>DEBRIEF:</t>
  </si>
  <si>
    <t xml:space="preserve"> </t>
  </si>
  <si>
    <t>GRADER:</t>
  </si>
  <si>
    <t>Date:</t>
  </si>
  <si>
    <t>STUDENT GROUP:</t>
  </si>
  <si>
    <t>WEIGHT</t>
  </si>
  <si>
    <t>SCORE</t>
  </si>
  <si>
    <t>Functionality</t>
  </si>
  <si>
    <t>Runs without modifications</t>
  </si>
  <si>
    <t>Allows required inputs</t>
  </si>
  <si>
    <t>Provides required outputs</t>
  </si>
  <si>
    <t>1.0 Simulation</t>
  </si>
  <si>
    <t>Quality of outputs (graphics, labelling, etc.)</t>
  </si>
  <si>
    <t xml:space="preserve">  1.1 Functionality</t>
  </si>
  <si>
    <t>Knowledge of Propulsion</t>
  </si>
  <si>
    <t>Accounts for basic physiscs/principles</t>
  </si>
  <si>
    <t xml:space="preserve">  1.2 Knowledge of Propulsion</t>
  </si>
  <si>
    <t>Reasonable results</t>
  </si>
  <si>
    <t xml:space="preserve">  1.3 Clearly Commented</t>
  </si>
  <si>
    <t>Commented</t>
  </si>
  <si>
    <t>Comments complete</t>
  </si>
  <si>
    <t>Clarity</t>
  </si>
  <si>
    <t>2.0 Description Report</t>
  </si>
  <si>
    <t>Description</t>
  </si>
  <si>
    <t>Adequate instructions to use the sim</t>
  </si>
  <si>
    <t xml:space="preserve"> 2.1 Simulation Description</t>
  </si>
  <si>
    <t>Complete description including architecture/logic behind the math</t>
  </si>
  <si>
    <t xml:space="preserve"> 2.2 Assumptions Documented</t>
  </si>
  <si>
    <t>Assumptions</t>
  </si>
  <si>
    <t xml:space="preserve">Complete list of simplifications/assumptions </t>
  </si>
  <si>
    <t xml:space="preserve"> 2.3 Fidelity Documented</t>
  </si>
  <si>
    <t>Explanation of reasoning for/impact of assumptions</t>
  </si>
  <si>
    <t>WEIGHTED SCORE</t>
  </si>
  <si>
    <t>FINAL SCORE</t>
  </si>
  <si>
    <t>COMMENTS:</t>
  </si>
  <si>
    <t>Note:  Graders enter scores from 0-100 in all yellow boxes.</t>
  </si>
  <si>
    <t>AS 7314W Rocket Test Plan Review</t>
  </si>
  <si>
    <t>AS 7316R Rocket Report Flight V&amp;V Report</t>
  </si>
  <si>
    <t>SY 7213C F-16 Weapons Delivery Control Room (ABM/FTE/STC)</t>
  </si>
  <si>
    <t>SY Summary Page</t>
  </si>
  <si>
    <t xml:space="preserve">      - Flight Debrief</t>
  </si>
  <si>
    <t xml:space="preserve">      - GBU-12</t>
  </si>
  <si>
    <t xml:space="preserve">      - MLE Evaluation</t>
  </si>
  <si>
    <t xml:space="preserve">      - A/A FCR</t>
  </si>
  <si>
    <t xml:space="preserve">      - Regression</t>
  </si>
  <si>
    <t xml:space="preserve">      - Diving Deliveries</t>
  </si>
  <si>
    <t>Reporting</t>
  </si>
  <si>
    <t xml:space="preserve">      - Oral Report</t>
  </si>
  <si>
    <t>SY 7521O Space Systems Practical (STC)</t>
  </si>
  <si>
    <t>CONTROL ROOM GRADE SHEET (EXAM)</t>
  </si>
  <si>
    <t xml:space="preserve">      - Limit Adherence</t>
  </si>
  <si>
    <t xml:space="preserve">      - Radar Functionality</t>
  </si>
  <si>
    <t xml:space="preserve">      - Ground Map Test</t>
  </si>
  <si>
    <t xml:space="preserve">      - Ground Moving Target</t>
  </si>
  <si>
    <t xml:space="preserve">      - Operational Evaluation</t>
  </si>
  <si>
    <t xml:space="preserve">      - SPO Debrief</t>
  </si>
  <si>
    <t>TF 5310Y Test Policy Oral Report (STC)</t>
  </si>
  <si>
    <t>1.0 Technical Content (Group)</t>
  </si>
  <si>
    <t xml:space="preserve"> 1.1 Completeness</t>
  </si>
  <si>
    <t xml:space="preserve"> 1.2 Accuracy</t>
  </si>
  <si>
    <t xml:space="preserve"> 1.3 Analysis</t>
  </si>
  <si>
    <t xml:space="preserve"> 1.4 Conclusions</t>
  </si>
  <si>
    <t>3.0 CONCLUSIONS AND RECOMMENDATIONS</t>
  </si>
  <si>
    <t xml:space="preserve"> 3.1 Key Results Summarized</t>
  </si>
  <si>
    <t xml:space="preserve"> 3.2 C&amp;R Restated</t>
  </si>
  <si>
    <t>2.0 Presentation Materials (Group)</t>
  </si>
  <si>
    <t xml:space="preserve"> 2.1 Readibility</t>
  </si>
  <si>
    <t xml:space="preserve"> 2.2 Clarity</t>
  </si>
  <si>
    <t xml:space="preserve"> 2.3 Data Presentation (tables, graphs, charts, pictures, video)</t>
  </si>
  <si>
    <t xml:space="preserve"> 2.4 Q&amp;A Response</t>
  </si>
  <si>
    <t>4.0 Briefing Technique (Individual)</t>
  </si>
  <si>
    <t xml:space="preserve">  4.1 Interaction with audience (eye contact, mannerisms, attitude)</t>
  </si>
  <si>
    <t xml:space="preserve">  4.2 Delivery (Audible, clear language, prepared/rehearsed, transitions)</t>
  </si>
  <si>
    <t xml:space="preserve">  4.3 Appropirate media usage (Audio/video/pointer)</t>
  </si>
  <si>
    <t xml:space="preserve">  Final Grade</t>
  </si>
  <si>
    <t>Briefer 1</t>
  </si>
  <si>
    <t>Briefer 2</t>
  </si>
  <si>
    <t>Briefer 3</t>
  </si>
  <si>
    <t>Briefer 4</t>
  </si>
  <si>
    <t>Briefer 5</t>
  </si>
  <si>
    <t>Briefer 6</t>
  </si>
  <si>
    <t xml:space="preserve">  Names of Briefers</t>
  </si>
  <si>
    <t>TF 6265R Glider Low Lift/Drag (L/D) Exercise Report (STC)</t>
  </si>
  <si>
    <t>TF 6268R Glider Low Lift/Drag (L/D) Exercise Report (STC)</t>
  </si>
  <si>
    <t>6268R</t>
  </si>
  <si>
    <t>Platform Mission Systems Practicals</t>
  </si>
  <si>
    <t>Negotiation, Persuation &amp; Communication (NPC)</t>
  </si>
  <si>
    <t>Cover Page &amp; Table of Contents</t>
  </si>
  <si>
    <t>Executive Summary</t>
  </si>
  <si>
    <t>Test Methods, Execution &amp; Documentation</t>
  </si>
  <si>
    <t>Summary</t>
  </si>
  <si>
    <t>Data Presentation &amp; Appendix</t>
  </si>
  <si>
    <t>Analysis, Findings &amp; Recmdtns</t>
  </si>
  <si>
    <t>Overall Technical Writing</t>
  </si>
  <si>
    <t>AS 7310A Rocket Sim Model (STC)</t>
  </si>
  <si>
    <t>Builder Version: 2.80 (W. Gray), Gradesheet Version: 20251017 (C. Gotwald)</t>
  </si>
  <si>
    <t>Comprehensive plan with strong rigor; includes risk-based prioritization and contingencies.</t>
  </si>
  <si>
    <t>Reliable execution; consistent and sufficient data captured across runs, using monitoring tools effectively.</t>
  </si>
  <si>
    <t>Execution closely follows plans with some gaps, student displays moderate critical thinking to address problems or deficiencies</t>
  </si>
  <si>
    <t>Good handling of risks; incorporates mitigations like security testing.</t>
  </si>
  <si>
    <t>Conveys their plans and debrief points effectively with few gaps or questions; communicates their actions regularly during execution</t>
  </si>
  <si>
    <t>Exceptional, innovative plan; plan includes test point optimization strategy, adaptive strategies, and exhaustive coverage. </t>
  </si>
  <si>
    <t>High-quality, repeatable execution; advanced data handling with statistical methods employed.</t>
  </si>
  <si>
    <t>Execution follows plans with few gaps, student displays exceptional critical thinking to address problems or deficiencies</t>
  </si>
  <si>
    <t>Thorough risk management and consideration; includes detailed risk assessments and reviews.</t>
  </si>
  <si>
    <t>Clearly articulates and conveys their plans, procedures and debrief points; actively talks through plans and actions throughout the event</t>
  </si>
  <si>
    <t>AS 7140S GROOT FQ (STC)</t>
  </si>
  <si>
    <t>(FD/OE)</t>
  </si>
  <si>
    <t>Test Planning and Methodology</t>
  </si>
  <si>
    <t>Plan is minimally structured and covers only basic essentials, with significant gaps (e.g., vague test cases, no risk assessment).</t>
  </si>
  <si>
    <t xml:space="preserve">      - Test Planning and Methodology</t>
  </si>
  <si>
    <t>Basic plan with partial coverage; includes some traceability but lacks depth in methods or prioritization, aligns with standards (MILSTD/DEL 12 Instruction placeholder).</t>
  </si>
  <si>
    <t xml:space="preserve">      - Test Conduct</t>
  </si>
  <si>
    <t xml:space="preserve">      -  Data Collection</t>
  </si>
  <si>
    <t xml:space="preserve">      - Critical Thinking</t>
  </si>
  <si>
    <t>Data Collection</t>
  </si>
  <si>
    <t xml:space="preserve">      - Risk Management, Statutory Requirments, and Sustainability</t>
  </si>
  <si>
    <t>Unsafe conduct or complete omission of required procedures. Represents a critical failure in operational discipline.</t>
  </si>
  <si>
    <t>Data collection is omitted, unsafe, or critically flawed. No meaningful data is gathered, or handling compromises integrity or safety.</t>
  </si>
  <si>
    <t>Execution shows deviation from the test plan, careless or unprofessional behavior, or inadequate preparation by the tester. Operational standards are not met.</t>
  </si>
  <si>
    <t>Data requirements are vague or poorly defined. The tester fails to clearly identify what data is needed, where it comes from, or why it matters. Collected data is incomplete, disorganized, or lacks relevance.</t>
  </si>
  <si>
    <t>Execution generally aligns with procedures but includes noticeable deviations. Issue response is reactive rather than proactive, indicating limited operational control.</t>
  </si>
  <si>
    <t>Execution is reliable. Procedures are followed with only minor deviations. Issues are identified and addressed promptly, maintaining operational integrity.</t>
  </si>
  <si>
    <t>Data requirements are partially defined. Some data types or sources are unclear, and the purpose of collection is loosely justified. Data collection shows inconsistencies or gaps that may hinder analysis.</t>
  </si>
  <si>
    <t>Execution is high-quality &amp; repeatable. Procedures are followed precisely, with proactive identification &amp; resolution of issues. Demonstrates full operational readiness &amp; discipline</t>
  </si>
  <si>
    <t>Data requirements are mostly defined, with clear identification of what data is needed and its purpose. Minor gaps in sourcing or rationale may exist. Data collection is reliable and mostly complete, requiring minimal refinement.</t>
  </si>
  <si>
    <t>Critical Thinking</t>
  </si>
  <si>
    <t>Data requirements are explicitly defined in the test plan, including what data is needed, where it will be sourced, why it is relevant, and its intended analytical purpose. All data is collected accurately, completely, and organized for immediate use.</t>
  </si>
  <si>
    <t>Safety limits adhered to, execution fails to adhere to planning or student displays a lack of critical thinking to address problems or deficiencies</t>
  </si>
  <si>
    <t>Execution generally follows plans with large gaps, student displays limited insight in critical thinking to address problems or deficiencies</t>
  </si>
  <si>
    <t>Risk Management, Statutory Requirments, and Sustainability</t>
  </si>
  <si>
    <t>Basic awareness of risks; minimal mitigation, with potential oversights.</t>
  </si>
  <si>
    <t>Addresses some key risks; includes basic notes but limited actions.</t>
  </si>
  <si>
    <t>Communication</t>
  </si>
  <si>
    <t>Conveys their plans and debrief points with ineffectively with many gaps or questions; communicates their actions rately or not at all during execution</t>
  </si>
  <si>
    <t>Conveys their plans and debrief points with limited effectiveness with many gaps or questions; communicates their actions sporadically during execution</t>
  </si>
  <si>
    <t>AS 6600</t>
  </si>
  <si>
    <t>Data-Driven Control</t>
  </si>
  <si>
    <t>6602E</t>
  </si>
  <si>
    <t>Data-Driven Analysis and Control for Domain Sciences Exam</t>
  </si>
  <si>
    <t>SY 5000</t>
  </si>
  <si>
    <t>SY 5200</t>
  </si>
  <si>
    <t>Data-Driven Systems</t>
  </si>
  <si>
    <t>5202E</t>
  </si>
  <si>
    <t>Data-Driven Analysis and Decision Making for Mission Systems Exam</t>
  </si>
  <si>
    <t>6303Y</t>
  </si>
  <si>
    <t>Navigation and State Estimation Operational Topic Brief</t>
  </si>
  <si>
    <t>5311Y</t>
  </si>
  <si>
    <t>5320A</t>
  </si>
  <si>
    <t>6242F</t>
  </si>
  <si>
    <t>6271C</t>
  </si>
  <si>
    <t>T-38 Low L/D Control Room (select STC)</t>
  </si>
  <si>
    <t>6272F</t>
  </si>
  <si>
    <t>T-38 Low L/D Flight (select STC)</t>
  </si>
  <si>
    <t>TF 6400</t>
  </si>
  <si>
    <t>Report</t>
  </si>
  <si>
    <t>6402R</t>
  </si>
  <si>
    <t>Test Reporting Written Report - Individual</t>
  </si>
  <si>
    <t>6403R</t>
  </si>
  <si>
    <t>Test Reporting Written Report - Group</t>
  </si>
  <si>
    <t>26A STC</t>
  </si>
  <si>
    <t>State Estimation Exercise Assessment</t>
  </si>
  <si>
    <t>Satellite Attitude Dynamics, Estimation, and Control Assessments</t>
  </si>
  <si>
    <t>9202Y</t>
  </si>
  <si>
    <t>Threats to Space Systems Oral Report</t>
  </si>
  <si>
    <t>Navigation and State Estimation Homework</t>
  </si>
  <si>
    <t>Platform Mission Systems End-of-Course Exam</t>
  </si>
  <si>
    <t>Test and Evaluation Master Plan (TEMP) Development and Strategic Planning
(STC)</t>
  </si>
  <si>
    <t>C-12 Airborne Test Conduct Intro (STC)</t>
  </si>
  <si>
    <t>Rocket Sim Assignment</t>
  </si>
  <si>
    <t>Builder Version: 2.70 (W. Gray), Gradesheet Version: 20251017 (C. Gotwald)</t>
  </si>
  <si>
    <t xml:space="preserve">      - Data Honesty &amp; Context</t>
  </si>
  <si>
    <t xml:space="preserve">      - Data-Ink Ratio &amp; Clarity</t>
  </si>
  <si>
    <t xml:space="preserve">      - Anatomy of a Valid Plot/Table</t>
  </si>
  <si>
    <t>Visual Eng &amp; Data Presentation</t>
  </si>
  <si>
    <t xml:space="preserve">      - Profess. Tone &amp; Word Choice</t>
  </si>
  <si>
    <t xml:space="preserve">      - Punct. Acronyms &amp; Format</t>
  </si>
  <si>
    <t xml:space="preserve">      - Grammar &amp; Syntax</t>
  </si>
  <si>
    <t>Clarity &amp; Precision (Mechanics)</t>
  </si>
  <si>
    <t xml:space="preserve">      - Conclusions &amp; Recomm.</t>
  </si>
  <si>
    <t xml:space="preserve">      - Eng Analysis &amp; Oper. Impact</t>
  </si>
  <si>
    <t xml:space="preserve">      - Objective Results</t>
  </si>
  <si>
    <t xml:space="preserve">      - Test Methods and Conditions</t>
  </si>
  <si>
    <t xml:space="preserve">Test and Evaluation </t>
  </si>
  <si>
    <t xml:space="preserve">      - Logical Chain of Reasoning</t>
  </si>
  <si>
    <t xml:space="preserve">      - Report Org. &amp; Structure</t>
  </si>
  <si>
    <t>Structure &amp; Logic</t>
  </si>
  <si>
    <t>AS 7316R Rocket Flight V&amp;V Report</t>
  </si>
  <si>
    <t>Content &amp; Analysis</t>
  </si>
  <si>
    <t>TF 6265R Glider Low Lift/Drag (L/D) Exercise Report</t>
  </si>
  <si>
    <t>TF 6268R Glider Low Lift/Drag (L/D) Exercise Report</t>
  </si>
  <si>
    <t>Time/Fuel/Dist to Climb</t>
  </si>
  <si>
    <t>Take-Off Ground Roll</t>
  </si>
  <si>
    <t>TF 6402R Individual Reporting Assignment</t>
  </si>
  <si>
    <t xml:space="preserve">      - STO 4 (NA if unused)</t>
  </si>
  <si>
    <t xml:space="preserve">      - STO 3 (NA if unused)</t>
  </si>
  <si>
    <t xml:space="preserve">      - STO 2 (NA if unused)</t>
  </si>
  <si>
    <t xml:space="preserve">      - STO 1</t>
  </si>
  <si>
    <t>GTO 2 - COTS GPS</t>
  </si>
  <si>
    <t xml:space="preserve">      - STO 3 - Cruise Control Interface</t>
  </si>
  <si>
    <t xml:space="preserve">      - STO 2 - Cruise Control Accuracy</t>
  </si>
  <si>
    <t xml:space="preserve">      - STO 1 - Vehicle Speed</t>
  </si>
  <si>
    <t>GTO 1 - Cruise Control</t>
  </si>
  <si>
    <t>TF 6403R Group Reporting Assignment</t>
  </si>
  <si>
    <t>AS 7310A Rocket Sim Assignment</t>
  </si>
  <si>
    <t>TF 6402R Test Reporting Written Report - Individual</t>
  </si>
  <si>
    <t>TF 6403R Test Reporting Written Report - Group</t>
  </si>
  <si>
    <t>DOYLE, DEVIN</t>
  </si>
  <si>
    <t>26A</t>
  </si>
  <si>
    <t>Devin Doyle</t>
  </si>
  <si>
    <t>Rusty Lowry</t>
  </si>
  <si>
    <t>Good observations and solid arguements and data to support the conclusions and recommendations. more was written than tasked by this exercise in that it was intentionally not a report but just an exec summary, three results and discussion paragraphs with one being on stalls, two graphs of L/D versus airspeed and a completed test matrix.
Future reports may ask for all the 412 formatting but will also demand some more test planning attention to STOs and MOPs so they translate directly into meaningful discussion sections which may well include multiple results and discussion paragraphs to comprehensively address the issues.</t>
  </si>
  <si>
    <t>7102E</t>
  </si>
  <si>
    <t>Satellite Systems Review Assessment</t>
  </si>
  <si>
    <t>752xx</t>
  </si>
  <si>
    <t>Space Systems Practical Test Plan</t>
  </si>
  <si>
    <t>9100X</t>
  </si>
  <si>
    <t xml:space="preserve"> Astro Comp Written</t>
  </si>
  <si>
    <t>Mission Systems Comp Written</t>
  </si>
  <si>
    <t>SY 752xx Space Systems Practical Test Plan</t>
  </si>
  <si>
    <t>SY 7522Y Space Systems Practical Oral Report</t>
  </si>
  <si>
    <t>Tegtmeier, Carl "Rubix"</t>
  </si>
  <si>
    <t>Doyle</t>
  </si>
  <si>
    <t>MISSION SUMMARY: This TC Primer Event served as a high-workload introduction to the fundamentals of real-time mission management. While the aircraft environment is a surrogate for space-based operations, the event emphasized the critical transition from following a script to managing a dynamic mission under off-nominal conditions. You demonstrated excellent preparation and a strong command of your technical tools.
STRENGTHS:
--Mission Preparation and Briefing: You were exceptionally well-prepared for the event, coming in with a clear understanding of the cards and preparation material. Your willingness to ask clarifying questions during the brief ensured a solid mental model of the maneuvers before the clock started.
--Control Room Tool Proficiency: You demonstrated a high level of comfort with IADS, proactively updating screens and limits as the execution proceeded. This technical proficiency allowed you to stay "in the loop" even as the workload increased.
--Communication Discipline: Your communication was quick, concise, and adhered strictly to the established comm plan. This clarity is essential for effective real-time test conduct, especially when managing multiple stakeholders in the control room.
AREAS TO IMPROVE:
--Active Scan Pattern: You had a tendency to focus exclusively on specific test parameters, occasionally missing broader flight and safety data. Practice an active scan of the entire display—not just the data you are collecting—and do not hesitate to make "WATCH" calls for altitude, airspeed, or other safety parameters.
--Initiating Contingency Checklists: You required pilot prompting to initiate the controllability check after the abort. As the Test Conductor, you should be the primary driver for transitioning into emergency or contingency checklists. Work on anticipating the "what's next" after a limit is reached.
--Mission Decisiveness: Continue working on being prompt when calling a maneuver complete. As you build experience, focus on "pushing the rope" to drive the mission tempo, ensuring that the operators are never waiting on the control room for the next instruction.
SUMMARY:
Overall, you are off to a very good start. You have the technical skills and the communication discipline required for effective mission control. Your primary growth area is expanding your situational awareness beyond the immediate test data and refining your decision-making logic for off-nominal scenarios. Keep chair flying to internalize these "if/then" recovery actions so they become a natural part of your real-time scan.</t>
  </si>
  <si>
    <t>C Tegtmeier</t>
  </si>
  <si>
    <t>Good treatment of calculated data in terms of truncating and rounding off values to appropriate levels of precision. Issues with the graphical curve fits as applied to the test data set were detailed in specific comments but the big picture is to review/edit what was written before finalizing a report and make sure that it all passes a sanity check – in this case 50% spoiler configuration would not surpass the 100% one in terms of parasite drag at higher speeds and always should result in a higher L/D at the same speed as opposed to the plot shown.
For TPS reporting please review the required deliverables and stick to them, don’t adlib. No overview paragraph was requested, and that information could have been included in the (requested) R&amp;D paragraph. The resulting single paragraph could have been condensed somewhat as the report was more “wordy” than really needed to convey the test results and associated conclusions. I found it easy to read but somewhat long.</t>
  </si>
  <si>
    <t>SO 6140S GROOT Checkride (STC)</t>
  </si>
  <si>
    <t>AS 7140S GROOT HQ (STC)</t>
  </si>
  <si>
    <t>AS 7140S GROOT Flying Qualities</t>
  </si>
  <si>
    <t>AS 7160S GROOT CG Auto-location (STC)</t>
  </si>
  <si>
    <t>AS 7160S GROOT CG Auto-location</t>
  </si>
  <si>
    <t>Charles Selerno</t>
  </si>
  <si>
    <t>Good breif, good test conduct, collected required data, Sim had an anomoly the students hadeled it wll and mitigate the simism, clear coms and call outs.</t>
  </si>
  <si>
    <t>Scott Walter</t>
  </si>
  <si>
    <t xml:space="preserve">Good test plan and brief, test conduct was rushed and steady state was not identified prior to moving to the next manuever, good criticla thinking through out the event.  Good ingress grapple release and egress, Comms there was some minor cross talk.  All items were addressed durring debrief.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</si>
</sst>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
    <numFmt numFmtId="165" formatCode="dd\-mmm\-yy"/>
    <numFmt numFmtId="166" formatCode="[$-409]d\ mmm\ yyyy;@"/>
    <numFmt numFmtId="167" formatCode="0.0%"/>
    <numFmt numFmtId="168" formatCode="0\ &quot;%&quot;"/>
    <numFmt numFmtId="169" formatCode="0\ &quot;pt&quot;"/>
    <numFmt numFmtId="170" formatCode="0.0\ &quot;pt&quot;"/>
  </numFmts>
  <fonts count="82" x14ac:knownFonts="1">
    <font>
      <sz val="11"/>
      <color theme="1"/>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4"/>
      <color theme="1"/>
      <name val="Calibri"/>
      <family val="2"/>
      <scheme val="minor"/>
    </font>
    <font>
      <sz val="14"/>
      <color theme="1"/>
      <name val="Calibri"/>
      <family val="2"/>
      <scheme val="minor"/>
    </font>
    <font>
      <sz val="12"/>
      <color theme="1"/>
      <name val="Calibri"/>
      <family val="2"/>
      <scheme val="minor"/>
    </font>
    <font>
      <u/>
      <sz val="11"/>
      <color theme="10"/>
      <name val="Calibri"/>
      <family val="2"/>
      <scheme val="minor"/>
    </font>
    <font>
      <b/>
      <u/>
      <sz val="14"/>
      <color theme="10"/>
      <name val="Calibri"/>
      <family val="2"/>
      <scheme val="minor"/>
    </font>
    <font>
      <sz val="11"/>
      <color rgb="FF000000"/>
      <name val="Calibri"/>
      <family val="2"/>
      <scheme val="minor"/>
    </font>
    <font>
      <sz val="11"/>
      <color theme="1"/>
      <name val="Calibri"/>
      <family val="2"/>
      <scheme val="minor"/>
    </font>
    <font>
      <sz val="14"/>
      <color theme="1"/>
      <name val="Times New Roman"/>
      <family val="1"/>
    </font>
    <font>
      <b/>
      <sz val="14"/>
      <color theme="1"/>
      <name val="Times New Roman"/>
      <family val="1"/>
    </font>
    <font>
      <b/>
      <sz val="16"/>
      <color rgb="FF000000"/>
      <name val="Calibri"/>
      <family val="2"/>
      <scheme val="minor"/>
    </font>
    <font>
      <b/>
      <sz val="14"/>
      <color rgb="FF000000"/>
      <name val="Calibri"/>
      <family val="2"/>
      <scheme val="minor"/>
    </font>
    <font>
      <sz val="11"/>
      <color theme="1"/>
      <name val="Times New Roman"/>
      <family val="1"/>
    </font>
    <font>
      <sz val="10"/>
      <color theme="1"/>
      <name val="Times New Roman"/>
      <family val="1"/>
    </font>
    <font>
      <sz val="12"/>
      <color theme="1"/>
      <name val="Times New Roman"/>
      <family val="1"/>
    </font>
    <font>
      <b/>
      <sz val="11"/>
      <color theme="1"/>
      <name val="Times New Roman"/>
      <family val="1"/>
    </font>
    <font>
      <b/>
      <sz val="12"/>
      <color theme="1"/>
      <name val="Times New Roman"/>
      <family val="1"/>
    </font>
    <font>
      <b/>
      <sz val="16"/>
      <color theme="1"/>
      <name val="Times New Roman"/>
      <family val="1"/>
    </font>
    <font>
      <u/>
      <sz val="11"/>
      <color theme="10"/>
      <name val="Times New Roman"/>
      <family val="1"/>
    </font>
    <font>
      <b/>
      <u/>
      <sz val="12"/>
      <color rgb="FFFF0000"/>
      <name val="Times New Roman"/>
      <family val="1"/>
    </font>
    <font>
      <sz val="11"/>
      <name val="Times New Roman"/>
      <family val="1"/>
    </font>
    <font>
      <b/>
      <sz val="16"/>
      <color rgb="FF000000"/>
      <name val="Times New Roman"/>
      <family val="1"/>
    </font>
    <font>
      <u/>
      <sz val="14"/>
      <color theme="10"/>
      <name val="Times New Roman"/>
      <family val="1"/>
    </font>
    <font>
      <sz val="9"/>
      <name val="Arial"/>
      <family val="2"/>
    </font>
    <font>
      <b/>
      <sz val="10"/>
      <name val="Arial"/>
      <family val="2"/>
    </font>
    <font>
      <sz val="6"/>
      <name val="Arial"/>
      <family val="2"/>
    </font>
    <font>
      <b/>
      <sz val="9"/>
      <name val="Arial"/>
      <family val="2"/>
    </font>
    <font>
      <sz val="8"/>
      <name val="Arial"/>
      <family val="2"/>
    </font>
    <font>
      <b/>
      <sz val="8"/>
      <name val="Arial"/>
      <family val="2"/>
    </font>
    <font>
      <sz val="6"/>
      <color theme="0"/>
      <name val="Arial"/>
      <family val="2"/>
    </font>
    <font>
      <b/>
      <sz val="10"/>
      <color theme="0"/>
      <name val="Arial"/>
      <family val="2"/>
    </font>
    <font>
      <i/>
      <sz val="9"/>
      <name val="Arial"/>
      <family val="2"/>
    </font>
    <font>
      <i/>
      <sz val="10"/>
      <name val="Arial"/>
      <family val="2"/>
    </font>
    <font>
      <b/>
      <sz val="8"/>
      <color theme="1"/>
      <name val="Arial"/>
      <family val="2"/>
    </font>
    <font>
      <sz val="8"/>
      <color theme="1"/>
      <name val="Arial"/>
      <family val="2"/>
    </font>
    <font>
      <sz val="11"/>
      <color rgb="FF000000"/>
      <name val="Times New Roman"/>
      <family val="1"/>
    </font>
    <font>
      <u/>
      <sz val="10"/>
      <color theme="10"/>
      <name val="Arial"/>
      <family val="2"/>
    </font>
    <font>
      <b/>
      <i/>
      <sz val="11"/>
      <color theme="1"/>
      <name val="Times New Roman"/>
      <family val="1"/>
    </font>
    <font>
      <b/>
      <sz val="10"/>
      <name val="Times New Roman"/>
      <family val="1"/>
    </font>
    <font>
      <sz val="8"/>
      <name val="Times New Roman"/>
      <family val="1"/>
    </font>
    <font>
      <sz val="6"/>
      <name val="Times New Roman"/>
      <family val="1"/>
    </font>
    <font>
      <sz val="9"/>
      <name val="Times New Roman"/>
      <family val="1"/>
    </font>
    <font>
      <sz val="10"/>
      <name val="Times New Roman"/>
      <family val="1"/>
    </font>
    <font>
      <b/>
      <sz val="9"/>
      <name val="Times New Roman"/>
      <family val="1"/>
    </font>
    <font>
      <b/>
      <sz val="12"/>
      <color rgb="FF000000"/>
      <name val="Times New Roman"/>
      <family val="1"/>
    </font>
    <font>
      <sz val="12"/>
      <color rgb="FF000000"/>
      <name val="Times New Roman"/>
      <family val="1"/>
    </font>
    <font>
      <b/>
      <u/>
      <sz val="11"/>
      <color theme="1"/>
      <name val="Times New Roman"/>
      <family val="1"/>
    </font>
    <font>
      <b/>
      <sz val="16"/>
      <color theme="1"/>
      <name val="Calibri"/>
      <family val="2"/>
      <scheme val="minor"/>
    </font>
    <font>
      <b/>
      <sz val="11"/>
      <color theme="1"/>
      <name val="Calibri"/>
      <family val="2"/>
      <scheme val="minor"/>
    </font>
    <font>
      <sz val="10"/>
      <color indexed="9"/>
      <name val="Arial"/>
      <family val="2"/>
    </font>
    <font>
      <sz val="14"/>
      <name val="Arial"/>
      <family val="2"/>
    </font>
    <font>
      <b/>
      <sz val="14"/>
      <name val="Arial"/>
      <family val="2"/>
    </font>
    <font>
      <b/>
      <sz val="14"/>
      <color indexed="9"/>
      <name val="Arial"/>
      <family val="2"/>
    </font>
    <font>
      <b/>
      <sz val="12"/>
      <name val="Arial"/>
      <family val="2"/>
    </font>
    <font>
      <b/>
      <sz val="11"/>
      <name val="Arial"/>
      <family val="2"/>
    </font>
    <font>
      <sz val="8"/>
      <color indexed="9"/>
      <name val="Arial"/>
      <family val="2"/>
    </font>
    <font>
      <sz val="12"/>
      <name val="Arial"/>
      <family val="2"/>
    </font>
    <font>
      <b/>
      <sz val="12"/>
      <color indexed="9"/>
      <name val="Arial"/>
      <family val="2"/>
    </font>
    <font>
      <b/>
      <sz val="12"/>
      <color indexed="12"/>
      <name val="Arial"/>
      <family val="2"/>
    </font>
    <font>
      <sz val="10"/>
      <color indexed="12"/>
      <name val="Arial"/>
      <family val="2"/>
    </font>
    <font>
      <b/>
      <sz val="11"/>
      <color indexed="9"/>
      <name val="Arial"/>
      <family val="2"/>
    </font>
    <font>
      <sz val="11"/>
      <name val="Arial"/>
      <family val="2"/>
    </font>
    <font>
      <b/>
      <sz val="16"/>
      <name val="Arial"/>
      <family val="2"/>
    </font>
    <font>
      <b/>
      <i/>
      <sz val="10"/>
      <color indexed="12"/>
      <name val="Arial"/>
      <family val="2"/>
    </font>
    <font>
      <sz val="11"/>
      <name val="Calibri"/>
      <family val="2"/>
      <scheme val="minor"/>
    </font>
    <font>
      <sz val="11"/>
      <color indexed="8"/>
      <name val="Calibri"/>
      <family val="2"/>
      <scheme val="minor"/>
    </font>
    <font>
      <b/>
      <i/>
      <sz val="9"/>
      <name val="Arial"/>
      <family val="2"/>
    </font>
    <font>
      <i/>
      <sz val="8"/>
      <name val="Arial"/>
      <family val="2"/>
    </font>
  </fonts>
  <fills count="10">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C000"/>
        <bgColor indexed="64"/>
      </patternFill>
    </fill>
    <fill>
      <patternFill patternType="solid">
        <fgColor indexed="18"/>
        <bgColor indexed="64"/>
      </patternFill>
    </fill>
    <fill>
      <patternFill patternType="solid">
        <fgColor indexed="42"/>
        <bgColor indexed="64"/>
      </patternFill>
    </fill>
    <fill>
      <patternFill patternType="solid">
        <fgColor indexed="26"/>
        <bgColor indexed="64"/>
      </patternFill>
    </fill>
    <fill>
      <patternFill patternType="solid">
        <fgColor theme="0"/>
        <bgColor indexed="64"/>
      </patternFill>
    </fill>
  </fills>
  <borders count="79">
    <border>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diagonal/>
    </border>
    <border>
      <left/>
      <right style="double">
        <color indexed="64"/>
      </right>
      <top/>
      <bottom/>
      <diagonal/>
    </border>
    <border>
      <left style="double">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double">
        <color indexed="64"/>
      </top>
      <bottom/>
      <diagonal/>
    </border>
    <border>
      <left style="thin">
        <color indexed="64"/>
      </left>
      <right/>
      <top style="double">
        <color indexed="64"/>
      </top>
      <bottom/>
      <diagonal/>
    </border>
    <border>
      <left style="double">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double">
        <color indexed="64"/>
      </right>
      <top/>
      <bottom style="thin">
        <color indexed="64"/>
      </bottom>
      <diagonal/>
    </border>
    <border>
      <left/>
      <right style="thin">
        <color indexed="64"/>
      </right>
      <top/>
      <bottom/>
      <diagonal/>
    </border>
    <border>
      <left style="double">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double">
        <color indexed="64"/>
      </right>
      <top style="thin">
        <color indexed="64"/>
      </top>
      <bottom style="double">
        <color indexed="64"/>
      </bottom>
      <diagonal/>
    </border>
    <border>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double">
        <color indexed="64"/>
      </bottom>
      <diagonal/>
    </border>
    <border>
      <left/>
      <right style="double">
        <color indexed="64"/>
      </right>
      <top/>
      <bottom style="double">
        <color indexed="64"/>
      </bottom>
      <diagonal/>
    </border>
    <border>
      <left style="thin">
        <color indexed="64"/>
      </left>
      <right style="thin">
        <color indexed="64"/>
      </right>
      <top style="thin">
        <color indexed="64"/>
      </top>
      <bottom style="dotted">
        <color indexed="64"/>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dotted">
        <color indexed="64"/>
      </top>
      <bottom style="thin">
        <color indexed="64"/>
      </bottom>
      <diagonal/>
    </border>
  </borders>
  <cellStyleXfs count="31">
    <xf numFmtId="0" fontId="0" fillId="0" borderId="0"/>
    <xf numFmtId="0" fontId="14" fillId="0" borderId="0">
      <alignment wrapText="1"/>
    </xf>
    <xf numFmtId="0" fontId="14" fillId="0" borderId="0"/>
    <xf numFmtId="0" fontId="18" fillId="0" borderId="0" applyNumberFormat="0" applyFill="0" applyBorder="0" applyAlignment="0" applyProtection="0"/>
    <xf numFmtId="0" fontId="14" fillId="0" borderId="0"/>
    <xf numFmtId="9" fontId="14" fillId="0" borderId="0" applyFont="0" applyFill="0" applyBorder="0" applyAlignment="0" applyProtection="0"/>
    <xf numFmtId="43" fontId="21" fillId="0" borderId="0" applyFont="0" applyFill="0" applyBorder="0" applyAlignment="0" applyProtection="0"/>
    <xf numFmtId="0" fontId="14" fillId="0" borderId="0"/>
    <xf numFmtId="0" fontId="13" fillId="0" borderId="0"/>
    <xf numFmtId="0" fontId="12" fillId="0" borderId="0"/>
    <xf numFmtId="0" fontId="11" fillId="0" borderId="0"/>
    <xf numFmtId="0" fontId="50" fillId="0" borderId="0" applyNumberFormat="0" applyFill="0" applyBorder="0" applyAlignment="0" applyProtection="0"/>
    <xf numFmtId="0" fontId="10" fillId="0" borderId="0"/>
    <xf numFmtId="0" fontId="9" fillId="0" borderId="0"/>
    <xf numFmtId="9" fontId="9" fillId="0" borderId="0" applyFont="0" applyFill="0" applyBorder="0" applyAlignment="0" applyProtection="0"/>
    <xf numFmtId="0" fontId="8" fillId="0" borderId="0"/>
    <xf numFmtId="0" fontId="7" fillId="0" borderId="0"/>
    <xf numFmtId="9" fontId="7" fillId="0" borderId="0" applyFont="0" applyFill="0" applyBorder="0" applyAlignment="0" applyProtection="0"/>
    <xf numFmtId="0" fontId="6" fillId="0" borderId="0"/>
    <xf numFmtId="9" fontId="6" fillId="0" borderId="0" applyFont="0" applyFill="0" applyBorder="0" applyAlignment="0" applyProtection="0"/>
    <xf numFmtId="0" fontId="5" fillId="0" borderId="0"/>
    <xf numFmtId="9" fontId="5" fillId="0" borderId="0" applyFont="0" applyFill="0" applyBorder="0" applyAlignment="0" applyProtection="0"/>
    <xf numFmtId="0" fontId="4" fillId="0" borderId="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9" fontId="1" fillId="0" borderId="0" applyFont="0" applyFill="0" applyBorder="0" applyAlignment="0" applyProtection="0"/>
  </cellStyleXfs>
  <cellXfs count="1717">
    <xf numFmtId="0" fontId="0" fillId="0" borderId="0" xfId="0"/>
    <xf numFmtId="0" fontId="16" fillId="0" borderId="0" xfId="0" applyFont="1"/>
    <xf numFmtId="0" fontId="15" fillId="0" borderId="0" xfId="0" applyFont="1"/>
    <xf numFmtId="0" fontId="19" fillId="0" borderId="0" xfId="3" applyFont="1" applyProtection="1"/>
    <xf numFmtId="0" fontId="0" fillId="0" borderId="0" xfId="0" applyAlignment="1">
      <alignment horizontal="center" wrapText="1"/>
    </xf>
    <xf numFmtId="0" fontId="0" fillId="0" borderId="0" xfId="0" applyAlignment="1">
      <alignment horizontal="center" vertical="center"/>
    </xf>
    <xf numFmtId="43" fontId="22" fillId="0" borderId="16" xfId="6" applyFont="1" applyBorder="1" applyAlignment="1" applyProtection="1">
      <alignment horizontal="center" vertical="center" wrapText="1"/>
    </xf>
    <xf numFmtId="0" fontId="22" fillId="0" borderId="16" xfId="0" applyFont="1" applyBorder="1" applyAlignment="1">
      <alignment horizontal="center" vertical="center" wrapText="1"/>
    </xf>
    <xf numFmtId="43" fontId="0" fillId="0" borderId="0" xfId="6" applyFont="1" applyAlignment="1" applyProtection="1">
      <alignment horizontal="center" vertical="center" wrapText="1"/>
    </xf>
    <xf numFmtId="0" fontId="18" fillId="0" borderId="0" xfId="3" applyBorder="1" applyAlignment="1" applyProtection="1">
      <alignment vertical="top" wrapText="1"/>
    </xf>
    <xf numFmtId="49" fontId="22" fillId="0" borderId="0" xfId="0" applyNumberFormat="1" applyFont="1" applyAlignment="1">
      <alignment horizontal="center" vertical="center" wrapText="1"/>
    </xf>
    <xf numFmtId="43" fontId="22" fillId="0" borderId="0" xfId="6" applyFont="1" applyBorder="1" applyAlignment="1" applyProtection="1">
      <alignment horizontal="center" vertical="center" wrapText="1"/>
    </xf>
    <xf numFmtId="0" fontId="22" fillId="0" borderId="0" xfId="0" applyFont="1" applyAlignment="1">
      <alignment horizontal="center" vertical="center" wrapText="1"/>
    </xf>
    <xf numFmtId="14" fontId="22" fillId="0" borderId="0" xfId="0" applyNumberFormat="1" applyFont="1" applyAlignment="1">
      <alignment horizontal="center" vertical="center" wrapText="1"/>
    </xf>
    <xf numFmtId="2" fontId="22" fillId="0" borderId="0" xfId="0" applyNumberFormat="1" applyFont="1" applyAlignment="1">
      <alignment horizontal="center" vertical="center" wrapText="1"/>
    </xf>
    <xf numFmtId="43" fontId="0" fillId="0" borderId="0" xfId="6" applyFont="1" applyProtection="1"/>
    <xf numFmtId="0" fontId="0" fillId="0" borderId="0" xfId="0" applyAlignment="1">
      <alignment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top" wrapText="1"/>
    </xf>
    <xf numFmtId="0" fontId="0" fillId="0" borderId="0" xfId="0" applyAlignment="1">
      <alignment horizontal="center"/>
    </xf>
    <xf numFmtId="0" fontId="23" fillId="0" borderId="3" xfId="0" applyFont="1" applyBorder="1" applyAlignment="1">
      <alignment horizontal="center" wrapText="1"/>
    </xf>
    <xf numFmtId="0" fontId="23" fillId="0" borderId="28" xfId="0" applyFont="1" applyBorder="1" applyAlignment="1">
      <alignment horizontal="center" wrapText="1"/>
    </xf>
    <xf numFmtId="0" fontId="23" fillId="0" borderId="4" xfId="0" applyFont="1" applyBorder="1" applyAlignment="1">
      <alignment horizontal="center" wrapText="1"/>
    </xf>
    <xf numFmtId="0" fontId="0" fillId="0" borderId="0" xfId="0" applyAlignment="1">
      <alignment horizontal="center" vertical="top" wrapText="1"/>
    </xf>
    <xf numFmtId="0" fontId="23" fillId="0" borderId="0" xfId="0" applyFont="1" applyAlignment="1">
      <alignment horizontal="center" wrapText="1"/>
    </xf>
    <xf numFmtId="0" fontId="0" fillId="0" borderId="0" xfId="0" applyAlignment="1">
      <alignment horizontal="left"/>
    </xf>
    <xf numFmtId="0" fontId="17" fillId="0" borderId="0" xfId="0" applyFont="1" applyAlignment="1">
      <alignment horizontal="left"/>
    </xf>
    <xf numFmtId="0" fontId="15" fillId="0" borderId="0" xfId="0" applyFont="1" applyAlignment="1">
      <alignment horizontal="left" vertical="top" textRotation="90" wrapText="1"/>
    </xf>
    <xf numFmtId="0" fontId="15" fillId="0" borderId="0" xfId="0" applyFont="1" applyAlignment="1">
      <alignment horizontal="center"/>
    </xf>
    <xf numFmtId="0" fontId="24" fillId="0" borderId="0" xfId="0" applyFont="1" applyAlignment="1">
      <alignment horizontal="left" vertical="center"/>
    </xf>
    <xf numFmtId="43" fontId="0" fillId="0" borderId="0" xfId="6" applyFont="1" applyAlignment="1">
      <alignment horizontal="center"/>
    </xf>
    <xf numFmtId="0" fontId="20" fillId="0" borderId="0" xfId="0" applyFont="1" applyAlignment="1">
      <alignment horizontal="center" vertical="center"/>
    </xf>
    <xf numFmtId="2" fontId="0" fillId="0" borderId="0" xfId="6" applyNumberFormat="1" applyFont="1" applyAlignment="1">
      <alignment horizontal="center"/>
    </xf>
    <xf numFmtId="0" fontId="0" fillId="0" borderId="0" xfId="0" applyAlignment="1">
      <alignment horizontal="center" vertical="top"/>
    </xf>
    <xf numFmtId="43" fontId="0" fillId="0" borderId="0" xfId="6" applyFont="1"/>
    <xf numFmtId="10" fontId="0" fillId="0" borderId="0" xfId="6" applyNumberFormat="1" applyFont="1" applyAlignment="1">
      <alignment horizontal="center"/>
    </xf>
    <xf numFmtId="0" fontId="25" fillId="0" borderId="0" xfId="0" applyFont="1" applyAlignment="1">
      <alignment horizontal="left" vertical="center"/>
    </xf>
    <xf numFmtId="0" fontId="15" fillId="0" borderId="0" xfId="0" applyFont="1" applyAlignment="1">
      <alignment horizontal="left" vertical="center"/>
    </xf>
    <xf numFmtId="0" fontId="23" fillId="3" borderId="3" xfId="0" applyFont="1" applyFill="1" applyBorder="1" applyAlignment="1">
      <alignment horizontal="center" vertical="center" wrapText="1"/>
    </xf>
    <xf numFmtId="0" fontId="23" fillId="3" borderId="28" xfId="0" applyFont="1" applyFill="1" applyBorder="1" applyAlignment="1">
      <alignment horizontal="center" vertical="center" wrapText="1"/>
    </xf>
    <xf numFmtId="0" fontId="23" fillId="3" borderId="4" xfId="0" applyFont="1" applyFill="1" applyBorder="1" applyAlignment="1">
      <alignment horizontal="center" vertical="center" wrapText="1"/>
    </xf>
    <xf numFmtId="0" fontId="22" fillId="0" borderId="0" xfId="0" applyFont="1"/>
    <xf numFmtId="0" fontId="23" fillId="0" borderId="0" xfId="0" applyFont="1"/>
    <xf numFmtId="0" fontId="27" fillId="0" borderId="24" xfId="0" applyFont="1" applyBorder="1" applyAlignment="1">
      <alignment horizontal="center" vertical="top" wrapText="1"/>
    </xf>
    <xf numFmtId="15" fontId="29" fillId="0" borderId="24" xfId="0" applyNumberFormat="1" applyFont="1" applyBorder="1" applyAlignment="1">
      <alignment horizontal="center" vertical="top" wrapText="1"/>
    </xf>
    <xf numFmtId="0" fontId="29" fillId="0" borderId="24" xfId="0" applyFont="1" applyBorder="1" applyAlignment="1">
      <alignment horizontal="center" vertical="top" wrapText="1"/>
    </xf>
    <xf numFmtId="15" fontId="30" fillId="0" borderId="12" xfId="0" applyNumberFormat="1" applyFont="1" applyBorder="1" applyAlignment="1" applyProtection="1">
      <alignment horizontal="center" vertical="top" wrapText="1"/>
      <protection locked="0"/>
    </xf>
    <xf numFmtId="0" fontId="30" fillId="0" borderId="23" xfId="0" applyFont="1" applyBorder="1" applyAlignment="1" applyProtection="1">
      <alignment horizontal="center" vertical="top" wrapText="1"/>
      <protection locked="0"/>
    </xf>
    <xf numFmtId="0" fontId="28" fillId="0" borderId="23" xfId="0" applyFont="1" applyBorder="1" applyAlignment="1" applyProtection="1">
      <alignment horizontal="center" vertical="top" wrapText="1"/>
      <protection locked="0"/>
    </xf>
    <xf numFmtId="14" fontId="30" fillId="0" borderId="11" xfId="0" applyNumberFormat="1" applyFont="1" applyBorder="1" applyAlignment="1" applyProtection="1">
      <alignment horizontal="center" vertical="top" wrapText="1"/>
      <protection locked="0"/>
    </xf>
    <xf numFmtId="15" fontId="30" fillId="0" borderId="1" xfId="0" applyNumberFormat="1" applyFont="1" applyBorder="1" applyAlignment="1" applyProtection="1">
      <alignment horizontal="center" vertical="top" wrapText="1"/>
      <protection locked="0"/>
    </xf>
    <xf numFmtId="0" fontId="30" fillId="0" borderId="24" xfId="0" applyFont="1" applyBorder="1" applyAlignment="1" applyProtection="1">
      <alignment horizontal="center" vertical="top" wrapText="1"/>
      <protection locked="0"/>
    </xf>
    <xf numFmtId="0" fontId="28" fillId="0" borderId="24" xfId="0" applyFont="1" applyBorder="1" applyAlignment="1" applyProtection="1">
      <alignment horizontal="center" vertical="top" wrapText="1"/>
      <protection locked="0"/>
    </xf>
    <xf numFmtId="14" fontId="30" fillId="0" borderId="2" xfId="0" applyNumberFormat="1" applyFont="1" applyBorder="1" applyAlignment="1" applyProtection="1">
      <alignment horizontal="center" vertical="top" wrapText="1"/>
      <protection locked="0"/>
    </xf>
    <xf numFmtId="15" fontId="30" fillId="0" borderId="31" xfId="0" applyNumberFormat="1" applyFont="1" applyBorder="1" applyAlignment="1" applyProtection="1">
      <alignment horizontal="center" vertical="top" wrapText="1"/>
      <protection locked="0"/>
    </xf>
    <xf numFmtId="0" fontId="30" fillId="0" borderId="32" xfId="0" applyFont="1" applyBorder="1" applyAlignment="1" applyProtection="1">
      <alignment horizontal="center" vertical="top" wrapText="1"/>
      <protection locked="0"/>
    </xf>
    <xf numFmtId="0" fontId="28" fillId="0" borderId="32" xfId="0" applyFont="1" applyBorder="1" applyAlignment="1" applyProtection="1">
      <alignment horizontal="center" vertical="top" wrapText="1"/>
      <protection locked="0"/>
    </xf>
    <xf numFmtId="14" fontId="30" fillId="0" borderId="35" xfId="0" applyNumberFormat="1" applyFont="1" applyBorder="1" applyAlignment="1" applyProtection="1">
      <alignment horizontal="center" vertical="top" wrapText="1"/>
      <protection locked="0"/>
    </xf>
    <xf numFmtId="15" fontId="30" fillId="0" borderId="1" xfId="0" applyNumberFormat="1" applyFont="1" applyBorder="1" applyAlignment="1" applyProtection="1">
      <alignment horizontal="center" vertical="top"/>
      <protection locked="0"/>
    </xf>
    <xf numFmtId="0" fontId="30" fillId="0" borderId="24" xfId="0" applyFont="1" applyBorder="1" applyAlignment="1" applyProtection="1">
      <alignment horizontal="center" vertical="top"/>
      <protection locked="0"/>
    </xf>
    <xf numFmtId="0" fontId="28" fillId="0" borderId="2" xfId="0" applyFont="1" applyBorder="1" applyAlignment="1" applyProtection="1">
      <alignment horizontal="center" vertical="top"/>
      <protection locked="0"/>
    </xf>
    <xf numFmtId="15" fontId="30" fillId="0" borderId="31" xfId="0" applyNumberFormat="1" applyFont="1" applyBorder="1" applyAlignment="1" applyProtection="1">
      <alignment horizontal="center" vertical="top"/>
      <protection locked="0"/>
    </xf>
    <xf numFmtId="0" fontId="30" fillId="0" borderId="32" xfId="0" applyFont="1" applyBorder="1" applyAlignment="1" applyProtection="1">
      <alignment horizontal="center" vertical="top"/>
      <protection locked="0"/>
    </xf>
    <xf numFmtId="0" fontId="28" fillId="0" borderId="35" xfId="0" applyFont="1" applyBorder="1" applyAlignment="1" applyProtection="1">
      <alignment horizontal="center" vertical="top"/>
      <protection locked="0"/>
    </xf>
    <xf numFmtId="0" fontId="26" fillId="0" borderId="0" xfId="0" applyFont="1"/>
    <xf numFmtId="0" fontId="0" fillId="0" borderId="16" xfId="0" applyBorder="1" applyAlignment="1">
      <alignment horizontal="center" vertical="center" wrapText="1"/>
    </xf>
    <xf numFmtId="164" fontId="26" fillId="0" borderId="16" xfId="6" applyNumberFormat="1" applyFont="1" applyBorder="1" applyAlignment="1" applyProtection="1">
      <alignment horizontal="center" vertical="center" wrapText="1"/>
    </xf>
    <xf numFmtId="165" fontId="0" fillId="0" borderId="16" xfId="0" applyNumberFormat="1" applyBorder="1" applyAlignment="1">
      <alignment horizontal="center" vertical="center" wrapText="1"/>
    </xf>
    <xf numFmtId="0" fontId="32" fillId="0" borderId="16" xfId="3" applyFont="1" applyBorder="1" applyAlignment="1" applyProtection="1">
      <alignment horizontal="center" vertical="center"/>
      <protection locked="0"/>
    </xf>
    <xf numFmtId="0" fontId="23" fillId="3" borderId="24" xfId="0" applyFont="1" applyFill="1" applyBorder="1" applyAlignment="1">
      <alignment vertical="center" wrapText="1"/>
    </xf>
    <xf numFmtId="0" fontId="23" fillId="3" borderId="24" xfId="0" applyFont="1" applyFill="1" applyBorder="1" applyAlignment="1">
      <alignment horizontal="center" vertical="center" wrapText="1"/>
    </xf>
    <xf numFmtId="0" fontId="32" fillId="0" borderId="16" xfId="3" applyNumberFormat="1" applyFont="1" applyBorder="1" applyAlignment="1">
      <alignment horizontal="center" vertical="center"/>
    </xf>
    <xf numFmtId="0" fontId="34" fillId="0" borderId="16" xfId="3" applyNumberFormat="1" applyFont="1" applyBorder="1" applyAlignment="1" applyProtection="1">
      <alignment horizontal="center"/>
    </xf>
    <xf numFmtId="164" fontId="34" fillId="0" borderId="16" xfId="3" applyNumberFormat="1" applyFont="1" applyBorder="1" applyAlignment="1" applyProtection="1">
      <alignment horizontal="center"/>
    </xf>
    <xf numFmtId="0" fontId="0" fillId="0" borderId="16" xfId="0" applyBorder="1" applyAlignment="1">
      <alignment horizontal="center"/>
    </xf>
    <xf numFmtId="165" fontId="0" fillId="0" borderId="16" xfId="0" applyNumberFormat="1" applyBorder="1" applyAlignment="1">
      <alignment horizontal="center"/>
    </xf>
    <xf numFmtId="0" fontId="32" fillId="0" borderId="16" xfId="3" applyNumberFormat="1" applyFont="1" applyBorder="1" applyAlignment="1" applyProtection="1">
      <alignment horizontal="center" vertical="top" wrapText="1"/>
    </xf>
    <xf numFmtId="0" fontId="34" fillId="0" borderId="16" xfId="3" applyNumberFormat="1" applyFont="1" applyBorder="1" applyAlignment="1" applyProtection="1">
      <alignment horizontal="center" wrapText="1"/>
    </xf>
    <xf numFmtId="0" fontId="34" fillId="0" borderId="16" xfId="0" applyFont="1" applyBorder="1" applyAlignment="1">
      <alignment horizontal="center"/>
    </xf>
    <xf numFmtId="0" fontId="32" fillId="0" borderId="16" xfId="3" applyNumberFormat="1" applyFont="1" applyBorder="1" applyAlignment="1" applyProtection="1">
      <alignment horizontal="center" wrapText="1"/>
    </xf>
    <xf numFmtId="0" fontId="32" fillId="0" borderId="16" xfId="3" applyFont="1" applyBorder="1" applyAlignment="1">
      <alignment horizontal="center" vertical="center"/>
    </xf>
    <xf numFmtId="0" fontId="18" fillId="0" borderId="0" xfId="3" applyAlignment="1" applyProtection="1">
      <alignment horizontal="center" vertical="center"/>
      <protection locked="0"/>
    </xf>
    <xf numFmtId="0" fontId="37" fillId="0" borderId="0" xfId="4" applyFont="1" applyProtection="1">
      <protection hidden="1"/>
    </xf>
    <xf numFmtId="0" fontId="14" fillId="0" borderId="0" xfId="4" applyProtection="1">
      <protection hidden="1"/>
    </xf>
    <xf numFmtId="9" fontId="14" fillId="0" borderId="0" xfId="5" applyFont="1" applyAlignment="1" applyProtection="1">
      <alignment vertical="center"/>
      <protection hidden="1"/>
    </xf>
    <xf numFmtId="10" fontId="14" fillId="0" borderId="49" xfId="5" applyNumberFormat="1" applyFont="1" applyBorder="1" applyAlignment="1" applyProtection="1">
      <alignment horizontal="center" vertical="center"/>
      <protection hidden="1"/>
    </xf>
    <xf numFmtId="0" fontId="14" fillId="0" borderId="0" xfId="5" applyNumberFormat="1" applyFont="1" applyBorder="1" applyAlignment="1" applyProtection="1">
      <alignment horizontal="center" vertical="center"/>
      <protection hidden="1"/>
    </xf>
    <xf numFmtId="167" fontId="14" fillId="0" borderId="0" xfId="5" applyNumberFormat="1" applyFont="1" applyBorder="1" applyAlignment="1" applyProtection="1">
      <alignment horizontal="center" vertical="center"/>
      <protection hidden="1"/>
    </xf>
    <xf numFmtId="0" fontId="14" fillId="0" borderId="49" xfId="5" applyNumberFormat="1" applyFont="1" applyBorder="1" applyAlignment="1" applyProtection="1">
      <alignment horizontal="center" vertical="center"/>
      <protection hidden="1"/>
    </xf>
    <xf numFmtId="167" fontId="14" fillId="0" borderId="43" xfId="5" applyNumberFormat="1" applyFont="1" applyBorder="1" applyAlignment="1" applyProtection="1">
      <alignment horizontal="center"/>
      <protection hidden="1"/>
    </xf>
    <xf numFmtId="9" fontId="41" fillId="0" borderId="47" xfId="5" applyFont="1" applyBorder="1" applyAlignment="1" applyProtection="1">
      <alignment horizontal="center" vertical="center"/>
    </xf>
    <xf numFmtId="9" fontId="41" fillId="0" borderId="45" xfId="5" applyFont="1" applyBorder="1" applyAlignment="1" applyProtection="1">
      <alignment horizontal="center" vertical="center"/>
    </xf>
    <xf numFmtId="9" fontId="41" fillId="0" borderId="46" xfId="5" applyFont="1" applyBorder="1" applyAlignment="1" applyProtection="1">
      <alignment horizontal="center" vertical="center"/>
    </xf>
    <xf numFmtId="9" fontId="41" fillId="0" borderId="49" xfId="5" applyFont="1" applyBorder="1" applyAlignment="1" applyProtection="1">
      <alignment horizontal="center" vertical="center"/>
    </xf>
    <xf numFmtId="9" fontId="41" fillId="0" borderId="0" xfId="5" applyFont="1" applyBorder="1" applyAlignment="1" applyProtection="1">
      <alignment horizontal="center" vertical="center"/>
    </xf>
    <xf numFmtId="9" fontId="41" fillId="0" borderId="43" xfId="5" applyFont="1" applyBorder="1" applyAlignment="1" applyProtection="1">
      <alignment horizontal="center" vertical="center"/>
    </xf>
    <xf numFmtId="9" fontId="41" fillId="0" borderId="41" xfId="5" applyFont="1" applyBorder="1" applyAlignment="1" applyProtection="1">
      <alignment horizontal="center" vertical="center"/>
    </xf>
    <xf numFmtId="9" fontId="41" fillId="0" borderId="39" xfId="5" applyFont="1" applyBorder="1" applyAlignment="1" applyProtection="1">
      <alignment horizontal="center" vertical="center"/>
    </xf>
    <xf numFmtId="9" fontId="41" fillId="0" borderId="40" xfId="5" applyFont="1" applyBorder="1" applyAlignment="1" applyProtection="1">
      <alignment horizontal="center" vertical="center"/>
    </xf>
    <xf numFmtId="10" fontId="14" fillId="0" borderId="0" xfId="5" applyNumberFormat="1" applyFont="1" applyProtection="1">
      <protection hidden="1"/>
    </xf>
    <xf numFmtId="0" fontId="37" fillId="0" borderId="0" xfId="4" applyFont="1" applyAlignment="1" applyProtection="1">
      <alignment horizontal="right"/>
      <protection hidden="1"/>
    </xf>
    <xf numFmtId="10" fontId="0" fillId="0" borderId="16" xfId="0" applyNumberFormat="1" applyBorder="1" applyAlignment="1">
      <alignment horizontal="center" vertical="center" wrapText="1"/>
    </xf>
    <xf numFmtId="0" fontId="14" fillId="0" borderId="0" xfId="7"/>
    <xf numFmtId="0" fontId="41" fillId="0" borderId="0" xfId="7" applyFont="1" applyAlignment="1">
      <alignment horizontal="center" vertical="center"/>
    </xf>
    <xf numFmtId="0" fontId="14" fillId="0" borderId="0" xfId="7" applyAlignment="1">
      <alignment vertical="center"/>
    </xf>
    <xf numFmtId="0" fontId="14" fillId="0" borderId="0" xfId="7" applyAlignment="1">
      <alignment horizontal="center" vertical="center"/>
    </xf>
    <xf numFmtId="0" fontId="37" fillId="0" borderId="0" xfId="7" applyFont="1"/>
    <xf numFmtId="0" fontId="37" fillId="0" borderId="0" xfId="7" applyFont="1" applyProtection="1">
      <protection hidden="1"/>
    </xf>
    <xf numFmtId="10" fontId="37" fillId="0" borderId="0" xfId="7" applyNumberFormat="1" applyFont="1" applyProtection="1">
      <protection hidden="1"/>
    </xf>
    <xf numFmtId="0" fontId="14" fillId="0" borderId="0" xfId="7" applyProtection="1">
      <protection hidden="1"/>
    </xf>
    <xf numFmtId="10" fontId="14" fillId="0" borderId="0" xfId="7" applyNumberFormat="1" applyProtection="1">
      <protection hidden="1"/>
    </xf>
    <xf numFmtId="0" fontId="39" fillId="0" borderId="0" xfId="7" applyFont="1" applyAlignment="1">
      <alignment horizontal="left" vertical="top"/>
    </xf>
    <xf numFmtId="0" fontId="39" fillId="0" borderId="0" xfId="7" applyFont="1" applyAlignment="1" applyProtection="1">
      <alignment horizontal="left" vertical="top"/>
      <protection hidden="1"/>
    </xf>
    <xf numFmtId="10" fontId="39" fillId="0" borderId="0" xfId="7" applyNumberFormat="1" applyFont="1" applyAlignment="1" applyProtection="1">
      <alignment horizontal="left" vertical="top"/>
      <protection hidden="1"/>
    </xf>
    <xf numFmtId="0" fontId="39" fillId="0" borderId="0" xfId="7" applyFont="1" applyAlignment="1">
      <alignment horizontal="left" vertical="center"/>
    </xf>
    <xf numFmtId="0" fontId="39" fillId="0" borderId="0" xfId="7" applyFont="1" applyAlignment="1" applyProtection="1">
      <alignment horizontal="left" vertical="center"/>
      <protection hidden="1"/>
    </xf>
    <xf numFmtId="10" fontId="39" fillId="0" borderId="0" xfId="7" applyNumberFormat="1" applyFont="1" applyAlignment="1" applyProtection="1">
      <alignment horizontal="left" vertical="center"/>
      <protection hidden="1"/>
    </xf>
    <xf numFmtId="0" fontId="37" fillId="0" borderId="0" xfId="7" applyFont="1" applyAlignment="1" applyProtection="1">
      <alignment vertical="center"/>
      <protection hidden="1"/>
    </xf>
    <xf numFmtId="0" fontId="14" fillId="0" borderId="0" xfId="7" applyAlignment="1" applyProtection="1">
      <alignment vertical="center"/>
      <protection hidden="1"/>
    </xf>
    <xf numFmtId="0" fontId="14" fillId="0" borderId="43" xfId="7" applyBorder="1" applyAlignment="1" applyProtection="1">
      <alignment horizontal="right" vertical="center"/>
      <protection hidden="1"/>
    </xf>
    <xf numFmtId="0" fontId="14" fillId="0" borderId="8" xfId="7" applyBorder="1" applyAlignment="1" applyProtection="1">
      <alignment vertical="center"/>
      <protection hidden="1"/>
    </xf>
    <xf numFmtId="0" fontId="14" fillId="4" borderId="0" xfId="7" applyFill="1" applyAlignment="1" applyProtection="1">
      <alignment vertical="center"/>
      <protection hidden="1"/>
    </xf>
    <xf numFmtId="0" fontId="39" fillId="0" borderId="0" xfId="7" applyFont="1" applyAlignment="1">
      <alignment horizontal="center" vertical="center"/>
    </xf>
    <xf numFmtId="10" fontId="37" fillId="0" borderId="0" xfId="7" applyNumberFormat="1" applyFont="1" applyAlignment="1" applyProtection="1">
      <alignment horizontal="left" vertical="center"/>
      <protection hidden="1"/>
    </xf>
    <xf numFmtId="0" fontId="37" fillId="0" borderId="0" xfId="7" applyFont="1" applyAlignment="1" applyProtection="1">
      <alignment horizontal="left" vertical="center"/>
      <protection hidden="1"/>
    </xf>
    <xf numFmtId="9" fontId="14" fillId="0" borderId="0" xfId="7" applyNumberFormat="1" applyAlignment="1" applyProtection="1">
      <alignment vertical="center"/>
      <protection hidden="1"/>
    </xf>
    <xf numFmtId="0" fontId="14" fillId="0" borderId="47" xfId="7" applyBorder="1" applyAlignment="1" applyProtection="1">
      <alignment vertical="center"/>
      <protection hidden="1"/>
    </xf>
    <xf numFmtId="0" fontId="14" fillId="0" borderId="46" xfId="7" applyBorder="1" applyAlignment="1" applyProtection="1">
      <alignment vertical="center"/>
      <protection hidden="1"/>
    </xf>
    <xf numFmtId="0" fontId="14" fillId="0" borderId="45" xfId="7" applyBorder="1" applyAlignment="1" applyProtection="1">
      <alignment vertical="center"/>
      <protection hidden="1"/>
    </xf>
    <xf numFmtId="0" fontId="14" fillId="0" borderId="46" xfId="7" applyBorder="1" applyAlignment="1" applyProtection="1">
      <alignment horizontal="left" vertical="center"/>
      <protection hidden="1"/>
    </xf>
    <xf numFmtId="0" fontId="14" fillId="0" borderId="50" xfId="7" applyBorder="1" applyAlignment="1" applyProtection="1">
      <alignment horizontal="left" vertical="center"/>
      <protection hidden="1"/>
    </xf>
    <xf numFmtId="0" fontId="41" fillId="0" borderId="52" xfId="7" applyFont="1" applyBorder="1" applyAlignment="1">
      <alignment horizontal="center" wrapText="1"/>
    </xf>
    <xf numFmtId="0" fontId="41" fillId="0" borderId="9" xfId="7" applyFont="1" applyBorder="1" applyAlignment="1">
      <alignment horizontal="center" wrapText="1"/>
    </xf>
    <xf numFmtId="0" fontId="41" fillId="0" borderId="4" xfId="7" applyFont="1" applyBorder="1" applyAlignment="1">
      <alignment horizontal="center" wrapText="1"/>
    </xf>
    <xf numFmtId="0" fontId="41" fillId="0" borderId="3" xfId="7" applyFont="1" applyBorder="1" applyAlignment="1">
      <alignment horizontal="center" wrapText="1"/>
    </xf>
    <xf numFmtId="0" fontId="41" fillId="0" borderId="10" xfId="7" applyFont="1" applyBorder="1" applyAlignment="1">
      <alignment horizontal="center" wrapText="1"/>
    </xf>
    <xf numFmtId="0" fontId="14" fillId="0" borderId="0" xfId="7" applyAlignment="1" applyProtection="1">
      <alignment wrapText="1"/>
      <protection hidden="1"/>
    </xf>
    <xf numFmtId="10" fontId="37" fillId="0" borderId="49" xfId="7" applyNumberFormat="1" applyFont="1" applyBorder="1" applyAlignment="1" applyProtection="1">
      <alignment horizontal="center" vertical="center" wrapText="1"/>
      <protection hidden="1"/>
    </xf>
    <xf numFmtId="0" fontId="37" fillId="0" borderId="0" xfId="7" applyFont="1" applyAlignment="1" applyProtection="1">
      <alignment horizontal="center" vertical="center" wrapText="1"/>
      <protection hidden="1"/>
    </xf>
    <xf numFmtId="0" fontId="41" fillId="0" borderId="0" xfId="7" applyFont="1" applyAlignment="1" applyProtection="1">
      <alignment horizontal="center" vertical="center" wrapText="1"/>
      <protection hidden="1"/>
    </xf>
    <xf numFmtId="0" fontId="37" fillId="0" borderId="47" xfId="7" applyFont="1" applyBorder="1" applyAlignment="1" applyProtection="1">
      <alignment horizontal="center" vertical="center" wrapText="1"/>
      <protection hidden="1"/>
    </xf>
    <xf numFmtId="0" fontId="37" fillId="0" borderId="45" xfId="7" applyFont="1" applyBorder="1" applyAlignment="1" applyProtection="1">
      <alignment horizontal="center" vertical="center" wrapText="1"/>
      <protection hidden="1"/>
    </xf>
    <xf numFmtId="0" fontId="37" fillId="0" borderId="46" xfId="7" applyFont="1" applyBorder="1" applyAlignment="1" applyProtection="1">
      <alignment horizontal="center" vertical="center" wrapText="1"/>
      <protection hidden="1"/>
    </xf>
    <xf numFmtId="0" fontId="14" fillId="5" borderId="49" xfId="7" applyFill="1" applyBorder="1" applyAlignment="1" applyProtection="1">
      <alignment wrapText="1"/>
      <protection hidden="1"/>
    </xf>
    <xf numFmtId="0" fontId="14" fillId="5" borderId="43" xfId="7" applyFill="1" applyBorder="1" applyAlignment="1" applyProtection="1">
      <alignment wrapText="1"/>
      <protection hidden="1"/>
    </xf>
    <xf numFmtId="0" fontId="14" fillId="5" borderId="0" xfId="7" applyFill="1" applyAlignment="1" applyProtection="1">
      <alignment wrapText="1"/>
      <protection hidden="1"/>
    </xf>
    <xf numFmtId="0" fontId="14" fillId="4" borderId="49" xfId="7" applyFill="1" applyBorder="1" applyAlignment="1" applyProtection="1">
      <alignment wrapText="1"/>
      <protection hidden="1"/>
    </xf>
    <xf numFmtId="0" fontId="14" fillId="4" borderId="0" xfId="7" applyFill="1" applyAlignment="1" applyProtection="1">
      <alignment wrapText="1"/>
      <protection hidden="1"/>
    </xf>
    <xf numFmtId="0" fontId="14" fillId="4" borderId="43" xfId="7" applyFill="1" applyBorder="1" applyAlignment="1" applyProtection="1">
      <alignment wrapText="1"/>
      <protection hidden="1"/>
    </xf>
    <xf numFmtId="0" fontId="14" fillId="4" borderId="54" xfId="7" applyFill="1" applyBorder="1" applyAlignment="1" applyProtection="1">
      <alignment wrapText="1"/>
      <protection hidden="1"/>
    </xf>
    <xf numFmtId="0" fontId="37" fillId="0" borderId="55" xfId="7" applyFont="1" applyBorder="1"/>
    <xf numFmtId="1" fontId="37" fillId="0" borderId="58" xfId="7" applyNumberFormat="1" applyFont="1" applyBorder="1" applyAlignment="1">
      <alignment horizontal="center" vertical="center" wrapText="1"/>
    </xf>
    <xf numFmtId="1" fontId="37" fillId="0" borderId="8" xfId="7" applyNumberFormat="1" applyFont="1" applyBorder="1" applyAlignment="1">
      <alignment horizontal="center" vertical="center" wrapText="1"/>
    </xf>
    <xf numFmtId="1" fontId="37" fillId="0" borderId="11" xfId="7" applyNumberFormat="1" applyFont="1" applyBorder="1" applyAlignment="1">
      <alignment horizontal="center" vertical="center" wrapText="1"/>
    </xf>
    <xf numFmtId="1" fontId="40" fillId="0" borderId="12" xfId="7" applyNumberFormat="1" applyFont="1" applyBorder="1" applyAlignment="1">
      <alignment horizontal="center" wrapText="1"/>
    </xf>
    <xf numFmtId="1" fontId="40" fillId="0" borderId="11" xfId="7" applyNumberFormat="1" applyFont="1" applyBorder="1" applyAlignment="1">
      <alignment horizontal="center" wrapText="1"/>
    </xf>
    <xf numFmtId="0" fontId="14" fillId="0" borderId="49" xfId="7" applyBorder="1" applyAlignment="1" applyProtection="1">
      <alignment horizontal="center" vertical="center"/>
      <protection hidden="1"/>
    </xf>
    <xf numFmtId="0" fontId="14" fillId="0" borderId="49" xfId="7" applyBorder="1" applyAlignment="1" applyProtection="1">
      <alignment horizontal="center"/>
      <protection hidden="1"/>
    </xf>
    <xf numFmtId="0" fontId="14" fillId="0" borderId="43" xfId="7" applyBorder="1" applyAlignment="1" applyProtection="1">
      <alignment horizontal="center"/>
      <protection hidden="1"/>
    </xf>
    <xf numFmtId="0" fontId="14" fillId="0" borderId="0" xfId="7" applyAlignment="1" applyProtection="1">
      <alignment horizontal="center" vertical="center"/>
      <protection hidden="1"/>
    </xf>
    <xf numFmtId="0" fontId="14" fillId="0" borderId="54" xfId="7" applyBorder="1" applyAlignment="1" applyProtection="1">
      <alignment horizontal="center"/>
      <protection hidden="1"/>
    </xf>
    <xf numFmtId="1" fontId="14" fillId="0" borderId="0" xfId="7" applyNumberFormat="1" applyAlignment="1" applyProtection="1">
      <alignment horizontal="center"/>
      <protection hidden="1"/>
    </xf>
    <xf numFmtId="0" fontId="42" fillId="0" borderId="0" xfId="7" applyFont="1" applyAlignment="1">
      <alignment horizontal="left" vertical="center"/>
    </xf>
    <xf numFmtId="0" fontId="41" fillId="0" borderId="0" xfId="7" applyFont="1"/>
    <xf numFmtId="0" fontId="37" fillId="0" borderId="55" xfId="7" applyFont="1" applyBorder="1" applyAlignment="1">
      <alignment vertical="center"/>
    </xf>
    <xf numFmtId="1" fontId="37" fillId="0" borderId="59" xfId="7" applyNumberFormat="1" applyFont="1" applyBorder="1" applyAlignment="1">
      <alignment horizontal="center" vertical="center" wrapText="1"/>
    </xf>
    <xf numFmtId="1" fontId="40" fillId="0" borderId="1" xfId="7" applyNumberFormat="1" applyFont="1" applyBorder="1" applyAlignment="1" applyProtection="1">
      <alignment horizontal="center" wrapText="1"/>
      <protection locked="0"/>
    </xf>
    <xf numFmtId="1" fontId="40" fillId="0" borderId="59" xfId="7" applyNumberFormat="1" applyFont="1" applyBorder="1" applyAlignment="1" applyProtection="1">
      <alignment horizontal="center" vertical="center" wrapText="1"/>
      <protection locked="0"/>
    </xf>
    <xf numFmtId="0" fontId="42" fillId="0" borderId="0" xfId="7" applyFont="1" applyAlignment="1">
      <alignment horizontal="center" vertical="center"/>
    </xf>
    <xf numFmtId="0" fontId="41" fillId="0" borderId="0" xfId="7" applyFont="1" applyAlignment="1">
      <alignment horizontal="left" vertical="center"/>
    </xf>
    <xf numFmtId="1" fontId="40" fillId="0" borderId="60" xfId="7" applyNumberFormat="1" applyFont="1" applyBorder="1" applyAlignment="1" applyProtection="1">
      <alignment horizontal="center" vertical="center" wrapText="1"/>
      <protection locked="0"/>
    </xf>
    <xf numFmtId="1" fontId="40" fillId="0" borderId="60" xfId="7" applyNumberFormat="1" applyFont="1" applyBorder="1" applyAlignment="1">
      <alignment horizontal="center" vertical="center" wrapText="1"/>
    </xf>
    <xf numFmtId="1" fontId="40" fillId="0" borderId="59" xfId="7" applyNumberFormat="1" applyFont="1" applyBorder="1" applyAlignment="1">
      <alignment horizontal="center" vertical="center" wrapText="1"/>
    </xf>
    <xf numFmtId="0" fontId="42" fillId="0" borderId="0" xfId="7" applyFont="1" applyAlignment="1">
      <alignment vertical="center"/>
    </xf>
    <xf numFmtId="0" fontId="41" fillId="0" borderId="0" xfId="7" applyFont="1" applyAlignment="1">
      <alignment vertical="center"/>
    </xf>
    <xf numFmtId="1" fontId="37" fillId="0" borderId="61" xfId="7" applyNumberFormat="1" applyFont="1" applyBorder="1" applyAlignment="1">
      <alignment horizontal="center" vertical="center" wrapText="1"/>
    </xf>
    <xf numFmtId="1" fontId="37" fillId="0" borderId="62" xfId="7" applyNumberFormat="1" applyFont="1" applyBorder="1" applyAlignment="1">
      <alignment horizontal="center" vertical="center" wrapText="1"/>
    </xf>
    <xf numFmtId="1" fontId="40" fillId="0" borderId="63" xfId="7" applyNumberFormat="1" applyFont="1" applyBorder="1" applyAlignment="1">
      <alignment horizontal="center" vertical="center" wrapText="1"/>
    </xf>
    <xf numFmtId="1" fontId="40" fillId="0" borderId="62" xfId="7" applyNumberFormat="1" applyFont="1" applyBorder="1" applyAlignment="1">
      <alignment horizontal="center" vertical="center" wrapText="1"/>
    </xf>
    <xf numFmtId="0" fontId="39" fillId="0" borderId="60" xfId="7" applyFont="1" applyBorder="1" applyAlignment="1">
      <alignment vertical="top"/>
    </xf>
    <xf numFmtId="0" fontId="39" fillId="0" borderId="16" xfId="7" applyFont="1" applyBorder="1" applyAlignment="1">
      <alignment vertical="top"/>
    </xf>
    <xf numFmtId="0" fontId="39" fillId="0" borderId="67" xfId="7" applyFont="1" applyBorder="1" applyAlignment="1">
      <alignment vertical="top"/>
    </xf>
    <xf numFmtId="0" fontId="43" fillId="0" borderId="0" xfId="7" applyFont="1" applyAlignment="1">
      <alignment horizontal="left" vertical="top"/>
    </xf>
    <xf numFmtId="10" fontId="39" fillId="0" borderId="49" xfId="7" applyNumberFormat="1" applyFont="1" applyBorder="1" applyAlignment="1" applyProtection="1">
      <alignment horizontal="left" vertical="top"/>
      <protection hidden="1"/>
    </xf>
    <xf numFmtId="0" fontId="39" fillId="0" borderId="49" xfId="7" applyFont="1" applyBorder="1" applyAlignment="1" applyProtection="1">
      <alignment horizontal="left" vertical="top"/>
      <protection hidden="1"/>
    </xf>
    <xf numFmtId="0" fontId="39" fillId="0" borderId="43" xfId="7" applyFont="1" applyBorder="1" applyAlignment="1" applyProtection="1">
      <alignment horizontal="left" vertical="top"/>
      <protection hidden="1"/>
    </xf>
    <xf numFmtId="0" fontId="38" fillId="0" borderId="69" xfId="7" quotePrefix="1" applyFont="1" applyBorder="1" applyAlignment="1">
      <alignment horizontal="center" vertical="center"/>
    </xf>
    <xf numFmtId="0" fontId="38" fillId="0" borderId="21" xfId="7" applyFont="1" applyBorder="1" applyAlignment="1" applyProtection="1">
      <alignment horizontal="center" vertical="center"/>
      <protection locked="0"/>
    </xf>
    <xf numFmtId="0" fontId="45" fillId="0" borderId="0" xfId="7" applyFont="1"/>
    <xf numFmtId="0" fontId="45" fillId="0" borderId="0" xfId="7" applyFont="1" applyProtection="1">
      <protection hidden="1"/>
    </xf>
    <xf numFmtId="0" fontId="14" fillId="0" borderId="49" xfId="7" applyBorder="1" applyProtection="1">
      <protection hidden="1"/>
    </xf>
    <xf numFmtId="167" fontId="37" fillId="0" borderId="0" xfId="7" applyNumberFormat="1" applyFont="1" applyProtection="1">
      <protection hidden="1"/>
    </xf>
    <xf numFmtId="0" fontId="37" fillId="0" borderId="49" xfId="7" applyFont="1" applyBorder="1" applyProtection="1">
      <protection hidden="1"/>
    </xf>
    <xf numFmtId="0" fontId="46" fillId="0" borderId="0" xfId="7" applyFont="1" applyProtection="1">
      <protection hidden="1"/>
    </xf>
    <xf numFmtId="0" fontId="14" fillId="0" borderId="0" xfId="7" applyAlignment="1" applyProtection="1">
      <alignment horizontal="right" vertical="center"/>
      <protection hidden="1"/>
    </xf>
    <xf numFmtId="0" fontId="47" fillId="0" borderId="0" xfId="7" applyFont="1" applyAlignment="1" applyProtection="1">
      <alignment horizontal="center" vertical="top" wrapText="1"/>
      <protection hidden="1"/>
    </xf>
    <xf numFmtId="9" fontId="14" fillId="0" borderId="0" xfId="7" applyNumberFormat="1" applyProtection="1">
      <protection hidden="1"/>
    </xf>
    <xf numFmtId="167" fontId="14" fillId="0" borderId="0" xfId="7" applyNumberFormat="1" applyProtection="1">
      <protection hidden="1"/>
    </xf>
    <xf numFmtId="1" fontId="14" fillId="0" borderId="0" xfId="7" applyNumberFormat="1"/>
    <xf numFmtId="0" fontId="14" fillId="0" borderId="0" xfId="7" applyAlignment="1" applyProtection="1">
      <alignment horizontal="right"/>
      <protection hidden="1"/>
    </xf>
    <xf numFmtId="0" fontId="48" fillId="0" borderId="0" xfId="7" applyFont="1" applyAlignment="1" applyProtection="1">
      <alignment horizontal="center" wrapText="1"/>
      <protection hidden="1"/>
    </xf>
    <xf numFmtId="0" fontId="47" fillId="0" borderId="0" xfId="7" applyFont="1" applyAlignment="1" applyProtection="1">
      <alignment horizontal="center" wrapText="1"/>
      <protection hidden="1"/>
    </xf>
    <xf numFmtId="167" fontId="41" fillId="0" borderId="0" xfId="7" applyNumberFormat="1" applyFont="1" applyProtection="1">
      <protection hidden="1"/>
    </xf>
    <xf numFmtId="49" fontId="37" fillId="0" borderId="0" xfId="7" applyNumberFormat="1" applyFont="1" applyProtection="1">
      <protection hidden="1"/>
    </xf>
    <xf numFmtId="49" fontId="39" fillId="0" borderId="54" xfId="7" applyNumberFormat="1" applyFont="1" applyBorder="1" applyAlignment="1">
      <alignment horizontal="left" vertical="top"/>
    </xf>
    <xf numFmtId="0" fontId="14" fillId="0" borderId="0" xfId="7" applyAlignment="1" applyProtection="1">
      <alignment horizontal="center"/>
      <protection hidden="1"/>
    </xf>
    <xf numFmtId="10" fontId="0" fillId="0" borderId="16" xfId="0" applyNumberFormat="1" applyBorder="1" applyAlignment="1">
      <alignment horizontal="center"/>
    </xf>
    <xf numFmtId="10" fontId="34" fillId="0" borderId="16" xfId="0" applyNumberFormat="1" applyFont="1" applyBorder="1" applyAlignment="1">
      <alignment horizontal="center"/>
    </xf>
    <xf numFmtId="0" fontId="9" fillId="0" borderId="0" xfId="13"/>
    <xf numFmtId="0" fontId="53" fillId="0" borderId="37" xfId="7" applyFont="1" applyBorder="1" applyAlignment="1">
      <alignment vertical="top"/>
    </xf>
    <xf numFmtId="0" fontId="54" fillId="0" borderId="36" xfId="7" applyFont="1" applyBorder="1" applyAlignment="1">
      <alignment vertical="top"/>
    </xf>
    <xf numFmtId="0" fontId="54" fillId="0" borderId="7" xfId="7" applyFont="1" applyBorder="1" applyAlignment="1">
      <alignment vertical="top"/>
    </xf>
    <xf numFmtId="0" fontId="55" fillId="0" borderId="16" xfId="7" applyFont="1" applyBorder="1" applyAlignment="1" applyProtection="1">
      <alignment vertical="center"/>
      <protection locked="0"/>
    </xf>
    <xf numFmtId="0" fontId="55" fillId="0" borderId="16" xfId="7" applyFont="1" applyBorder="1" applyAlignment="1">
      <alignment vertical="center"/>
    </xf>
    <xf numFmtId="0" fontId="53" fillId="0" borderId="47" xfId="7" applyFont="1" applyBorder="1" applyAlignment="1">
      <alignment vertical="top"/>
    </xf>
    <xf numFmtId="0" fontId="54" fillId="0" borderId="45" xfId="7" applyFont="1" applyBorder="1" applyAlignment="1">
      <alignment vertical="top"/>
    </xf>
    <xf numFmtId="0" fontId="54" fillId="0" borderId="46" xfId="7" applyFont="1" applyBorder="1" applyAlignment="1">
      <alignment vertical="top"/>
    </xf>
    <xf numFmtId="0" fontId="54" fillId="0" borderId="46" xfId="7" applyFont="1" applyBorder="1" applyAlignment="1">
      <alignment shrinkToFit="1"/>
    </xf>
    <xf numFmtId="0" fontId="53" fillId="0" borderId="16" xfId="7" applyFont="1" applyBorder="1" applyAlignment="1">
      <alignment vertical="top"/>
    </xf>
    <xf numFmtId="0" fontId="54" fillId="0" borderId="67" xfId="7" applyFont="1" applyBorder="1" applyAlignment="1">
      <alignment vertical="top"/>
    </xf>
    <xf numFmtId="164" fontId="55" fillId="0" borderId="16" xfId="7" applyNumberFormat="1" applyFont="1" applyBorder="1" applyAlignment="1" applyProtection="1">
      <alignment vertical="center"/>
      <protection locked="0"/>
    </xf>
    <xf numFmtId="164" fontId="55" fillId="0" borderId="16" xfId="7" applyNumberFormat="1" applyFont="1" applyBorder="1" applyAlignment="1">
      <alignment vertical="center" shrinkToFit="1"/>
    </xf>
    <xf numFmtId="167" fontId="57" fillId="0" borderId="16" xfId="7" applyNumberFormat="1" applyFont="1" applyBorder="1" applyAlignment="1">
      <alignment vertical="center"/>
    </xf>
    <xf numFmtId="167" fontId="57" fillId="0" borderId="67" xfId="7" applyNumberFormat="1" applyFont="1" applyBorder="1" applyAlignment="1">
      <alignment vertical="center"/>
    </xf>
    <xf numFmtId="0" fontId="58" fillId="0" borderId="55" xfId="13" applyFont="1" applyBorder="1" applyAlignment="1">
      <alignment horizontal="center" vertical="center" wrapText="1"/>
    </xf>
    <xf numFmtId="0" fontId="58" fillId="0" borderId="16" xfId="13" applyFont="1" applyBorder="1" applyAlignment="1">
      <alignment horizontal="center" vertical="center" wrapText="1"/>
    </xf>
    <xf numFmtId="0" fontId="30" fillId="0" borderId="16" xfId="13" applyFont="1" applyBorder="1" applyAlignment="1">
      <alignment horizontal="center" vertical="center" wrapText="1"/>
    </xf>
    <xf numFmtId="0" fontId="26" fillId="0" borderId="0" xfId="13" applyFont="1" applyAlignment="1">
      <alignment textRotation="90"/>
    </xf>
    <xf numFmtId="0" fontId="26" fillId="0" borderId="14" xfId="13" applyFont="1" applyBorder="1" applyAlignment="1">
      <alignment textRotation="90"/>
    </xf>
    <xf numFmtId="0" fontId="9" fillId="0" borderId="0" xfId="13" applyAlignment="1">
      <alignment textRotation="90"/>
    </xf>
    <xf numFmtId="0" fontId="30" fillId="0" borderId="16" xfId="13" applyFont="1" applyBorder="1" applyAlignment="1">
      <alignment wrapText="1"/>
    </xf>
    <xf numFmtId="0" fontId="49" fillId="0" borderId="16" xfId="14" applyNumberFormat="1" applyFont="1" applyBorder="1" applyAlignment="1" applyProtection="1">
      <alignment horizontal="right" vertical="center"/>
    </xf>
    <xf numFmtId="9" fontId="49" fillId="0" borderId="16" xfId="14" applyFont="1" applyBorder="1" applyAlignment="1" applyProtection="1">
      <alignment horizontal="right" vertical="center"/>
    </xf>
    <xf numFmtId="9" fontId="49" fillId="0" borderId="49" xfId="14" applyFont="1" applyFill="1" applyBorder="1" applyAlignment="1" applyProtection="1">
      <alignment horizontal="right" vertical="center"/>
    </xf>
    <xf numFmtId="0" fontId="59" fillId="0" borderId="0" xfId="13" applyFont="1" applyAlignment="1">
      <alignment horizontal="right" vertical="center"/>
    </xf>
    <xf numFmtId="0" fontId="30" fillId="0" borderId="50" xfId="13" applyFont="1" applyBorder="1" applyAlignment="1">
      <alignment wrapText="1"/>
    </xf>
    <xf numFmtId="0" fontId="49" fillId="0" borderId="16" xfId="13" applyFont="1" applyBorder="1" applyAlignment="1">
      <alignment horizontal="right" vertical="center"/>
    </xf>
    <xf numFmtId="43" fontId="26" fillId="0" borderId="50" xfId="13" applyNumberFormat="1" applyFont="1" applyBorder="1" applyAlignment="1">
      <alignment horizontal="right"/>
    </xf>
    <xf numFmtId="0" fontId="26" fillId="0" borderId="50" xfId="13" applyFont="1" applyBorder="1"/>
    <xf numFmtId="0" fontId="26" fillId="0" borderId="0" xfId="13" applyFont="1"/>
    <xf numFmtId="2" fontId="26" fillId="0" borderId="52" xfId="14" applyNumberFormat="1" applyFont="1" applyBorder="1" applyProtection="1"/>
    <xf numFmtId="0" fontId="26" fillId="0" borderId="56" xfId="13" applyFont="1" applyBorder="1"/>
    <xf numFmtId="0" fontId="26" fillId="0" borderId="16" xfId="13" applyFont="1" applyBorder="1"/>
    <xf numFmtId="0" fontId="26" fillId="0" borderId="15" xfId="13" applyFont="1" applyBorder="1"/>
    <xf numFmtId="2" fontId="26" fillId="0" borderId="0" xfId="14" applyNumberFormat="1" applyFont="1" applyFill="1" applyBorder="1" applyProtection="1"/>
    <xf numFmtId="0" fontId="26" fillId="0" borderId="14" xfId="13" applyFont="1" applyBorder="1"/>
    <xf numFmtId="0" fontId="54" fillId="0" borderId="48" xfId="7" applyFont="1" applyBorder="1" applyAlignment="1">
      <alignment vertical="top"/>
    </xf>
    <xf numFmtId="0" fontId="27" fillId="0" borderId="55" xfId="13" applyFont="1" applyBorder="1" applyAlignment="1">
      <alignment vertical="top" wrapText="1"/>
    </xf>
    <xf numFmtId="0" fontId="29" fillId="0" borderId="16" xfId="13" applyFont="1" applyBorder="1" applyAlignment="1">
      <alignment vertical="center" wrapText="1"/>
    </xf>
    <xf numFmtId="0" fontId="60" fillId="0" borderId="16" xfId="13" applyFont="1" applyBorder="1" applyAlignment="1">
      <alignment vertical="center"/>
    </xf>
    <xf numFmtId="0" fontId="27" fillId="0" borderId="67" xfId="13" applyFont="1" applyBorder="1" applyAlignment="1">
      <alignment vertical="top"/>
    </xf>
    <xf numFmtId="0" fontId="9" fillId="0" borderId="16" xfId="13" applyBorder="1"/>
    <xf numFmtId="0" fontId="51" fillId="0" borderId="55" xfId="13" applyFont="1" applyBorder="1"/>
    <xf numFmtId="0" fontId="29" fillId="0" borderId="16" xfId="13" applyFont="1" applyBorder="1" applyAlignment="1">
      <alignment vertical="center"/>
    </xf>
    <xf numFmtId="0" fontId="29" fillId="0" borderId="67" xfId="13" applyFont="1" applyBorder="1" applyAlignment="1">
      <alignment vertical="center"/>
    </xf>
    <xf numFmtId="0" fontId="26" fillId="0" borderId="55" xfId="13" applyFont="1" applyBorder="1"/>
    <xf numFmtId="0" fontId="49" fillId="0" borderId="16" xfId="13" applyFont="1" applyBorder="1" applyAlignment="1" applyProtection="1">
      <alignment vertical="center"/>
      <protection locked="0"/>
    </xf>
    <xf numFmtId="0" fontId="26" fillId="0" borderId="16" xfId="13" applyFont="1" applyBorder="1" applyAlignment="1">
      <alignment vertical="center"/>
    </xf>
    <xf numFmtId="0" fontId="26" fillId="0" borderId="67" xfId="13" applyFont="1" applyBorder="1" applyAlignment="1">
      <alignment vertical="center"/>
    </xf>
    <xf numFmtId="2" fontId="26" fillId="0" borderId="0" xfId="13" applyNumberFormat="1" applyFont="1"/>
    <xf numFmtId="2" fontId="26" fillId="0" borderId="14" xfId="13" applyNumberFormat="1" applyFont="1" applyBorder="1"/>
    <xf numFmtId="0" fontId="29" fillId="0" borderId="0" xfId="13" applyFont="1" applyAlignment="1">
      <alignment horizontal="center" wrapText="1"/>
    </xf>
    <xf numFmtId="0" fontId="20" fillId="0" borderId="0" xfId="0" applyFont="1" applyAlignment="1">
      <alignment horizontal="left" vertical="center"/>
    </xf>
    <xf numFmtId="0" fontId="15" fillId="0" borderId="0" xfId="0" applyFont="1" applyAlignment="1">
      <alignment horizontal="left"/>
    </xf>
    <xf numFmtId="0" fontId="61" fillId="0" borderId="0" xfId="0" applyFont="1" applyAlignment="1">
      <alignment horizontal="left"/>
    </xf>
    <xf numFmtId="0" fontId="61" fillId="0" borderId="0" xfId="0" applyFont="1" applyAlignment="1">
      <alignment horizontal="left" vertical="center"/>
    </xf>
    <xf numFmtId="0" fontId="62" fillId="0" borderId="73" xfId="7" applyFont="1" applyBorder="1"/>
    <xf numFmtId="0" fontId="62" fillId="0" borderId="56" xfId="7" applyFont="1" applyBorder="1"/>
    <xf numFmtId="0" fontId="41" fillId="0" borderId="56" xfId="7" applyFont="1" applyBorder="1" applyAlignment="1">
      <alignment vertical="top" wrapText="1" readingOrder="1"/>
    </xf>
    <xf numFmtId="0" fontId="62" fillId="0" borderId="72" xfId="7" applyFont="1" applyBorder="1"/>
    <xf numFmtId="0" fontId="62" fillId="0" borderId="17" xfId="7" applyFont="1" applyBorder="1"/>
    <xf numFmtId="0" fontId="41" fillId="0" borderId="13" xfId="7" applyFont="1" applyBorder="1" applyAlignment="1">
      <alignment vertical="top" wrapText="1" readingOrder="1"/>
    </xf>
    <xf numFmtId="0" fontId="41" fillId="0" borderId="0" xfId="7" applyFont="1" applyAlignment="1">
      <alignment vertical="top" wrapText="1" readingOrder="1"/>
    </xf>
    <xf numFmtId="0" fontId="41" fillId="0" borderId="14" xfId="7" applyFont="1" applyBorder="1" applyAlignment="1">
      <alignment vertical="top" wrapText="1" readingOrder="1"/>
    </xf>
    <xf numFmtId="0" fontId="41" fillId="0" borderId="64" xfId="7" applyFont="1" applyBorder="1" applyAlignment="1">
      <alignment vertical="top" wrapText="1" readingOrder="1"/>
    </xf>
    <xf numFmtId="0" fontId="41" fillId="0" borderId="39" xfId="7" applyFont="1" applyBorder="1" applyAlignment="1">
      <alignment vertical="top" wrapText="1" readingOrder="1"/>
    </xf>
    <xf numFmtId="0" fontId="41" fillId="0" borderId="42" xfId="7" applyFont="1" applyBorder="1" applyAlignment="1">
      <alignment vertical="top" wrapText="1" readingOrder="1"/>
    </xf>
    <xf numFmtId="0" fontId="14" fillId="6" borderId="0" xfId="4" applyFill="1"/>
    <xf numFmtId="0" fontId="63" fillId="6" borderId="0" xfId="4" applyFont="1" applyFill="1"/>
    <xf numFmtId="0" fontId="8" fillId="0" borderId="0" xfId="15"/>
    <xf numFmtId="0" fontId="64" fillId="6" borderId="0" xfId="4" applyFont="1" applyFill="1"/>
    <xf numFmtId="0" fontId="64" fillId="0" borderId="0" xfId="4" applyFont="1"/>
    <xf numFmtId="1" fontId="65" fillId="0" borderId="0" xfId="4" applyNumberFormat="1" applyFont="1" applyAlignment="1">
      <alignment horizontal="centerContinuous" vertical="center"/>
    </xf>
    <xf numFmtId="1" fontId="66" fillId="0" borderId="0" xfId="4" applyNumberFormat="1" applyFont="1" applyAlignment="1">
      <alignment horizontal="centerContinuous" vertical="center"/>
    </xf>
    <xf numFmtId="0" fontId="64" fillId="0" borderId="0" xfId="4" applyFont="1" applyAlignment="1">
      <alignment horizontal="centerContinuous"/>
    </xf>
    <xf numFmtId="0" fontId="18" fillId="0" borderId="0" xfId="3" applyBorder="1" applyAlignment="1" applyProtection="1"/>
    <xf numFmtId="1" fontId="65" fillId="0" borderId="0" xfId="7" applyNumberFormat="1" applyFont="1" applyAlignment="1">
      <alignment horizontal="centerContinuous" vertical="center"/>
    </xf>
    <xf numFmtId="1" fontId="67" fillId="0" borderId="0" xfId="7" applyNumberFormat="1" applyFont="1" applyAlignment="1">
      <alignment horizontal="centerContinuous" vertical="center"/>
    </xf>
    <xf numFmtId="1" fontId="66" fillId="0" borderId="0" xfId="7" applyNumberFormat="1" applyFont="1" applyAlignment="1">
      <alignment horizontal="centerContinuous" vertical="center"/>
    </xf>
    <xf numFmtId="1" fontId="67" fillId="0" borderId="0" xfId="7" applyNumberFormat="1" applyFont="1" applyAlignment="1">
      <alignment horizontal="left" vertical="center"/>
    </xf>
    <xf numFmtId="1" fontId="65" fillId="0" borderId="0" xfId="7" applyNumberFormat="1" applyFont="1" applyAlignment="1">
      <alignment horizontal="center" vertical="center"/>
    </xf>
    <xf numFmtId="0" fontId="14" fillId="0" borderId="0" xfId="4"/>
    <xf numFmtId="0" fontId="14" fillId="0" borderId="0" xfId="4" applyAlignment="1">
      <alignment horizontal="centerContinuous"/>
    </xf>
    <xf numFmtId="1" fontId="41" fillId="0" borderId="0" xfId="4" applyNumberFormat="1" applyFont="1" applyAlignment="1">
      <alignment horizontal="center" vertical="center"/>
    </xf>
    <xf numFmtId="0" fontId="38" fillId="0" borderId="0" xfId="4" applyFont="1" applyAlignment="1">
      <alignment horizontal="centerContinuous" vertical="center"/>
    </xf>
    <xf numFmtId="0" fontId="41" fillId="0" borderId="0" xfId="4" applyFont="1" applyAlignment="1">
      <alignment horizontal="center" vertical="center"/>
    </xf>
    <xf numFmtId="0" fontId="69" fillId="0" borderId="0" xfId="4" applyFont="1" applyAlignment="1">
      <alignment horizontal="center" vertical="center"/>
    </xf>
    <xf numFmtId="0" fontId="14" fillId="0" borderId="0" xfId="4" applyAlignment="1">
      <alignment horizontal="centerContinuous" vertical="center"/>
    </xf>
    <xf numFmtId="168" fontId="38" fillId="0" borderId="0" xfId="4" applyNumberFormat="1" applyFont="1" applyAlignment="1">
      <alignment horizontal="center" vertical="center"/>
    </xf>
    <xf numFmtId="0" fontId="38" fillId="0" borderId="0" xfId="4" applyFont="1" applyAlignment="1">
      <alignment horizontal="center" vertical="center"/>
    </xf>
    <xf numFmtId="0" fontId="14" fillId="0" borderId="0" xfId="4" applyAlignment="1">
      <alignment horizontal="center"/>
    </xf>
    <xf numFmtId="0" fontId="63" fillId="0" borderId="0" xfId="4" applyFont="1" applyAlignment="1">
      <alignment horizontal="center"/>
    </xf>
    <xf numFmtId="0" fontId="14" fillId="0" borderId="0" xfId="4" applyAlignment="1">
      <alignment horizontal="left" vertical="center"/>
    </xf>
    <xf numFmtId="0" fontId="70" fillId="6" borderId="0" xfId="4" applyFont="1" applyFill="1"/>
    <xf numFmtId="0" fontId="70" fillId="0" borderId="0" xfId="4" applyFont="1"/>
    <xf numFmtId="168" fontId="67" fillId="0" borderId="52" xfId="4" applyNumberFormat="1" applyFont="1" applyBorder="1" applyAlignment="1">
      <alignment horizontal="center" vertical="center"/>
    </xf>
    <xf numFmtId="0" fontId="67" fillId="0" borderId="0" xfId="4" applyFont="1" applyAlignment="1">
      <alignment horizontal="center" vertical="center"/>
    </xf>
    <xf numFmtId="1" fontId="67" fillId="0" borderId="52" xfId="4" applyNumberFormat="1" applyFont="1" applyBorder="1" applyAlignment="1">
      <alignment horizontal="center" vertical="center"/>
    </xf>
    <xf numFmtId="164" fontId="71" fillId="0" borderId="0" xfId="4" applyNumberFormat="1" applyFont="1" applyAlignment="1">
      <alignment horizontal="left" vertical="center"/>
    </xf>
    <xf numFmtId="0" fontId="67" fillId="0" borderId="0" xfId="4" applyFont="1" applyAlignment="1">
      <alignment vertical="center"/>
    </xf>
    <xf numFmtId="0" fontId="70" fillId="0" borderId="0" xfId="4" applyFont="1" applyAlignment="1">
      <alignment horizontal="centerContinuous" vertical="center"/>
    </xf>
    <xf numFmtId="168" fontId="14" fillId="7" borderId="23" xfId="4" applyNumberFormat="1" applyFill="1" applyBorder="1" applyAlignment="1">
      <alignment horizontal="center" vertical="center"/>
    </xf>
    <xf numFmtId="1" fontId="73" fillId="8" borderId="23" xfId="4" applyNumberFormat="1" applyFont="1" applyFill="1" applyBorder="1" applyAlignment="1" applyProtection="1">
      <alignment horizontal="center" vertical="center"/>
      <protection locked="0"/>
    </xf>
    <xf numFmtId="164" fontId="63" fillId="0" borderId="0" xfId="4" applyNumberFormat="1" applyFont="1" applyAlignment="1">
      <alignment horizontal="left" vertical="center"/>
    </xf>
    <xf numFmtId="0" fontId="38" fillId="0" borderId="0" xfId="4" applyFont="1" applyAlignment="1">
      <alignment vertical="center"/>
    </xf>
    <xf numFmtId="168" fontId="14" fillId="7" borderId="16" xfId="4" applyNumberFormat="1" applyFill="1" applyBorder="1" applyAlignment="1">
      <alignment horizontal="center" vertical="center"/>
    </xf>
    <xf numFmtId="1" fontId="73" fillId="8" borderId="16" xfId="4" applyNumberFormat="1" applyFont="1" applyFill="1" applyBorder="1" applyAlignment="1" applyProtection="1">
      <alignment horizontal="center" vertical="center"/>
      <protection locked="0"/>
    </xf>
    <xf numFmtId="168" fontId="14" fillId="0" borderId="0" xfId="4" applyNumberFormat="1" applyAlignment="1">
      <alignment horizontal="center"/>
    </xf>
    <xf numFmtId="0" fontId="14" fillId="0" borderId="0" xfId="4" applyAlignment="1">
      <alignment horizontal="center" vertical="center"/>
    </xf>
    <xf numFmtId="0" fontId="14" fillId="0" borderId="0" xfId="4" applyAlignment="1">
      <alignment vertical="center"/>
    </xf>
    <xf numFmtId="0" fontId="70" fillId="0" borderId="0" xfId="4" applyFont="1" applyAlignment="1">
      <alignment horizontal="center"/>
    </xf>
    <xf numFmtId="0" fontId="70" fillId="0" borderId="0" xfId="4" applyFont="1" applyAlignment="1">
      <alignment vertical="center"/>
    </xf>
    <xf numFmtId="168" fontId="14" fillId="7" borderId="76" xfId="4" applyNumberFormat="1" applyFill="1" applyBorder="1" applyAlignment="1">
      <alignment horizontal="center"/>
    </xf>
    <xf numFmtId="1" fontId="73" fillId="8" borderId="76" xfId="4" applyNumberFormat="1" applyFont="1" applyFill="1" applyBorder="1" applyAlignment="1" applyProtection="1">
      <alignment horizontal="center" vertical="center"/>
      <protection locked="0"/>
    </xf>
    <xf numFmtId="168" fontId="14" fillId="7" borderId="50" xfId="4" applyNumberFormat="1" applyFill="1" applyBorder="1" applyAlignment="1">
      <alignment horizontal="center"/>
    </xf>
    <xf numFmtId="1" fontId="73" fillId="8" borderId="50" xfId="4" applyNumberFormat="1" applyFont="1" applyFill="1" applyBorder="1" applyAlignment="1" applyProtection="1">
      <alignment horizontal="center" vertical="center"/>
      <protection locked="0"/>
    </xf>
    <xf numFmtId="168" fontId="14" fillId="7" borderId="16" xfId="4" applyNumberFormat="1" applyFill="1" applyBorder="1" applyAlignment="1">
      <alignment horizontal="center"/>
    </xf>
    <xf numFmtId="167" fontId="67" fillId="0" borderId="52" xfId="4" applyNumberFormat="1" applyFont="1" applyBorder="1" applyAlignment="1">
      <alignment horizontal="center" vertical="center"/>
    </xf>
    <xf numFmtId="164" fontId="71" fillId="0" borderId="13" xfId="4" applyNumberFormat="1" applyFont="1" applyBorder="1" applyAlignment="1">
      <alignment horizontal="left" vertical="center"/>
    </xf>
    <xf numFmtId="0" fontId="67" fillId="0" borderId="0" xfId="4" applyFont="1" applyAlignment="1">
      <alignment horizontal="left" vertical="center"/>
    </xf>
    <xf numFmtId="167" fontId="67" fillId="0" borderId="77" xfId="4" applyNumberFormat="1" applyFont="1" applyBorder="1" applyAlignment="1">
      <alignment horizontal="center" vertical="center"/>
    </xf>
    <xf numFmtId="167" fontId="71" fillId="0" borderId="15" xfId="4" applyNumberFormat="1" applyFont="1" applyBorder="1" applyAlignment="1">
      <alignment horizontal="center" vertical="center"/>
    </xf>
    <xf numFmtId="169" fontId="67" fillId="0" borderId="52" xfId="4" applyNumberFormat="1" applyFont="1" applyBorder="1" applyAlignment="1">
      <alignment horizontal="center" vertical="center"/>
    </xf>
    <xf numFmtId="170" fontId="68" fillId="0" borderId="77" xfId="4" applyNumberFormat="1" applyFont="1" applyBorder="1" applyAlignment="1">
      <alignment horizontal="center" vertical="center"/>
    </xf>
    <xf numFmtId="170" fontId="74" fillId="0" borderId="15" xfId="4" applyNumberFormat="1" applyFont="1" applyBorder="1" applyAlignment="1">
      <alignment horizontal="center" vertical="center"/>
    </xf>
    <xf numFmtId="169" fontId="67" fillId="0" borderId="0" xfId="4" applyNumberFormat="1" applyFont="1" applyAlignment="1">
      <alignment horizontal="center" vertical="center"/>
    </xf>
    <xf numFmtId="170" fontId="68" fillId="0" borderId="0" xfId="4" applyNumberFormat="1" applyFont="1" applyAlignment="1">
      <alignment horizontal="center" vertical="center"/>
    </xf>
    <xf numFmtId="170" fontId="74" fillId="0" borderId="0" xfId="4" applyNumberFormat="1" applyFont="1" applyAlignment="1">
      <alignment horizontal="center" vertical="center"/>
    </xf>
    <xf numFmtId="169" fontId="68" fillId="0" borderId="0" xfId="7" applyNumberFormat="1" applyFont="1" applyAlignment="1">
      <alignment horizontal="left" vertical="center"/>
    </xf>
    <xf numFmtId="0" fontId="70" fillId="0" borderId="0" xfId="7" applyFont="1"/>
    <xf numFmtId="169" fontId="67" fillId="0" borderId="0" xfId="7" applyNumberFormat="1" applyFont="1" applyAlignment="1">
      <alignment horizontal="center" vertical="center"/>
    </xf>
    <xf numFmtId="0" fontId="70" fillId="0" borderId="0" xfId="7" applyFont="1" applyAlignment="1">
      <alignment vertical="center"/>
    </xf>
    <xf numFmtId="0" fontId="67" fillId="0" borderId="0" xfId="4" applyFont="1"/>
    <xf numFmtId="0" fontId="63" fillId="0" borderId="0" xfId="4" applyFont="1"/>
    <xf numFmtId="0" fontId="64" fillId="6" borderId="0" xfId="4" applyFont="1" applyFill="1" applyAlignment="1">
      <alignment horizontal="left"/>
    </xf>
    <xf numFmtId="1" fontId="76" fillId="0" borderId="0" xfId="4" applyNumberFormat="1" applyFont="1" applyAlignment="1">
      <alignment horizontal="centerContinuous" vertical="center"/>
    </xf>
    <xf numFmtId="0" fontId="14" fillId="6" borderId="0" xfId="4" applyFill="1" applyAlignment="1">
      <alignment horizontal="centerContinuous"/>
    </xf>
    <xf numFmtId="0" fontId="70" fillId="6" borderId="0" xfId="4" applyFont="1" applyFill="1" applyAlignment="1">
      <alignment vertical="center"/>
    </xf>
    <xf numFmtId="0" fontId="38" fillId="0" borderId="0" xfId="4" applyFont="1" applyAlignment="1">
      <alignment horizontal="left" vertical="center"/>
    </xf>
    <xf numFmtId="0" fontId="14" fillId="0" borderId="0" xfId="4" applyAlignment="1">
      <alignment horizontal="left"/>
    </xf>
    <xf numFmtId="9" fontId="67" fillId="0" borderId="52" xfId="4" applyNumberFormat="1" applyFont="1" applyBorder="1" applyAlignment="1">
      <alignment horizontal="center" vertical="center"/>
    </xf>
    <xf numFmtId="9" fontId="14" fillId="7" borderId="24" xfId="4" applyNumberFormat="1" applyFill="1" applyBorder="1" applyAlignment="1">
      <alignment horizontal="center" vertical="center"/>
    </xf>
    <xf numFmtId="1" fontId="73" fillId="8" borderId="16" xfId="15" applyNumberFormat="1" applyFont="1" applyFill="1" applyBorder="1" applyAlignment="1" applyProtection="1">
      <alignment horizontal="center" vertical="center"/>
      <protection locked="0"/>
    </xf>
    <xf numFmtId="9" fontId="14" fillId="7" borderId="16" xfId="4" applyNumberFormat="1" applyFill="1" applyBorder="1" applyAlignment="1">
      <alignment horizontal="center" vertical="center"/>
    </xf>
    <xf numFmtId="1" fontId="73" fillId="8" borderId="78" xfId="15" applyNumberFormat="1" applyFont="1" applyFill="1" applyBorder="1" applyAlignment="1" applyProtection="1">
      <alignment horizontal="center" vertical="center"/>
      <protection locked="0"/>
    </xf>
    <xf numFmtId="0" fontId="8" fillId="0" borderId="0" xfId="15" applyAlignment="1">
      <alignment horizontal="center" vertical="center"/>
    </xf>
    <xf numFmtId="1" fontId="67" fillId="0" borderId="52" xfId="15" applyNumberFormat="1" applyFont="1" applyBorder="1" applyAlignment="1">
      <alignment horizontal="center" vertical="center"/>
    </xf>
    <xf numFmtId="1" fontId="67" fillId="0" borderId="52" xfId="15" applyNumberFormat="1" applyFont="1" applyBorder="1" applyAlignment="1">
      <alignment horizontal="center"/>
    </xf>
    <xf numFmtId="1" fontId="67" fillId="0" borderId="52" xfId="4" applyNumberFormat="1" applyFont="1" applyBorder="1" applyAlignment="1">
      <alignment horizontal="center"/>
    </xf>
    <xf numFmtId="1" fontId="73" fillId="8" borderId="78" xfId="4" applyNumberFormat="1" applyFont="1" applyFill="1" applyBorder="1" applyAlignment="1" applyProtection="1">
      <alignment horizontal="center" vertical="center"/>
      <protection locked="0"/>
    </xf>
    <xf numFmtId="0" fontId="38" fillId="0" borderId="0" xfId="4" applyFont="1"/>
    <xf numFmtId="10" fontId="68" fillId="0" borderId="77" xfId="4" applyNumberFormat="1" applyFont="1" applyBorder="1" applyAlignment="1">
      <alignment horizontal="center" vertical="center"/>
    </xf>
    <xf numFmtId="164" fontId="68" fillId="0" borderId="77" xfId="4" applyNumberFormat="1" applyFont="1" applyBorder="1" applyAlignment="1">
      <alignment horizontal="center" vertical="center"/>
    </xf>
    <xf numFmtId="0" fontId="77" fillId="0" borderId="0" xfId="4" applyFont="1"/>
    <xf numFmtId="0" fontId="78" fillId="0" borderId="0" xfId="4" applyFont="1" applyAlignment="1">
      <alignment horizontal="center" vertical="top"/>
    </xf>
    <xf numFmtId="0" fontId="79" fillId="0" borderId="0" xfId="4" applyFont="1" applyAlignment="1">
      <alignment horizontal="center" vertical="top"/>
    </xf>
    <xf numFmtId="43" fontId="0" fillId="0" borderId="0" xfId="6" applyFont="1" applyFill="1" applyBorder="1" applyAlignment="1">
      <alignment horizontal="center"/>
    </xf>
    <xf numFmtId="43" fontId="78" fillId="0" borderId="0" xfId="6" applyFont="1" applyFill="1" applyBorder="1" applyAlignment="1">
      <alignment horizontal="center" vertical="top"/>
    </xf>
    <xf numFmtId="43" fontId="79" fillId="0" borderId="0" xfId="6" applyFont="1" applyFill="1" applyBorder="1" applyAlignment="1">
      <alignment horizontal="center" vertical="top"/>
    </xf>
    <xf numFmtId="0" fontId="20" fillId="0" borderId="0" xfId="0" applyFont="1" applyAlignment="1">
      <alignment horizontal="left" vertical="center" wrapText="1"/>
    </xf>
    <xf numFmtId="0" fontId="14" fillId="0" borderId="0" xfId="20" applyFont="1"/>
    <xf numFmtId="0" fontId="14" fillId="0" borderId="0" xfId="20" applyFont="1" applyAlignment="1">
      <alignment horizontal="center" vertical="center"/>
    </xf>
    <xf numFmtId="0" fontId="5" fillId="0" borderId="0" xfId="20" applyProtection="1">
      <protection hidden="1"/>
    </xf>
    <xf numFmtId="0" fontId="14" fillId="0" borderId="0" xfId="20" applyFont="1" applyProtection="1">
      <protection hidden="1"/>
    </xf>
    <xf numFmtId="10" fontId="14" fillId="0" borderId="0" xfId="20" applyNumberFormat="1" applyFont="1" applyProtection="1">
      <protection hidden="1"/>
    </xf>
    <xf numFmtId="0" fontId="5" fillId="0" borderId="0" xfId="20"/>
    <xf numFmtId="167" fontId="41" fillId="0" borderId="0" xfId="20" applyNumberFormat="1" applyFont="1" applyProtection="1">
      <protection hidden="1"/>
    </xf>
    <xf numFmtId="0" fontId="37" fillId="0" borderId="0" xfId="20" applyFont="1" applyProtection="1">
      <protection hidden="1"/>
    </xf>
    <xf numFmtId="49" fontId="37" fillId="0" borderId="0" xfId="20" applyNumberFormat="1" applyFont="1" applyProtection="1">
      <protection hidden="1"/>
    </xf>
    <xf numFmtId="0" fontId="48" fillId="0" borderId="0" xfId="20" applyFont="1" applyAlignment="1" applyProtection="1">
      <alignment horizontal="center" wrapText="1"/>
      <protection hidden="1"/>
    </xf>
    <xf numFmtId="0" fontId="14" fillId="0" borderId="0" xfId="20" applyFont="1" applyAlignment="1" applyProtection="1">
      <alignment horizontal="right"/>
      <protection hidden="1"/>
    </xf>
    <xf numFmtId="10" fontId="5" fillId="0" borderId="0" xfId="20" applyNumberFormat="1" applyProtection="1">
      <protection hidden="1"/>
    </xf>
    <xf numFmtId="0" fontId="5" fillId="0" borderId="0" xfId="20" applyAlignment="1" applyProtection="1">
      <alignment wrapText="1"/>
      <protection hidden="1"/>
    </xf>
    <xf numFmtId="0" fontId="47" fillId="0" borderId="0" xfId="20" applyFont="1" applyAlignment="1" applyProtection="1">
      <alignment horizontal="center" wrapText="1"/>
      <protection hidden="1"/>
    </xf>
    <xf numFmtId="0" fontId="14" fillId="0" borderId="0" xfId="20" applyFont="1" applyAlignment="1" applyProtection="1">
      <alignment wrapText="1"/>
      <protection hidden="1"/>
    </xf>
    <xf numFmtId="1" fontId="14" fillId="0" borderId="0" xfId="20" applyNumberFormat="1" applyFont="1" applyProtection="1">
      <protection hidden="1"/>
    </xf>
    <xf numFmtId="9" fontId="14" fillId="0" borderId="0" xfId="20" applyNumberFormat="1" applyFont="1" applyProtection="1">
      <protection hidden="1"/>
    </xf>
    <xf numFmtId="9" fontId="5" fillId="0" borderId="0" xfId="20" applyNumberFormat="1" applyProtection="1">
      <protection hidden="1"/>
    </xf>
    <xf numFmtId="1" fontId="14" fillId="0" borderId="0" xfId="20" applyNumberFormat="1" applyFont="1"/>
    <xf numFmtId="167" fontId="14" fillId="0" borderId="0" xfId="20" applyNumberFormat="1" applyFont="1" applyProtection="1">
      <protection hidden="1"/>
    </xf>
    <xf numFmtId="10" fontId="14" fillId="0" borderId="0" xfId="21" applyNumberFormat="1" applyFont="1" applyProtection="1">
      <protection hidden="1"/>
    </xf>
    <xf numFmtId="0" fontId="47" fillId="0" borderId="0" xfId="20" applyFont="1" applyAlignment="1" applyProtection="1">
      <alignment horizontal="center" vertical="top" wrapText="1"/>
      <protection hidden="1"/>
    </xf>
    <xf numFmtId="0" fontId="14" fillId="0" borderId="0" xfId="20" applyFont="1" applyAlignment="1" applyProtection="1">
      <alignment horizontal="center" vertical="center"/>
      <protection hidden="1"/>
    </xf>
    <xf numFmtId="0" fontId="14" fillId="0" borderId="0" xfId="20" applyFont="1" applyAlignment="1" applyProtection="1">
      <alignment horizontal="right" vertical="center"/>
      <protection hidden="1"/>
    </xf>
    <xf numFmtId="167" fontId="37" fillId="0" borderId="0" xfId="20" applyNumberFormat="1" applyFont="1" applyProtection="1">
      <protection hidden="1"/>
    </xf>
    <xf numFmtId="0" fontId="45" fillId="0" borderId="0" xfId="20" applyFont="1" applyProtection="1">
      <protection hidden="1"/>
    </xf>
    <xf numFmtId="0" fontId="14" fillId="0" borderId="0" xfId="20" applyFont="1" applyProtection="1">
      <protection locked="0"/>
    </xf>
    <xf numFmtId="0" fontId="46" fillId="0" borderId="0" xfId="20" applyFont="1" applyProtection="1">
      <protection hidden="1"/>
    </xf>
    <xf numFmtId="0" fontId="37" fillId="0" borderId="49" xfId="20" applyFont="1" applyBorder="1" applyProtection="1">
      <protection hidden="1"/>
    </xf>
    <xf numFmtId="0" fontId="14" fillId="0" borderId="49" xfId="20" applyFont="1" applyBorder="1" applyProtection="1">
      <protection hidden="1"/>
    </xf>
    <xf numFmtId="0" fontId="14" fillId="0" borderId="0" xfId="20" applyFont="1" applyAlignment="1" applyProtection="1">
      <alignment vertical="center"/>
      <protection hidden="1"/>
    </xf>
    <xf numFmtId="10" fontId="37" fillId="0" borderId="0" xfId="20" applyNumberFormat="1" applyFont="1" applyProtection="1">
      <protection hidden="1"/>
    </xf>
    <xf numFmtId="0" fontId="45" fillId="0" borderId="0" xfId="20" applyFont="1"/>
    <xf numFmtId="0" fontId="38" fillId="0" borderId="21" xfId="20" applyFont="1" applyBorder="1" applyAlignment="1" applyProtection="1">
      <alignment horizontal="center" vertical="center"/>
      <protection locked="0"/>
    </xf>
    <xf numFmtId="0" fontId="38" fillId="0" borderId="69" xfId="20" quotePrefix="1" applyFont="1" applyBorder="1" applyAlignment="1">
      <alignment horizontal="center" vertical="center"/>
    </xf>
    <xf numFmtId="0" fontId="39" fillId="0" borderId="0" xfId="20" applyFont="1" applyAlignment="1">
      <alignment horizontal="left" vertical="top"/>
    </xf>
    <xf numFmtId="0" fontId="39" fillId="0" borderId="0" xfId="20" applyFont="1" applyAlignment="1" applyProtection="1">
      <alignment horizontal="left" vertical="top"/>
      <protection hidden="1"/>
    </xf>
    <xf numFmtId="0" fontId="39" fillId="0" borderId="43" xfId="20" applyFont="1" applyBorder="1" applyAlignment="1" applyProtection="1">
      <alignment horizontal="left" vertical="top"/>
      <protection hidden="1"/>
    </xf>
    <xf numFmtId="0" fontId="39" fillId="0" borderId="49" xfId="20" applyFont="1" applyBorder="1" applyAlignment="1" applyProtection="1">
      <alignment horizontal="left" vertical="top"/>
      <protection hidden="1"/>
    </xf>
    <xf numFmtId="10" fontId="39" fillId="0" borderId="49" xfId="20" applyNumberFormat="1" applyFont="1" applyBorder="1" applyAlignment="1" applyProtection="1">
      <alignment horizontal="left" vertical="top"/>
      <protection hidden="1"/>
    </xf>
    <xf numFmtId="0" fontId="43" fillId="0" borderId="0" xfId="20" applyFont="1" applyAlignment="1">
      <alignment horizontal="left" vertical="top"/>
    </xf>
    <xf numFmtId="0" fontId="39" fillId="0" borderId="67" xfId="20" applyFont="1" applyBorder="1" applyAlignment="1">
      <alignment vertical="top"/>
    </xf>
    <xf numFmtId="0" fontId="39" fillId="0" borderId="16" xfId="20" applyFont="1" applyBorder="1" applyAlignment="1">
      <alignment vertical="top"/>
    </xf>
    <xf numFmtId="0" fontId="39" fillId="0" borderId="60" xfId="20" applyFont="1" applyBorder="1" applyAlignment="1">
      <alignment vertical="top"/>
    </xf>
    <xf numFmtId="49" fontId="39" fillId="0" borderId="54" xfId="20" applyNumberFormat="1" applyFont="1" applyBorder="1" applyAlignment="1">
      <alignment horizontal="left" vertical="top"/>
    </xf>
    <xf numFmtId="0" fontId="14" fillId="0" borderId="0" xfId="20" applyFont="1" applyAlignment="1">
      <alignment vertical="center"/>
    </xf>
    <xf numFmtId="0" fontId="5" fillId="0" borderId="0" xfId="20" applyAlignment="1" applyProtection="1">
      <alignment horizontal="center"/>
      <protection hidden="1"/>
    </xf>
    <xf numFmtId="0" fontId="14" fillId="0" borderId="54" xfId="20" applyFont="1" applyBorder="1" applyAlignment="1" applyProtection="1">
      <alignment horizontal="center"/>
      <protection hidden="1"/>
    </xf>
    <xf numFmtId="0" fontId="14" fillId="0" borderId="43" xfId="20" applyFont="1" applyBorder="1" applyAlignment="1" applyProtection="1">
      <alignment horizontal="center"/>
      <protection hidden="1"/>
    </xf>
    <xf numFmtId="0" fontId="14" fillId="0" borderId="49" xfId="20" applyFont="1" applyBorder="1" applyAlignment="1" applyProtection="1">
      <alignment horizontal="center"/>
      <protection hidden="1"/>
    </xf>
    <xf numFmtId="0" fontId="14" fillId="0" borderId="0" xfId="20" applyFont="1" applyAlignment="1" applyProtection="1">
      <alignment horizontal="center"/>
      <protection hidden="1"/>
    </xf>
    <xf numFmtId="167" fontId="14" fillId="0" borderId="43" xfId="21" applyNumberFormat="1" applyFont="1" applyBorder="1" applyAlignment="1" applyProtection="1">
      <alignment horizontal="center"/>
      <protection hidden="1"/>
    </xf>
    <xf numFmtId="167" fontId="14" fillId="0" borderId="0" xfId="21" applyNumberFormat="1" applyFont="1" applyBorder="1" applyAlignment="1" applyProtection="1">
      <alignment horizontal="center" vertical="center"/>
      <protection hidden="1"/>
    </xf>
    <xf numFmtId="0" fontId="14" fillId="0" borderId="49" xfId="21" applyNumberFormat="1" applyFont="1" applyBorder="1" applyAlignment="1" applyProtection="1">
      <alignment horizontal="center" vertical="center"/>
      <protection hidden="1"/>
    </xf>
    <xf numFmtId="0" fontId="14" fillId="0" borderId="49" xfId="20" applyFont="1" applyBorder="1" applyAlignment="1" applyProtection="1">
      <alignment horizontal="center" vertical="center"/>
      <protection hidden="1"/>
    </xf>
    <xf numFmtId="0" fontId="14" fillId="0" borderId="0" xfId="21" applyNumberFormat="1" applyFont="1" applyBorder="1" applyAlignment="1" applyProtection="1">
      <alignment horizontal="center" vertical="center"/>
      <protection hidden="1"/>
    </xf>
    <xf numFmtId="10" fontId="14" fillId="0" borderId="49" xfId="21" applyNumberFormat="1" applyFont="1" applyBorder="1" applyAlignment="1" applyProtection="1">
      <alignment horizontal="center" vertical="center"/>
      <protection hidden="1"/>
    </xf>
    <xf numFmtId="1" fontId="40" fillId="0" borderId="59" xfId="20" applyNumberFormat="1" applyFont="1" applyBorder="1" applyAlignment="1">
      <alignment horizontal="center" vertical="center" wrapText="1"/>
    </xf>
    <xf numFmtId="1" fontId="40" fillId="0" borderId="60" xfId="20" applyNumberFormat="1" applyFont="1" applyBorder="1" applyAlignment="1">
      <alignment horizontal="center" vertical="center" wrapText="1"/>
    </xf>
    <xf numFmtId="1" fontId="37" fillId="0" borderId="62" xfId="20" applyNumberFormat="1" applyFont="1" applyBorder="1" applyAlignment="1">
      <alignment horizontal="center" vertical="center" wrapText="1"/>
    </xf>
    <xf numFmtId="1" fontId="37" fillId="0" borderId="8" xfId="20" applyNumberFormat="1" applyFont="1" applyBorder="1" applyAlignment="1">
      <alignment horizontal="center" vertical="center" wrapText="1"/>
    </xf>
    <xf numFmtId="1" fontId="37" fillId="0" borderId="61" xfId="20" applyNumberFormat="1" applyFont="1" applyBorder="1" applyAlignment="1">
      <alignment horizontal="center" vertical="center" wrapText="1"/>
    </xf>
    <xf numFmtId="0" fontId="37" fillId="0" borderId="55" xfId="20" applyFont="1" applyBorder="1" applyAlignment="1">
      <alignment vertical="center"/>
    </xf>
    <xf numFmtId="0" fontId="41" fillId="0" borderId="0" xfId="20" applyFont="1"/>
    <xf numFmtId="1" fontId="5" fillId="0" borderId="0" xfId="20" applyNumberFormat="1" applyAlignment="1" applyProtection="1">
      <alignment horizontal="center"/>
      <protection hidden="1"/>
    </xf>
    <xf numFmtId="1" fontId="37" fillId="0" borderId="59" xfId="20" applyNumberFormat="1" applyFont="1" applyBorder="1" applyAlignment="1">
      <alignment horizontal="center" vertical="center" wrapText="1"/>
    </xf>
    <xf numFmtId="1" fontId="37" fillId="0" borderId="58" xfId="20" applyNumberFormat="1" applyFont="1" applyBorder="1" applyAlignment="1">
      <alignment horizontal="center" vertical="center" wrapText="1"/>
    </xf>
    <xf numFmtId="0" fontId="41" fillId="0" borderId="0" xfId="20" applyFont="1" applyAlignment="1">
      <alignment vertical="center"/>
    </xf>
    <xf numFmtId="0" fontId="42" fillId="0" borderId="0" xfId="20" applyFont="1" applyAlignment="1">
      <alignment horizontal="center" vertical="center"/>
    </xf>
    <xf numFmtId="9" fontId="41" fillId="0" borderId="40" xfId="21" applyFont="1" applyBorder="1" applyAlignment="1" applyProtection="1">
      <alignment horizontal="center" vertical="center"/>
    </xf>
    <xf numFmtId="9" fontId="41" fillId="0" borderId="39" xfId="21" applyFont="1" applyBorder="1" applyAlignment="1" applyProtection="1">
      <alignment horizontal="center" vertical="center"/>
    </xf>
    <xf numFmtId="9" fontId="41" fillId="0" borderId="41" xfId="21" applyFont="1" applyBorder="1" applyAlignment="1" applyProtection="1">
      <alignment horizontal="center" vertical="center"/>
    </xf>
    <xf numFmtId="0" fontId="41" fillId="0" borderId="0" xfId="20" applyFont="1" applyAlignment="1">
      <alignment horizontal="center" vertical="center"/>
    </xf>
    <xf numFmtId="9" fontId="41" fillId="0" borderId="43" xfId="21" applyFont="1" applyBorder="1" applyAlignment="1" applyProtection="1">
      <alignment horizontal="center" vertical="center"/>
    </xf>
    <xf numFmtId="9" fontId="41" fillId="0" borderId="0" xfId="21" applyFont="1" applyBorder="1" applyAlignment="1" applyProtection="1">
      <alignment horizontal="center" vertical="center"/>
    </xf>
    <xf numFmtId="9" fontId="41" fillId="0" borderId="49" xfId="21" applyFont="1" applyBorder="1" applyAlignment="1" applyProtection="1">
      <alignment horizontal="center" vertical="center"/>
    </xf>
    <xf numFmtId="0" fontId="37" fillId="0" borderId="0" xfId="20" applyFont="1"/>
    <xf numFmtId="1" fontId="40" fillId="0" borderId="59" xfId="20" applyNumberFormat="1" applyFont="1" applyBorder="1" applyAlignment="1" applyProtection="1">
      <alignment horizontal="center" vertical="center" wrapText="1"/>
      <protection locked="0"/>
    </xf>
    <xf numFmtId="1" fontId="40" fillId="0" borderId="60" xfId="20" applyNumberFormat="1" applyFont="1" applyBorder="1" applyAlignment="1" applyProtection="1">
      <alignment horizontal="center" vertical="center" wrapText="1"/>
      <protection locked="0"/>
    </xf>
    <xf numFmtId="0" fontId="40" fillId="0" borderId="0" xfId="20" applyFont="1"/>
    <xf numFmtId="9" fontId="41" fillId="0" borderId="46" xfId="21" applyFont="1" applyBorder="1" applyAlignment="1" applyProtection="1">
      <alignment horizontal="center" vertical="center"/>
    </xf>
    <xf numFmtId="9" fontId="41" fillId="0" borderId="45" xfId="21" applyFont="1" applyBorder="1" applyAlignment="1" applyProtection="1">
      <alignment horizontal="center" vertical="center"/>
    </xf>
    <xf numFmtId="9" fontId="41" fillId="0" borderId="47" xfId="21" applyFont="1" applyBorder="1" applyAlignment="1" applyProtection="1">
      <alignment horizontal="center" vertical="center"/>
    </xf>
    <xf numFmtId="0" fontId="42" fillId="0" borderId="0" xfId="20" applyFont="1" applyAlignment="1">
      <alignment vertical="center"/>
    </xf>
    <xf numFmtId="0" fontId="41" fillId="0" borderId="0" xfId="20" applyFont="1" applyAlignment="1">
      <alignment horizontal="left" vertical="center"/>
    </xf>
    <xf numFmtId="1" fontId="40" fillId="0" borderId="1" xfId="20" applyNumberFormat="1" applyFont="1" applyBorder="1" applyAlignment="1" applyProtection="1">
      <alignment horizontal="center" wrapText="1"/>
      <protection locked="0"/>
    </xf>
    <xf numFmtId="0" fontId="42" fillId="0" borderId="0" xfId="20" applyFont="1" applyAlignment="1">
      <alignment horizontal="left" vertical="center"/>
    </xf>
    <xf numFmtId="1" fontId="40" fillId="0" borderId="11" xfId="20" applyNumberFormat="1" applyFont="1" applyBorder="1" applyAlignment="1">
      <alignment horizontal="center" wrapText="1"/>
    </xf>
    <xf numFmtId="1" fontId="40" fillId="0" borderId="12" xfId="20" applyNumberFormat="1" applyFont="1" applyBorder="1" applyAlignment="1">
      <alignment horizontal="center" wrapText="1"/>
    </xf>
    <xf numFmtId="1" fontId="37" fillId="0" borderId="11" xfId="20" applyNumberFormat="1" applyFont="1" applyBorder="1" applyAlignment="1">
      <alignment horizontal="center" vertical="center" wrapText="1"/>
    </xf>
    <xf numFmtId="0" fontId="37" fillId="0" borderId="55" xfId="20" applyFont="1" applyBorder="1"/>
    <xf numFmtId="0" fontId="14" fillId="4" borderId="54" xfId="20" applyFont="1" applyFill="1" applyBorder="1" applyAlignment="1" applyProtection="1">
      <alignment wrapText="1"/>
      <protection hidden="1"/>
    </xf>
    <xf numFmtId="0" fontId="14" fillId="4" borderId="43" xfId="20" applyFont="1" applyFill="1" applyBorder="1" applyAlignment="1" applyProtection="1">
      <alignment wrapText="1"/>
      <protection hidden="1"/>
    </xf>
    <xf numFmtId="0" fontId="14" fillId="4" borderId="0" xfId="20" applyFont="1" applyFill="1" applyAlignment="1" applyProtection="1">
      <alignment wrapText="1"/>
      <protection hidden="1"/>
    </xf>
    <xf numFmtId="0" fontId="14" fillId="4" borderId="49" xfId="20" applyFont="1" applyFill="1" applyBorder="1" applyAlignment="1" applyProtection="1">
      <alignment wrapText="1"/>
      <protection hidden="1"/>
    </xf>
    <xf numFmtId="0" fontId="14" fillId="5" borderId="0" xfId="20" applyFont="1" applyFill="1" applyAlignment="1" applyProtection="1">
      <alignment wrapText="1"/>
      <protection hidden="1"/>
    </xf>
    <xf numFmtId="0" fontId="14" fillId="5" borderId="43" xfId="20" applyFont="1" applyFill="1" applyBorder="1" applyAlignment="1" applyProtection="1">
      <alignment wrapText="1"/>
      <protection hidden="1"/>
    </xf>
    <xf numFmtId="0" fontId="14" fillId="5" borderId="49" xfId="20" applyFont="1" applyFill="1" applyBorder="1" applyAlignment="1" applyProtection="1">
      <alignment wrapText="1"/>
      <protection hidden="1"/>
    </xf>
    <xf numFmtId="0" fontId="37" fillId="0" borderId="46" xfId="20" applyFont="1" applyBorder="1" applyAlignment="1" applyProtection="1">
      <alignment horizontal="center" vertical="center" wrapText="1"/>
      <protection hidden="1"/>
    </xf>
    <xf numFmtId="0" fontId="37" fillId="0" borderId="47" xfId="20" applyFont="1" applyBorder="1" applyAlignment="1" applyProtection="1">
      <alignment horizontal="center" vertical="center" wrapText="1"/>
      <protection hidden="1"/>
    </xf>
    <xf numFmtId="0" fontId="37" fillId="0" borderId="45" xfId="20" applyFont="1" applyBorder="1" applyAlignment="1" applyProtection="1">
      <alignment horizontal="center" vertical="center" wrapText="1"/>
      <protection hidden="1"/>
    </xf>
    <xf numFmtId="0" fontId="37" fillId="0" borderId="0" xfId="20" applyFont="1" applyAlignment="1" applyProtection="1">
      <alignment horizontal="center" vertical="center" wrapText="1"/>
      <protection hidden="1"/>
    </xf>
    <xf numFmtId="0" fontId="41" fillId="0" borderId="0" xfId="20" applyFont="1" applyAlignment="1" applyProtection="1">
      <alignment horizontal="center" vertical="center" wrapText="1"/>
      <protection hidden="1"/>
    </xf>
    <xf numFmtId="10" fontId="37" fillId="0" borderId="49" xfId="20" applyNumberFormat="1" applyFont="1" applyBorder="1" applyAlignment="1" applyProtection="1">
      <alignment horizontal="center" vertical="center" wrapText="1"/>
      <protection hidden="1"/>
    </xf>
    <xf numFmtId="0" fontId="41" fillId="0" borderId="10" xfId="20" applyFont="1" applyBorder="1" applyAlignment="1">
      <alignment horizontal="center" wrapText="1"/>
    </xf>
    <xf numFmtId="0" fontId="41" fillId="0" borderId="3" xfId="20" applyFont="1" applyBorder="1" applyAlignment="1">
      <alignment horizontal="center" wrapText="1"/>
    </xf>
    <xf numFmtId="0" fontId="41" fillId="0" borderId="4" xfId="20" applyFont="1" applyBorder="1" applyAlignment="1">
      <alignment horizontal="center" wrapText="1"/>
    </xf>
    <xf numFmtId="0" fontId="41" fillId="0" borderId="9" xfId="20" applyFont="1" applyBorder="1" applyAlignment="1">
      <alignment horizontal="center" wrapText="1"/>
    </xf>
    <xf numFmtId="0" fontId="41" fillId="0" borderId="52" xfId="20" applyFont="1" applyBorder="1" applyAlignment="1">
      <alignment horizontal="center" wrapText="1"/>
    </xf>
    <xf numFmtId="0" fontId="14" fillId="0" borderId="50" xfId="20" applyFont="1" applyBorder="1" applyAlignment="1" applyProtection="1">
      <alignment horizontal="left" vertical="center"/>
      <protection hidden="1"/>
    </xf>
    <xf numFmtId="0" fontId="14" fillId="0" borderId="46" xfId="20" applyFont="1" applyBorder="1" applyAlignment="1" applyProtection="1">
      <alignment horizontal="left" vertical="center"/>
      <protection hidden="1"/>
    </xf>
    <xf numFmtId="0" fontId="14" fillId="0" borderId="45" xfId="20" applyFont="1" applyBorder="1" applyAlignment="1" applyProtection="1">
      <alignment vertical="center"/>
      <protection hidden="1"/>
    </xf>
    <xf numFmtId="0" fontId="14" fillId="0" borderId="47" xfId="20" applyFont="1" applyBorder="1" applyAlignment="1" applyProtection="1">
      <alignment vertical="center"/>
      <protection hidden="1"/>
    </xf>
    <xf numFmtId="0" fontId="14" fillId="0" borderId="46" xfId="20" applyFont="1" applyBorder="1" applyAlignment="1" applyProtection="1">
      <alignment vertical="center"/>
      <protection hidden="1"/>
    </xf>
    <xf numFmtId="9" fontId="14" fillId="0" borderId="0" xfId="20" applyNumberFormat="1" applyFont="1" applyAlignment="1" applyProtection="1">
      <alignment vertical="center"/>
      <protection hidden="1"/>
    </xf>
    <xf numFmtId="9" fontId="14" fillId="0" borderId="0" xfId="21" applyFont="1" applyAlignment="1" applyProtection="1">
      <alignment vertical="center"/>
      <protection hidden="1"/>
    </xf>
    <xf numFmtId="0" fontId="37" fillId="0" borderId="0" xfId="20" applyFont="1" applyAlignment="1" applyProtection="1">
      <alignment vertical="center"/>
      <protection hidden="1"/>
    </xf>
    <xf numFmtId="0" fontId="37" fillId="0" borderId="0" xfId="20" applyFont="1" applyAlignment="1" applyProtection="1">
      <alignment horizontal="left" vertical="center"/>
      <protection hidden="1"/>
    </xf>
    <xf numFmtId="10" fontId="37" fillId="0" borderId="0" xfId="20" applyNumberFormat="1" applyFont="1" applyAlignment="1" applyProtection="1">
      <alignment horizontal="left" vertical="center"/>
      <protection hidden="1"/>
    </xf>
    <xf numFmtId="0" fontId="5" fillId="0" borderId="0" xfId="20" applyAlignment="1" applyProtection="1">
      <alignment vertical="center"/>
      <protection hidden="1"/>
    </xf>
    <xf numFmtId="0" fontId="39" fillId="0" borderId="0" xfId="20" applyFont="1" applyAlignment="1">
      <alignment horizontal="center" vertical="center"/>
    </xf>
    <xf numFmtId="10" fontId="39" fillId="0" borderId="0" xfId="20" applyNumberFormat="1" applyFont="1" applyAlignment="1" applyProtection="1">
      <alignment horizontal="left" vertical="top"/>
      <protection hidden="1"/>
    </xf>
    <xf numFmtId="0" fontId="14" fillId="4" borderId="0" xfId="20" applyFont="1" applyFill="1" applyAlignment="1" applyProtection="1">
      <alignment vertical="center"/>
      <protection hidden="1"/>
    </xf>
    <xf numFmtId="0" fontId="14" fillId="0" borderId="8" xfId="20" applyFont="1" applyBorder="1" applyAlignment="1" applyProtection="1">
      <alignment vertical="center"/>
      <protection hidden="1"/>
    </xf>
    <xf numFmtId="0" fontId="14" fillId="0" borderId="43" xfId="20" applyFont="1" applyBorder="1" applyAlignment="1" applyProtection="1">
      <alignment horizontal="right" vertical="center"/>
      <protection hidden="1"/>
    </xf>
    <xf numFmtId="0" fontId="39" fillId="0" borderId="0" xfId="20" applyFont="1" applyAlignment="1" applyProtection="1">
      <alignment horizontal="left" vertical="center"/>
      <protection hidden="1"/>
    </xf>
    <xf numFmtId="10" fontId="39" fillId="0" borderId="0" xfId="20" applyNumberFormat="1" applyFont="1" applyAlignment="1" applyProtection="1">
      <alignment horizontal="left" vertical="center"/>
      <protection hidden="1"/>
    </xf>
    <xf numFmtId="0" fontId="39" fillId="0" borderId="0" xfId="20" applyFont="1" applyAlignment="1">
      <alignment horizontal="left" vertical="center"/>
    </xf>
    <xf numFmtId="1" fontId="40" fillId="0" borderId="62" xfId="20" applyNumberFormat="1" applyFont="1" applyBorder="1" applyAlignment="1">
      <alignment horizontal="center" vertical="center" wrapText="1"/>
    </xf>
    <xf numFmtId="1" fontId="40" fillId="0" borderId="63" xfId="20" applyNumberFormat="1" applyFont="1" applyBorder="1" applyAlignment="1">
      <alignment horizontal="center" vertical="center" wrapText="1"/>
    </xf>
    <xf numFmtId="0" fontId="18" fillId="0" borderId="16" xfId="3" applyBorder="1" applyAlignment="1">
      <alignment horizontal="center" vertical="center"/>
    </xf>
    <xf numFmtId="0" fontId="18" fillId="0" borderId="16" xfId="3" applyBorder="1" applyAlignment="1" applyProtection="1">
      <alignment horizontal="center" vertical="center"/>
      <protection locked="0"/>
    </xf>
    <xf numFmtId="0" fontId="0" fillId="0" borderId="16" xfId="0" applyBorder="1"/>
    <xf numFmtId="43" fontId="0" fillId="0" borderId="16" xfId="6" applyFont="1" applyBorder="1" applyProtection="1"/>
    <xf numFmtId="0" fontId="4" fillId="0" borderId="0" xfId="22"/>
    <xf numFmtId="1" fontId="73" fillId="8" borderId="16" xfId="22" applyNumberFormat="1" applyFont="1" applyFill="1" applyBorder="1" applyAlignment="1" applyProtection="1">
      <alignment horizontal="center" vertical="center"/>
      <protection locked="0"/>
    </xf>
    <xf numFmtId="1" fontId="73" fillId="8" borderId="78" xfId="22" applyNumberFormat="1" applyFont="1" applyFill="1" applyBorder="1" applyAlignment="1" applyProtection="1">
      <alignment horizontal="center" vertical="center"/>
      <protection locked="0"/>
    </xf>
    <xf numFmtId="0" fontId="4" fillId="0" borderId="0" xfId="22" applyAlignment="1">
      <alignment horizontal="center" vertical="center"/>
    </xf>
    <xf numFmtId="1" fontId="67" fillId="0" borderId="52" xfId="22" applyNumberFormat="1" applyFont="1" applyBorder="1" applyAlignment="1">
      <alignment horizontal="center" vertical="center"/>
    </xf>
    <xf numFmtId="1" fontId="67" fillId="0" borderId="52" xfId="22" applyNumberFormat="1" applyFont="1" applyBorder="1" applyAlignment="1">
      <alignment horizontal="center"/>
    </xf>
    <xf numFmtId="1" fontId="40" fillId="0" borderId="1" xfId="7" applyNumberFormat="1" applyFont="1" applyBorder="1" applyAlignment="1">
      <alignment horizontal="center" wrapText="1"/>
    </xf>
    <xf numFmtId="0" fontId="38" fillId="0" borderId="21" xfId="7" applyFont="1" applyBorder="1" applyAlignment="1">
      <alignment horizontal="center" vertical="center"/>
    </xf>
    <xf numFmtId="0" fontId="37" fillId="0" borderId="0" xfId="23" applyFont="1"/>
    <xf numFmtId="0" fontId="37" fillId="0" borderId="0" xfId="23" applyFont="1" applyProtection="1">
      <protection hidden="1"/>
    </xf>
    <xf numFmtId="10" fontId="37" fillId="0" borderId="0" xfId="23" applyNumberFormat="1" applyFont="1" applyProtection="1">
      <protection hidden="1"/>
    </xf>
    <xf numFmtId="0" fontId="3" fillId="0" borderId="0" xfId="23"/>
    <xf numFmtId="0" fontId="14" fillId="0" borderId="0" xfId="23" applyFont="1"/>
    <xf numFmtId="0" fontId="14" fillId="0" borderId="0" xfId="23" applyFont="1" applyProtection="1">
      <protection hidden="1"/>
    </xf>
    <xf numFmtId="10" fontId="14" fillId="0" borderId="0" xfId="23" applyNumberFormat="1" applyFont="1" applyProtection="1">
      <protection hidden="1"/>
    </xf>
    <xf numFmtId="0" fontId="3" fillId="0" borderId="0" xfId="23" applyProtection="1">
      <protection hidden="1"/>
    </xf>
    <xf numFmtId="0" fontId="14" fillId="0" borderId="0" xfId="23" applyFont="1" applyAlignment="1">
      <alignment horizontal="center" vertical="center"/>
    </xf>
    <xf numFmtId="0" fontId="39" fillId="0" borderId="0" xfId="23" applyFont="1" applyAlignment="1">
      <alignment horizontal="left" vertical="top"/>
    </xf>
    <xf numFmtId="0" fontId="39" fillId="0" borderId="0" xfId="23" applyFont="1" applyAlignment="1" applyProtection="1">
      <alignment horizontal="left" vertical="top"/>
      <protection hidden="1"/>
    </xf>
    <xf numFmtId="10" fontId="39" fillId="0" borderId="0" xfId="23" applyNumberFormat="1" applyFont="1" applyAlignment="1" applyProtection="1">
      <alignment horizontal="left" vertical="top"/>
      <protection hidden="1"/>
    </xf>
    <xf numFmtId="0" fontId="42" fillId="0" borderId="0" xfId="23" applyFont="1" applyAlignment="1">
      <alignment horizontal="left" vertical="center"/>
    </xf>
    <xf numFmtId="0" fontId="39" fillId="0" borderId="0" xfId="23" applyFont="1" applyAlignment="1">
      <alignment horizontal="left" vertical="center"/>
    </xf>
    <xf numFmtId="0" fontId="39" fillId="0" borderId="0" xfId="23" applyFont="1" applyAlignment="1" applyProtection="1">
      <alignment horizontal="left" vertical="center"/>
      <protection hidden="1"/>
    </xf>
    <xf numFmtId="10" fontId="39" fillId="0" borderId="0" xfId="23" applyNumberFormat="1" applyFont="1" applyAlignment="1" applyProtection="1">
      <alignment horizontal="left" vertical="center"/>
      <protection hidden="1"/>
    </xf>
    <xf numFmtId="0" fontId="37" fillId="0" borderId="0" xfId="23" applyFont="1" applyAlignment="1" applyProtection="1">
      <alignment vertical="center"/>
      <protection hidden="1"/>
    </xf>
    <xf numFmtId="0" fontId="14" fillId="0" borderId="0" xfId="23" applyFont="1" applyAlignment="1" applyProtection="1">
      <alignment vertical="center"/>
      <protection hidden="1"/>
    </xf>
    <xf numFmtId="0" fontId="14" fillId="0" borderId="43" xfId="23" applyFont="1" applyBorder="1" applyAlignment="1" applyProtection="1">
      <alignment horizontal="right" vertical="center"/>
      <protection hidden="1"/>
    </xf>
    <xf numFmtId="0" fontId="14" fillId="0" borderId="8" xfId="23" applyFont="1" applyBorder="1" applyAlignment="1" applyProtection="1">
      <alignment vertical="center"/>
      <protection hidden="1"/>
    </xf>
    <xf numFmtId="0" fontId="14" fillId="4" borderId="0" xfId="23" applyFont="1" applyFill="1" applyAlignment="1" applyProtection="1">
      <alignment vertical="center"/>
      <protection hidden="1"/>
    </xf>
    <xf numFmtId="0" fontId="3" fillId="0" borderId="0" xfId="23" applyAlignment="1" applyProtection="1">
      <alignment horizontal="center"/>
      <protection hidden="1"/>
    </xf>
    <xf numFmtId="0" fontId="81" fillId="0" borderId="0" xfId="23" applyFont="1"/>
    <xf numFmtId="0" fontId="14" fillId="0" borderId="0" xfId="23" applyFont="1" applyAlignment="1">
      <alignment vertical="center"/>
    </xf>
    <xf numFmtId="0" fontId="42" fillId="0" borderId="0" xfId="23" applyFont="1" applyAlignment="1">
      <alignment horizontal="center" vertical="center"/>
    </xf>
    <xf numFmtId="0" fontId="41" fillId="0" borderId="0" xfId="23" applyFont="1" applyAlignment="1">
      <alignment horizontal="left" vertical="center"/>
    </xf>
    <xf numFmtId="0" fontId="3" fillId="0" borderId="0" xfId="23" applyAlignment="1" applyProtection="1">
      <alignment vertical="center"/>
      <protection hidden="1"/>
    </xf>
    <xf numFmtId="10" fontId="37" fillId="0" borderId="0" xfId="23" applyNumberFormat="1" applyFont="1" applyAlignment="1" applyProtection="1">
      <alignment horizontal="left" vertical="center"/>
      <protection hidden="1"/>
    </xf>
    <xf numFmtId="0" fontId="37" fillId="0" borderId="0" xfId="23" applyFont="1" applyAlignment="1" applyProtection="1">
      <alignment horizontal="left" vertical="center"/>
      <protection hidden="1"/>
    </xf>
    <xf numFmtId="9" fontId="14" fillId="0" borderId="0" xfId="24" applyFont="1" applyAlignment="1" applyProtection="1">
      <alignment vertical="center"/>
      <protection hidden="1"/>
    </xf>
    <xf numFmtId="9" fontId="14" fillId="0" borderId="0" xfId="23" applyNumberFormat="1" applyFont="1" applyAlignment="1" applyProtection="1">
      <alignment vertical="center"/>
      <protection hidden="1"/>
    </xf>
    <xf numFmtId="0" fontId="14" fillId="0" borderId="47" xfId="23" applyFont="1" applyBorder="1" applyAlignment="1" applyProtection="1">
      <alignment vertical="center"/>
      <protection hidden="1"/>
    </xf>
    <xf numFmtId="0" fontId="14" fillId="0" borderId="46" xfId="23" applyFont="1" applyBorder="1" applyAlignment="1" applyProtection="1">
      <alignment vertical="center"/>
      <protection hidden="1"/>
    </xf>
    <xf numFmtId="0" fontId="14" fillId="0" borderId="45" xfId="23" applyFont="1" applyBorder="1" applyAlignment="1" applyProtection="1">
      <alignment vertical="center"/>
      <protection hidden="1"/>
    </xf>
    <xf numFmtId="0" fontId="14" fillId="0" borderId="46" xfId="23" applyFont="1" applyBorder="1" applyAlignment="1" applyProtection="1">
      <alignment horizontal="left" vertical="center"/>
      <protection hidden="1"/>
    </xf>
    <xf numFmtId="0" fontId="14" fillId="0" borderId="50" xfId="23" applyFont="1" applyBorder="1" applyAlignment="1" applyProtection="1">
      <alignment horizontal="left" vertical="center"/>
      <protection hidden="1"/>
    </xf>
    <xf numFmtId="0" fontId="41" fillId="0" borderId="52" xfId="23" applyFont="1" applyBorder="1" applyAlignment="1">
      <alignment horizontal="center" wrapText="1"/>
    </xf>
    <xf numFmtId="0" fontId="41" fillId="0" borderId="9" xfId="23" applyFont="1" applyBorder="1" applyAlignment="1">
      <alignment horizontal="center" wrapText="1"/>
    </xf>
    <xf numFmtId="0" fontId="41" fillId="0" borderId="4" xfId="23" applyFont="1" applyBorder="1" applyAlignment="1">
      <alignment horizontal="center" wrapText="1"/>
    </xf>
    <xf numFmtId="0" fontId="41" fillId="0" borderId="3" xfId="23" applyFont="1" applyBorder="1" applyAlignment="1">
      <alignment horizontal="center" wrapText="1"/>
    </xf>
    <xf numFmtId="0" fontId="41" fillId="0" borderId="10" xfId="23" applyFont="1" applyBorder="1" applyAlignment="1">
      <alignment horizontal="center" wrapText="1"/>
    </xf>
    <xf numFmtId="0" fontId="14" fillId="0" borderId="0" xfId="23" applyFont="1" applyAlignment="1" applyProtection="1">
      <alignment wrapText="1"/>
      <protection hidden="1"/>
    </xf>
    <xf numFmtId="10" fontId="37" fillId="0" borderId="49" xfId="23" applyNumberFormat="1" applyFont="1" applyBorder="1" applyAlignment="1" applyProtection="1">
      <alignment horizontal="center" vertical="center" wrapText="1"/>
      <protection hidden="1"/>
    </xf>
    <xf numFmtId="0" fontId="37" fillId="0" borderId="0" xfId="23" applyFont="1" applyAlignment="1" applyProtection="1">
      <alignment horizontal="center" vertical="center" wrapText="1"/>
      <protection hidden="1"/>
    </xf>
    <xf numFmtId="0" fontId="41" fillId="0" borderId="0" xfId="23" applyFont="1" applyAlignment="1" applyProtection="1">
      <alignment horizontal="center" vertical="center" wrapText="1"/>
      <protection hidden="1"/>
    </xf>
    <xf numFmtId="0" fontId="37" fillId="0" borderId="47" xfId="23" applyFont="1" applyBorder="1" applyAlignment="1" applyProtection="1">
      <alignment horizontal="center" vertical="center" wrapText="1"/>
      <protection hidden="1"/>
    </xf>
    <xf numFmtId="0" fontId="37" fillId="0" borderId="45" xfId="23" applyFont="1" applyBorder="1" applyAlignment="1" applyProtection="1">
      <alignment horizontal="center" vertical="center" wrapText="1"/>
      <protection hidden="1"/>
    </xf>
    <xf numFmtId="0" fontId="37" fillId="0" borderId="46" xfId="23" applyFont="1" applyBorder="1" applyAlignment="1" applyProtection="1">
      <alignment horizontal="center" vertical="center" wrapText="1"/>
      <protection hidden="1"/>
    </xf>
    <xf numFmtId="0" fontId="14" fillId="5" borderId="49" xfId="23" applyFont="1" applyFill="1" applyBorder="1" applyAlignment="1" applyProtection="1">
      <alignment wrapText="1"/>
      <protection hidden="1"/>
    </xf>
    <xf numFmtId="0" fontId="14" fillId="5" borderId="43" xfId="23" applyFont="1" applyFill="1" applyBorder="1" applyAlignment="1" applyProtection="1">
      <alignment wrapText="1"/>
      <protection hidden="1"/>
    </xf>
    <xf numFmtId="0" fontId="14" fillId="5" borderId="0" xfId="23" applyFont="1" applyFill="1" applyAlignment="1" applyProtection="1">
      <alignment wrapText="1"/>
      <protection hidden="1"/>
    </xf>
    <xf numFmtId="0" fontId="14" fillId="4" borderId="49" xfId="23" applyFont="1" applyFill="1" applyBorder="1" applyAlignment="1" applyProtection="1">
      <alignment wrapText="1"/>
      <protection hidden="1"/>
    </xf>
    <xf numFmtId="0" fontId="14" fillId="4" borderId="0" xfId="23" applyFont="1" applyFill="1" applyAlignment="1" applyProtection="1">
      <alignment wrapText="1"/>
      <protection hidden="1"/>
    </xf>
    <xf numFmtId="0" fontId="14" fillId="4" borderId="43" xfId="23" applyFont="1" applyFill="1" applyBorder="1" applyAlignment="1" applyProtection="1">
      <alignment wrapText="1"/>
      <protection hidden="1"/>
    </xf>
    <xf numFmtId="0" fontId="14" fillId="4" borderId="54" xfId="23" applyFont="1" applyFill="1" applyBorder="1" applyAlignment="1" applyProtection="1">
      <alignment wrapText="1"/>
      <protection hidden="1"/>
    </xf>
    <xf numFmtId="0" fontId="41" fillId="0" borderId="0" xfId="23" applyFont="1" applyAlignment="1">
      <alignment vertical="center"/>
    </xf>
    <xf numFmtId="0" fontId="40" fillId="0" borderId="0" xfId="23" applyFont="1"/>
    <xf numFmtId="0" fontId="37" fillId="0" borderId="55" xfId="23" applyFont="1" applyBorder="1"/>
    <xf numFmtId="1" fontId="37" fillId="0" borderId="58" xfId="23" applyNumberFormat="1" applyFont="1" applyBorder="1" applyAlignment="1">
      <alignment horizontal="center" vertical="center" wrapText="1"/>
    </xf>
    <xf numFmtId="1" fontId="37" fillId="0" borderId="8" xfId="23" applyNumberFormat="1" applyFont="1" applyBorder="1" applyAlignment="1">
      <alignment horizontal="center" vertical="center" wrapText="1"/>
    </xf>
    <xf numFmtId="1" fontId="37" fillId="0" borderId="11" xfId="23" applyNumberFormat="1" applyFont="1" applyBorder="1" applyAlignment="1">
      <alignment horizontal="center" vertical="center" wrapText="1"/>
    </xf>
    <xf numFmtId="1" fontId="40" fillId="0" borderId="12" xfId="23" applyNumberFormat="1" applyFont="1" applyBorder="1" applyAlignment="1" applyProtection="1">
      <alignment horizontal="center" wrapText="1"/>
      <protection locked="0"/>
    </xf>
    <xf numFmtId="1" fontId="40" fillId="0" borderId="11" xfId="23" applyNumberFormat="1" applyFont="1" applyBorder="1" applyAlignment="1" applyProtection="1">
      <alignment horizontal="center" wrapText="1"/>
      <protection locked="0"/>
    </xf>
    <xf numFmtId="0" fontId="14" fillId="0" borderId="0" xfId="23" applyFont="1" applyAlignment="1" applyProtection="1">
      <alignment horizontal="center"/>
      <protection hidden="1"/>
    </xf>
    <xf numFmtId="10" fontId="14" fillId="0" borderId="49" xfId="24" applyNumberFormat="1" applyFont="1" applyBorder="1" applyAlignment="1" applyProtection="1">
      <alignment horizontal="center" vertical="center"/>
      <protection hidden="1"/>
    </xf>
    <xf numFmtId="0" fontId="14" fillId="0" borderId="0" xfId="24" applyNumberFormat="1" applyFont="1" applyBorder="1" applyAlignment="1" applyProtection="1">
      <alignment horizontal="center" vertical="center"/>
      <protection hidden="1"/>
    </xf>
    <xf numFmtId="0" fontId="14" fillId="0" borderId="49" xfId="23" applyFont="1" applyBorder="1" applyAlignment="1" applyProtection="1">
      <alignment horizontal="center" vertical="center"/>
      <protection hidden="1"/>
    </xf>
    <xf numFmtId="167" fontId="14" fillId="0" borderId="0" xfId="24" applyNumberFormat="1" applyFont="1" applyBorder="1" applyAlignment="1" applyProtection="1">
      <alignment horizontal="center" vertical="center"/>
      <protection hidden="1"/>
    </xf>
    <xf numFmtId="0" fontId="14" fillId="0" borderId="49" xfId="24" applyNumberFormat="1" applyFont="1" applyBorder="1" applyAlignment="1" applyProtection="1">
      <alignment horizontal="center" vertical="center"/>
      <protection hidden="1"/>
    </xf>
    <xf numFmtId="0" fontId="14" fillId="0" borderId="49" xfId="23" applyFont="1" applyBorder="1" applyAlignment="1" applyProtection="1">
      <alignment horizontal="center"/>
      <protection hidden="1"/>
    </xf>
    <xf numFmtId="167" fontId="14" fillId="0" borderId="43" xfId="24" applyNumberFormat="1" applyFont="1" applyBorder="1" applyAlignment="1" applyProtection="1">
      <alignment horizontal="center"/>
      <protection hidden="1"/>
    </xf>
    <xf numFmtId="0" fontId="14" fillId="0" borderId="43" xfId="23" applyFont="1" applyBorder="1" applyAlignment="1" applyProtection="1">
      <alignment horizontal="center"/>
      <protection hidden="1"/>
    </xf>
    <xf numFmtId="0" fontId="14" fillId="0" borderId="0" xfId="23" applyFont="1" applyAlignment="1" applyProtection="1">
      <alignment horizontal="center" vertical="center"/>
      <protection hidden="1"/>
    </xf>
    <xf numFmtId="0" fontId="14" fillId="0" borderId="54" xfId="23" applyFont="1" applyBorder="1" applyAlignment="1" applyProtection="1">
      <alignment horizontal="center"/>
      <protection hidden="1"/>
    </xf>
    <xf numFmtId="1" fontId="3" fillId="0" borderId="0" xfId="23" applyNumberFormat="1" applyAlignment="1" applyProtection="1">
      <alignment horizontal="center"/>
      <protection hidden="1"/>
    </xf>
    <xf numFmtId="0" fontId="41" fillId="0" borderId="0" xfId="23" applyFont="1"/>
    <xf numFmtId="0" fontId="37" fillId="0" borderId="0" xfId="23" applyFont="1" applyAlignment="1">
      <alignment horizontal="right"/>
    </xf>
    <xf numFmtId="0" fontId="37" fillId="0" borderId="55" xfId="23" applyFont="1" applyBorder="1" applyAlignment="1">
      <alignment vertical="center"/>
    </xf>
    <xf numFmtId="1" fontId="37" fillId="0" borderId="59" xfId="23" applyNumberFormat="1" applyFont="1" applyBorder="1" applyAlignment="1">
      <alignment horizontal="center" vertical="center" wrapText="1"/>
    </xf>
    <xf numFmtId="1" fontId="40" fillId="0" borderId="1" xfId="23" applyNumberFormat="1" applyFont="1" applyBorder="1" applyAlignment="1" applyProtection="1">
      <alignment horizontal="center" wrapText="1"/>
      <protection locked="0"/>
    </xf>
    <xf numFmtId="1" fontId="40" fillId="0" borderId="59" xfId="23" applyNumberFormat="1" applyFont="1" applyBorder="1" applyAlignment="1" applyProtection="1">
      <alignment horizontal="center" vertical="center" wrapText="1"/>
      <protection locked="0"/>
    </xf>
    <xf numFmtId="1" fontId="40" fillId="0" borderId="60" xfId="23" applyNumberFormat="1" applyFont="1" applyBorder="1" applyAlignment="1" applyProtection="1">
      <alignment horizontal="center" vertical="center" wrapText="1"/>
      <protection locked="0"/>
    </xf>
    <xf numFmtId="0" fontId="41" fillId="0" borderId="0" xfId="23" quotePrefix="1" applyFont="1"/>
    <xf numFmtId="0" fontId="41" fillId="0" borderId="0" xfId="23" applyFont="1" applyAlignment="1">
      <alignment horizontal="center" vertical="center"/>
    </xf>
    <xf numFmtId="0" fontId="42" fillId="0" borderId="0" xfId="23" applyFont="1" applyAlignment="1">
      <alignment vertical="center"/>
    </xf>
    <xf numFmtId="9" fontId="41" fillId="0" borderId="47" xfId="24" applyFont="1" applyBorder="1" applyAlignment="1" applyProtection="1">
      <alignment horizontal="center" vertical="center"/>
    </xf>
    <xf numFmtId="9" fontId="41" fillId="0" borderId="45" xfId="24" applyFont="1" applyBorder="1" applyAlignment="1" applyProtection="1">
      <alignment horizontal="center" vertical="center"/>
    </xf>
    <xf numFmtId="9" fontId="41" fillId="0" borderId="46" xfId="24" applyFont="1" applyBorder="1" applyAlignment="1" applyProtection="1">
      <alignment horizontal="center" vertical="center"/>
    </xf>
    <xf numFmtId="9" fontId="41" fillId="0" borderId="49" xfId="24" applyFont="1" applyBorder="1" applyAlignment="1" applyProtection="1">
      <alignment horizontal="center" vertical="center"/>
    </xf>
    <xf numFmtId="9" fontId="41" fillId="0" borderId="0" xfId="24" applyFont="1" applyBorder="1" applyAlignment="1" applyProtection="1">
      <alignment horizontal="center" vertical="center"/>
    </xf>
    <xf numFmtId="9" fontId="41" fillId="0" borderId="43" xfId="24" applyFont="1" applyBorder="1" applyAlignment="1" applyProtection="1">
      <alignment horizontal="center" vertical="center"/>
    </xf>
    <xf numFmtId="9" fontId="41" fillId="0" borderId="41" xfId="24" applyFont="1" applyBorder="1" applyAlignment="1" applyProtection="1">
      <alignment horizontal="center" vertical="center"/>
    </xf>
    <xf numFmtId="9" fontId="41" fillId="0" borderId="39" xfId="24" applyFont="1" applyBorder="1" applyAlignment="1" applyProtection="1">
      <alignment horizontal="center" vertical="center"/>
    </xf>
    <xf numFmtId="9" fontId="41" fillId="0" borderId="40" xfId="24" applyFont="1" applyBorder="1" applyAlignment="1" applyProtection="1">
      <alignment horizontal="center" vertical="center"/>
    </xf>
    <xf numFmtId="1" fontId="37" fillId="0" borderId="61" xfId="23" applyNumberFormat="1" applyFont="1" applyBorder="1" applyAlignment="1">
      <alignment horizontal="center" vertical="center" wrapText="1"/>
    </xf>
    <xf numFmtId="1" fontId="37" fillId="0" borderId="62" xfId="23" applyNumberFormat="1" applyFont="1" applyBorder="1" applyAlignment="1">
      <alignment horizontal="center" vertical="center" wrapText="1"/>
    </xf>
    <xf numFmtId="1" fontId="40" fillId="0" borderId="63" xfId="23" applyNumberFormat="1" applyFont="1" applyBorder="1" applyAlignment="1" applyProtection="1">
      <alignment horizontal="center" vertical="center" wrapText="1"/>
      <protection locked="0"/>
    </xf>
    <xf numFmtId="1" fontId="40" fillId="0" borderId="62" xfId="23" applyNumberFormat="1" applyFont="1" applyBorder="1" applyAlignment="1" applyProtection="1">
      <alignment horizontal="center" vertical="center" wrapText="1"/>
      <protection locked="0"/>
    </xf>
    <xf numFmtId="49" fontId="39" fillId="0" borderId="54" xfId="23" applyNumberFormat="1" applyFont="1" applyBorder="1" applyAlignment="1">
      <alignment horizontal="left" vertical="top"/>
    </xf>
    <xf numFmtId="0" fontId="39" fillId="0" borderId="60" xfId="23" applyFont="1" applyBorder="1" applyAlignment="1">
      <alignment vertical="top"/>
    </xf>
    <xf numFmtId="0" fontId="39" fillId="0" borderId="16" xfId="23" applyFont="1" applyBorder="1" applyAlignment="1">
      <alignment vertical="top"/>
    </xf>
    <xf numFmtId="0" fontId="39" fillId="0" borderId="67" xfId="23" applyFont="1" applyBorder="1" applyAlignment="1">
      <alignment vertical="top"/>
    </xf>
    <xf numFmtId="0" fontId="43" fillId="0" borderId="0" xfId="23" applyFont="1" applyAlignment="1">
      <alignment horizontal="left" vertical="top"/>
    </xf>
    <xf numFmtId="10" fontId="39" fillId="0" borderId="49" xfId="23" applyNumberFormat="1" applyFont="1" applyBorder="1" applyAlignment="1" applyProtection="1">
      <alignment horizontal="left" vertical="top"/>
      <protection hidden="1"/>
    </xf>
    <xf numFmtId="0" fontId="39" fillId="0" borderId="49" xfId="23" applyFont="1" applyBorder="1" applyAlignment="1" applyProtection="1">
      <alignment horizontal="left" vertical="top"/>
      <protection hidden="1"/>
    </xf>
    <xf numFmtId="0" fontId="39" fillId="0" borderId="43" xfId="23" applyFont="1" applyBorder="1" applyAlignment="1" applyProtection="1">
      <alignment horizontal="left" vertical="top"/>
      <protection hidden="1"/>
    </xf>
    <xf numFmtId="0" fontId="38" fillId="0" borderId="69" xfId="23" quotePrefix="1" applyFont="1" applyBorder="1" applyAlignment="1">
      <alignment horizontal="center" vertical="center"/>
    </xf>
    <xf numFmtId="0" fontId="38" fillId="0" borderId="21" xfId="23" applyFont="1" applyBorder="1" applyAlignment="1" applyProtection="1">
      <alignment horizontal="center" vertical="center"/>
      <protection locked="0"/>
    </xf>
    <xf numFmtId="0" fontId="45" fillId="0" borderId="0" xfId="23" applyFont="1"/>
    <xf numFmtId="0" fontId="45" fillId="0" borderId="0" xfId="23" applyFont="1" applyProtection="1">
      <protection hidden="1"/>
    </xf>
    <xf numFmtId="0" fontId="14" fillId="0" borderId="49" xfId="23" applyFont="1" applyBorder="1" applyProtection="1">
      <protection hidden="1"/>
    </xf>
    <xf numFmtId="167" fontId="37" fillId="0" borderId="0" xfId="23" applyNumberFormat="1" applyFont="1" applyProtection="1">
      <protection hidden="1"/>
    </xf>
    <xf numFmtId="0" fontId="37" fillId="0" borderId="49" xfId="23" applyFont="1" applyBorder="1" applyProtection="1">
      <protection hidden="1"/>
    </xf>
    <xf numFmtId="0" fontId="46" fillId="0" borderId="0" xfId="23" applyFont="1" applyProtection="1">
      <protection hidden="1"/>
    </xf>
    <xf numFmtId="0" fontId="14" fillId="0" borderId="0" xfId="23" applyFont="1" applyProtection="1">
      <protection locked="0"/>
    </xf>
    <xf numFmtId="0" fontId="14" fillId="0" borderId="0" xfId="23" applyFont="1" applyAlignment="1" applyProtection="1">
      <alignment horizontal="right" vertical="center"/>
      <protection hidden="1"/>
    </xf>
    <xf numFmtId="0" fontId="47" fillId="0" borderId="0" xfId="23" applyFont="1" applyAlignment="1" applyProtection="1">
      <alignment horizontal="center" vertical="top" wrapText="1"/>
      <protection hidden="1"/>
    </xf>
    <xf numFmtId="9" fontId="14" fillId="0" borderId="0" xfId="23" applyNumberFormat="1" applyFont="1" applyProtection="1">
      <protection hidden="1"/>
    </xf>
    <xf numFmtId="10" fontId="14" fillId="0" borderId="0" xfId="24" applyNumberFormat="1" applyFont="1" applyProtection="1">
      <protection hidden="1"/>
    </xf>
    <xf numFmtId="167" fontId="14" fillId="0" borderId="0" xfId="23" applyNumberFormat="1" applyFont="1" applyProtection="1">
      <protection hidden="1"/>
    </xf>
    <xf numFmtId="1" fontId="14" fillId="0" borderId="0" xfId="23" applyNumberFormat="1" applyFont="1"/>
    <xf numFmtId="0" fontId="14" fillId="0" borderId="0" xfId="23" applyFont="1" applyAlignment="1" applyProtection="1">
      <alignment horizontal="right"/>
      <protection hidden="1"/>
    </xf>
    <xf numFmtId="0" fontId="48" fillId="0" borderId="0" xfId="23" applyFont="1" applyAlignment="1" applyProtection="1">
      <alignment horizontal="center" wrapText="1"/>
      <protection hidden="1"/>
    </xf>
    <xf numFmtId="9" fontId="3" fillId="0" borderId="0" xfId="23" applyNumberFormat="1" applyProtection="1">
      <protection hidden="1"/>
    </xf>
    <xf numFmtId="10" fontId="3" fillId="0" borderId="0" xfId="23" applyNumberFormat="1" applyProtection="1">
      <protection hidden="1"/>
    </xf>
    <xf numFmtId="0" fontId="47" fillId="0" borderId="0" xfId="23" applyFont="1" applyAlignment="1" applyProtection="1">
      <alignment horizontal="center" wrapText="1"/>
      <protection hidden="1"/>
    </xf>
    <xf numFmtId="0" fontId="3" fillId="0" borderId="0" xfId="23" applyAlignment="1" applyProtection="1">
      <alignment wrapText="1"/>
      <protection hidden="1"/>
    </xf>
    <xf numFmtId="167" fontId="41" fillId="0" borderId="0" xfId="23" applyNumberFormat="1" applyFont="1" applyProtection="1">
      <protection hidden="1"/>
    </xf>
    <xf numFmtId="49" fontId="37" fillId="0" borderId="0" xfId="23" applyNumberFormat="1" applyFont="1" applyProtection="1">
      <protection hidden="1"/>
    </xf>
    <xf numFmtId="0" fontId="37" fillId="0" borderId="0" xfId="25" applyFont="1"/>
    <xf numFmtId="0" fontId="37" fillId="0" borderId="0" xfId="25" applyFont="1" applyProtection="1">
      <protection hidden="1"/>
    </xf>
    <xf numFmtId="10" fontId="37" fillId="0" borderId="0" xfId="25" applyNumberFormat="1" applyFont="1" applyProtection="1">
      <protection hidden="1"/>
    </xf>
    <xf numFmtId="0" fontId="2" fillId="0" borderId="0" xfId="25"/>
    <xf numFmtId="0" fontId="14" fillId="0" borderId="0" xfId="25" applyFont="1"/>
    <xf numFmtId="0" fontId="14" fillId="0" borderId="0" xfId="25" applyFont="1" applyProtection="1">
      <protection hidden="1"/>
    </xf>
    <xf numFmtId="10" fontId="14" fillId="0" borderId="0" xfId="25" applyNumberFormat="1" applyFont="1" applyProtection="1">
      <protection hidden="1"/>
    </xf>
    <xf numFmtId="0" fontId="2" fillId="0" borderId="0" xfId="25" applyProtection="1">
      <protection hidden="1"/>
    </xf>
    <xf numFmtId="0" fontId="14" fillId="0" borderId="0" xfId="25" applyFont="1" applyAlignment="1">
      <alignment horizontal="center" vertical="center"/>
    </xf>
    <xf numFmtId="0" fontId="39" fillId="0" borderId="0" xfId="25" applyFont="1" applyAlignment="1">
      <alignment horizontal="left" vertical="top"/>
    </xf>
    <xf numFmtId="0" fontId="39" fillId="0" borderId="0" xfId="25" applyFont="1" applyAlignment="1" applyProtection="1">
      <alignment horizontal="left" vertical="top"/>
      <protection hidden="1"/>
    </xf>
    <xf numFmtId="10" fontId="39" fillId="0" borderId="0" xfId="25" applyNumberFormat="1" applyFont="1" applyAlignment="1" applyProtection="1">
      <alignment horizontal="left" vertical="top"/>
      <protection hidden="1"/>
    </xf>
    <xf numFmtId="0" fontId="42" fillId="0" borderId="0" xfId="25" applyFont="1" applyAlignment="1">
      <alignment horizontal="left" vertical="center"/>
    </xf>
    <xf numFmtId="0" fontId="39" fillId="0" borderId="0" xfId="25" applyFont="1" applyAlignment="1">
      <alignment horizontal="left" vertical="center"/>
    </xf>
    <xf numFmtId="0" fontId="39" fillId="0" borderId="0" xfId="25" applyFont="1" applyAlignment="1" applyProtection="1">
      <alignment horizontal="left" vertical="center"/>
      <protection hidden="1"/>
    </xf>
    <xf numFmtId="10" fontId="39" fillId="0" borderId="0" xfId="25" applyNumberFormat="1" applyFont="1" applyAlignment="1" applyProtection="1">
      <alignment horizontal="left" vertical="center"/>
      <protection hidden="1"/>
    </xf>
    <xf numFmtId="0" fontId="37" fillId="0" borderId="0" xfId="25" applyFont="1" applyAlignment="1" applyProtection="1">
      <alignment vertical="center"/>
      <protection hidden="1"/>
    </xf>
    <xf numFmtId="0" fontId="14" fillId="0" borderId="0" xfId="25" applyFont="1" applyAlignment="1" applyProtection="1">
      <alignment vertical="center"/>
      <protection hidden="1"/>
    </xf>
    <xf numFmtId="0" fontId="14" fillId="0" borderId="43" xfId="25" applyFont="1" applyBorder="1" applyAlignment="1" applyProtection="1">
      <alignment horizontal="right" vertical="center"/>
      <protection hidden="1"/>
    </xf>
    <xf numFmtId="0" fontId="14" fillId="0" borderId="8" xfId="25" applyFont="1" applyBorder="1" applyAlignment="1" applyProtection="1">
      <alignment vertical="center"/>
      <protection hidden="1"/>
    </xf>
    <xf numFmtId="0" fontId="14" fillId="4" borderId="0" xfId="25" applyFont="1" applyFill="1" applyAlignment="1" applyProtection="1">
      <alignment vertical="center"/>
      <protection hidden="1"/>
    </xf>
    <xf numFmtId="0" fontId="2" fillId="0" borderId="0" xfId="25" applyAlignment="1" applyProtection="1">
      <alignment horizontal="center"/>
      <protection hidden="1"/>
    </xf>
    <xf numFmtId="0" fontId="81" fillId="0" borderId="0" xfId="25" applyFont="1"/>
    <xf numFmtId="0" fontId="14" fillId="0" borderId="0" xfId="25" applyFont="1" applyAlignment="1">
      <alignment vertical="center"/>
    </xf>
    <xf numFmtId="0" fontId="42" fillId="0" borderId="0" xfId="25" applyFont="1" applyAlignment="1">
      <alignment horizontal="center" vertical="center"/>
    </xf>
    <xf numFmtId="0" fontId="41" fillId="0" borderId="0" xfId="25" applyFont="1" applyAlignment="1">
      <alignment horizontal="left" vertical="center"/>
    </xf>
    <xf numFmtId="0" fontId="2" fillId="0" borderId="0" xfId="25" applyAlignment="1" applyProtection="1">
      <alignment vertical="center"/>
      <protection hidden="1"/>
    </xf>
    <xf numFmtId="10" fontId="37" fillId="0" borderId="0" xfId="25" applyNumberFormat="1" applyFont="1" applyAlignment="1" applyProtection="1">
      <alignment horizontal="left" vertical="center"/>
      <protection hidden="1"/>
    </xf>
    <xf numFmtId="0" fontId="37" fillId="0" borderId="0" xfId="25" applyFont="1" applyAlignment="1" applyProtection="1">
      <alignment horizontal="left" vertical="center"/>
      <protection hidden="1"/>
    </xf>
    <xf numFmtId="9" fontId="14" fillId="0" borderId="0" xfId="26" applyFont="1" applyAlignment="1" applyProtection="1">
      <alignment vertical="center"/>
      <protection hidden="1"/>
    </xf>
    <xf numFmtId="9" fontId="14" fillId="0" borderId="0" xfId="25" applyNumberFormat="1" applyFont="1" applyAlignment="1" applyProtection="1">
      <alignment vertical="center"/>
      <protection hidden="1"/>
    </xf>
    <xf numFmtId="0" fontId="14" fillId="0" borderId="47" xfId="25" applyFont="1" applyBorder="1" applyAlignment="1" applyProtection="1">
      <alignment vertical="center"/>
      <protection hidden="1"/>
    </xf>
    <xf numFmtId="0" fontId="14" fillId="0" borderId="46" xfId="25" applyFont="1" applyBorder="1" applyAlignment="1" applyProtection="1">
      <alignment vertical="center"/>
      <protection hidden="1"/>
    </xf>
    <xf numFmtId="0" fontId="14" fillId="0" borderId="45" xfId="25" applyFont="1" applyBorder="1" applyAlignment="1" applyProtection="1">
      <alignment vertical="center"/>
      <protection hidden="1"/>
    </xf>
    <xf numFmtId="0" fontId="14" fillId="0" borderId="46" xfId="25" applyFont="1" applyBorder="1" applyAlignment="1" applyProtection="1">
      <alignment horizontal="left" vertical="center"/>
      <protection hidden="1"/>
    </xf>
    <xf numFmtId="0" fontId="14" fillId="0" borderId="50" xfId="25" applyFont="1" applyBorder="1" applyAlignment="1" applyProtection="1">
      <alignment horizontal="left" vertical="center"/>
      <protection hidden="1"/>
    </xf>
    <xf numFmtId="0" fontId="41" fillId="0" borderId="52" xfId="25" applyFont="1" applyBorder="1" applyAlignment="1">
      <alignment horizontal="center" wrapText="1"/>
    </xf>
    <xf numFmtId="0" fontId="41" fillId="0" borderId="9" xfId="25" applyFont="1" applyBorder="1" applyAlignment="1">
      <alignment horizontal="center" wrapText="1"/>
    </xf>
    <xf numFmtId="0" fontId="41" fillId="0" borderId="4" xfId="25" applyFont="1" applyBorder="1" applyAlignment="1">
      <alignment horizontal="center" wrapText="1"/>
    </xf>
    <xf numFmtId="0" fontId="41" fillId="0" borderId="3" xfId="25" applyFont="1" applyBorder="1" applyAlignment="1">
      <alignment horizontal="center" wrapText="1"/>
    </xf>
    <xf numFmtId="0" fontId="41" fillId="0" borderId="10" xfId="25" applyFont="1" applyBorder="1" applyAlignment="1">
      <alignment horizontal="center" wrapText="1"/>
    </xf>
    <xf numFmtId="0" fontId="14" fillId="0" borderId="0" xfId="25" applyFont="1" applyAlignment="1" applyProtection="1">
      <alignment wrapText="1"/>
      <protection hidden="1"/>
    </xf>
    <xf numFmtId="10" fontId="37" fillId="0" borderId="49" xfId="25" applyNumberFormat="1" applyFont="1" applyBorder="1" applyAlignment="1" applyProtection="1">
      <alignment horizontal="center" vertical="center" wrapText="1"/>
      <protection hidden="1"/>
    </xf>
    <xf numFmtId="0" fontId="37" fillId="0" borderId="0" xfId="25" applyFont="1" applyAlignment="1" applyProtection="1">
      <alignment horizontal="center" vertical="center" wrapText="1"/>
      <protection hidden="1"/>
    </xf>
    <xf numFmtId="0" fontId="41" fillId="0" borderId="0" xfId="25" applyFont="1" applyAlignment="1" applyProtection="1">
      <alignment horizontal="center" vertical="center" wrapText="1"/>
      <protection hidden="1"/>
    </xf>
    <xf numFmtId="0" fontId="37" fillId="0" borderId="47" xfId="25" applyFont="1" applyBorder="1" applyAlignment="1" applyProtection="1">
      <alignment horizontal="center" vertical="center" wrapText="1"/>
      <protection hidden="1"/>
    </xf>
    <xf numFmtId="0" fontId="37" fillId="0" borderId="45" xfId="25" applyFont="1" applyBorder="1" applyAlignment="1" applyProtection="1">
      <alignment horizontal="center" vertical="center" wrapText="1"/>
      <protection hidden="1"/>
    </xf>
    <xf numFmtId="0" fontId="37" fillId="0" borderId="46" xfId="25" applyFont="1" applyBorder="1" applyAlignment="1" applyProtection="1">
      <alignment horizontal="center" vertical="center" wrapText="1"/>
      <protection hidden="1"/>
    </xf>
    <xf numFmtId="0" fontId="14" fillId="5" borderId="49" xfId="25" applyFont="1" applyFill="1" applyBorder="1" applyAlignment="1" applyProtection="1">
      <alignment wrapText="1"/>
      <protection hidden="1"/>
    </xf>
    <xf numFmtId="0" fontId="14" fillId="5" borderId="43" xfId="25" applyFont="1" applyFill="1" applyBorder="1" applyAlignment="1" applyProtection="1">
      <alignment wrapText="1"/>
      <protection hidden="1"/>
    </xf>
    <xf numFmtId="0" fontId="14" fillId="5" borderId="0" xfId="25" applyFont="1" applyFill="1" applyAlignment="1" applyProtection="1">
      <alignment wrapText="1"/>
      <protection hidden="1"/>
    </xf>
    <xf numFmtId="0" fontId="14" fillId="4" borderId="49" xfId="25" applyFont="1" applyFill="1" applyBorder="1" applyAlignment="1" applyProtection="1">
      <alignment wrapText="1"/>
      <protection hidden="1"/>
    </xf>
    <xf numFmtId="0" fontId="14" fillId="4" borderId="0" xfId="25" applyFont="1" applyFill="1" applyAlignment="1" applyProtection="1">
      <alignment wrapText="1"/>
      <protection hidden="1"/>
    </xf>
    <xf numFmtId="0" fontId="14" fillId="4" borderId="43" xfId="25" applyFont="1" applyFill="1" applyBorder="1" applyAlignment="1" applyProtection="1">
      <alignment wrapText="1"/>
      <protection hidden="1"/>
    </xf>
    <xf numFmtId="0" fontId="14" fillId="4" borderId="54" xfId="25" applyFont="1" applyFill="1" applyBorder="1" applyAlignment="1" applyProtection="1">
      <alignment wrapText="1"/>
      <protection hidden="1"/>
    </xf>
    <xf numFmtId="0" fontId="41" fillId="0" borderId="0" xfId="25" applyFont="1" applyAlignment="1">
      <alignment vertical="center"/>
    </xf>
    <xf numFmtId="0" fontId="40" fillId="0" borderId="0" xfId="25" applyFont="1"/>
    <xf numFmtId="0" fontId="37" fillId="0" borderId="55" xfId="25" applyFont="1" applyBorder="1"/>
    <xf numFmtId="1" fontId="37" fillId="0" borderId="58" xfId="25" applyNumberFormat="1" applyFont="1" applyBorder="1" applyAlignment="1">
      <alignment horizontal="center" vertical="center" wrapText="1"/>
    </xf>
    <xf numFmtId="1" fontId="37" fillId="0" borderId="8" xfId="25" applyNumberFormat="1" applyFont="1" applyBorder="1" applyAlignment="1">
      <alignment horizontal="center" vertical="center" wrapText="1"/>
    </xf>
    <xf numFmtId="1" fontId="37" fillId="0" borderId="11" xfId="25" applyNumberFormat="1" applyFont="1" applyBorder="1" applyAlignment="1">
      <alignment horizontal="center" vertical="center" wrapText="1"/>
    </xf>
    <xf numFmtId="1" fontId="40" fillId="0" borderId="12" xfId="25" applyNumberFormat="1" applyFont="1" applyBorder="1" applyAlignment="1" applyProtection="1">
      <alignment horizontal="center" wrapText="1"/>
      <protection locked="0"/>
    </xf>
    <xf numFmtId="1" fontId="40" fillId="0" borderId="11" xfId="25" applyNumberFormat="1" applyFont="1" applyBorder="1" applyAlignment="1" applyProtection="1">
      <alignment horizontal="center" wrapText="1"/>
      <protection locked="0"/>
    </xf>
    <xf numFmtId="0" fontId="14" fillId="0" borderId="0" xfId="25" applyFont="1" applyAlignment="1" applyProtection="1">
      <alignment horizontal="center"/>
      <protection hidden="1"/>
    </xf>
    <xf numFmtId="10" fontId="14" fillId="0" borderId="49" xfId="26" applyNumberFormat="1" applyFont="1" applyBorder="1" applyAlignment="1" applyProtection="1">
      <alignment horizontal="center" vertical="center"/>
      <protection hidden="1"/>
    </xf>
    <xf numFmtId="0" fontId="14" fillId="0" borderId="0" xfId="26" applyNumberFormat="1" applyFont="1" applyBorder="1" applyAlignment="1" applyProtection="1">
      <alignment horizontal="center" vertical="center"/>
      <protection hidden="1"/>
    </xf>
    <xf numFmtId="0" fontId="14" fillId="0" borderId="49" xfId="25" applyFont="1" applyBorder="1" applyAlignment="1" applyProtection="1">
      <alignment horizontal="center" vertical="center"/>
      <protection hidden="1"/>
    </xf>
    <xf numFmtId="167" fontId="14" fillId="0" borderId="0" xfId="26" applyNumberFormat="1" applyFont="1" applyBorder="1" applyAlignment="1" applyProtection="1">
      <alignment horizontal="center" vertical="center"/>
      <protection hidden="1"/>
    </xf>
    <xf numFmtId="0" fontId="14" fillId="0" borderId="49" xfId="26" applyNumberFormat="1" applyFont="1" applyBorder="1" applyAlignment="1" applyProtection="1">
      <alignment horizontal="center" vertical="center"/>
      <protection hidden="1"/>
    </xf>
    <xf numFmtId="0" fontId="14" fillId="0" borderId="49" xfId="25" applyFont="1" applyBorder="1" applyAlignment="1" applyProtection="1">
      <alignment horizontal="center"/>
      <protection hidden="1"/>
    </xf>
    <xf numFmtId="167" fontId="14" fillId="0" borderId="43" xfId="26" applyNumberFormat="1" applyFont="1" applyBorder="1" applyAlignment="1" applyProtection="1">
      <alignment horizontal="center"/>
      <protection hidden="1"/>
    </xf>
    <xf numFmtId="0" fontId="14" fillId="0" borderId="43" xfId="25" applyFont="1" applyBorder="1" applyAlignment="1" applyProtection="1">
      <alignment horizontal="center"/>
      <protection hidden="1"/>
    </xf>
    <xf numFmtId="0" fontId="14" fillId="0" borderId="0" xfId="25" applyFont="1" applyAlignment="1" applyProtection="1">
      <alignment horizontal="center" vertical="center"/>
      <protection hidden="1"/>
    </xf>
    <xf numFmtId="0" fontId="14" fillId="0" borderId="54" xfId="25" applyFont="1" applyBorder="1" applyAlignment="1" applyProtection="1">
      <alignment horizontal="center"/>
      <protection hidden="1"/>
    </xf>
    <xf numFmtId="1" fontId="2" fillId="0" borderId="0" xfId="25" applyNumberFormat="1" applyAlignment="1" applyProtection="1">
      <alignment horizontal="center"/>
      <protection hidden="1"/>
    </xf>
    <xf numFmtId="0" fontId="41" fillId="0" borderId="0" xfId="25" applyFont="1"/>
    <xf numFmtId="0" fontId="37" fillId="0" borderId="0" xfId="25" applyFont="1" applyAlignment="1">
      <alignment horizontal="right"/>
    </xf>
    <xf numFmtId="0" fontId="37" fillId="0" borderId="55" xfId="25" applyFont="1" applyBorder="1" applyAlignment="1">
      <alignment vertical="center"/>
    </xf>
    <xf numFmtId="1" fontId="37" fillId="0" borderId="59" xfId="25" applyNumberFormat="1" applyFont="1" applyBorder="1" applyAlignment="1">
      <alignment horizontal="center" vertical="center" wrapText="1"/>
    </xf>
    <xf numFmtId="1" fontId="40" fillId="0" borderId="1" xfId="25" applyNumberFormat="1" applyFont="1" applyBorder="1" applyAlignment="1" applyProtection="1">
      <alignment horizontal="center" wrapText="1"/>
      <protection locked="0"/>
    </xf>
    <xf numFmtId="1" fontId="40" fillId="0" borderId="59" xfId="25" applyNumberFormat="1" applyFont="1" applyBorder="1" applyAlignment="1" applyProtection="1">
      <alignment horizontal="center" vertical="center" wrapText="1"/>
      <protection locked="0"/>
    </xf>
    <xf numFmtId="1" fontId="40" fillId="0" borderId="60" xfId="25" applyNumberFormat="1" applyFont="1" applyBorder="1" applyAlignment="1" applyProtection="1">
      <alignment horizontal="center" vertical="center" wrapText="1"/>
      <protection locked="0"/>
    </xf>
    <xf numFmtId="0" fontId="41" fillId="0" borderId="0" xfId="25" quotePrefix="1" applyFont="1"/>
    <xf numFmtId="0" fontId="41" fillId="0" borderId="0" xfId="25" applyFont="1" applyAlignment="1">
      <alignment horizontal="center" vertical="center"/>
    </xf>
    <xf numFmtId="0" fontId="42" fillId="0" borderId="0" xfId="25" applyFont="1" applyAlignment="1">
      <alignment vertical="center"/>
    </xf>
    <xf numFmtId="9" fontId="41" fillId="0" borderId="47" xfId="26" applyFont="1" applyBorder="1" applyAlignment="1" applyProtection="1">
      <alignment horizontal="center" vertical="center"/>
    </xf>
    <xf numFmtId="9" fontId="41" fillId="0" borderId="45" xfId="26" applyFont="1" applyBorder="1" applyAlignment="1" applyProtection="1">
      <alignment horizontal="center" vertical="center"/>
    </xf>
    <xf numFmtId="9" fontId="41" fillId="0" borderId="46" xfId="26" applyFont="1" applyBorder="1" applyAlignment="1" applyProtection="1">
      <alignment horizontal="center" vertical="center"/>
    </xf>
    <xf numFmtId="9" fontId="41" fillId="0" borderId="49" xfId="26" applyFont="1" applyBorder="1" applyAlignment="1" applyProtection="1">
      <alignment horizontal="center" vertical="center"/>
    </xf>
    <xf numFmtId="9" fontId="41" fillId="0" borderId="0" xfId="26" applyFont="1" applyBorder="1" applyAlignment="1" applyProtection="1">
      <alignment horizontal="center" vertical="center"/>
    </xf>
    <xf numFmtId="9" fontId="41" fillId="0" borderId="43" xfId="26" applyFont="1" applyBorder="1" applyAlignment="1" applyProtection="1">
      <alignment horizontal="center" vertical="center"/>
    </xf>
    <xf numFmtId="9" fontId="41" fillId="0" borderId="41" xfId="26" applyFont="1" applyBorder="1" applyAlignment="1" applyProtection="1">
      <alignment horizontal="center" vertical="center"/>
    </xf>
    <xf numFmtId="9" fontId="41" fillId="0" borderId="39" xfId="26" applyFont="1" applyBorder="1" applyAlignment="1" applyProtection="1">
      <alignment horizontal="center" vertical="center"/>
    </xf>
    <xf numFmtId="9" fontId="41" fillId="0" borderId="40" xfId="26" applyFont="1" applyBorder="1" applyAlignment="1" applyProtection="1">
      <alignment horizontal="center" vertical="center"/>
    </xf>
    <xf numFmtId="1" fontId="37" fillId="0" borderId="61" xfId="25" applyNumberFormat="1" applyFont="1" applyBorder="1" applyAlignment="1">
      <alignment horizontal="center" vertical="center" wrapText="1"/>
    </xf>
    <xf numFmtId="1" fontId="37" fillId="0" borderId="62" xfId="25" applyNumberFormat="1" applyFont="1" applyBorder="1" applyAlignment="1">
      <alignment horizontal="center" vertical="center" wrapText="1"/>
    </xf>
    <xf numFmtId="1" fontId="40" fillId="0" borderId="63" xfId="25" applyNumberFormat="1" applyFont="1" applyBorder="1" applyAlignment="1" applyProtection="1">
      <alignment horizontal="center" vertical="center" wrapText="1"/>
      <protection locked="0"/>
    </xf>
    <xf numFmtId="1" fontId="40" fillId="0" borderId="62" xfId="25" applyNumberFormat="1" applyFont="1" applyBorder="1" applyAlignment="1" applyProtection="1">
      <alignment horizontal="center" vertical="center" wrapText="1"/>
      <protection locked="0"/>
    </xf>
    <xf numFmtId="49" fontId="39" fillId="0" borderId="54" xfId="25" applyNumberFormat="1" applyFont="1" applyBorder="1" applyAlignment="1">
      <alignment horizontal="left" vertical="top"/>
    </xf>
    <xf numFmtId="0" fontId="39" fillId="0" borderId="60" xfId="25" applyFont="1" applyBorder="1" applyAlignment="1">
      <alignment vertical="top"/>
    </xf>
    <xf numFmtId="0" fontId="39" fillId="0" borderId="16" xfId="25" applyFont="1" applyBorder="1" applyAlignment="1">
      <alignment vertical="top"/>
    </xf>
    <xf numFmtId="0" fontId="39" fillId="0" borderId="67" xfId="25" applyFont="1" applyBorder="1" applyAlignment="1">
      <alignment vertical="top"/>
    </xf>
    <xf numFmtId="0" fontId="43" fillId="0" borderId="0" xfId="25" applyFont="1" applyAlignment="1">
      <alignment horizontal="left" vertical="top"/>
    </xf>
    <xf numFmtId="10" fontId="39" fillId="0" borderId="49" xfId="25" applyNumberFormat="1" applyFont="1" applyBorder="1" applyAlignment="1" applyProtection="1">
      <alignment horizontal="left" vertical="top"/>
      <protection hidden="1"/>
    </xf>
    <xf numFmtId="0" fontId="39" fillId="0" borderId="49" xfId="25" applyFont="1" applyBorder="1" applyAlignment="1" applyProtection="1">
      <alignment horizontal="left" vertical="top"/>
      <protection hidden="1"/>
    </xf>
    <xf numFmtId="0" fontId="39" fillId="0" borderId="43" xfId="25" applyFont="1" applyBorder="1" applyAlignment="1" applyProtection="1">
      <alignment horizontal="left" vertical="top"/>
      <protection hidden="1"/>
    </xf>
    <xf numFmtId="0" fontId="38" fillId="0" borderId="69" xfId="25" quotePrefix="1" applyFont="1" applyBorder="1" applyAlignment="1">
      <alignment horizontal="center" vertical="center"/>
    </xf>
    <xf numFmtId="0" fontId="38" fillId="0" borderId="21" xfId="25" applyFont="1" applyBorder="1" applyAlignment="1" applyProtection="1">
      <alignment horizontal="center" vertical="center"/>
      <protection locked="0"/>
    </xf>
    <xf numFmtId="0" fontId="45" fillId="0" borderId="0" xfId="25" applyFont="1"/>
    <xf numFmtId="0" fontId="45" fillId="0" borderId="0" xfId="25" applyFont="1" applyProtection="1">
      <protection hidden="1"/>
    </xf>
    <xf numFmtId="0" fontId="14" fillId="0" borderId="49" xfId="25" applyFont="1" applyBorder="1" applyProtection="1">
      <protection hidden="1"/>
    </xf>
    <xf numFmtId="167" fontId="37" fillId="0" borderId="0" xfId="25" applyNumberFormat="1" applyFont="1" applyProtection="1">
      <protection hidden="1"/>
    </xf>
    <xf numFmtId="0" fontId="37" fillId="0" borderId="49" xfId="25" applyFont="1" applyBorder="1" applyProtection="1">
      <protection hidden="1"/>
    </xf>
    <xf numFmtId="0" fontId="46" fillId="0" borderId="0" xfId="25" applyFont="1" applyProtection="1">
      <protection hidden="1"/>
    </xf>
    <xf numFmtId="0" fontId="14" fillId="0" borderId="0" xfId="25" applyFont="1" applyProtection="1">
      <protection locked="0"/>
    </xf>
    <xf numFmtId="0" fontId="14" fillId="0" borderId="0" xfId="25" applyFont="1" applyAlignment="1" applyProtection="1">
      <alignment horizontal="right" vertical="center"/>
      <protection hidden="1"/>
    </xf>
    <xf numFmtId="0" fontId="47" fillId="0" borderId="0" xfId="25" applyFont="1" applyAlignment="1" applyProtection="1">
      <alignment horizontal="center" vertical="top" wrapText="1"/>
      <protection hidden="1"/>
    </xf>
    <xf numFmtId="9" fontId="14" fillId="0" borderId="0" xfId="25" applyNumberFormat="1" applyFont="1" applyProtection="1">
      <protection hidden="1"/>
    </xf>
    <xf numFmtId="10" fontId="14" fillId="0" borderId="0" xfId="26" applyNumberFormat="1" applyFont="1" applyProtection="1">
      <protection hidden="1"/>
    </xf>
    <xf numFmtId="167" fontId="14" fillId="0" borderId="0" xfId="25" applyNumberFormat="1" applyFont="1" applyProtection="1">
      <protection hidden="1"/>
    </xf>
    <xf numFmtId="1" fontId="14" fillId="0" borderId="0" xfId="25" applyNumberFormat="1" applyFont="1"/>
    <xf numFmtId="0" fontId="14" fillId="0" borderId="0" xfId="25" applyFont="1" applyAlignment="1" applyProtection="1">
      <alignment horizontal="right"/>
      <protection hidden="1"/>
    </xf>
    <xf numFmtId="0" fontId="48" fillId="0" borderId="0" xfId="25" applyFont="1" applyAlignment="1" applyProtection="1">
      <alignment horizontal="center" wrapText="1"/>
      <protection hidden="1"/>
    </xf>
    <xf numFmtId="9" fontId="2" fillId="0" borderId="0" xfId="25" applyNumberFormat="1" applyProtection="1">
      <protection hidden="1"/>
    </xf>
    <xf numFmtId="10" fontId="2" fillId="0" borderId="0" xfId="25" applyNumberFormat="1" applyProtection="1">
      <protection hidden="1"/>
    </xf>
    <xf numFmtId="0" fontId="47" fillId="0" borderId="0" xfId="25" applyFont="1" applyAlignment="1" applyProtection="1">
      <alignment horizontal="center" wrapText="1"/>
      <protection hidden="1"/>
    </xf>
    <xf numFmtId="0" fontId="2" fillId="0" borderId="0" xfId="25" applyAlignment="1" applyProtection="1">
      <alignment wrapText="1"/>
      <protection hidden="1"/>
    </xf>
    <xf numFmtId="167" fontId="41" fillId="0" borderId="0" xfId="25" applyNumberFormat="1" applyFont="1" applyProtection="1">
      <protection hidden="1"/>
    </xf>
    <xf numFmtId="49" fontId="37" fillId="0" borderId="0" xfId="25" applyNumberFormat="1" applyFont="1" applyProtection="1">
      <protection hidden="1"/>
    </xf>
    <xf numFmtId="0" fontId="37" fillId="0" borderId="0" xfId="27" applyFont="1"/>
    <xf numFmtId="0" fontId="37" fillId="0" borderId="0" xfId="27" applyFont="1" applyProtection="1">
      <protection hidden="1"/>
    </xf>
    <xf numFmtId="10" fontId="37" fillId="0" borderId="0" xfId="27" applyNumberFormat="1" applyFont="1" applyProtection="1">
      <protection hidden="1"/>
    </xf>
    <xf numFmtId="0" fontId="2" fillId="0" borderId="0" xfId="27"/>
    <xf numFmtId="0" fontId="14" fillId="0" borderId="0" xfId="27" applyFont="1"/>
    <xf numFmtId="0" fontId="14" fillId="0" borderId="0" xfId="27" applyFont="1" applyProtection="1">
      <protection hidden="1"/>
    </xf>
    <xf numFmtId="10" fontId="14" fillId="0" borderId="0" xfId="27" applyNumberFormat="1" applyFont="1" applyProtection="1">
      <protection hidden="1"/>
    </xf>
    <xf numFmtId="0" fontId="2" fillId="0" borderId="0" xfId="27" applyProtection="1">
      <protection hidden="1"/>
    </xf>
    <xf numFmtId="0" fontId="14" fillId="0" borderId="0" xfId="27" applyFont="1" applyAlignment="1">
      <alignment horizontal="center" vertical="center"/>
    </xf>
    <xf numFmtId="0" fontId="39" fillId="0" borderId="0" xfId="27" applyFont="1" applyAlignment="1">
      <alignment horizontal="left" vertical="top"/>
    </xf>
    <xf numFmtId="0" fontId="39" fillId="0" borderId="0" xfId="27" applyFont="1" applyAlignment="1" applyProtection="1">
      <alignment horizontal="left" vertical="top"/>
      <protection hidden="1"/>
    </xf>
    <xf numFmtId="10" fontId="39" fillId="0" borderId="0" xfId="27" applyNumberFormat="1" applyFont="1" applyAlignment="1" applyProtection="1">
      <alignment horizontal="left" vertical="top"/>
      <protection hidden="1"/>
    </xf>
    <xf numFmtId="0" fontId="42" fillId="0" borderId="0" xfId="27" applyFont="1" applyAlignment="1">
      <alignment horizontal="left" vertical="center"/>
    </xf>
    <xf numFmtId="0" fontId="39" fillId="0" borderId="0" xfId="27" applyFont="1" applyAlignment="1">
      <alignment horizontal="left" vertical="center"/>
    </xf>
    <xf numFmtId="0" fontId="39" fillId="0" borderId="0" xfId="27" applyFont="1" applyAlignment="1" applyProtection="1">
      <alignment horizontal="left" vertical="center"/>
      <protection hidden="1"/>
    </xf>
    <xf numFmtId="10" fontId="39" fillId="0" borderId="0" xfId="27" applyNumberFormat="1" applyFont="1" applyAlignment="1" applyProtection="1">
      <alignment horizontal="left" vertical="center"/>
      <protection hidden="1"/>
    </xf>
    <xf numFmtId="0" fontId="37" fillId="0" borderId="0" xfId="27" applyFont="1" applyAlignment="1" applyProtection="1">
      <alignment vertical="center"/>
      <protection hidden="1"/>
    </xf>
    <xf numFmtId="0" fontId="14" fillId="0" borderId="0" xfId="27" applyFont="1" applyAlignment="1" applyProtection="1">
      <alignment vertical="center"/>
      <protection hidden="1"/>
    </xf>
    <xf numFmtId="0" fontId="14" fillId="0" borderId="43" xfId="27" applyFont="1" applyBorder="1" applyAlignment="1" applyProtection="1">
      <alignment horizontal="right" vertical="center"/>
      <protection hidden="1"/>
    </xf>
    <xf numFmtId="0" fontId="14" fillId="0" borderId="8" xfId="27" applyFont="1" applyBorder="1" applyAlignment="1" applyProtection="1">
      <alignment vertical="center"/>
      <protection hidden="1"/>
    </xf>
    <xf numFmtId="0" fontId="14" fillId="4" borderId="0" xfId="27" applyFont="1" applyFill="1" applyAlignment="1" applyProtection="1">
      <alignment vertical="center"/>
      <protection hidden="1"/>
    </xf>
    <xf numFmtId="0" fontId="2" fillId="0" borderId="0" xfId="27" applyAlignment="1" applyProtection="1">
      <alignment horizontal="center"/>
      <protection hidden="1"/>
    </xf>
    <xf numFmtId="0" fontId="81" fillId="0" borderId="0" xfId="27" applyFont="1"/>
    <xf numFmtId="0" fontId="14" fillId="0" borderId="0" xfId="27" applyFont="1" applyAlignment="1">
      <alignment vertical="center"/>
    </xf>
    <xf numFmtId="0" fontId="42" fillId="0" borderId="0" xfId="27" applyFont="1" applyAlignment="1">
      <alignment horizontal="center" vertical="center"/>
    </xf>
    <xf numFmtId="0" fontId="41" fillId="0" borderId="0" xfId="27" applyFont="1" applyAlignment="1">
      <alignment horizontal="left" vertical="center"/>
    </xf>
    <xf numFmtId="0" fontId="2" fillId="0" borderId="0" xfId="27" applyAlignment="1" applyProtection="1">
      <alignment vertical="center"/>
      <protection hidden="1"/>
    </xf>
    <xf numFmtId="10" fontId="37" fillId="0" borderId="0" xfId="27" applyNumberFormat="1" applyFont="1" applyAlignment="1" applyProtection="1">
      <alignment horizontal="left" vertical="center"/>
      <protection hidden="1"/>
    </xf>
    <xf numFmtId="0" fontId="37" fillId="0" borderId="0" xfId="27" applyFont="1" applyAlignment="1" applyProtection="1">
      <alignment horizontal="left" vertical="center"/>
      <protection hidden="1"/>
    </xf>
    <xf numFmtId="9" fontId="14" fillId="0" borderId="0" xfId="28" applyFont="1" applyAlignment="1" applyProtection="1">
      <alignment vertical="center"/>
      <protection hidden="1"/>
    </xf>
    <xf numFmtId="9" fontId="14" fillId="0" borderId="0" xfId="27" applyNumberFormat="1" applyFont="1" applyAlignment="1" applyProtection="1">
      <alignment vertical="center"/>
      <protection hidden="1"/>
    </xf>
    <xf numFmtId="0" fontId="14" fillId="0" borderId="47" xfId="27" applyFont="1" applyBorder="1" applyAlignment="1" applyProtection="1">
      <alignment vertical="center"/>
      <protection hidden="1"/>
    </xf>
    <xf numFmtId="0" fontId="14" fillId="0" borderId="46" xfId="27" applyFont="1" applyBorder="1" applyAlignment="1" applyProtection="1">
      <alignment vertical="center"/>
      <protection hidden="1"/>
    </xf>
    <xf numFmtId="0" fontId="14" fillId="0" borderId="45" xfId="27" applyFont="1" applyBorder="1" applyAlignment="1" applyProtection="1">
      <alignment vertical="center"/>
      <protection hidden="1"/>
    </xf>
    <xf numFmtId="0" fontId="14" fillId="0" borderId="46" xfId="27" applyFont="1" applyBorder="1" applyAlignment="1" applyProtection="1">
      <alignment horizontal="left" vertical="center"/>
      <protection hidden="1"/>
    </xf>
    <xf numFmtId="0" fontId="14" fillId="0" borderId="50" xfId="27" applyFont="1" applyBorder="1" applyAlignment="1" applyProtection="1">
      <alignment horizontal="left" vertical="center"/>
      <protection hidden="1"/>
    </xf>
    <xf numFmtId="0" fontId="41" fillId="0" borderId="52" xfId="27" applyFont="1" applyBorder="1" applyAlignment="1">
      <alignment horizontal="center" wrapText="1"/>
    </xf>
    <xf numFmtId="0" fontId="41" fillId="0" borderId="9" xfId="27" applyFont="1" applyBorder="1" applyAlignment="1">
      <alignment horizontal="center" wrapText="1"/>
    </xf>
    <xf numFmtId="0" fontId="41" fillId="0" borderId="4" xfId="27" applyFont="1" applyBorder="1" applyAlignment="1">
      <alignment horizontal="center" wrapText="1"/>
    </xf>
    <xf numFmtId="0" fontId="41" fillId="0" borderId="3" xfId="27" applyFont="1" applyBorder="1" applyAlignment="1">
      <alignment horizontal="center" wrapText="1"/>
    </xf>
    <xf numFmtId="0" fontId="41" fillId="0" borderId="10" xfId="27" applyFont="1" applyBorder="1" applyAlignment="1">
      <alignment horizontal="center" wrapText="1"/>
    </xf>
    <xf numFmtId="0" fontId="14" fillId="0" borderId="0" xfId="27" applyFont="1" applyAlignment="1" applyProtection="1">
      <alignment wrapText="1"/>
      <protection hidden="1"/>
    </xf>
    <xf numFmtId="10" fontId="37" fillId="0" borderId="49" xfId="27" applyNumberFormat="1" applyFont="1" applyBorder="1" applyAlignment="1" applyProtection="1">
      <alignment horizontal="center" vertical="center" wrapText="1"/>
      <protection hidden="1"/>
    </xf>
    <xf numFmtId="0" fontId="37" fillId="0" borderId="0" xfId="27" applyFont="1" applyAlignment="1" applyProtection="1">
      <alignment horizontal="center" vertical="center" wrapText="1"/>
      <protection hidden="1"/>
    </xf>
    <xf numFmtId="0" fontId="41" fillId="0" borderId="0" xfId="27" applyFont="1" applyAlignment="1" applyProtection="1">
      <alignment horizontal="center" vertical="center" wrapText="1"/>
      <protection hidden="1"/>
    </xf>
    <xf numFmtId="0" fontId="37" fillId="0" borderId="47" xfId="27" applyFont="1" applyBorder="1" applyAlignment="1" applyProtection="1">
      <alignment horizontal="center" vertical="center" wrapText="1"/>
      <protection hidden="1"/>
    </xf>
    <xf numFmtId="0" fontId="37" fillId="0" borderId="45" xfId="27" applyFont="1" applyBorder="1" applyAlignment="1" applyProtection="1">
      <alignment horizontal="center" vertical="center" wrapText="1"/>
      <protection hidden="1"/>
    </xf>
    <xf numFmtId="0" fontId="37" fillId="0" borderId="46" xfId="27" applyFont="1" applyBorder="1" applyAlignment="1" applyProtection="1">
      <alignment horizontal="center" vertical="center" wrapText="1"/>
      <protection hidden="1"/>
    </xf>
    <xf numFmtId="0" fontId="14" fillId="5" borderId="49" xfId="27" applyFont="1" applyFill="1" applyBorder="1" applyAlignment="1" applyProtection="1">
      <alignment wrapText="1"/>
      <protection hidden="1"/>
    </xf>
    <xf numFmtId="0" fontId="14" fillId="5" borderId="43" xfId="27" applyFont="1" applyFill="1" applyBorder="1" applyAlignment="1" applyProtection="1">
      <alignment wrapText="1"/>
      <protection hidden="1"/>
    </xf>
    <xf numFmtId="0" fontId="14" fillId="5" borderId="0" xfId="27" applyFont="1" applyFill="1" applyAlignment="1" applyProtection="1">
      <alignment wrapText="1"/>
      <protection hidden="1"/>
    </xf>
    <xf numFmtId="0" fontId="14" fillId="4" borderId="49" xfId="27" applyFont="1" applyFill="1" applyBorder="1" applyAlignment="1" applyProtection="1">
      <alignment wrapText="1"/>
      <protection hidden="1"/>
    </xf>
    <xf numFmtId="0" fontId="14" fillId="4" borderId="0" xfId="27" applyFont="1" applyFill="1" applyAlignment="1" applyProtection="1">
      <alignment wrapText="1"/>
      <protection hidden="1"/>
    </xf>
    <xf numFmtId="0" fontId="14" fillId="4" borderId="43" xfId="27" applyFont="1" applyFill="1" applyBorder="1" applyAlignment="1" applyProtection="1">
      <alignment wrapText="1"/>
      <protection hidden="1"/>
    </xf>
    <xf numFmtId="0" fontId="14" fillId="4" borderId="54" xfId="27" applyFont="1" applyFill="1" applyBorder="1" applyAlignment="1" applyProtection="1">
      <alignment wrapText="1"/>
      <protection hidden="1"/>
    </xf>
    <xf numFmtId="0" fontId="41" fillId="0" borderId="0" xfId="27" applyFont="1" applyAlignment="1">
      <alignment vertical="center"/>
    </xf>
    <xf numFmtId="0" fontId="40" fillId="0" borderId="0" xfId="27" applyFont="1"/>
    <xf numFmtId="0" fontId="37" fillId="0" borderId="55" xfId="27" applyFont="1" applyBorder="1"/>
    <xf numFmtId="1" fontId="37" fillId="0" borderId="58" xfId="27" applyNumberFormat="1" applyFont="1" applyBorder="1" applyAlignment="1">
      <alignment horizontal="center" vertical="center" wrapText="1"/>
    </xf>
    <xf numFmtId="1" fontId="37" fillId="0" borderId="8" xfId="27" applyNumberFormat="1" applyFont="1" applyBorder="1" applyAlignment="1">
      <alignment horizontal="center" vertical="center" wrapText="1"/>
    </xf>
    <xf numFmtId="1" fontId="37" fillId="0" borderId="11" xfId="27" applyNumberFormat="1" applyFont="1" applyBorder="1" applyAlignment="1">
      <alignment horizontal="center" vertical="center" wrapText="1"/>
    </xf>
    <xf numFmtId="1" fontId="40" fillId="0" borderId="12" xfId="27" applyNumberFormat="1" applyFont="1" applyBorder="1" applyAlignment="1" applyProtection="1">
      <alignment horizontal="center" wrapText="1"/>
      <protection locked="0"/>
    </xf>
    <xf numFmtId="1" fontId="40" fillId="0" borderId="11" xfId="27" applyNumberFormat="1" applyFont="1" applyBorder="1" applyAlignment="1" applyProtection="1">
      <alignment horizontal="center" wrapText="1"/>
      <protection locked="0"/>
    </xf>
    <xf numFmtId="0" fontId="14" fillId="0" borderId="0" xfId="27" applyFont="1" applyAlignment="1" applyProtection="1">
      <alignment horizontal="center"/>
      <protection hidden="1"/>
    </xf>
    <xf numFmtId="10" fontId="14" fillId="0" borderId="49" xfId="28" applyNumberFormat="1" applyFont="1" applyBorder="1" applyAlignment="1" applyProtection="1">
      <alignment horizontal="center" vertical="center"/>
      <protection hidden="1"/>
    </xf>
    <xf numFmtId="0" fontId="14" fillId="0" borderId="0" xfId="28" applyNumberFormat="1" applyFont="1" applyBorder="1" applyAlignment="1" applyProtection="1">
      <alignment horizontal="center" vertical="center"/>
      <protection hidden="1"/>
    </xf>
    <xf numFmtId="0" fontId="14" fillId="0" borderId="49" xfId="27" applyFont="1" applyBorder="1" applyAlignment="1" applyProtection="1">
      <alignment horizontal="center" vertical="center"/>
      <protection hidden="1"/>
    </xf>
    <xf numFmtId="167" fontId="14" fillId="0" borderId="0" xfId="28" applyNumberFormat="1" applyFont="1" applyBorder="1" applyAlignment="1" applyProtection="1">
      <alignment horizontal="center" vertical="center"/>
      <protection hidden="1"/>
    </xf>
    <xf numFmtId="0" fontId="14" fillId="0" borderId="49" xfId="28" applyNumberFormat="1" applyFont="1" applyBorder="1" applyAlignment="1" applyProtection="1">
      <alignment horizontal="center" vertical="center"/>
      <protection hidden="1"/>
    </xf>
    <xf numFmtId="0" fontId="14" fillId="0" borderId="49" xfId="27" applyFont="1" applyBorder="1" applyAlignment="1" applyProtection="1">
      <alignment horizontal="center"/>
      <protection hidden="1"/>
    </xf>
    <xf numFmtId="167" fontId="14" fillId="0" borderId="43" xfId="28" applyNumberFormat="1" applyFont="1" applyBorder="1" applyAlignment="1" applyProtection="1">
      <alignment horizontal="center"/>
      <protection hidden="1"/>
    </xf>
    <xf numFmtId="0" fontId="14" fillId="0" borderId="43" xfId="27" applyFont="1" applyBorder="1" applyAlignment="1" applyProtection="1">
      <alignment horizontal="center"/>
      <protection hidden="1"/>
    </xf>
    <xf numFmtId="0" fontId="14" fillId="0" borderId="0" xfId="27" applyFont="1" applyAlignment="1" applyProtection="1">
      <alignment horizontal="center" vertical="center"/>
      <protection hidden="1"/>
    </xf>
    <xf numFmtId="0" fontId="14" fillId="0" borderId="54" xfId="27" applyFont="1" applyBorder="1" applyAlignment="1" applyProtection="1">
      <alignment horizontal="center"/>
      <protection hidden="1"/>
    </xf>
    <xf numFmtId="1" fontId="2" fillId="0" borderId="0" xfId="27" applyNumberFormat="1" applyAlignment="1" applyProtection="1">
      <alignment horizontal="center"/>
      <protection hidden="1"/>
    </xf>
    <xf numFmtId="0" fontId="41" fillId="0" borderId="0" xfId="27" applyFont="1"/>
    <xf numFmtId="0" fontId="37" fillId="0" borderId="0" xfId="27" applyFont="1" applyAlignment="1">
      <alignment horizontal="right"/>
    </xf>
    <xf numFmtId="0" fontId="37" fillId="0" borderId="55" xfId="27" applyFont="1" applyBorder="1" applyAlignment="1">
      <alignment vertical="center"/>
    </xf>
    <xf numFmtId="1" fontId="37" fillId="0" borderId="59" xfId="27" applyNumberFormat="1" applyFont="1" applyBorder="1" applyAlignment="1">
      <alignment horizontal="center" vertical="center" wrapText="1"/>
    </xf>
    <xf numFmtId="1" fontId="40" fillId="0" borderId="1" xfId="27" applyNumberFormat="1" applyFont="1" applyBorder="1" applyAlignment="1" applyProtection="1">
      <alignment horizontal="center" wrapText="1"/>
      <protection locked="0"/>
    </xf>
    <xf numFmtId="1" fontId="40" fillId="0" borderId="59" xfId="27" applyNumberFormat="1" applyFont="1" applyBorder="1" applyAlignment="1" applyProtection="1">
      <alignment horizontal="center" vertical="center" wrapText="1"/>
      <protection locked="0"/>
    </xf>
    <xf numFmtId="1" fontId="40" fillId="0" borderId="60" xfId="27" applyNumberFormat="1" applyFont="1" applyBorder="1" applyAlignment="1" applyProtection="1">
      <alignment horizontal="center" vertical="center" wrapText="1"/>
      <protection locked="0"/>
    </xf>
    <xf numFmtId="0" fontId="41" fillId="0" borderId="0" xfId="27" quotePrefix="1" applyFont="1"/>
    <xf numFmtId="0" fontId="41" fillId="0" borderId="0" xfId="27" applyFont="1" applyAlignment="1">
      <alignment horizontal="center" vertical="center"/>
    </xf>
    <xf numFmtId="0" fontId="42" fillId="0" borderId="0" xfId="27" applyFont="1" applyAlignment="1">
      <alignment vertical="center"/>
    </xf>
    <xf numFmtId="9" fontId="41" fillId="0" borderId="47" xfId="28" applyFont="1" applyBorder="1" applyAlignment="1" applyProtection="1">
      <alignment horizontal="center" vertical="center"/>
    </xf>
    <xf numFmtId="9" fontId="41" fillId="0" borderId="45" xfId="28" applyFont="1" applyBorder="1" applyAlignment="1" applyProtection="1">
      <alignment horizontal="center" vertical="center"/>
    </xf>
    <xf numFmtId="9" fontId="41" fillId="0" borderId="46" xfId="28" applyFont="1" applyBorder="1" applyAlignment="1" applyProtection="1">
      <alignment horizontal="center" vertical="center"/>
    </xf>
    <xf numFmtId="9" fontId="41" fillId="0" borderId="49" xfId="28" applyFont="1" applyBorder="1" applyAlignment="1" applyProtection="1">
      <alignment horizontal="center" vertical="center"/>
    </xf>
    <xf numFmtId="9" fontId="41" fillId="0" borderId="0" xfId="28" applyFont="1" applyBorder="1" applyAlignment="1" applyProtection="1">
      <alignment horizontal="center" vertical="center"/>
    </xf>
    <xf numFmtId="9" fontId="41" fillId="0" borderId="43" xfId="28" applyFont="1" applyBorder="1" applyAlignment="1" applyProtection="1">
      <alignment horizontal="center" vertical="center"/>
    </xf>
    <xf numFmtId="9" fontId="41" fillId="0" borderId="41" xfId="28" applyFont="1" applyBorder="1" applyAlignment="1" applyProtection="1">
      <alignment horizontal="center" vertical="center"/>
    </xf>
    <xf numFmtId="9" fontId="41" fillId="0" borderId="39" xfId="28" applyFont="1" applyBorder="1" applyAlignment="1" applyProtection="1">
      <alignment horizontal="center" vertical="center"/>
    </xf>
    <xf numFmtId="9" fontId="41" fillId="0" borderId="40" xfId="28" applyFont="1" applyBorder="1" applyAlignment="1" applyProtection="1">
      <alignment horizontal="center" vertical="center"/>
    </xf>
    <xf numFmtId="1" fontId="37" fillId="0" borderId="61" xfId="27" applyNumberFormat="1" applyFont="1" applyBorder="1" applyAlignment="1">
      <alignment horizontal="center" vertical="center" wrapText="1"/>
    </xf>
    <xf numFmtId="1" fontId="37" fillId="0" borderId="62" xfId="27" applyNumberFormat="1" applyFont="1" applyBorder="1" applyAlignment="1">
      <alignment horizontal="center" vertical="center" wrapText="1"/>
    </xf>
    <xf numFmtId="1" fontId="40" fillId="0" borderId="63" xfId="27" applyNumberFormat="1" applyFont="1" applyBorder="1" applyAlignment="1" applyProtection="1">
      <alignment horizontal="center" vertical="center" wrapText="1"/>
      <protection locked="0"/>
    </xf>
    <xf numFmtId="1" fontId="40" fillId="0" borderId="62" xfId="27" applyNumberFormat="1" applyFont="1" applyBorder="1" applyAlignment="1" applyProtection="1">
      <alignment horizontal="center" vertical="center" wrapText="1"/>
      <protection locked="0"/>
    </xf>
    <xf numFmtId="49" fontId="39" fillId="0" borderId="54" xfId="27" applyNumberFormat="1" applyFont="1" applyBorder="1" applyAlignment="1">
      <alignment horizontal="left" vertical="top"/>
    </xf>
    <xf numFmtId="0" fontId="39" fillId="0" borderId="60" xfId="27" applyFont="1" applyBorder="1" applyAlignment="1">
      <alignment vertical="top"/>
    </xf>
    <xf numFmtId="0" fontId="39" fillId="0" borderId="16" xfId="27" applyFont="1" applyBorder="1" applyAlignment="1">
      <alignment vertical="top"/>
    </xf>
    <xf numFmtId="0" fontId="39" fillId="0" borderId="67" xfId="27" applyFont="1" applyBorder="1" applyAlignment="1">
      <alignment vertical="top"/>
    </xf>
    <xf numFmtId="0" fontId="43" fillId="0" borderId="0" xfId="27" applyFont="1" applyAlignment="1">
      <alignment horizontal="left" vertical="top"/>
    </xf>
    <xf numFmtId="10" fontId="39" fillId="0" borderId="49" xfId="27" applyNumberFormat="1" applyFont="1" applyBorder="1" applyAlignment="1" applyProtection="1">
      <alignment horizontal="left" vertical="top"/>
      <protection hidden="1"/>
    </xf>
    <xf numFmtId="0" fontId="39" fillId="0" borderId="49" xfId="27" applyFont="1" applyBorder="1" applyAlignment="1" applyProtection="1">
      <alignment horizontal="left" vertical="top"/>
      <protection hidden="1"/>
    </xf>
    <xf numFmtId="0" fontId="39" fillId="0" borderId="43" xfId="27" applyFont="1" applyBorder="1" applyAlignment="1" applyProtection="1">
      <alignment horizontal="left" vertical="top"/>
      <protection hidden="1"/>
    </xf>
    <xf numFmtId="0" fontId="38" fillId="0" borderId="69" xfId="27" quotePrefix="1" applyFont="1" applyBorder="1" applyAlignment="1">
      <alignment horizontal="center" vertical="center"/>
    </xf>
    <xf numFmtId="0" fontId="38" fillId="0" borderId="21" xfId="27" applyFont="1" applyBorder="1" applyAlignment="1" applyProtection="1">
      <alignment horizontal="center" vertical="center"/>
      <protection locked="0"/>
    </xf>
    <xf numFmtId="0" fontId="45" fillId="0" borderId="0" xfId="27" applyFont="1"/>
    <xf numFmtId="0" fontId="45" fillId="0" borderId="0" xfId="27" applyFont="1" applyProtection="1">
      <protection hidden="1"/>
    </xf>
    <xf numFmtId="0" fontId="14" fillId="0" borderId="49" xfId="27" applyFont="1" applyBorder="1" applyProtection="1">
      <protection hidden="1"/>
    </xf>
    <xf numFmtId="167" fontId="37" fillId="0" borderId="0" xfId="27" applyNumberFormat="1" applyFont="1" applyProtection="1">
      <protection hidden="1"/>
    </xf>
    <xf numFmtId="0" fontId="37" fillId="0" borderId="49" xfId="27" applyFont="1" applyBorder="1" applyProtection="1">
      <protection hidden="1"/>
    </xf>
    <xf numFmtId="0" fontId="46" fillId="0" borderId="0" xfId="27" applyFont="1" applyProtection="1">
      <protection hidden="1"/>
    </xf>
    <xf numFmtId="0" fontId="14" fillId="0" borderId="0" xfId="27" applyFont="1" applyProtection="1">
      <protection locked="0"/>
    </xf>
    <xf numFmtId="0" fontId="14" fillId="0" borderId="0" xfId="27" applyFont="1" applyAlignment="1" applyProtection="1">
      <alignment horizontal="right" vertical="center"/>
      <protection hidden="1"/>
    </xf>
    <xf numFmtId="0" fontId="47" fillId="0" borderId="0" xfId="27" applyFont="1" applyAlignment="1" applyProtection="1">
      <alignment horizontal="center" vertical="top" wrapText="1"/>
      <protection hidden="1"/>
    </xf>
    <xf numFmtId="9" fontId="14" fillId="0" borderId="0" xfId="27" applyNumberFormat="1" applyFont="1" applyProtection="1">
      <protection hidden="1"/>
    </xf>
    <xf numFmtId="10" fontId="14" fillId="0" borderId="0" xfId="28" applyNumberFormat="1" applyFont="1" applyProtection="1">
      <protection hidden="1"/>
    </xf>
    <xf numFmtId="167" fontId="14" fillId="0" borderId="0" xfId="27" applyNumberFormat="1" applyFont="1" applyProtection="1">
      <protection hidden="1"/>
    </xf>
    <xf numFmtId="1" fontId="14" fillId="0" borderId="0" xfId="27" applyNumberFormat="1" applyFont="1"/>
    <xf numFmtId="0" fontId="14" fillId="0" borderId="0" xfId="27" applyFont="1" applyAlignment="1" applyProtection="1">
      <alignment horizontal="right"/>
      <protection hidden="1"/>
    </xf>
    <xf numFmtId="0" fontId="48" fillId="0" borderId="0" xfId="27" applyFont="1" applyAlignment="1" applyProtection="1">
      <alignment horizontal="center" wrapText="1"/>
      <protection hidden="1"/>
    </xf>
    <xf numFmtId="9" fontId="2" fillId="0" borderId="0" xfId="27" applyNumberFormat="1" applyProtection="1">
      <protection hidden="1"/>
    </xf>
    <xf numFmtId="10" fontId="2" fillId="0" borderId="0" xfId="27" applyNumberFormat="1" applyProtection="1">
      <protection hidden="1"/>
    </xf>
    <xf numFmtId="0" fontId="47" fillId="0" borderId="0" xfId="27" applyFont="1" applyAlignment="1" applyProtection="1">
      <alignment horizontal="center" wrapText="1"/>
      <protection hidden="1"/>
    </xf>
    <xf numFmtId="0" fontId="2" fillId="0" borderId="0" xfId="27" applyAlignment="1" applyProtection="1">
      <alignment wrapText="1"/>
      <protection hidden="1"/>
    </xf>
    <xf numFmtId="167" fontId="41" fillId="0" borderId="0" xfId="27" applyNumberFormat="1" applyFont="1" applyProtection="1">
      <protection hidden="1"/>
    </xf>
    <xf numFmtId="49" fontId="37" fillId="0" borderId="0" xfId="27" applyNumberFormat="1" applyFont="1" applyProtection="1">
      <protection hidden="1"/>
    </xf>
    <xf numFmtId="0" fontId="37" fillId="0" borderId="0" xfId="29" applyFont="1"/>
    <xf numFmtId="0" fontId="37" fillId="0" borderId="0" xfId="29" applyFont="1" applyProtection="1">
      <protection hidden="1"/>
    </xf>
    <xf numFmtId="10" fontId="37" fillId="0" borderId="0" xfId="29" applyNumberFormat="1" applyFont="1" applyProtection="1">
      <protection hidden="1"/>
    </xf>
    <xf numFmtId="0" fontId="1" fillId="0" borderId="0" xfId="29"/>
    <xf numFmtId="0" fontId="14" fillId="0" borderId="0" xfId="29" applyFont="1"/>
    <xf numFmtId="0" fontId="14" fillId="0" borderId="0" xfId="29" applyFont="1" applyProtection="1">
      <protection hidden="1"/>
    </xf>
    <xf numFmtId="10" fontId="14" fillId="0" borderId="0" xfId="29" applyNumberFormat="1" applyFont="1" applyProtection="1">
      <protection hidden="1"/>
    </xf>
    <xf numFmtId="0" fontId="1" fillId="0" borderId="0" xfId="29" applyProtection="1">
      <protection hidden="1"/>
    </xf>
    <xf numFmtId="0" fontId="14" fillId="0" borderId="0" xfId="29" applyFont="1" applyAlignment="1">
      <alignment horizontal="center" vertical="center"/>
    </xf>
    <xf numFmtId="0" fontId="39" fillId="0" borderId="0" xfId="29" applyFont="1" applyAlignment="1">
      <alignment horizontal="left" vertical="top"/>
    </xf>
    <xf numFmtId="0" fontId="39" fillId="0" borderId="0" xfId="29" applyFont="1" applyAlignment="1" applyProtection="1">
      <alignment horizontal="left" vertical="top"/>
      <protection hidden="1"/>
    </xf>
    <xf numFmtId="10" fontId="39" fillId="0" borderId="0" xfId="29" applyNumberFormat="1" applyFont="1" applyAlignment="1" applyProtection="1">
      <alignment horizontal="left" vertical="top"/>
      <protection hidden="1"/>
    </xf>
    <xf numFmtId="0" fontId="42" fillId="0" borderId="0" xfId="29" applyFont="1" applyAlignment="1">
      <alignment horizontal="left" vertical="center"/>
    </xf>
    <xf numFmtId="0" fontId="39" fillId="0" borderId="0" xfId="29" applyFont="1" applyAlignment="1">
      <alignment horizontal="left" vertical="center"/>
    </xf>
    <xf numFmtId="0" fontId="39" fillId="0" borderId="0" xfId="29" applyFont="1" applyAlignment="1" applyProtection="1">
      <alignment horizontal="left" vertical="center"/>
      <protection hidden="1"/>
    </xf>
    <xf numFmtId="10" fontId="39" fillId="0" borderId="0" xfId="29" applyNumberFormat="1" applyFont="1" applyAlignment="1" applyProtection="1">
      <alignment horizontal="left" vertical="center"/>
      <protection hidden="1"/>
    </xf>
    <xf numFmtId="0" fontId="37" fillId="0" borderId="0" xfId="29" applyFont="1" applyAlignment="1" applyProtection="1">
      <alignment vertical="center"/>
      <protection hidden="1"/>
    </xf>
    <xf numFmtId="0" fontId="14" fillId="0" borderId="0" xfId="29" applyFont="1" applyAlignment="1" applyProtection="1">
      <alignment vertical="center"/>
      <protection hidden="1"/>
    </xf>
    <xf numFmtId="0" fontId="14" fillId="0" borderId="43" xfId="29" applyFont="1" applyBorder="1" applyAlignment="1" applyProtection="1">
      <alignment horizontal="right" vertical="center"/>
      <protection hidden="1"/>
    </xf>
    <xf numFmtId="0" fontId="14" fillId="0" borderId="8" xfId="29" applyFont="1" applyBorder="1" applyAlignment="1" applyProtection="1">
      <alignment vertical="center"/>
      <protection hidden="1"/>
    </xf>
    <xf numFmtId="0" fontId="14" fillId="4" borderId="0" xfId="29" applyFont="1" applyFill="1" applyAlignment="1" applyProtection="1">
      <alignment vertical="center"/>
      <protection hidden="1"/>
    </xf>
    <xf numFmtId="0" fontId="1" fillId="0" borderId="0" xfId="29" applyAlignment="1" applyProtection="1">
      <alignment horizontal="center"/>
      <protection hidden="1"/>
    </xf>
    <xf numFmtId="0" fontId="81" fillId="0" borderId="0" xfId="29" applyFont="1"/>
    <xf numFmtId="0" fontId="14" fillId="0" borderId="0" xfId="29" applyFont="1" applyAlignment="1">
      <alignment vertical="center"/>
    </xf>
    <xf numFmtId="0" fontId="42" fillId="0" borderId="0" xfId="29" applyFont="1" applyAlignment="1">
      <alignment horizontal="center" vertical="center"/>
    </xf>
    <xf numFmtId="0" fontId="41" fillId="0" borderId="0" xfId="29" applyFont="1" applyAlignment="1">
      <alignment horizontal="left" vertical="center"/>
    </xf>
    <xf numFmtId="0" fontId="1" fillId="0" borderId="0" xfId="29" applyAlignment="1" applyProtection="1">
      <alignment vertical="center"/>
      <protection hidden="1"/>
    </xf>
    <xf numFmtId="10" fontId="37" fillId="0" borderId="0" xfId="29" applyNumberFormat="1" applyFont="1" applyAlignment="1" applyProtection="1">
      <alignment horizontal="left" vertical="center"/>
      <protection hidden="1"/>
    </xf>
    <xf numFmtId="0" fontId="37" fillId="0" borderId="0" xfId="29" applyFont="1" applyAlignment="1" applyProtection="1">
      <alignment horizontal="left" vertical="center"/>
      <protection hidden="1"/>
    </xf>
    <xf numFmtId="9" fontId="14" fillId="0" borderId="0" xfId="30" applyFont="1" applyAlignment="1" applyProtection="1">
      <alignment vertical="center"/>
      <protection hidden="1"/>
    </xf>
    <xf numFmtId="9" fontId="14" fillId="0" borderId="0" xfId="29" applyNumberFormat="1" applyFont="1" applyAlignment="1" applyProtection="1">
      <alignment vertical="center"/>
      <protection hidden="1"/>
    </xf>
    <xf numFmtId="0" fontId="14" fillId="0" borderId="47" xfId="29" applyFont="1" applyBorder="1" applyAlignment="1" applyProtection="1">
      <alignment vertical="center"/>
      <protection hidden="1"/>
    </xf>
    <xf numFmtId="0" fontId="14" fillId="0" borderId="46" xfId="29" applyFont="1" applyBorder="1" applyAlignment="1" applyProtection="1">
      <alignment vertical="center"/>
      <protection hidden="1"/>
    </xf>
    <xf numFmtId="0" fontId="14" fillId="0" borderId="45" xfId="29" applyFont="1" applyBorder="1" applyAlignment="1" applyProtection="1">
      <alignment vertical="center"/>
      <protection hidden="1"/>
    </xf>
    <xf numFmtId="0" fontId="14" fillId="0" borderId="46" xfId="29" applyFont="1" applyBorder="1" applyAlignment="1" applyProtection="1">
      <alignment horizontal="left" vertical="center"/>
      <protection hidden="1"/>
    </xf>
    <xf numFmtId="0" fontId="14" fillId="0" borderId="50" xfId="29" applyFont="1" applyBorder="1" applyAlignment="1" applyProtection="1">
      <alignment horizontal="left" vertical="center"/>
      <protection hidden="1"/>
    </xf>
    <xf numFmtId="0" fontId="41" fillId="0" borderId="52" xfId="29" applyFont="1" applyBorder="1" applyAlignment="1">
      <alignment horizontal="center" wrapText="1"/>
    </xf>
    <xf numFmtId="0" fontId="41" fillId="0" borderId="9" xfId="29" applyFont="1" applyBorder="1" applyAlignment="1">
      <alignment horizontal="center" wrapText="1"/>
    </xf>
    <xf numFmtId="0" fontId="41" fillId="0" borderId="4" xfId="29" applyFont="1" applyBorder="1" applyAlignment="1">
      <alignment horizontal="center" wrapText="1"/>
    </xf>
    <xf numFmtId="0" fontId="41" fillId="0" borderId="3" xfId="29" applyFont="1" applyBorder="1" applyAlignment="1">
      <alignment horizontal="center" wrapText="1"/>
    </xf>
    <xf numFmtId="0" fontId="41" fillId="0" borderId="10" xfId="29" applyFont="1" applyBorder="1" applyAlignment="1">
      <alignment horizontal="center" wrapText="1"/>
    </xf>
    <xf numFmtId="0" fontId="14" fillId="0" borderId="0" xfId="29" applyFont="1" applyAlignment="1" applyProtection="1">
      <alignment wrapText="1"/>
      <protection hidden="1"/>
    </xf>
    <xf numFmtId="10" fontId="37" fillId="0" borderId="49" xfId="29" applyNumberFormat="1" applyFont="1" applyBorder="1" applyAlignment="1" applyProtection="1">
      <alignment horizontal="center" vertical="center" wrapText="1"/>
      <protection hidden="1"/>
    </xf>
    <xf numFmtId="0" fontId="37" fillId="0" borderId="0" xfId="29" applyFont="1" applyAlignment="1" applyProtection="1">
      <alignment horizontal="center" vertical="center" wrapText="1"/>
      <protection hidden="1"/>
    </xf>
    <xf numFmtId="0" fontId="41" fillId="0" borderId="0" xfId="29" applyFont="1" applyAlignment="1" applyProtection="1">
      <alignment horizontal="center" vertical="center" wrapText="1"/>
      <protection hidden="1"/>
    </xf>
    <xf numFmtId="0" fontId="37" fillId="0" borderId="47" xfId="29" applyFont="1" applyBorder="1" applyAlignment="1" applyProtection="1">
      <alignment horizontal="center" vertical="center" wrapText="1"/>
      <protection hidden="1"/>
    </xf>
    <xf numFmtId="0" fontId="37" fillId="0" borderId="45" xfId="29" applyFont="1" applyBorder="1" applyAlignment="1" applyProtection="1">
      <alignment horizontal="center" vertical="center" wrapText="1"/>
      <protection hidden="1"/>
    </xf>
    <xf numFmtId="0" fontId="37" fillId="0" borderId="46" xfId="29" applyFont="1" applyBorder="1" applyAlignment="1" applyProtection="1">
      <alignment horizontal="center" vertical="center" wrapText="1"/>
      <protection hidden="1"/>
    </xf>
    <xf numFmtId="0" fontId="14" fillId="5" borderId="49" xfId="29" applyFont="1" applyFill="1" applyBorder="1" applyAlignment="1" applyProtection="1">
      <alignment wrapText="1"/>
      <protection hidden="1"/>
    </xf>
    <xf numFmtId="0" fontId="14" fillId="5" borderId="43" xfId="29" applyFont="1" applyFill="1" applyBorder="1" applyAlignment="1" applyProtection="1">
      <alignment wrapText="1"/>
      <protection hidden="1"/>
    </xf>
    <xf numFmtId="0" fontId="14" fillId="5" borderId="0" xfId="29" applyFont="1" applyFill="1" applyAlignment="1" applyProtection="1">
      <alignment wrapText="1"/>
      <protection hidden="1"/>
    </xf>
    <xf numFmtId="0" fontId="14" fillId="4" borderId="49" xfId="29" applyFont="1" applyFill="1" applyBorder="1" applyAlignment="1" applyProtection="1">
      <alignment wrapText="1"/>
      <protection hidden="1"/>
    </xf>
    <xf numFmtId="0" fontId="14" fillId="4" borderId="0" xfId="29" applyFont="1" applyFill="1" applyAlignment="1" applyProtection="1">
      <alignment wrapText="1"/>
      <protection hidden="1"/>
    </xf>
    <xf numFmtId="0" fontId="14" fillId="4" borderId="43" xfId="29" applyFont="1" applyFill="1" applyBorder="1" applyAlignment="1" applyProtection="1">
      <alignment wrapText="1"/>
      <protection hidden="1"/>
    </xf>
    <xf numFmtId="0" fontId="14" fillId="4" borderId="54" xfId="29" applyFont="1" applyFill="1" applyBorder="1" applyAlignment="1" applyProtection="1">
      <alignment wrapText="1"/>
      <protection hidden="1"/>
    </xf>
    <xf numFmtId="0" fontId="41" fillId="0" borderId="0" xfId="29" applyFont="1" applyAlignment="1">
      <alignment vertical="center"/>
    </xf>
    <xf numFmtId="0" fontId="40" fillId="0" borderId="0" xfId="29" applyFont="1"/>
    <xf numFmtId="0" fontId="37" fillId="0" borderId="55" xfId="29" applyFont="1" applyBorder="1"/>
    <xf numFmtId="1" fontId="37" fillId="0" borderId="58" xfId="29" applyNumberFormat="1" applyFont="1" applyBorder="1" applyAlignment="1">
      <alignment horizontal="center" vertical="center" wrapText="1"/>
    </xf>
    <xf numFmtId="1" fontId="37" fillId="0" borderId="8" xfId="29" applyNumberFormat="1" applyFont="1" applyBorder="1" applyAlignment="1">
      <alignment horizontal="center" vertical="center" wrapText="1"/>
    </xf>
    <xf numFmtId="1" fontId="37" fillId="0" borderId="11" xfId="29" applyNumberFormat="1" applyFont="1" applyBorder="1" applyAlignment="1">
      <alignment horizontal="center" vertical="center" wrapText="1"/>
    </xf>
    <xf numFmtId="1" fontId="40" fillId="0" borderId="12" xfId="29" applyNumberFormat="1" applyFont="1" applyBorder="1" applyAlignment="1" applyProtection="1">
      <alignment horizontal="center" wrapText="1"/>
      <protection locked="0"/>
    </xf>
    <xf numFmtId="1" fontId="40" fillId="0" borderId="11" xfId="29" applyNumberFormat="1" applyFont="1" applyBorder="1" applyAlignment="1" applyProtection="1">
      <alignment horizontal="center" wrapText="1"/>
      <protection locked="0"/>
    </xf>
    <xf numFmtId="0" fontId="14" fillId="0" borderId="0" xfId="29" applyFont="1" applyAlignment="1" applyProtection="1">
      <alignment horizontal="center"/>
      <protection hidden="1"/>
    </xf>
    <xf numFmtId="10" fontId="14" fillId="0" borderId="49" xfId="30" applyNumberFormat="1" applyFont="1" applyBorder="1" applyAlignment="1" applyProtection="1">
      <alignment horizontal="center" vertical="center"/>
      <protection hidden="1"/>
    </xf>
    <xf numFmtId="0" fontId="14" fillId="0" borderId="0" xfId="30" applyNumberFormat="1" applyFont="1" applyBorder="1" applyAlignment="1" applyProtection="1">
      <alignment horizontal="center" vertical="center"/>
      <protection hidden="1"/>
    </xf>
    <xf numFmtId="0" fontId="14" fillId="0" borderId="49" xfId="29" applyFont="1" applyBorder="1" applyAlignment="1" applyProtection="1">
      <alignment horizontal="center" vertical="center"/>
      <protection hidden="1"/>
    </xf>
    <xf numFmtId="167" fontId="14" fillId="0" borderId="0" xfId="30" applyNumberFormat="1" applyFont="1" applyBorder="1" applyAlignment="1" applyProtection="1">
      <alignment horizontal="center" vertical="center"/>
      <protection hidden="1"/>
    </xf>
    <xf numFmtId="0" fontId="14" fillId="0" borderId="49" xfId="30" applyNumberFormat="1" applyFont="1" applyBorder="1" applyAlignment="1" applyProtection="1">
      <alignment horizontal="center" vertical="center"/>
      <protection hidden="1"/>
    </xf>
    <xf numFmtId="0" fontId="14" fillId="0" borderId="49" xfId="29" applyFont="1" applyBorder="1" applyAlignment="1" applyProtection="1">
      <alignment horizontal="center"/>
      <protection hidden="1"/>
    </xf>
    <xf numFmtId="167" fontId="14" fillId="0" borderId="43" xfId="30" applyNumberFormat="1" applyFont="1" applyBorder="1" applyAlignment="1" applyProtection="1">
      <alignment horizontal="center"/>
      <protection hidden="1"/>
    </xf>
    <xf numFmtId="0" fontId="14" fillId="0" borderId="43" xfId="29" applyFont="1" applyBorder="1" applyAlignment="1" applyProtection="1">
      <alignment horizontal="center"/>
      <protection hidden="1"/>
    </xf>
    <xf numFmtId="0" fontId="14" fillId="0" borderId="0" xfId="29" applyFont="1" applyAlignment="1" applyProtection="1">
      <alignment horizontal="center" vertical="center"/>
      <protection hidden="1"/>
    </xf>
    <xf numFmtId="0" fontId="14" fillId="0" borderId="54" xfId="29" applyFont="1" applyBorder="1" applyAlignment="1" applyProtection="1">
      <alignment horizontal="center"/>
      <protection hidden="1"/>
    </xf>
    <xf numFmtId="1" fontId="1" fillId="0" borderId="0" xfId="29" applyNumberFormat="1" applyAlignment="1" applyProtection="1">
      <alignment horizontal="center"/>
      <protection hidden="1"/>
    </xf>
    <xf numFmtId="0" fontId="41" fillId="0" borderId="0" xfId="29" applyFont="1"/>
    <xf numFmtId="0" fontId="37" fillId="0" borderId="0" xfId="29" applyFont="1" applyAlignment="1">
      <alignment horizontal="right"/>
    </xf>
    <xf numFmtId="0" fontId="37" fillId="0" borderId="55" xfId="29" applyFont="1" applyBorder="1" applyAlignment="1">
      <alignment vertical="center"/>
    </xf>
    <xf numFmtId="1" fontId="37" fillId="0" borderId="59" xfId="29" applyNumberFormat="1" applyFont="1" applyBorder="1" applyAlignment="1">
      <alignment horizontal="center" vertical="center" wrapText="1"/>
    </xf>
    <xf numFmtId="1" fontId="40" fillId="0" borderId="1" xfId="29" applyNumberFormat="1" applyFont="1" applyBorder="1" applyAlignment="1" applyProtection="1">
      <alignment horizontal="center" wrapText="1"/>
      <protection locked="0"/>
    </xf>
    <xf numFmtId="1" fontId="40" fillId="0" borderId="59" xfId="29" applyNumberFormat="1" applyFont="1" applyBorder="1" applyAlignment="1" applyProtection="1">
      <alignment horizontal="center" vertical="center" wrapText="1"/>
      <protection locked="0"/>
    </xf>
    <xf numFmtId="1" fontId="40" fillId="0" borderId="60" xfId="29" applyNumberFormat="1" applyFont="1" applyBorder="1" applyAlignment="1" applyProtection="1">
      <alignment horizontal="center" vertical="center" wrapText="1"/>
      <protection locked="0"/>
    </xf>
    <xf numFmtId="0" fontId="41" fillId="0" borderId="0" xfId="29" quotePrefix="1" applyFont="1"/>
    <xf numFmtId="0" fontId="41" fillId="0" borderId="0" xfId="29" applyFont="1" applyAlignment="1">
      <alignment horizontal="center" vertical="center"/>
    </xf>
    <xf numFmtId="0" fontId="42" fillId="0" borderId="0" xfId="29" applyFont="1" applyAlignment="1">
      <alignment vertical="center"/>
    </xf>
    <xf numFmtId="9" fontId="41" fillId="0" borderId="47" xfId="30" applyFont="1" applyBorder="1" applyAlignment="1" applyProtection="1">
      <alignment horizontal="center" vertical="center"/>
    </xf>
    <xf numFmtId="9" fontId="41" fillId="0" borderId="45" xfId="30" applyFont="1" applyBorder="1" applyAlignment="1" applyProtection="1">
      <alignment horizontal="center" vertical="center"/>
    </xf>
    <xf numFmtId="9" fontId="41" fillId="0" borderId="46" xfId="30" applyFont="1" applyBorder="1" applyAlignment="1" applyProtection="1">
      <alignment horizontal="center" vertical="center"/>
    </xf>
    <xf numFmtId="9" fontId="41" fillId="0" borderId="49" xfId="30" applyFont="1" applyBorder="1" applyAlignment="1" applyProtection="1">
      <alignment horizontal="center" vertical="center"/>
    </xf>
    <xf numFmtId="9" fontId="41" fillId="0" borderId="0" xfId="30" applyFont="1" applyBorder="1" applyAlignment="1" applyProtection="1">
      <alignment horizontal="center" vertical="center"/>
    </xf>
    <xf numFmtId="9" fontId="41" fillId="0" borderId="43" xfId="30" applyFont="1" applyBorder="1" applyAlignment="1" applyProtection="1">
      <alignment horizontal="center" vertical="center"/>
    </xf>
    <xf numFmtId="9" fontId="41" fillId="0" borderId="41" xfId="30" applyFont="1" applyBorder="1" applyAlignment="1" applyProtection="1">
      <alignment horizontal="center" vertical="center"/>
    </xf>
    <xf numFmtId="9" fontId="41" fillId="0" borderId="39" xfId="30" applyFont="1" applyBorder="1" applyAlignment="1" applyProtection="1">
      <alignment horizontal="center" vertical="center"/>
    </xf>
    <xf numFmtId="9" fontId="41" fillId="0" borderId="40" xfId="30" applyFont="1" applyBorder="1" applyAlignment="1" applyProtection="1">
      <alignment horizontal="center" vertical="center"/>
    </xf>
    <xf numFmtId="1" fontId="37" fillId="0" borderId="61" xfId="29" applyNumberFormat="1" applyFont="1" applyBorder="1" applyAlignment="1">
      <alignment horizontal="center" vertical="center" wrapText="1"/>
    </xf>
    <xf numFmtId="1" fontId="37" fillId="0" borderId="62" xfId="29" applyNumberFormat="1" applyFont="1" applyBorder="1" applyAlignment="1">
      <alignment horizontal="center" vertical="center" wrapText="1"/>
    </xf>
    <xf numFmtId="1" fontId="40" fillId="0" borderId="63" xfId="29" applyNumberFormat="1" applyFont="1" applyBorder="1" applyAlignment="1" applyProtection="1">
      <alignment horizontal="center" vertical="center" wrapText="1"/>
      <protection locked="0"/>
    </xf>
    <xf numFmtId="1" fontId="40" fillId="0" borderId="62" xfId="29" applyNumberFormat="1" applyFont="1" applyBorder="1" applyAlignment="1" applyProtection="1">
      <alignment horizontal="center" vertical="center" wrapText="1"/>
      <protection locked="0"/>
    </xf>
    <xf numFmtId="49" fontId="39" fillId="0" borderId="54" xfId="29" applyNumberFormat="1" applyFont="1" applyBorder="1" applyAlignment="1">
      <alignment horizontal="left" vertical="top"/>
    </xf>
    <xf numFmtId="0" fontId="39" fillId="0" borderId="60" xfId="29" applyFont="1" applyBorder="1" applyAlignment="1">
      <alignment vertical="top"/>
    </xf>
    <xf numFmtId="0" fontId="39" fillId="0" borderId="16" xfId="29" applyFont="1" applyBorder="1" applyAlignment="1">
      <alignment vertical="top"/>
    </xf>
    <xf numFmtId="0" fontId="39" fillId="0" borderId="67" xfId="29" applyFont="1" applyBorder="1" applyAlignment="1">
      <alignment vertical="top"/>
    </xf>
    <xf numFmtId="0" fontId="43" fillId="0" borderId="0" xfId="29" applyFont="1" applyAlignment="1">
      <alignment horizontal="left" vertical="top"/>
    </xf>
    <xf numFmtId="10" fontId="39" fillId="0" borderId="49" xfId="29" applyNumberFormat="1" applyFont="1" applyBorder="1" applyAlignment="1" applyProtection="1">
      <alignment horizontal="left" vertical="top"/>
      <protection hidden="1"/>
    </xf>
    <xf numFmtId="0" fontId="39" fillId="0" borderId="49" xfId="29" applyFont="1" applyBorder="1" applyAlignment="1" applyProtection="1">
      <alignment horizontal="left" vertical="top"/>
      <protection hidden="1"/>
    </xf>
    <xf numFmtId="0" fontId="39" fillId="0" borderId="43" xfId="29" applyFont="1" applyBorder="1" applyAlignment="1" applyProtection="1">
      <alignment horizontal="left" vertical="top"/>
      <protection hidden="1"/>
    </xf>
    <xf numFmtId="0" fontId="38" fillId="0" borderId="69" xfId="29" quotePrefix="1" applyFont="1" applyBorder="1" applyAlignment="1">
      <alignment horizontal="center" vertical="center"/>
    </xf>
    <xf numFmtId="0" fontId="38" fillId="0" borderId="21" xfId="29" applyFont="1" applyBorder="1" applyAlignment="1" applyProtection="1">
      <alignment horizontal="center" vertical="center"/>
      <protection locked="0"/>
    </xf>
    <xf numFmtId="0" fontId="45" fillId="0" borderId="0" xfId="29" applyFont="1"/>
    <xf numFmtId="0" fontId="45" fillId="0" borderId="0" xfId="29" applyFont="1" applyProtection="1">
      <protection hidden="1"/>
    </xf>
    <xf numFmtId="0" fontId="14" fillId="0" borderId="49" xfId="29" applyFont="1" applyBorder="1" applyProtection="1">
      <protection hidden="1"/>
    </xf>
    <xf numFmtId="167" fontId="37" fillId="0" borderId="0" xfId="29" applyNumberFormat="1" applyFont="1" applyProtection="1">
      <protection hidden="1"/>
    </xf>
    <xf numFmtId="0" fontId="37" fillId="0" borderId="49" xfId="29" applyFont="1" applyBorder="1" applyProtection="1">
      <protection hidden="1"/>
    </xf>
    <xf numFmtId="0" fontId="46" fillId="0" borderId="0" xfId="29" applyFont="1" applyProtection="1">
      <protection hidden="1"/>
    </xf>
    <xf numFmtId="0" fontId="14" fillId="0" borderId="0" xfId="29" applyFont="1" applyProtection="1">
      <protection locked="0"/>
    </xf>
    <xf numFmtId="0" fontId="14" fillId="0" borderId="0" xfId="29" applyFont="1" applyAlignment="1" applyProtection="1">
      <alignment horizontal="right" vertical="center"/>
      <protection hidden="1"/>
    </xf>
    <xf numFmtId="0" fontId="47" fillId="0" borderId="0" xfId="29" applyFont="1" applyAlignment="1" applyProtection="1">
      <alignment horizontal="center" vertical="top" wrapText="1"/>
      <protection hidden="1"/>
    </xf>
    <xf numFmtId="9" fontId="14" fillId="0" borderId="0" xfId="29" applyNumberFormat="1" applyFont="1" applyProtection="1">
      <protection hidden="1"/>
    </xf>
    <xf numFmtId="10" fontId="14" fillId="0" borderId="0" xfId="30" applyNumberFormat="1" applyFont="1" applyProtection="1">
      <protection hidden="1"/>
    </xf>
    <xf numFmtId="167" fontId="14" fillId="0" borderId="0" xfId="29" applyNumberFormat="1" applyFont="1" applyProtection="1">
      <protection hidden="1"/>
    </xf>
    <xf numFmtId="1" fontId="14" fillId="0" borderId="0" xfId="29" applyNumberFormat="1" applyFont="1"/>
    <xf numFmtId="0" fontId="14" fillId="0" borderId="0" xfId="29" applyFont="1" applyAlignment="1" applyProtection="1">
      <alignment horizontal="right"/>
      <protection hidden="1"/>
    </xf>
    <xf numFmtId="0" fontId="48" fillId="0" borderId="0" xfId="29" applyFont="1" applyAlignment="1" applyProtection="1">
      <alignment horizontal="center" wrapText="1"/>
      <protection hidden="1"/>
    </xf>
    <xf numFmtId="9" fontId="1" fillId="0" borderId="0" xfId="29" applyNumberFormat="1" applyProtection="1">
      <protection hidden="1"/>
    </xf>
    <xf numFmtId="10" fontId="1" fillId="0" borderId="0" xfId="29" applyNumberFormat="1" applyProtection="1">
      <protection hidden="1"/>
    </xf>
    <xf numFmtId="0" fontId="47" fillId="0" borderId="0" xfId="29" applyFont="1" applyAlignment="1" applyProtection="1">
      <alignment horizontal="center" wrapText="1"/>
      <protection hidden="1"/>
    </xf>
    <xf numFmtId="0" fontId="1" fillId="0" borderId="0" xfId="29" applyAlignment="1" applyProtection="1">
      <alignment wrapText="1"/>
      <protection hidden="1"/>
    </xf>
    <xf numFmtId="167" fontId="41" fillId="0" borderId="0" xfId="29" applyNumberFormat="1" applyFont="1" applyProtection="1">
      <protection hidden="1"/>
    </xf>
    <xf numFmtId="49" fontId="37" fillId="0" borderId="0" xfId="29" applyNumberFormat="1" applyFont="1" applyProtection="1">
      <protection hidden="1"/>
    </xf>
    <xf numFmtId="0" fontId="41" fillId="0" borderId="47" xfId="25" applyFont="1" applyBorder="1" applyAlignment="1" applyProtection="1">
      <alignment horizontal="left" vertical="top"/>
      <protection locked="0"/>
    </xf>
    <xf numFmtId="0" fontId="41" fillId="0" borderId="45" xfId="25" applyFont="1" applyBorder="1" applyAlignment="1" applyProtection="1">
      <alignment horizontal="left" vertical="top"/>
      <protection locked="0"/>
    </xf>
    <xf numFmtId="0" fontId="41" fillId="0" borderId="46" xfId="25" applyFont="1" applyBorder="1" applyAlignment="1" applyProtection="1">
      <alignment horizontal="left" vertical="top"/>
      <protection locked="0"/>
    </xf>
    <xf numFmtId="0" fontId="41" fillId="0" borderId="49" xfId="25" applyFont="1" applyBorder="1" applyAlignment="1" applyProtection="1">
      <alignment horizontal="left" vertical="top"/>
      <protection locked="0"/>
    </xf>
    <xf numFmtId="0" fontId="41" fillId="0" borderId="0" xfId="25" applyFont="1" applyAlignment="1" applyProtection="1">
      <alignment horizontal="left" vertical="top"/>
      <protection locked="0"/>
    </xf>
    <xf numFmtId="0" fontId="41" fillId="0" borderId="43" xfId="25" applyFont="1" applyBorder="1" applyAlignment="1" applyProtection="1">
      <alignment horizontal="left" vertical="top"/>
      <protection locked="0"/>
    </xf>
    <xf numFmtId="0" fontId="41" fillId="0" borderId="41" xfId="25" applyFont="1" applyBorder="1" applyAlignment="1" applyProtection="1">
      <alignment horizontal="left" vertical="top"/>
      <protection locked="0"/>
    </xf>
    <xf numFmtId="0" fontId="41" fillId="0" borderId="39" xfId="25" applyFont="1" applyBorder="1" applyAlignment="1" applyProtection="1">
      <alignment horizontal="left" vertical="top"/>
      <protection locked="0"/>
    </xf>
    <xf numFmtId="0" fontId="41" fillId="0" borderId="40" xfId="25" applyFont="1" applyBorder="1" applyAlignment="1" applyProtection="1">
      <alignment horizontal="left" vertical="top"/>
      <protection locked="0"/>
    </xf>
    <xf numFmtId="49" fontId="39" fillId="0" borderId="15" xfId="25" applyNumberFormat="1" applyFont="1" applyBorder="1" applyAlignment="1">
      <alignment horizontal="left" vertical="top"/>
    </xf>
    <xf numFmtId="49" fontId="39" fillId="0" borderId="0" xfId="25" applyNumberFormat="1" applyFont="1" applyAlignment="1">
      <alignment horizontal="left" vertical="top"/>
    </xf>
    <xf numFmtId="49" fontId="39" fillId="0" borderId="43" xfId="25" applyNumberFormat="1" applyFont="1" applyBorder="1" applyAlignment="1">
      <alignment horizontal="left" vertical="top"/>
    </xf>
    <xf numFmtId="49" fontId="39" fillId="0" borderId="54" xfId="25" applyNumberFormat="1" applyFont="1" applyBorder="1" applyAlignment="1">
      <alignment horizontal="left" vertical="top"/>
    </xf>
    <xf numFmtId="49" fontId="39" fillId="0" borderId="65" xfId="25" applyNumberFormat="1" applyFont="1" applyBorder="1" applyAlignment="1">
      <alignment horizontal="left" vertical="top"/>
    </xf>
    <xf numFmtId="0" fontId="39" fillId="0" borderId="65" xfId="25" applyFont="1" applyBorder="1" applyAlignment="1">
      <alignment horizontal="left" vertical="top"/>
    </xf>
    <xf numFmtId="0" fontId="39" fillId="0" borderId="66" xfId="25" applyFont="1" applyBorder="1" applyAlignment="1">
      <alignment horizontal="left" vertical="top"/>
    </xf>
    <xf numFmtId="0" fontId="43" fillId="0" borderId="16" xfId="25" applyFont="1" applyBorder="1" applyAlignment="1">
      <alignment horizontal="left" vertical="top"/>
    </xf>
    <xf numFmtId="0" fontId="39" fillId="0" borderId="17" xfId="25" applyFont="1" applyBorder="1" applyAlignment="1">
      <alignment horizontal="left" vertical="top"/>
    </xf>
    <xf numFmtId="0" fontId="39" fillId="0" borderId="8" xfId="25" applyFont="1" applyBorder="1" applyAlignment="1">
      <alignment horizontal="left" vertical="top"/>
    </xf>
    <xf numFmtId="9" fontId="38" fillId="0" borderId="18" xfId="26" applyFont="1" applyBorder="1" applyAlignment="1" applyProtection="1">
      <alignment horizontal="center" vertical="center"/>
    </xf>
    <xf numFmtId="9" fontId="38" fillId="0" borderId="19" xfId="26" applyFont="1" applyBorder="1" applyAlignment="1" applyProtection="1">
      <alignment horizontal="center" vertical="center"/>
    </xf>
    <xf numFmtId="9" fontId="38" fillId="0" borderId="68" xfId="26" applyFont="1" applyBorder="1" applyAlignment="1" applyProtection="1">
      <alignment horizontal="center" vertical="center"/>
    </xf>
    <xf numFmtId="0" fontId="39" fillId="0" borderId="6" xfId="25" applyFont="1" applyBorder="1" applyAlignment="1">
      <alignment horizontal="right" vertical="top"/>
    </xf>
    <xf numFmtId="0" fontId="38" fillId="0" borderId="69" xfId="25" applyFont="1" applyBorder="1" applyAlignment="1">
      <alignment horizontal="center" vertical="center"/>
    </xf>
    <xf numFmtId="0" fontId="38" fillId="0" borderId="70" xfId="25" applyFont="1" applyBorder="1" applyAlignment="1">
      <alignment horizontal="center" vertical="center"/>
    </xf>
    <xf numFmtId="0" fontId="38" fillId="0" borderId="20" xfId="25" applyFont="1" applyBorder="1" applyAlignment="1">
      <alignment horizontal="center" vertical="center"/>
    </xf>
    <xf numFmtId="0" fontId="44" fillId="0" borderId="22" xfId="25" applyFont="1" applyBorder="1" applyAlignment="1">
      <alignment horizontal="center" vertical="center"/>
    </xf>
    <xf numFmtId="0" fontId="38" fillId="0" borderId="22" xfId="25" applyFont="1" applyBorder="1" applyAlignment="1" applyProtection="1">
      <alignment horizontal="center" vertical="center"/>
      <protection locked="0"/>
    </xf>
    <xf numFmtId="0" fontId="38" fillId="0" borderId="71" xfId="25" applyFont="1" applyBorder="1" applyAlignment="1" applyProtection="1">
      <alignment horizontal="center" vertical="center"/>
      <protection locked="0"/>
    </xf>
    <xf numFmtId="0" fontId="37" fillId="0" borderId="56" xfId="25" applyFont="1" applyBorder="1" applyAlignment="1">
      <alignment horizontal="left" vertical="center" wrapText="1"/>
    </xf>
    <xf numFmtId="0" fontId="37" fillId="0" borderId="57" xfId="25" applyFont="1" applyBorder="1" applyAlignment="1">
      <alignment horizontal="left" vertical="center" wrapText="1"/>
    </xf>
    <xf numFmtId="0" fontId="42" fillId="0" borderId="0" xfId="25" applyFont="1" applyAlignment="1">
      <alignment horizontal="center" vertical="center"/>
    </xf>
    <xf numFmtId="0" fontId="41" fillId="0" borderId="0" xfId="25" applyFont="1" applyAlignment="1">
      <alignment horizontal="left" vertical="center" wrapText="1"/>
    </xf>
    <xf numFmtId="0" fontId="41" fillId="0" borderId="0" xfId="25" applyFont="1" applyAlignment="1">
      <alignment horizontal="center"/>
    </xf>
    <xf numFmtId="0" fontId="41" fillId="0" borderId="0" xfId="25" applyFont="1" applyAlignment="1">
      <alignment horizontal="left" wrapText="1"/>
    </xf>
    <xf numFmtId="0" fontId="41" fillId="0" borderId="0" xfId="25" applyFont="1" applyAlignment="1">
      <alignment horizontal="center" vertical="center" textRotation="90"/>
    </xf>
    <xf numFmtId="0" fontId="41" fillId="0" borderId="44" xfId="25" applyFont="1" applyBorder="1" applyAlignment="1">
      <alignment horizontal="center" wrapText="1"/>
    </xf>
    <xf numFmtId="0" fontId="41" fillId="0" borderId="45" xfId="25" applyFont="1" applyBorder="1" applyAlignment="1">
      <alignment horizontal="center" wrapText="1"/>
    </xf>
    <xf numFmtId="0" fontId="41" fillId="0" borderId="51" xfId="25" applyFont="1" applyBorder="1" applyAlignment="1">
      <alignment horizontal="center" wrapText="1"/>
    </xf>
    <xf numFmtId="0" fontId="41" fillId="0" borderId="53" xfId="25" applyFont="1" applyBorder="1" applyAlignment="1">
      <alignment horizontal="center" wrapText="1"/>
    </xf>
    <xf numFmtId="0" fontId="41" fillId="0" borderId="48" xfId="25" applyFont="1" applyBorder="1" applyAlignment="1">
      <alignment horizontal="center" wrapText="1"/>
    </xf>
    <xf numFmtId="0" fontId="80" fillId="0" borderId="56" xfId="25" applyFont="1" applyBorder="1" applyAlignment="1">
      <alignment horizontal="left" wrapText="1"/>
    </xf>
    <xf numFmtId="0" fontId="80" fillId="0" borderId="57" xfId="25" applyFont="1" applyBorder="1" applyAlignment="1">
      <alignment horizontal="left" wrapText="1"/>
    </xf>
    <xf numFmtId="0" fontId="41" fillId="0" borderId="53" xfId="7" applyFont="1" applyBorder="1" applyAlignment="1" applyProtection="1">
      <alignment horizontal="left" vertical="top" wrapText="1" readingOrder="1"/>
      <protection locked="0"/>
    </xf>
    <xf numFmtId="0" fontId="41" fillId="0" borderId="45" xfId="7" applyFont="1" applyBorder="1" applyAlignment="1" applyProtection="1">
      <alignment horizontal="left" vertical="top" wrapText="1" readingOrder="1"/>
      <protection locked="0"/>
    </xf>
    <xf numFmtId="0" fontId="41" fillId="0" borderId="48" xfId="7" applyFont="1" applyBorder="1" applyAlignment="1" applyProtection="1">
      <alignment horizontal="left" vertical="top" wrapText="1" readingOrder="1"/>
      <protection locked="0"/>
    </xf>
    <xf numFmtId="0" fontId="41" fillId="0" borderId="13" xfId="7" applyFont="1" applyBorder="1" applyAlignment="1" applyProtection="1">
      <alignment horizontal="left" vertical="top" wrapText="1" readingOrder="1"/>
      <protection locked="0"/>
    </xf>
    <xf numFmtId="0" fontId="41" fillId="0" borderId="0" xfId="7" applyFont="1" applyAlignment="1" applyProtection="1">
      <alignment horizontal="left" vertical="top" wrapText="1" readingOrder="1"/>
      <protection locked="0"/>
    </xf>
    <xf numFmtId="0" fontId="41" fillId="0" borderId="14" xfId="7" applyFont="1" applyBorder="1" applyAlignment="1" applyProtection="1">
      <alignment horizontal="left" vertical="top" wrapText="1" readingOrder="1"/>
      <protection locked="0"/>
    </xf>
    <xf numFmtId="0" fontId="41" fillId="0" borderId="64" xfId="7" applyFont="1" applyBorder="1" applyAlignment="1" applyProtection="1">
      <alignment horizontal="left" vertical="top" wrapText="1" readingOrder="1"/>
      <protection locked="0"/>
    </xf>
    <xf numFmtId="0" fontId="41" fillId="0" borderId="39" xfId="7" applyFont="1" applyBorder="1" applyAlignment="1" applyProtection="1">
      <alignment horizontal="left" vertical="top" wrapText="1" readingOrder="1"/>
      <protection locked="0"/>
    </xf>
    <xf numFmtId="0" fontId="41" fillId="0" borderId="42" xfId="7" applyFont="1" applyBorder="1" applyAlignment="1" applyProtection="1">
      <alignment horizontal="left" vertical="top" wrapText="1" readingOrder="1"/>
      <protection locked="0"/>
    </xf>
    <xf numFmtId="0" fontId="14" fillId="0" borderId="0" xfId="25" applyFont="1" applyAlignment="1" applyProtection="1">
      <alignment horizontal="center" wrapText="1"/>
      <protection hidden="1"/>
    </xf>
    <xf numFmtId="0" fontId="2" fillId="0" borderId="0" xfId="25" applyAlignment="1" applyProtection="1">
      <alignment horizontal="center"/>
      <protection hidden="1"/>
    </xf>
    <xf numFmtId="0" fontId="39" fillId="0" borderId="44" xfId="25" applyFont="1" applyBorder="1" applyAlignment="1">
      <alignment horizontal="left" vertical="top"/>
    </xf>
    <xf numFmtId="0" fontId="39" fillId="0" borderId="45" xfId="25" applyFont="1" applyBorder="1" applyAlignment="1">
      <alignment horizontal="left" vertical="top"/>
    </xf>
    <xf numFmtId="0" fontId="39" fillId="0" borderId="46" xfId="25" applyFont="1" applyBorder="1" applyAlignment="1">
      <alignment horizontal="left" vertical="top"/>
    </xf>
    <xf numFmtId="0" fontId="39" fillId="0" borderId="47" xfId="25" applyFont="1" applyBorder="1" applyAlignment="1">
      <alignment horizontal="left" vertical="top"/>
    </xf>
    <xf numFmtId="0" fontId="39" fillId="0" borderId="47" xfId="25" applyFont="1" applyBorder="1" applyAlignment="1">
      <alignment horizontal="left" vertical="top" wrapText="1"/>
    </xf>
    <xf numFmtId="0" fontId="39" fillId="0" borderId="46" xfId="25" applyFont="1" applyBorder="1" applyAlignment="1">
      <alignment horizontal="left" vertical="top" wrapText="1"/>
    </xf>
    <xf numFmtId="0" fontId="39" fillId="0" borderId="47" xfId="25" applyFont="1" applyBorder="1" applyAlignment="1">
      <alignment horizontal="left" vertical="top" shrinkToFit="1"/>
    </xf>
    <xf numFmtId="0" fontId="39" fillId="0" borderId="46" xfId="25" applyFont="1" applyBorder="1" applyAlignment="1">
      <alignment horizontal="left" vertical="top" shrinkToFit="1"/>
    </xf>
    <xf numFmtId="0" fontId="39" fillId="0" borderId="48" xfId="25" applyFont="1" applyBorder="1" applyAlignment="1">
      <alignment horizontal="left" vertical="top"/>
    </xf>
    <xf numFmtId="0" fontId="14" fillId="0" borderId="38" xfId="25" applyFont="1" applyBorder="1" applyAlignment="1" applyProtection="1">
      <alignment horizontal="left" vertical="center"/>
      <protection locked="0"/>
    </xf>
    <xf numFmtId="0" fontId="2" fillId="0" borderId="39" xfId="25" applyBorder="1" applyAlignment="1" applyProtection="1">
      <alignment horizontal="left" vertical="center"/>
      <protection locked="0"/>
    </xf>
    <xf numFmtId="0" fontId="2" fillId="0" borderId="40" xfId="25" applyBorder="1" applyAlignment="1" applyProtection="1">
      <alignment horizontal="left" vertical="center"/>
      <protection locked="0"/>
    </xf>
    <xf numFmtId="0" fontId="37" fillId="0" borderId="41" xfId="25" applyFont="1" applyBorder="1" applyAlignment="1" applyProtection="1">
      <alignment vertical="center"/>
      <protection locked="0"/>
    </xf>
    <xf numFmtId="0" fontId="37" fillId="0" borderId="43" xfId="25" applyFont="1" applyBorder="1" applyAlignment="1" applyProtection="1">
      <alignment vertical="center"/>
      <protection locked="0"/>
    </xf>
    <xf numFmtId="0" fontId="37" fillId="0" borderId="49" xfId="25" applyFont="1" applyBorder="1" applyAlignment="1" applyProtection="1">
      <alignment vertical="center"/>
      <protection locked="0"/>
    </xf>
    <xf numFmtId="0" fontId="37" fillId="0" borderId="0" xfId="25" applyFont="1" applyAlignment="1" applyProtection="1">
      <alignment vertical="center"/>
      <protection locked="0"/>
    </xf>
    <xf numFmtId="0" fontId="37" fillId="0" borderId="41" xfId="25" applyFont="1" applyBorder="1" applyAlignment="1" applyProtection="1">
      <alignment horizontal="left" vertical="center"/>
      <protection locked="0"/>
    </xf>
    <xf numFmtId="0" fontId="37" fillId="0" borderId="40" xfId="25" applyFont="1" applyBorder="1" applyAlignment="1" applyProtection="1">
      <alignment horizontal="left" vertical="center"/>
      <protection locked="0"/>
    </xf>
    <xf numFmtId="164" fontId="37" fillId="0" borderId="41" xfId="25" applyNumberFormat="1" applyFont="1" applyBorder="1" applyAlignment="1" applyProtection="1">
      <alignment horizontal="center" vertical="center" shrinkToFit="1"/>
      <protection locked="0"/>
    </xf>
    <xf numFmtId="164" fontId="37" fillId="0" borderId="40" xfId="25" applyNumberFormat="1" applyFont="1" applyBorder="1" applyAlignment="1" applyProtection="1">
      <alignment horizontal="center" vertical="center" shrinkToFit="1"/>
      <protection locked="0"/>
    </xf>
    <xf numFmtId="167" fontId="40" fillId="0" borderId="41" xfId="25" applyNumberFormat="1" applyFont="1" applyBorder="1" applyAlignment="1">
      <alignment horizontal="center" vertical="center"/>
    </xf>
    <xf numFmtId="167" fontId="40" fillId="0" borderId="42" xfId="25" applyNumberFormat="1" applyFont="1" applyBorder="1" applyAlignment="1">
      <alignment horizontal="center" vertical="center"/>
    </xf>
    <xf numFmtId="0" fontId="38" fillId="0" borderId="5" xfId="25" applyFont="1" applyBorder="1" applyAlignment="1">
      <alignment horizontal="center" vertical="center" wrapText="1"/>
    </xf>
    <xf numFmtId="0" fontId="38" fillId="0" borderId="6" xfId="25" applyFont="1" applyBorder="1" applyAlignment="1">
      <alignment horizontal="center" vertical="center" wrapText="1"/>
    </xf>
    <xf numFmtId="0" fontId="38" fillId="0" borderId="36" xfId="25" applyFont="1" applyBorder="1" applyAlignment="1">
      <alignment horizontal="center" vertical="center" wrapText="1"/>
    </xf>
    <xf numFmtId="0" fontId="38" fillId="0" borderId="37" xfId="25" applyFont="1" applyBorder="1" applyAlignment="1">
      <alignment horizontal="center" vertical="center" wrapText="1"/>
    </xf>
    <xf numFmtId="0" fontId="14" fillId="0" borderId="6" xfId="25" applyFont="1" applyBorder="1"/>
    <xf numFmtId="0" fontId="14" fillId="0" borderId="36" xfId="25" applyFont="1" applyBorder="1"/>
    <xf numFmtId="0" fontId="39" fillId="0" borderId="37" xfId="25" applyFont="1" applyBorder="1" applyAlignment="1">
      <alignment horizontal="left" vertical="top"/>
    </xf>
    <xf numFmtId="0" fontId="39" fillId="0" borderId="36" xfId="25" applyFont="1" applyBorder="1" applyAlignment="1">
      <alignment horizontal="left" vertical="top"/>
    </xf>
    <xf numFmtId="0" fontId="39" fillId="0" borderId="7" xfId="25" applyFont="1" applyBorder="1" applyAlignment="1">
      <alignment horizontal="left" vertical="top"/>
    </xf>
    <xf numFmtId="0" fontId="38" fillId="0" borderId="38" xfId="25" applyFont="1" applyBorder="1" applyAlignment="1">
      <alignment horizontal="center" vertical="center" wrapText="1"/>
    </xf>
    <xf numFmtId="0" fontId="38" fillId="0" borderId="39" xfId="25" applyFont="1" applyBorder="1" applyAlignment="1">
      <alignment horizontal="center" vertical="center" wrapText="1"/>
    </xf>
    <xf numFmtId="0" fontId="38" fillId="0" borderId="40" xfId="25" applyFont="1" applyBorder="1" applyAlignment="1">
      <alignment horizontal="center" vertical="center" wrapText="1"/>
    </xf>
    <xf numFmtId="0" fontId="38" fillId="0" borderId="41" xfId="25" applyFont="1" applyBorder="1" applyAlignment="1">
      <alignment horizontal="center" vertical="center" wrapText="1"/>
    </xf>
    <xf numFmtId="0" fontId="14" fillId="0" borderId="39" xfId="25" applyFont="1" applyBorder="1"/>
    <xf numFmtId="0" fontId="14" fillId="0" borderId="40" xfId="25" applyFont="1" applyBorder="1"/>
    <xf numFmtId="0" fontId="37" fillId="0" borderId="41" xfId="25" applyFont="1" applyBorder="1" applyAlignment="1" applyProtection="1">
      <alignment horizontal="center" vertical="center"/>
      <protection locked="0"/>
    </xf>
    <xf numFmtId="0" fontId="37" fillId="0" borderId="40" xfId="25" applyFont="1" applyBorder="1" applyAlignment="1" applyProtection="1">
      <alignment horizontal="center" vertical="center"/>
      <protection locked="0"/>
    </xf>
    <xf numFmtId="166" fontId="37" fillId="0" borderId="41" xfId="25" applyNumberFormat="1" applyFont="1" applyBorder="1" applyAlignment="1" applyProtection="1">
      <alignment horizontal="center" vertical="center"/>
      <protection locked="0"/>
    </xf>
    <xf numFmtId="166" fontId="37" fillId="0" borderId="42" xfId="25" applyNumberFormat="1" applyFont="1" applyBorder="1" applyAlignment="1" applyProtection="1">
      <alignment horizontal="center" vertical="center"/>
      <protection locked="0"/>
    </xf>
    <xf numFmtId="0" fontId="31" fillId="2" borderId="25" xfId="0" applyFont="1" applyFill="1" applyBorder="1" applyAlignment="1">
      <alignment horizontal="center" vertical="center"/>
    </xf>
    <xf numFmtId="0" fontId="31" fillId="2" borderId="26" xfId="0" applyFont="1" applyFill="1" applyBorder="1" applyAlignment="1">
      <alignment horizontal="center" vertical="center"/>
    </xf>
    <xf numFmtId="0" fontId="31" fillId="2" borderId="27" xfId="0" applyFont="1" applyFill="1" applyBorder="1" applyAlignment="1">
      <alignment horizontal="center" vertical="center"/>
    </xf>
    <xf numFmtId="0" fontId="23" fillId="3" borderId="10" xfId="0" applyFont="1" applyFill="1" applyBorder="1" applyAlignment="1">
      <alignment horizontal="center" vertical="center" wrapText="1"/>
    </xf>
    <xf numFmtId="0" fontId="23" fillId="3" borderId="9" xfId="0" applyFont="1" applyFill="1" applyBorder="1" applyAlignment="1">
      <alignment horizontal="center" vertical="center" wrapText="1"/>
    </xf>
    <xf numFmtId="0" fontId="28" fillId="0" borderId="29" xfId="0" applyFont="1" applyBorder="1" applyAlignment="1" applyProtection="1">
      <alignment horizontal="center" vertical="top" wrapText="1"/>
      <protection locked="0"/>
    </xf>
    <xf numFmtId="0" fontId="28" fillId="0" borderId="30" xfId="0" applyFont="1" applyBorder="1" applyAlignment="1" applyProtection="1">
      <alignment horizontal="center" vertical="top" wrapText="1"/>
      <protection locked="0"/>
    </xf>
    <xf numFmtId="0" fontId="28" fillId="0" borderId="17" xfId="0" applyFont="1" applyBorder="1" applyAlignment="1" applyProtection="1">
      <alignment horizontal="center" vertical="top" wrapText="1"/>
      <protection locked="0"/>
    </xf>
    <xf numFmtId="0" fontId="28" fillId="0" borderId="8" xfId="0" applyFont="1" applyBorder="1" applyAlignment="1" applyProtection="1">
      <alignment horizontal="center" vertical="top" wrapText="1"/>
      <protection locked="0"/>
    </xf>
    <xf numFmtId="0" fontId="28" fillId="0" borderId="33" xfId="0" applyFont="1" applyBorder="1" applyAlignment="1" applyProtection="1">
      <alignment horizontal="center" vertical="top" wrapText="1"/>
      <protection locked="0"/>
    </xf>
    <xf numFmtId="0" fontId="28" fillId="0" borderId="34" xfId="0" applyFont="1" applyBorder="1" applyAlignment="1" applyProtection="1">
      <alignment horizontal="center" vertical="top" wrapText="1"/>
      <protection locked="0"/>
    </xf>
    <xf numFmtId="0" fontId="30" fillId="0" borderId="33" xfId="0" applyFont="1" applyBorder="1" applyAlignment="1" applyProtection="1">
      <alignment horizontal="center" vertical="top"/>
      <protection locked="0"/>
    </xf>
    <xf numFmtId="0" fontId="30" fillId="0" borderId="34" xfId="0" applyFont="1" applyBorder="1" applyAlignment="1" applyProtection="1">
      <alignment horizontal="center" vertical="top"/>
      <protection locked="0"/>
    </xf>
    <xf numFmtId="0" fontId="28" fillId="0" borderId="33" xfId="0" applyFont="1" applyBorder="1" applyAlignment="1" applyProtection="1">
      <alignment horizontal="center" vertical="top"/>
      <protection locked="0"/>
    </xf>
    <xf numFmtId="0" fontId="28" fillId="0" borderId="34" xfId="0" applyFont="1" applyBorder="1" applyAlignment="1" applyProtection="1">
      <alignment horizontal="center" vertical="top"/>
      <protection locked="0"/>
    </xf>
    <xf numFmtId="0" fontId="30" fillId="0" borderId="17" xfId="0" applyFont="1" applyBorder="1" applyAlignment="1" applyProtection="1">
      <alignment horizontal="center" vertical="top"/>
      <protection locked="0"/>
    </xf>
    <xf numFmtId="0" fontId="30" fillId="0" borderId="8" xfId="0" applyFont="1" applyBorder="1" applyAlignment="1" applyProtection="1">
      <alignment horizontal="center" vertical="top"/>
      <protection locked="0"/>
    </xf>
    <xf numFmtId="0" fontId="28" fillId="0" borderId="17" xfId="0" applyFont="1" applyBorder="1" applyAlignment="1" applyProtection="1">
      <alignment horizontal="center" vertical="top"/>
      <protection locked="0"/>
    </xf>
    <xf numFmtId="0" fontId="28" fillId="0" borderId="8" xfId="0" applyFont="1" applyBorder="1" applyAlignment="1" applyProtection="1">
      <alignment horizontal="center" vertical="top"/>
      <protection locked="0"/>
    </xf>
    <xf numFmtId="0" fontId="23" fillId="0" borderId="23" xfId="0" applyFont="1" applyBorder="1" applyAlignment="1">
      <alignment horizontal="center" vertical="center" wrapText="1"/>
    </xf>
    <xf numFmtId="0" fontId="23" fillId="0" borderId="16" xfId="0" applyFont="1" applyBorder="1" applyAlignment="1">
      <alignment horizontal="center" vertical="center" wrapText="1"/>
    </xf>
    <xf numFmtId="0" fontId="38" fillId="0" borderId="5" xfId="23" applyFont="1" applyBorder="1" applyAlignment="1">
      <alignment horizontal="center" vertical="center" wrapText="1"/>
    </xf>
    <xf numFmtId="0" fontId="38" fillId="0" borderId="6" xfId="23" applyFont="1" applyBorder="1" applyAlignment="1">
      <alignment horizontal="center" vertical="center" wrapText="1"/>
    </xf>
    <xf numFmtId="0" fontId="38" fillId="0" borderId="36" xfId="23" applyFont="1" applyBorder="1" applyAlignment="1">
      <alignment horizontal="center" vertical="center" wrapText="1"/>
    </xf>
    <xf numFmtId="0" fontId="38" fillId="0" borderId="37" xfId="23" applyFont="1" applyBorder="1" applyAlignment="1">
      <alignment horizontal="center" vertical="center" wrapText="1"/>
    </xf>
    <xf numFmtId="0" fontId="14" fillId="0" borderId="6" xfId="23" applyFont="1" applyBorder="1"/>
    <xf numFmtId="0" fontId="14" fillId="0" borderId="36" xfId="23" applyFont="1" applyBorder="1"/>
    <xf numFmtId="0" fontId="39" fillId="0" borderId="37" xfId="23" applyFont="1" applyBorder="1" applyAlignment="1">
      <alignment horizontal="left" vertical="top"/>
    </xf>
    <xf numFmtId="0" fontId="39" fillId="0" borderId="36" xfId="23" applyFont="1" applyBorder="1" applyAlignment="1">
      <alignment horizontal="left" vertical="top"/>
    </xf>
    <xf numFmtId="0" fontId="39" fillId="0" borderId="7" xfId="23" applyFont="1" applyBorder="1" applyAlignment="1">
      <alignment horizontal="left" vertical="top"/>
    </xf>
    <xf numFmtId="0" fontId="38" fillId="0" borderId="38" xfId="23" applyFont="1" applyBorder="1" applyAlignment="1">
      <alignment horizontal="center" vertical="center" wrapText="1"/>
    </xf>
    <xf numFmtId="0" fontId="38" fillId="0" borderId="39" xfId="23" applyFont="1" applyBorder="1" applyAlignment="1">
      <alignment horizontal="center" vertical="center" wrapText="1"/>
    </xf>
    <xf numFmtId="0" fontId="38" fillId="0" borderId="40" xfId="23" applyFont="1" applyBorder="1" applyAlignment="1">
      <alignment horizontal="center" vertical="center" wrapText="1"/>
    </xf>
    <xf numFmtId="0" fontId="38" fillId="0" borderId="41" xfId="23" applyFont="1" applyBorder="1" applyAlignment="1">
      <alignment horizontal="center" vertical="center" wrapText="1"/>
    </xf>
    <xf numFmtId="0" fontId="14" fillId="0" borderId="39" xfId="23" applyFont="1" applyBorder="1"/>
    <xf numFmtId="0" fontId="14" fillId="0" borderId="40" xfId="23" applyFont="1" applyBorder="1"/>
    <xf numFmtId="0" fontId="37" fillId="0" borderId="41" xfId="23" applyFont="1" applyBorder="1" applyAlignment="1" applyProtection="1">
      <alignment horizontal="center" vertical="center"/>
      <protection locked="0"/>
    </xf>
    <xf numFmtId="0" fontId="37" fillId="0" borderId="40" xfId="23" applyFont="1" applyBorder="1" applyAlignment="1" applyProtection="1">
      <alignment horizontal="center" vertical="center"/>
      <protection locked="0"/>
    </xf>
    <xf numFmtId="166" fontId="37" fillId="0" borderId="41" xfId="23" applyNumberFormat="1" applyFont="1" applyBorder="1" applyAlignment="1" applyProtection="1">
      <alignment horizontal="center" vertical="center"/>
      <protection locked="0"/>
    </xf>
    <xf numFmtId="166" fontId="37" fillId="0" borderId="42" xfId="23" applyNumberFormat="1" applyFont="1" applyBorder="1" applyAlignment="1" applyProtection="1">
      <alignment horizontal="center" vertical="center"/>
      <protection locked="0"/>
    </xf>
    <xf numFmtId="0" fontId="14" fillId="0" borderId="0" xfId="23" applyFont="1" applyAlignment="1" applyProtection="1">
      <alignment horizontal="center" wrapText="1"/>
      <protection hidden="1"/>
    </xf>
    <xf numFmtId="0" fontId="3" fillId="0" borderId="0" xfId="23" applyAlignment="1" applyProtection="1">
      <alignment horizontal="center"/>
      <protection hidden="1"/>
    </xf>
    <xf numFmtId="0" fontId="39" fillId="0" borderId="44" xfId="23" applyFont="1" applyBorder="1" applyAlignment="1">
      <alignment horizontal="left" vertical="top"/>
    </xf>
    <xf numFmtId="0" fontId="39" fillId="0" borderId="45" xfId="23" applyFont="1" applyBorder="1" applyAlignment="1">
      <alignment horizontal="left" vertical="top"/>
    </xf>
    <xf numFmtId="0" fontId="39" fillId="0" borderId="46" xfId="23" applyFont="1" applyBorder="1" applyAlignment="1">
      <alignment horizontal="left" vertical="top"/>
    </xf>
    <xf numFmtId="0" fontId="39" fillId="0" borderId="47" xfId="23" applyFont="1" applyBorder="1" applyAlignment="1">
      <alignment horizontal="left" vertical="top"/>
    </xf>
    <xf numFmtId="0" fontId="39" fillId="0" borderId="47" xfId="23" applyFont="1" applyBorder="1" applyAlignment="1">
      <alignment horizontal="left" vertical="top" wrapText="1"/>
    </xf>
    <xf numFmtId="0" fontId="39" fillId="0" borderId="46" xfId="23" applyFont="1" applyBorder="1" applyAlignment="1">
      <alignment horizontal="left" vertical="top" wrapText="1"/>
    </xf>
    <xf numFmtId="0" fontId="39" fillId="0" borderId="47" xfId="23" applyFont="1" applyBorder="1" applyAlignment="1">
      <alignment horizontal="left" vertical="top" shrinkToFit="1"/>
    </xf>
    <xf numFmtId="0" fontId="39" fillId="0" borderId="46" xfId="23" applyFont="1" applyBorder="1" applyAlignment="1">
      <alignment horizontal="left" vertical="top" shrinkToFit="1"/>
    </xf>
    <xf numFmtId="0" fontId="39" fillId="0" borderId="48" xfId="23" applyFont="1" applyBorder="1" applyAlignment="1">
      <alignment horizontal="left" vertical="top"/>
    </xf>
    <xf numFmtId="0" fontId="14" fillId="0" borderId="38" xfId="23" applyFont="1" applyBorder="1" applyAlignment="1" applyProtection="1">
      <alignment horizontal="left" vertical="center"/>
      <protection locked="0"/>
    </xf>
    <xf numFmtId="0" fontId="3" fillId="0" borderId="39" xfId="23" applyBorder="1" applyAlignment="1" applyProtection="1">
      <alignment horizontal="left" vertical="center"/>
      <protection locked="0"/>
    </xf>
    <xf numFmtId="0" fontId="3" fillId="0" borderId="40" xfId="23" applyBorder="1" applyAlignment="1" applyProtection="1">
      <alignment horizontal="left" vertical="center"/>
      <protection locked="0"/>
    </xf>
    <xf numFmtId="0" fontId="37" fillId="0" borderId="41" xfId="23" applyFont="1" applyBorder="1" applyAlignment="1" applyProtection="1">
      <alignment vertical="center"/>
      <protection locked="0"/>
    </xf>
    <xf numFmtId="0" fontId="37" fillId="0" borderId="43" xfId="23" applyFont="1" applyBorder="1" applyAlignment="1" applyProtection="1">
      <alignment vertical="center"/>
      <protection locked="0"/>
    </xf>
    <xf numFmtId="0" fontId="37" fillId="0" borderId="49" xfId="23" applyFont="1" applyBorder="1" applyAlignment="1" applyProtection="1">
      <alignment vertical="center"/>
      <protection locked="0"/>
    </xf>
    <xf numFmtId="0" fontId="37" fillId="0" borderId="0" xfId="23" applyFont="1" applyAlignment="1" applyProtection="1">
      <alignment vertical="center"/>
      <protection locked="0"/>
    </xf>
    <xf numFmtId="0" fontId="37" fillId="0" borderId="41" xfId="23" applyFont="1" applyBorder="1" applyAlignment="1" applyProtection="1">
      <alignment horizontal="left" vertical="center"/>
      <protection locked="0"/>
    </xf>
    <xf numFmtId="0" fontId="37" fillId="0" borderId="40" xfId="23" applyFont="1" applyBorder="1" applyAlignment="1" applyProtection="1">
      <alignment horizontal="left" vertical="center"/>
      <protection locked="0"/>
    </xf>
    <xf numFmtId="164" fontId="37" fillId="0" borderId="41" xfId="23" applyNumberFormat="1" applyFont="1" applyBorder="1" applyAlignment="1" applyProtection="1">
      <alignment horizontal="center" vertical="center" shrinkToFit="1"/>
      <protection locked="0"/>
    </xf>
    <xf numFmtId="164" fontId="37" fillId="0" borderId="40" xfId="23" applyNumberFormat="1" applyFont="1" applyBorder="1" applyAlignment="1" applyProtection="1">
      <alignment horizontal="center" vertical="center" shrinkToFit="1"/>
      <protection locked="0"/>
    </xf>
    <xf numFmtId="167" fontId="40" fillId="0" borderId="41" xfId="23" applyNumberFormat="1" applyFont="1" applyBorder="1" applyAlignment="1">
      <alignment horizontal="center" vertical="center"/>
    </xf>
    <xf numFmtId="167" fontId="40" fillId="0" borderId="42" xfId="23" applyNumberFormat="1" applyFont="1" applyBorder="1" applyAlignment="1">
      <alignment horizontal="center" vertical="center"/>
    </xf>
    <xf numFmtId="0" fontId="41" fillId="0" borderId="44" xfId="23" applyFont="1" applyBorder="1" applyAlignment="1">
      <alignment horizontal="center" wrapText="1"/>
    </xf>
    <xf numFmtId="0" fontId="41" fillId="0" borderId="45" xfId="23" applyFont="1" applyBorder="1" applyAlignment="1">
      <alignment horizontal="center" wrapText="1"/>
    </xf>
    <xf numFmtId="0" fontId="41" fillId="0" borderId="51" xfId="23" applyFont="1" applyBorder="1" applyAlignment="1">
      <alignment horizontal="center" wrapText="1"/>
    </xf>
    <xf numFmtId="0" fontId="41" fillId="0" borderId="53" xfId="23" applyFont="1" applyBorder="1" applyAlignment="1">
      <alignment horizontal="center" wrapText="1"/>
    </xf>
    <xf numFmtId="0" fontId="41" fillId="0" borderId="48" xfId="23" applyFont="1" applyBorder="1" applyAlignment="1">
      <alignment horizontal="center" wrapText="1"/>
    </xf>
    <xf numFmtId="0" fontId="80" fillId="0" borderId="56" xfId="23" applyFont="1" applyBorder="1" applyAlignment="1">
      <alignment horizontal="left" wrapText="1"/>
    </xf>
    <xf numFmtId="0" fontId="80" fillId="0" borderId="57" xfId="23" applyFont="1" applyBorder="1" applyAlignment="1">
      <alignment horizontal="left" wrapText="1"/>
    </xf>
    <xf numFmtId="0" fontId="37" fillId="0" borderId="56" xfId="23" applyFont="1" applyBorder="1" applyAlignment="1">
      <alignment horizontal="left" vertical="center" wrapText="1"/>
    </xf>
    <xf numFmtId="0" fontId="37" fillId="0" borderId="57" xfId="23" applyFont="1" applyBorder="1" applyAlignment="1">
      <alignment horizontal="left" vertical="center" wrapText="1"/>
    </xf>
    <xf numFmtId="0" fontId="42" fillId="0" borderId="0" xfId="23" applyFont="1" applyAlignment="1">
      <alignment horizontal="center" vertical="center"/>
    </xf>
    <xf numFmtId="0" fontId="41" fillId="0" borderId="0" xfId="23" applyFont="1" applyAlignment="1">
      <alignment horizontal="left" vertical="center" wrapText="1"/>
    </xf>
    <xf numFmtId="0" fontId="41" fillId="0" borderId="0" xfId="23" applyFont="1" applyAlignment="1">
      <alignment horizontal="center"/>
    </xf>
    <xf numFmtId="0" fontId="41" fillId="0" borderId="0" xfId="23" applyFont="1" applyAlignment="1">
      <alignment horizontal="left" wrapText="1"/>
    </xf>
    <xf numFmtId="0" fontId="41" fillId="0" borderId="0" xfId="23" applyFont="1" applyAlignment="1">
      <alignment horizontal="center" vertical="center" textRotation="90"/>
    </xf>
    <xf numFmtId="0" fontId="41" fillId="0" borderId="47" xfId="23" applyFont="1" applyBorder="1" applyAlignment="1" applyProtection="1">
      <alignment horizontal="left" vertical="top"/>
      <protection locked="0"/>
    </xf>
    <xf numFmtId="0" fontId="41" fillId="0" borderId="45" xfId="23" applyFont="1" applyBorder="1" applyAlignment="1" applyProtection="1">
      <alignment horizontal="left" vertical="top"/>
      <protection locked="0"/>
    </xf>
    <xf numFmtId="0" fontId="41" fillId="0" borderId="46" xfId="23" applyFont="1" applyBorder="1" applyAlignment="1" applyProtection="1">
      <alignment horizontal="left" vertical="top"/>
      <protection locked="0"/>
    </xf>
    <xf numFmtId="0" fontId="41" fillId="0" borderId="49" xfId="23" applyFont="1" applyBorder="1" applyAlignment="1" applyProtection="1">
      <alignment horizontal="left" vertical="top"/>
      <protection locked="0"/>
    </xf>
    <xf numFmtId="0" fontId="41" fillId="0" borderId="0" xfId="23" applyFont="1" applyAlignment="1" applyProtection="1">
      <alignment horizontal="left" vertical="top"/>
      <protection locked="0"/>
    </xf>
    <xf numFmtId="0" fontId="41" fillId="0" borderId="43" xfId="23" applyFont="1" applyBorder="1" applyAlignment="1" applyProtection="1">
      <alignment horizontal="left" vertical="top"/>
      <protection locked="0"/>
    </xf>
    <xf numFmtId="0" fontId="41" fillId="0" borderId="41" xfId="23" applyFont="1" applyBorder="1" applyAlignment="1" applyProtection="1">
      <alignment horizontal="left" vertical="top"/>
      <protection locked="0"/>
    </xf>
    <xf numFmtId="0" fontId="41" fillId="0" borderId="39" xfId="23" applyFont="1" applyBorder="1" applyAlignment="1" applyProtection="1">
      <alignment horizontal="left" vertical="top"/>
      <protection locked="0"/>
    </xf>
    <xf numFmtId="0" fontId="41" fillId="0" borderId="40" xfId="23" applyFont="1" applyBorder="1" applyAlignment="1" applyProtection="1">
      <alignment horizontal="left" vertical="top"/>
      <protection locked="0"/>
    </xf>
    <xf numFmtId="49" fontId="39" fillId="0" borderId="15" xfId="23" applyNumberFormat="1" applyFont="1" applyBorder="1" applyAlignment="1">
      <alignment horizontal="left" vertical="top"/>
    </xf>
    <xf numFmtId="49" fontId="39" fillId="0" borderId="0" xfId="23" applyNumberFormat="1" applyFont="1" applyAlignment="1">
      <alignment horizontal="left" vertical="top"/>
    </xf>
    <xf numFmtId="49" fontId="39" fillId="0" borderId="43" xfId="23" applyNumberFormat="1" applyFont="1" applyBorder="1" applyAlignment="1">
      <alignment horizontal="left" vertical="top"/>
    </xf>
    <xf numFmtId="49" fontId="39" fillId="0" borderId="54" xfId="23" applyNumberFormat="1" applyFont="1" applyBorder="1" applyAlignment="1">
      <alignment horizontal="left" vertical="top"/>
    </xf>
    <xf numFmtId="49" fontId="39" fillId="0" borderId="65" xfId="23" applyNumberFormat="1" applyFont="1" applyBorder="1" applyAlignment="1">
      <alignment horizontal="left" vertical="top"/>
    </xf>
    <xf numFmtId="0" fontId="39" fillId="0" borderId="65" xfId="23" applyFont="1" applyBorder="1" applyAlignment="1">
      <alignment horizontal="left" vertical="top"/>
    </xf>
    <xf numFmtId="0" fontId="39" fillId="0" borderId="66" xfId="23" applyFont="1" applyBorder="1" applyAlignment="1">
      <alignment horizontal="left" vertical="top"/>
    </xf>
    <xf numFmtId="0" fontId="43" fillId="0" borderId="16" xfId="23" applyFont="1" applyBorder="1" applyAlignment="1">
      <alignment horizontal="left" vertical="top"/>
    </xf>
    <xf numFmtId="0" fontId="39" fillId="0" borderId="17" xfId="23" applyFont="1" applyBorder="1" applyAlignment="1">
      <alignment horizontal="left" vertical="top"/>
    </xf>
    <xf numFmtId="0" fontId="39" fillId="0" borderId="8" xfId="23" applyFont="1" applyBorder="1" applyAlignment="1">
      <alignment horizontal="left" vertical="top"/>
    </xf>
    <xf numFmtId="9" fontId="38" fillId="0" borderId="18" xfId="24" applyFont="1" applyBorder="1" applyAlignment="1" applyProtection="1">
      <alignment horizontal="center" vertical="center"/>
    </xf>
    <xf numFmtId="9" fontId="38" fillId="0" borderId="19" xfId="24" applyFont="1" applyBorder="1" applyAlignment="1" applyProtection="1">
      <alignment horizontal="center" vertical="center"/>
    </xf>
    <xf numFmtId="9" fontId="38" fillId="0" borderId="68" xfId="24" applyFont="1" applyBorder="1" applyAlignment="1" applyProtection="1">
      <alignment horizontal="center" vertical="center"/>
    </xf>
    <xf numFmtId="0" fontId="39" fillId="0" borderId="6" xfId="23" applyFont="1" applyBorder="1" applyAlignment="1">
      <alignment horizontal="right" vertical="top"/>
    </xf>
    <xf numFmtId="0" fontId="38" fillId="0" borderId="69" xfId="23" applyFont="1" applyBorder="1" applyAlignment="1">
      <alignment horizontal="center" vertical="center"/>
    </xf>
    <xf numFmtId="0" fontId="38" fillId="0" borderId="70" xfId="23" applyFont="1" applyBorder="1" applyAlignment="1">
      <alignment horizontal="center" vertical="center"/>
    </xf>
    <xf numFmtId="0" fontId="38" fillId="0" borderId="20" xfId="23" applyFont="1" applyBorder="1" applyAlignment="1">
      <alignment horizontal="center" vertical="center"/>
    </xf>
    <xf numFmtId="0" fontId="44" fillId="0" borderId="22" xfId="23" applyFont="1" applyBorder="1" applyAlignment="1">
      <alignment horizontal="center" vertical="center"/>
    </xf>
    <xf numFmtId="0" fontId="38" fillId="0" borderId="22" xfId="23" applyFont="1" applyBorder="1" applyAlignment="1" applyProtection="1">
      <alignment horizontal="center" vertical="center"/>
      <protection locked="0"/>
    </xf>
    <xf numFmtId="0" fontId="38" fillId="0" borderId="71" xfId="23" applyFont="1" applyBorder="1" applyAlignment="1" applyProtection="1">
      <alignment horizontal="center" vertical="center"/>
      <protection locked="0"/>
    </xf>
    <xf numFmtId="0" fontId="56" fillId="0" borderId="16" xfId="7" applyFont="1" applyBorder="1" applyAlignment="1" applyProtection="1">
      <alignment horizontal="left" vertical="center"/>
      <protection locked="0"/>
    </xf>
    <xf numFmtId="0" fontId="55" fillId="0" borderId="16" xfId="7" applyFont="1" applyBorder="1" applyAlignment="1" applyProtection="1">
      <alignment horizontal="center" vertical="center"/>
      <protection locked="0"/>
    </xf>
    <xf numFmtId="0" fontId="52" fillId="0" borderId="47" xfId="7" applyFont="1" applyBorder="1" applyAlignment="1">
      <alignment horizontal="center" vertical="center" wrapText="1"/>
    </xf>
    <xf numFmtId="0" fontId="52" fillId="0" borderId="46" xfId="7" applyFont="1" applyBorder="1" applyAlignment="1">
      <alignment horizontal="center" vertical="center" wrapText="1"/>
    </xf>
    <xf numFmtId="0" fontId="52" fillId="0" borderId="45" xfId="7" applyFont="1" applyBorder="1" applyAlignment="1">
      <alignment horizontal="center" vertical="center" wrapText="1"/>
    </xf>
    <xf numFmtId="0" fontId="52" fillId="0" borderId="41" xfId="7" applyFont="1" applyBorder="1" applyAlignment="1">
      <alignment horizontal="center" vertical="center" wrapText="1"/>
    </xf>
    <xf numFmtId="0" fontId="52" fillId="0" borderId="40" xfId="7" applyFont="1" applyBorder="1" applyAlignment="1">
      <alignment horizontal="center" vertical="center" wrapText="1"/>
    </xf>
    <xf numFmtId="0" fontId="52" fillId="0" borderId="39" xfId="7" applyFont="1" applyBorder="1" applyAlignment="1">
      <alignment horizontal="center" vertical="center" wrapText="1"/>
    </xf>
    <xf numFmtId="165" fontId="55" fillId="0" borderId="17" xfId="7" applyNumberFormat="1" applyFont="1" applyBorder="1" applyAlignment="1" applyProtection="1">
      <alignment horizontal="center" vertical="center"/>
      <protection locked="0"/>
    </xf>
    <xf numFmtId="165" fontId="55" fillId="0" borderId="72" xfId="7" applyNumberFormat="1" applyFont="1" applyBorder="1" applyAlignment="1" applyProtection="1">
      <alignment horizontal="center" vertical="center"/>
      <protection locked="0"/>
    </xf>
    <xf numFmtId="0" fontId="36" fillId="0" borderId="0" xfId="3" applyFont="1" applyBorder="1" applyAlignment="1" applyProtection="1">
      <alignment horizontal="center"/>
      <protection locked="0"/>
    </xf>
    <xf numFmtId="0" fontId="26" fillId="0" borderId="0" xfId="13" applyFont="1" applyAlignment="1">
      <alignment horizontal="center"/>
    </xf>
    <xf numFmtId="0" fontId="26" fillId="0" borderId="14" xfId="13" applyFont="1" applyBorder="1" applyAlignment="1">
      <alignment horizontal="center"/>
    </xf>
    <xf numFmtId="0" fontId="29" fillId="0" borderId="47" xfId="13" applyFont="1" applyBorder="1" applyAlignment="1" applyProtection="1">
      <alignment horizontal="center" vertical="center"/>
      <protection locked="0"/>
    </xf>
    <xf numFmtId="0" fontId="29" fillId="0" borderId="45" xfId="13" applyFont="1" applyBorder="1" applyAlignment="1" applyProtection="1">
      <alignment horizontal="center" vertical="center"/>
      <protection locked="0"/>
    </xf>
    <xf numFmtId="0" fontId="29" fillId="0" borderId="48" xfId="13" applyFont="1" applyBorder="1" applyAlignment="1" applyProtection="1">
      <alignment horizontal="center" vertical="center"/>
      <protection locked="0"/>
    </xf>
    <xf numFmtId="0" fontId="29" fillId="0" borderId="41" xfId="13" applyFont="1" applyBorder="1" applyAlignment="1" applyProtection="1">
      <alignment horizontal="center" vertical="center"/>
      <protection locked="0"/>
    </xf>
    <xf numFmtId="0" fontId="29" fillId="0" borderId="39" xfId="13" applyFont="1" applyBorder="1" applyAlignment="1" applyProtection="1">
      <alignment horizontal="center" vertical="center"/>
      <protection locked="0"/>
    </xf>
    <xf numFmtId="0" fontId="29" fillId="0" borderId="42" xfId="13" applyFont="1" applyBorder="1" applyAlignment="1" applyProtection="1">
      <alignment horizontal="center" vertical="center"/>
      <protection locked="0"/>
    </xf>
    <xf numFmtId="0" fontId="23" fillId="0" borderId="38" xfId="13" applyFont="1" applyBorder="1" applyAlignment="1">
      <alignment horizontal="left"/>
    </xf>
    <xf numFmtId="0" fontId="23" fillId="0" borderId="39" xfId="13" applyFont="1" applyBorder="1" applyAlignment="1">
      <alignment horizontal="left"/>
    </xf>
    <xf numFmtId="0" fontId="23" fillId="0" borderId="15" xfId="13" applyFont="1" applyBorder="1" applyAlignment="1">
      <alignment horizontal="left"/>
    </xf>
    <xf numFmtId="0" fontId="23" fillId="0" borderId="0" xfId="13" applyFont="1" applyAlignment="1">
      <alignment horizontal="left"/>
    </xf>
    <xf numFmtId="166" fontId="55" fillId="0" borderId="17" xfId="7" applyNumberFormat="1" applyFont="1" applyBorder="1" applyAlignment="1" applyProtection="1">
      <alignment horizontal="center" vertical="center"/>
      <protection locked="0"/>
    </xf>
    <xf numFmtId="166" fontId="55" fillId="0" borderId="72" xfId="7" applyNumberFormat="1" applyFont="1" applyBorder="1" applyAlignment="1" applyProtection="1">
      <alignment horizontal="center" vertical="center"/>
      <protection locked="0"/>
    </xf>
    <xf numFmtId="0" fontId="53" fillId="0" borderId="44" xfId="7" applyFont="1" applyBorder="1" applyAlignment="1">
      <alignment horizontal="left" vertical="top"/>
    </xf>
    <xf numFmtId="0" fontId="53" fillId="0" borderId="45" xfId="7" applyFont="1" applyBorder="1" applyAlignment="1">
      <alignment horizontal="left" vertical="top"/>
    </xf>
    <xf numFmtId="0" fontId="53" fillId="0" borderId="47" xfId="7" applyFont="1" applyBorder="1" applyAlignment="1">
      <alignment horizontal="left" vertical="top"/>
    </xf>
    <xf numFmtId="0" fontId="53" fillId="0" borderId="46" xfId="7" applyFont="1" applyBorder="1" applyAlignment="1">
      <alignment horizontal="left" vertical="top"/>
    </xf>
    <xf numFmtId="0" fontId="41" fillId="0" borderId="47" xfId="27" applyFont="1" applyBorder="1" applyAlignment="1" applyProtection="1">
      <alignment horizontal="left" vertical="top"/>
      <protection locked="0"/>
    </xf>
    <xf numFmtId="0" fontId="41" fillId="0" borderId="45" xfId="27" applyFont="1" applyBorder="1" applyAlignment="1" applyProtection="1">
      <alignment horizontal="left" vertical="top"/>
      <protection locked="0"/>
    </xf>
    <xf numFmtId="0" fontId="41" fillId="0" borderId="46" xfId="27" applyFont="1" applyBorder="1" applyAlignment="1" applyProtection="1">
      <alignment horizontal="left" vertical="top"/>
      <protection locked="0"/>
    </xf>
    <xf numFmtId="0" fontId="41" fillId="0" borderId="49" xfId="27" applyFont="1" applyBorder="1" applyAlignment="1" applyProtection="1">
      <alignment horizontal="left" vertical="top"/>
      <protection locked="0"/>
    </xf>
    <xf numFmtId="0" fontId="41" fillId="0" borderId="0" xfId="27" applyFont="1" applyAlignment="1" applyProtection="1">
      <alignment horizontal="left" vertical="top"/>
      <protection locked="0"/>
    </xf>
    <xf numFmtId="0" fontId="41" fillId="0" borderId="43" xfId="27" applyFont="1" applyBorder="1" applyAlignment="1" applyProtection="1">
      <alignment horizontal="left" vertical="top"/>
      <protection locked="0"/>
    </xf>
    <xf numFmtId="0" fontId="41" fillId="0" borderId="41" xfId="27" applyFont="1" applyBorder="1" applyAlignment="1" applyProtection="1">
      <alignment horizontal="left" vertical="top"/>
      <protection locked="0"/>
    </xf>
    <xf numFmtId="0" fontId="41" fillId="0" borderId="39" xfId="27" applyFont="1" applyBorder="1" applyAlignment="1" applyProtection="1">
      <alignment horizontal="left" vertical="top"/>
      <protection locked="0"/>
    </xf>
    <xf numFmtId="0" fontId="41" fillId="0" borderId="40" xfId="27" applyFont="1" applyBorder="1" applyAlignment="1" applyProtection="1">
      <alignment horizontal="left" vertical="top"/>
      <protection locked="0"/>
    </xf>
    <xf numFmtId="49" fontId="39" fillId="0" borderId="15" xfId="27" applyNumberFormat="1" applyFont="1" applyBorder="1" applyAlignment="1">
      <alignment horizontal="left" vertical="top"/>
    </xf>
    <xf numFmtId="49" fontId="39" fillId="0" borderId="0" xfId="27" applyNumberFormat="1" applyFont="1" applyAlignment="1">
      <alignment horizontal="left" vertical="top"/>
    </xf>
    <xf numFmtId="49" fontId="39" fillId="0" borderId="43" xfId="27" applyNumberFormat="1" applyFont="1" applyBorder="1" applyAlignment="1">
      <alignment horizontal="left" vertical="top"/>
    </xf>
    <xf numFmtId="49" fontId="39" fillId="0" borderId="54" xfId="27" applyNumberFormat="1" applyFont="1" applyBorder="1" applyAlignment="1">
      <alignment horizontal="left" vertical="top"/>
    </xf>
    <xf numFmtId="49" fontId="39" fillId="0" borderId="65" xfId="27" applyNumberFormat="1" applyFont="1" applyBorder="1" applyAlignment="1">
      <alignment horizontal="left" vertical="top"/>
    </xf>
    <xf numFmtId="0" fontId="39" fillId="0" borderId="65" xfId="27" applyFont="1" applyBorder="1" applyAlignment="1">
      <alignment horizontal="left" vertical="top"/>
    </xf>
    <xf numFmtId="0" fontId="39" fillId="0" borderId="66" xfId="27" applyFont="1" applyBorder="1" applyAlignment="1">
      <alignment horizontal="left" vertical="top"/>
    </xf>
    <xf numFmtId="0" fontId="43" fillId="0" borderId="16" xfId="27" applyFont="1" applyBorder="1" applyAlignment="1">
      <alignment horizontal="left" vertical="top"/>
    </xf>
    <xf numFmtId="0" fontId="39" fillId="0" borderId="17" xfId="27" applyFont="1" applyBorder="1" applyAlignment="1">
      <alignment horizontal="left" vertical="top"/>
    </xf>
    <xf numFmtId="0" fontId="39" fillId="0" borderId="8" xfId="27" applyFont="1" applyBorder="1" applyAlignment="1">
      <alignment horizontal="left" vertical="top"/>
    </xf>
    <xf numFmtId="9" fontId="38" fillId="0" borderId="18" xfId="28" applyFont="1" applyBorder="1" applyAlignment="1" applyProtection="1">
      <alignment horizontal="center" vertical="center"/>
    </xf>
    <xf numFmtId="9" fontId="38" fillId="0" borderId="19" xfId="28" applyFont="1" applyBorder="1" applyAlignment="1" applyProtection="1">
      <alignment horizontal="center" vertical="center"/>
    </xf>
    <xf numFmtId="9" fontId="38" fillId="0" borderId="68" xfId="28" applyFont="1" applyBorder="1" applyAlignment="1" applyProtection="1">
      <alignment horizontal="center" vertical="center"/>
    </xf>
    <xf numFmtId="0" fontId="39" fillId="0" borderId="6" xfId="27" applyFont="1" applyBorder="1" applyAlignment="1">
      <alignment horizontal="right" vertical="top"/>
    </xf>
    <xf numFmtId="0" fontId="38" fillId="0" borderId="69" xfId="27" applyFont="1" applyBorder="1" applyAlignment="1">
      <alignment horizontal="center" vertical="center"/>
    </xf>
    <xf numFmtId="0" fontId="38" fillId="0" borderId="70" xfId="27" applyFont="1" applyBorder="1" applyAlignment="1">
      <alignment horizontal="center" vertical="center"/>
    </xf>
    <xf numFmtId="0" fontId="38" fillId="0" borderId="20" xfId="27" applyFont="1" applyBorder="1" applyAlignment="1">
      <alignment horizontal="center" vertical="center"/>
    </xf>
    <xf numFmtId="0" fontId="44" fillId="0" borderId="22" xfId="27" applyFont="1" applyBorder="1" applyAlignment="1">
      <alignment horizontal="center" vertical="center"/>
    </xf>
    <xf numFmtId="0" fontId="38" fillId="0" borderId="22" xfId="27" applyFont="1" applyBorder="1" applyAlignment="1" applyProtection="1">
      <alignment horizontal="center" vertical="center"/>
      <protection locked="0"/>
    </xf>
    <xf numFmtId="0" fontId="38" fillId="0" borderId="71" xfId="27" applyFont="1" applyBorder="1" applyAlignment="1" applyProtection="1">
      <alignment horizontal="center" vertical="center"/>
      <protection locked="0"/>
    </xf>
    <xf numFmtId="0" fontId="37" fillId="0" borderId="56" xfId="27" applyFont="1" applyBorder="1" applyAlignment="1">
      <alignment horizontal="left" vertical="center" wrapText="1"/>
    </xf>
    <xf numFmtId="0" fontId="37" fillId="0" borderId="57" xfId="27" applyFont="1" applyBorder="1" applyAlignment="1">
      <alignment horizontal="left" vertical="center" wrapText="1"/>
    </xf>
    <xf numFmtId="0" fontId="42" fillId="0" borderId="0" xfId="27" applyFont="1" applyAlignment="1">
      <alignment horizontal="center" vertical="center"/>
    </xf>
    <xf numFmtId="0" fontId="41" fillId="0" borderId="0" xfId="27" applyFont="1" applyAlignment="1">
      <alignment horizontal="left" vertical="center" wrapText="1"/>
    </xf>
    <xf numFmtId="0" fontId="41" fillId="0" borderId="0" xfId="27" applyFont="1" applyAlignment="1">
      <alignment horizontal="center"/>
    </xf>
    <xf numFmtId="0" fontId="41" fillId="0" borderId="0" xfId="27" applyFont="1" applyAlignment="1">
      <alignment horizontal="left" wrapText="1"/>
    </xf>
    <xf numFmtId="0" fontId="41" fillId="0" borderId="0" xfId="27" applyFont="1" applyAlignment="1">
      <alignment horizontal="center" vertical="center" textRotation="90"/>
    </xf>
    <xf numFmtId="0" fontId="41" fillId="0" borderId="44" xfId="27" applyFont="1" applyBorder="1" applyAlignment="1">
      <alignment horizontal="center" wrapText="1"/>
    </xf>
    <xf numFmtId="0" fontId="41" fillId="0" borderId="45" xfId="27" applyFont="1" applyBorder="1" applyAlignment="1">
      <alignment horizontal="center" wrapText="1"/>
    </xf>
    <xf numFmtId="0" fontId="41" fillId="0" borderId="51" xfId="27" applyFont="1" applyBorder="1" applyAlignment="1">
      <alignment horizontal="center" wrapText="1"/>
    </xf>
    <xf numFmtId="0" fontId="41" fillId="0" borderId="53" xfId="27" applyFont="1" applyBorder="1" applyAlignment="1">
      <alignment horizontal="center" wrapText="1"/>
    </xf>
    <xf numFmtId="0" fontId="41" fillId="0" borderId="48" xfId="27" applyFont="1" applyBorder="1" applyAlignment="1">
      <alignment horizontal="center" wrapText="1"/>
    </xf>
    <xf numFmtId="0" fontId="80" fillId="0" borderId="56" xfId="27" applyFont="1" applyBorder="1" applyAlignment="1">
      <alignment horizontal="left" wrapText="1"/>
    </xf>
    <xf numFmtId="0" fontId="80" fillId="0" borderId="57" xfId="27" applyFont="1" applyBorder="1" applyAlignment="1">
      <alignment horizontal="left" wrapText="1"/>
    </xf>
    <xf numFmtId="0" fontId="14" fillId="0" borderId="0" xfId="27" applyFont="1" applyAlignment="1" applyProtection="1">
      <alignment horizontal="center" wrapText="1"/>
      <protection hidden="1"/>
    </xf>
    <xf numFmtId="0" fontId="2" fillId="0" borderId="0" xfId="27" applyAlignment="1" applyProtection="1">
      <alignment horizontal="center"/>
      <protection hidden="1"/>
    </xf>
    <xf numFmtId="0" fontId="39" fillId="0" borderId="44" xfId="27" applyFont="1" applyBorder="1" applyAlignment="1">
      <alignment horizontal="left" vertical="top"/>
    </xf>
    <xf numFmtId="0" fontId="39" fillId="0" borderId="45" xfId="27" applyFont="1" applyBorder="1" applyAlignment="1">
      <alignment horizontal="left" vertical="top"/>
    </xf>
    <xf numFmtId="0" fontId="39" fillId="0" borderId="46" xfId="27" applyFont="1" applyBorder="1" applyAlignment="1">
      <alignment horizontal="left" vertical="top"/>
    </xf>
    <xf numFmtId="0" fontId="39" fillId="0" borderId="47" xfId="27" applyFont="1" applyBorder="1" applyAlignment="1">
      <alignment horizontal="left" vertical="top"/>
    </xf>
    <xf numFmtId="0" fontId="39" fillId="0" borderId="47" xfId="27" applyFont="1" applyBorder="1" applyAlignment="1">
      <alignment horizontal="left" vertical="top" wrapText="1"/>
    </xf>
    <xf numFmtId="0" fontId="39" fillId="0" borderId="46" xfId="27" applyFont="1" applyBorder="1" applyAlignment="1">
      <alignment horizontal="left" vertical="top" wrapText="1"/>
    </xf>
    <xf numFmtId="0" fontId="39" fillId="0" borderId="47" xfId="27" applyFont="1" applyBorder="1" applyAlignment="1">
      <alignment horizontal="left" vertical="top" shrinkToFit="1"/>
    </xf>
    <xf numFmtId="0" fontId="39" fillId="0" borderId="46" xfId="27" applyFont="1" applyBorder="1" applyAlignment="1">
      <alignment horizontal="left" vertical="top" shrinkToFit="1"/>
    </xf>
    <xf numFmtId="0" fontId="39" fillId="0" borderId="48" xfId="27" applyFont="1" applyBorder="1" applyAlignment="1">
      <alignment horizontal="left" vertical="top"/>
    </xf>
    <xf numFmtId="0" fontId="14" fillId="0" borderId="38" xfId="27" applyFont="1" applyBorder="1" applyAlignment="1" applyProtection="1">
      <alignment horizontal="left" vertical="center"/>
      <protection locked="0"/>
    </xf>
    <xf numFmtId="0" fontId="2" fillId="0" borderId="39" xfId="27" applyBorder="1" applyAlignment="1" applyProtection="1">
      <alignment horizontal="left" vertical="center"/>
      <protection locked="0"/>
    </xf>
    <xf numFmtId="0" fontId="2" fillId="0" borderId="40" xfId="27" applyBorder="1" applyAlignment="1" applyProtection="1">
      <alignment horizontal="left" vertical="center"/>
      <protection locked="0"/>
    </xf>
    <xf numFmtId="0" fontId="37" fillId="0" borderId="41" xfId="27" applyFont="1" applyBorder="1" applyAlignment="1" applyProtection="1">
      <alignment vertical="center"/>
      <protection locked="0"/>
    </xf>
    <xf numFmtId="0" fontId="37" fillId="0" borderId="43" xfId="27" applyFont="1" applyBorder="1" applyAlignment="1" applyProtection="1">
      <alignment vertical="center"/>
      <protection locked="0"/>
    </xf>
    <xf numFmtId="0" fontId="37" fillId="0" borderId="49" xfId="27" applyFont="1" applyBorder="1" applyAlignment="1" applyProtection="1">
      <alignment vertical="center"/>
      <protection locked="0"/>
    </xf>
    <xf numFmtId="0" fontId="37" fillId="0" borderId="0" xfId="27" applyFont="1" applyAlignment="1" applyProtection="1">
      <alignment vertical="center"/>
      <protection locked="0"/>
    </xf>
    <xf numFmtId="0" fontId="37" fillId="0" borderId="41" xfId="27" applyFont="1" applyBorder="1" applyAlignment="1" applyProtection="1">
      <alignment horizontal="left" vertical="center"/>
      <protection locked="0"/>
    </xf>
    <xf numFmtId="0" fontId="37" fillId="0" borderId="40" xfId="27" applyFont="1" applyBorder="1" applyAlignment="1" applyProtection="1">
      <alignment horizontal="left" vertical="center"/>
      <protection locked="0"/>
    </xf>
    <xf numFmtId="164" fontId="37" fillId="0" borderId="41" xfId="27" applyNumberFormat="1" applyFont="1" applyBorder="1" applyAlignment="1" applyProtection="1">
      <alignment horizontal="center" vertical="center" shrinkToFit="1"/>
      <protection locked="0"/>
    </xf>
    <xf numFmtId="164" fontId="37" fillId="0" borderId="40" xfId="27" applyNumberFormat="1" applyFont="1" applyBorder="1" applyAlignment="1" applyProtection="1">
      <alignment horizontal="center" vertical="center" shrinkToFit="1"/>
      <protection locked="0"/>
    </xf>
    <xf numFmtId="167" fontId="40" fillId="0" borderId="41" xfId="27" applyNumberFormat="1" applyFont="1" applyBorder="1" applyAlignment="1">
      <alignment horizontal="center" vertical="center"/>
    </xf>
    <xf numFmtId="167" fontId="40" fillId="0" borderId="42" xfId="27" applyNumberFormat="1" applyFont="1" applyBorder="1" applyAlignment="1">
      <alignment horizontal="center" vertical="center"/>
    </xf>
    <xf numFmtId="0" fontId="38" fillId="0" borderId="5" xfId="27" applyFont="1" applyBorder="1" applyAlignment="1">
      <alignment horizontal="center" vertical="center" wrapText="1"/>
    </xf>
    <xf numFmtId="0" fontId="38" fillId="0" borderId="6" xfId="27" applyFont="1" applyBorder="1" applyAlignment="1">
      <alignment horizontal="center" vertical="center" wrapText="1"/>
    </xf>
    <xf numFmtId="0" fontId="38" fillId="0" borderId="36" xfId="27" applyFont="1" applyBorder="1" applyAlignment="1">
      <alignment horizontal="center" vertical="center" wrapText="1"/>
    </xf>
    <xf numFmtId="0" fontId="38" fillId="0" borderId="37" xfId="27" applyFont="1" applyBorder="1" applyAlignment="1">
      <alignment horizontal="center" vertical="center" wrapText="1"/>
    </xf>
    <xf numFmtId="0" fontId="14" fillId="0" borderId="6" xfId="27" applyFont="1" applyBorder="1"/>
    <xf numFmtId="0" fontId="14" fillId="0" borderId="36" xfId="27" applyFont="1" applyBorder="1"/>
    <xf numFmtId="0" fontId="39" fillId="0" borderId="37" xfId="27" applyFont="1" applyBorder="1" applyAlignment="1">
      <alignment horizontal="left" vertical="top"/>
    </xf>
    <xf numFmtId="0" fontId="39" fillId="0" borderId="36" xfId="27" applyFont="1" applyBorder="1" applyAlignment="1">
      <alignment horizontal="left" vertical="top"/>
    </xf>
    <xf numFmtId="0" fontId="39" fillId="0" borderId="7" xfId="27" applyFont="1" applyBorder="1" applyAlignment="1">
      <alignment horizontal="left" vertical="top"/>
    </xf>
    <xf numFmtId="0" fontId="38" fillId="0" borderId="38" xfId="27" applyFont="1" applyBorder="1" applyAlignment="1">
      <alignment horizontal="center" vertical="center" wrapText="1"/>
    </xf>
    <xf numFmtId="0" fontId="38" fillId="0" borderId="39" xfId="27" applyFont="1" applyBorder="1" applyAlignment="1">
      <alignment horizontal="center" vertical="center" wrapText="1"/>
    </xf>
    <xf numFmtId="0" fontId="38" fillId="0" borderId="40" xfId="27" applyFont="1" applyBorder="1" applyAlignment="1">
      <alignment horizontal="center" vertical="center" wrapText="1"/>
    </xf>
    <xf numFmtId="0" fontId="38" fillId="0" borderId="41" xfId="27" applyFont="1" applyBorder="1" applyAlignment="1">
      <alignment horizontal="center" vertical="center" wrapText="1"/>
    </xf>
    <xf numFmtId="0" fontId="14" fillId="0" borderId="39" xfId="27" applyFont="1" applyBorder="1"/>
    <xf numFmtId="0" fontId="14" fillId="0" borderId="40" xfId="27" applyFont="1" applyBorder="1"/>
    <xf numFmtId="0" fontId="37" fillId="0" borderId="41" xfId="27" applyFont="1" applyBorder="1" applyAlignment="1" applyProtection="1">
      <alignment horizontal="center" vertical="center"/>
      <protection locked="0"/>
    </xf>
    <xf numFmtId="0" fontId="37" fillId="0" borderId="40" xfId="27" applyFont="1" applyBorder="1" applyAlignment="1" applyProtection="1">
      <alignment horizontal="center" vertical="center"/>
      <protection locked="0"/>
    </xf>
    <xf numFmtId="166" fontId="37" fillId="0" borderId="41" xfId="27" applyNumberFormat="1" applyFont="1" applyBorder="1" applyAlignment="1" applyProtection="1">
      <alignment horizontal="center" vertical="center"/>
      <protection locked="0"/>
    </xf>
    <xf numFmtId="166" fontId="37" fillId="0" borderId="42" xfId="27" applyNumberFormat="1" applyFont="1" applyBorder="1" applyAlignment="1" applyProtection="1">
      <alignment horizontal="center" vertical="center"/>
      <protection locked="0"/>
    </xf>
    <xf numFmtId="0" fontId="41" fillId="0" borderId="47" xfId="7" applyFont="1" applyBorder="1" applyAlignment="1" applyProtection="1">
      <alignment horizontal="left" vertical="top"/>
      <protection locked="0"/>
    </xf>
    <xf numFmtId="0" fontId="41" fillId="0" borderId="45" xfId="7" applyFont="1" applyBorder="1" applyAlignment="1" applyProtection="1">
      <alignment horizontal="left" vertical="top"/>
      <protection locked="0"/>
    </xf>
    <xf numFmtId="0" fontId="41" fillId="0" borderId="46" xfId="7" applyFont="1" applyBorder="1" applyAlignment="1" applyProtection="1">
      <alignment horizontal="left" vertical="top"/>
      <protection locked="0"/>
    </xf>
    <xf numFmtId="0" fontId="41" fillId="0" borderId="49" xfId="7" applyFont="1" applyBorder="1" applyAlignment="1" applyProtection="1">
      <alignment horizontal="left" vertical="top"/>
      <protection locked="0"/>
    </xf>
    <xf numFmtId="0" fontId="41" fillId="0" borderId="0" xfId="7" applyFont="1" applyAlignment="1" applyProtection="1">
      <alignment horizontal="left" vertical="top"/>
      <protection locked="0"/>
    </xf>
    <xf numFmtId="0" fontId="41" fillId="0" borderId="43" xfId="7" applyFont="1" applyBorder="1" applyAlignment="1" applyProtection="1">
      <alignment horizontal="left" vertical="top"/>
      <protection locked="0"/>
    </xf>
    <xf numFmtId="0" fontId="41" fillId="0" borderId="41" xfId="7" applyFont="1" applyBorder="1" applyAlignment="1" applyProtection="1">
      <alignment horizontal="left" vertical="top"/>
      <protection locked="0"/>
    </xf>
    <xf numFmtId="0" fontId="41" fillId="0" borderId="39" xfId="7" applyFont="1" applyBorder="1" applyAlignment="1" applyProtection="1">
      <alignment horizontal="left" vertical="top"/>
      <protection locked="0"/>
    </xf>
    <xf numFmtId="0" fontId="41" fillId="0" borderId="40" xfId="7" applyFont="1" applyBorder="1" applyAlignment="1" applyProtection="1">
      <alignment horizontal="left" vertical="top"/>
      <protection locked="0"/>
    </xf>
    <xf numFmtId="49" fontId="39" fillId="0" borderId="15" xfId="7" applyNumberFormat="1" applyFont="1" applyBorder="1" applyAlignment="1">
      <alignment horizontal="left" vertical="top"/>
    </xf>
    <xf numFmtId="49" fontId="39" fillId="0" borderId="0" xfId="7" applyNumberFormat="1" applyFont="1" applyAlignment="1">
      <alignment horizontal="left" vertical="top"/>
    </xf>
    <xf numFmtId="49" fontId="39" fillId="0" borderId="43" xfId="7" applyNumberFormat="1" applyFont="1" applyBorder="1" applyAlignment="1">
      <alignment horizontal="left" vertical="top"/>
    </xf>
    <xf numFmtId="49" fontId="39" fillId="0" borderId="54" xfId="7" applyNumberFormat="1" applyFont="1" applyBorder="1" applyAlignment="1">
      <alignment horizontal="left" vertical="top"/>
    </xf>
    <xf numFmtId="49" fontId="39" fillId="0" borderId="65" xfId="7" applyNumberFormat="1" applyFont="1" applyBorder="1" applyAlignment="1">
      <alignment horizontal="left" vertical="top"/>
    </xf>
    <xf numFmtId="0" fontId="39" fillId="0" borderId="65" xfId="7" applyFont="1" applyBorder="1" applyAlignment="1">
      <alignment horizontal="left" vertical="top"/>
    </xf>
    <xf numFmtId="0" fontId="39" fillId="0" borderId="66" xfId="7" applyFont="1" applyBorder="1" applyAlignment="1">
      <alignment horizontal="left" vertical="top"/>
    </xf>
    <xf numFmtId="0" fontId="43" fillId="0" borderId="16" xfId="7" applyFont="1" applyBorder="1" applyAlignment="1">
      <alignment horizontal="left" vertical="top"/>
    </xf>
    <xf numFmtId="0" fontId="39" fillId="0" borderId="17" xfId="7" applyFont="1" applyBorder="1" applyAlignment="1">
      <alignment horizontal="left" vertical="top"/>
    </xf>
    <xf numFmtId="0" fontId="39" fillId="0" borderId="8" xfId="7" applyFont="1" applyBorder="1" applyAlignment="1">
      <alignment horizontal="left" vertical="top"/>
    </xf>
    <xf numFmtId="9" fontId="38" fillId="0" borderId="18" xfId="5" applyFont="1" applyBorder="1" applyAlignment="1" applyProtection="1">
      <alignment horizontal="center" vertical="center"/>
    </xf>
    <xf numFmtId="9" fontId="38" fillId="0" borderId="19" xfId="5" applyFont="1" applyBorder="1" applyAlignment="1" applyProtection="1">
      <alignment horizontal="center" vertical="center"/>
    </xf>
    <xf numFmtId="9" fontId="38" fillId="0" borderId="68" xfId="5" applyFont="1" applyBorder="1" applyAlignment="1" applyProtection="1">
      <alignment horizontal="center" vertical="center"/>
    </xf>
    <xf numFmtId="0" fontId="39" fillId="0" borderId="6" xfId="7" applyFont="1" applyBorder="1" applyAlignment="1">
      <alignment horizontal="right" vertical="top"/>
    </xf>
    <xf numFmtId="0" fontId="38" fillId="0" borderId="69" xfId="7" applyFont="1" applyBorder="1" applyAlignment="1">
      <alignment horizontal="center" vertical="center"/>
    </xf>
    <xf numFmtId="0" fontId="38" fillId="0" borderId="70" xfId="7" applyFont="1" applyBorder="1" applyAlignment="1">
      <alignment horizontal="center" vertical="center"/>
    </xf>
    <xf numFmtId="0" fontId="38" fillId="0" borderId="20" xfId="7" applyFont="1" applyBorder="1" applyAlignment="1">
      <alignment horizontal="center" vertical="center"/>
    </xf>
    <xf numFmtId="0" fontId="44" fillId="0" borderId="22" xfId="7" applyFont="1" applyBorder="1" applyAlignment="1">
      <alignment horizontal="center" vertical="center"/>
    </xf>
    <xf numFmtId="0" fontId="38" fillId="0" borderId="22" xfId="7" applyFont="1" applyBorder="1" applyAlignment="1" applyProtection="1">
      <alignment horizontal="center" vertical="center"/>
      <protection locked="0"/>
    </xf>
    <xf numFmtId="0" fontId="38" fillId="0" borderId="71" xfId="7" applyFont="1" applyBorder="1" applyAlignment="1" applyProtection="1">
      <alignment horizontal="center" vertical="center"/>
      <protection locked="0"/>
    </xf>
    <xf numFmtId="0" fontId="37" fillId="0" borderId="56" xfId="7" applyFont="1" applyBorder="1" applyAlignment="1">
      <alignment horizontal="left" vertical="center" wrapText="1"/>
    </xf>
    <xf numFmtId="0" fontId="37" fillId="0" borderId="57" xfId="7" applyFont="1" applyBorder="1" applyAlignment="1">
      <alignment horizontal="left" vertical="center" wrapText="1"/>
    </xf>
    <xf numFmtId="0" fontId="14" fillId="0" borderId="53" xfId="7" applyBorder="1" applyAlignment="1" applyProtection="1">
      <alignment horizontal="center"/>
      <protection locked="0"/>
    </xf>
    <xf numFmtId="0" fontId="14" fillId="0" borderId="45" xfId="7" applyBorder="1" applyAlignment="1" applyProtection="1">
      <alignment horizontal="center"/>
      <protection locked="0"/>
    </xf>
    <xf numFmtId="0" fontId="14" fillId="0" borderId="48" xfId="7" applyBorder="1" applyAlignment="1" applyProtection="1">
      <alignment horizontal="center"/>
      <protection locked="0"/>
    </xf>
    <xf numFmtId="0" fontId="14" fillId="0" borderId="13" xfId="7" applyBorder="1" applyAlignment="1" applyProtection="1">
      <alignment horizontal="center"/>
      <protection locked="0"/>
    </xf>
    <xf numFmtId="0" fontId="14" fillId="0" borderId="0" xfId="7" applyAlignment="1" applyProtection="1">
      <alignment horizontal="center"/>
      <protection locked="0"/>
    </xf>
    <xf numFmtId="0" fontId="14" fillId="0" borderId="14" xfId="7" applyBorder="1" applyAlignment="1" applyProtection="1">
      <alignment horizontal="center"/>
      <protection locked="0"/>
    </xf>
    <xf numFmtId="0" fontId="14" fillId="0" borderId="64" xfId="7" applyBorder="1" applyAlignment="1" applyProtection="1">
      <alignment horizontal="center"/>
      <protection locked="0"/>
    </xf>
    <xf numFmtId="0" fontId="14" fillId="0" borderId="39" xfId="7" applyBorder="1" applyAlignment="1" applyProtection="1">
      <alignment horizontal="center"/>
      <protection locked="0"/>
    </xf>
    <xf numFmtId="0" fontId="14" fillId="0" borderId="42" xfId="7" applyBorder="1" applyAlignment="1" applyProtection="1">
      <alignment horizontal="center"/>
      <protection locked="0"/>
    </xf>
    <xf numFmtId="0" fontId="41" fillId="0" borderId="0" xfId="7" applyFont="1" applyAlignment="1">
      <alignment horizontal="center"/>
    </xf>
    <xf numFmtId="0" fontId="41" fillId="0" borderId="0" xfId="7" applyFont="1" applyAlignment="1">
      <alignment horizontal="center" vertical="center" textRotation="90"/>
    </xf>
    <xf numFmtId="0" fontId="14" fillId="0" borderId="74" xfId="7" applyBorder="1" applyAlignment="1" applyProtection="1">
      <alignment horizontal="center"/>
      <protection locked="0"/>
    </xf>
    <xf numFmtId="0" fontId="14" fillId="0" borderId="19" xfId="7" applyBorder="1" applyAlignment="1" applyProtection="1">
      <alignment horizontal="center"/>
      <protection locked="0"/>
    </xf>
    <xf numFmtId="0" fontId="14" fillId="0" borderId="75" xfId="7" applyBorder="1" applyAlignment="1" applyProtection="1">
      <alignment horizontal="center"/>
      <protection locked="0"/>
    </xf>
    <xf numFmtId="0" fontId="37" fillId="0" borderId="56" xfId="7" applyFont="1" applyBorder="1" applyAlignment="1">
      <alignment horizontal="left" wrapText="1"/>
    </xf>
    <xf numFmtId="0" fontId="37" fillId="0" borderId="57" xfId="7" applyFont="1" applyBorder="1" applyAlignment="1">
      <alignment horizontal="left" wrapText="1"/>
    </xf>
    <xf numFmtId="0" fontId="14" fillId="0" borderId="0" xfId="7" applyAlignment="1" applyProtection="1">
      <alignment horizontal="center"/>
      <protection hidden="1"/>
    </xf>
    <xf numFmtId="0" fontId="39" fillId="0" borderId="44" xfId="7" applyFont="1" applyBorder="1" applyAlignment="1">
      <alignment horizontal="left" vertical="top"/>
    </xf>
    <xf numFmtId="0" fontId="39" fillId="0" borderId="45" xfId="7" applyFont="1" applyBorder="1" applyAlignment="1">
      <alignment horizontal="left" vertical="top"/>
    </xf>
    <xf numFmtId="0" fontId="39" fillId="0" borderId="46" xfId="7" applyFont="1" applyBorder="1" applyAlignment="1">
      <alignment horizontal="left" vertical="top"/>
    </xf>
    <xf numFmtId="0" fontId="39" fillId="0" borderId="47" xfId="7" applyFont="1" applyBorder="1" applyAlignment="1">
      <alignment horizontal="left" vertical="top"/>
    </xf>
    <xf numFmtId="0" fontId="39" fillId="0" borderId="47" xfId="7" applyFont="1" applyBorder="1" applyAlignment="1">
      <alignment horizontal="left" vertical="top" wrapText="1"/>
    </xf>
    <xf numFmtId="0" fontId="39" fillId="0" borderId="46" xfId="7" applyFont="1" applyBorder="1" applyAlignment="1">
      <alignment horizontal="left" vertical="top" wrapText="1"/>
    </xf>
    <xf numFmtId="0" fontId="39" fillId="0" borderId="47" xfId="7" applyFont="1" applyBorder="1" applyAlignment="1">
      <alignment horizontal="left" vertical="top" shrinkToFit="1"/>
    </xf>
    <xf numFmtId="0" fontId="39" fillId="0" borderId="46" xfId="7" applyFont="1" applyBorder="1" applyAlignment="1">
      <alignment horizontal="left" vertical="top" shrinkToFit="1"/>
    </xf>
    <xf numFmtId="0" fontId="39" fillId="0" borderId="48" xfId="7" applyFont="1" applyBorder="1" applyAlignment="1">
      <alignment horizontal="left" vertical="top"/>
    </xf>
    <xf numFmtId="0" fontId="14" fillId="0" borderId="38" xfId="7" applyBorder="1" applyAlignment="1" applyProtection="1">
      <alignment horizontal="left" vertical="center"/>
      <protection locked="0"/>
    </xf>
    <xf numFmtId="0" fontId="14" fillId="0" borderId="39" xfId="7" applyBorder="1" applyAlignment="1" applyProtection="1">
      <alignment horizontal="left" vertical="center"/>
      <protection locked="0"/>
    </xf>
    <xf numFmtId="0" fontId="14" fillId="0" borderId="40" xfId="7" applyBorder="1" applyAlignment="1" applyProtection="1">
      <alignment horizontal="left" vertical="center"/>
      <protection locked="0"/>
    </xf>
    <xf numFmtId="0" fontId="37" fillId="0" borderId="41" xfId="7" applyFont="1" applyBorder="1" applyAlignment="1" applyProtection="1">
      <alignment vertical="center"/>
      <protection locked="0"/>
    </xf>
    <xf numFmtId="0" fontId="37" fillId="0" borderId="43" xfId="7" applyFont="1" applyBorder="1" applyAlignment="1" applyProtection="1">
      <alignment vertical="center"/>
      <protection locked="0"/>
    </xf>
    <xf numFmtId="0" fontId="37" fillId="0" borderId="49" xfId="7" applyFont="1" applyBorder="1" applyAlignment="1" applyProtection="1">
      <alignment vertical="center"/>
      <protection locked="0"/>
    </xf>
    <xf numFmtId="0" fontId="37" fillId="0" borderId="0" xfId="7" applyFont="1" applyAlignment="1" applyProtection="1">
      <alignment vertical="center"/>
      <protection locked="0"/>
    </xf>
    <xf numFmtId="0" fontId="37" fillId="0" borderId="41" xfId="7" applyFont="1" applyBorder="1" applyAlignment="1" applyProtection="1">
      <alignment horizontal="left" vertical="center"/>
      <protection locked="0"/>
    </xf>
    <xf numFmtId="0" fontId="37" fillId="0" borderId="40" xfId="7" applyFont="1" applyBorder="1" applyAlignment="1" applyProtection="1">
      <alignment horizontal="left" vertical="center"/>
      <protection locked="0"/>
    </xf>
    <xf numFmtId="164" fontId="37" fillId="0" borderId="41" xfId="7" applyNumberFormat="1" applyFont="1" applyBorder="1" applyAlignment="1" applyProtection="1">
      <alignment horizontal="center" vertical="center" shrinkToFit="1"/>
      <protection locked="0"/>
    </xf>
    <xf numFmtId="164" fontId="37" fillId="0" borderId="40" xfId="7" applyNumberFormat="1" applyFont="1" applyBorder="1" applyAlignment="1" applyProtection="1">
      <alignment horizontal="center" vertical="center" shrinkToFit="1"/>
      <protection locked="0"/>
    </xf>
    <xf numFmtId="167" fontId="40" fillId="0" borderId="41" xfId="7" applyNumberFormat="1" applyFont="1" applyBorder="1" applyAlignment="1">
      <alignment horizontal="center" vertical="center"/>
    </xf>
    <xf numFmtId="167" fontId="40" fillId="0" borderId="42" xfId="7" applyNumberFormat="1" applyFont="1" applyBorder="1" applyAlignment="1">
      <alignment horizontal="center" vertical="center"/>
    </xf>
    <xf numFmtId="0" fontId="41" fillId="0" borderId="44" xfId="7" applyFont="1" applyBorder="1" applyAlignment="1">
      <alignment horizontal="center" wrapText="1"/>
    </xf>
    <xf numFmtId="0" fontId="41" fillId="0" borderId="45" xfId="7" applyFont="1" applyBorder="1" applyAlignment="1">
      <alignment horizontal="center" wrapText="1"/>
    </xf>
    <xf numFmtId="0" fontId="41" fillId="0" borderId="51" xfId="7" applyFont="1" applyBorder="1" applyAlignment="1">
      <alignment horizontal="center" wrapText="1"/>
    </xf>
    <xf numFmtId="0" fontId="41" fillId="0" borderId="53" xfId="7" applyFont="1" applyBorder="1" applyAlignment="1">
      <alignment horizontal="center" wrapText="1"/>
    </xf>
    <xf numFmtId="0" fontId="41" fillId="0" borderId="48" xfId="7" applyFont="1" applyBorder="1" applyAlignment="1">
      <alignment horizontal="center" wrapText="1"/>
    </xf>
    <xf numFmtId="0" fontId="38" fillId="0" borderId="5" xfId="7" applyFont="1" applyBorder="1" applyAlignment="1">
      <alignment horizontal="center" vertical="center" wrapText="1"/>
    </xf>
    <xf numFmtId="0" fontId="38" fillId="0" borderId="6" xfId="7" applyFont="1" applyBorder="1" applyAlignment="1">
      <alignment horizontal="center" vertical="center" wrapText="1"/>
    </xf>
    <xf numFmtId="0" fontId="38" fillId="0" borderId="36" xfId="7" applyFont="1" applyBorder="1" applyAlignment="1">
      <alignment horizontal="center" vertical="center" wrapText="1"/>
    </xf>
    <xf numFmtId="0" fontId="38" fillId="0" borderId="37" xfId="7" applyFont="1" applyBorder="1" applyAlignment="1">
      <alignment horizontal="center" vertical="center" wrapText="1"/>
    </xf>
    <xf numFmtId="0" fontId="14" fillId="0" borderId="6" xfId="7" applyBorder="1"/>
    <xf numFmtId="0" fontId="14" fillId="0" borderId="36" xfId="7" applyBorder="1"/>
    <xf numFmtId="0" fontId="39" fillId="0" borderId="37" xfId="7" applyFont="1" applyBorder="1" applyAlignment="1">
      <alignment horizontal="left" vertical="top"/>
    </xf>
    <xf numFmtId="0" fontId="39" fillId="0" borderId="36" xfId="7" applyFont="1" applyBorder="1" applyAlignment="1">
      <alignment horizontal="left" vertical="top"/>
    </xf>
    <xf numFmtId="0" fontId="39" fillId="0" borderId="7" xfId="7" applyFont="1" applyBorder="1" applyAlignment="1">
      <alignment horizontal="left" vertical="top"/>
    </xf>
    <xf numFmtId="0" fontId="36" fillId="0" borderId="0" xfId="3" applyFont="1" applyAlignment="1" applyProtection="1">
      <alignment horizontal="center" vertical="center"/>
      <protection locked="0"/>
    </xf>
    <xf numFmtId="0" fontId="38" fillId="0" borderId="38" xfId="7" applyFont="1" applyBorder="1" applyAlignment="1">
      <alignment horizontal="center" vertical="center" wrapText="1"/>
    </xf>
    <xf numFmtId="0" fontId="38" fillId="0" borderId="39" xfId="7" applyFont="1" applyBorder="1" applyAlignment="1">
      <alignment horizontal="center" vertical="center" wrapText="1"/>
    </xf>
    <xf numFmtId="0" fontId="38" fillId="0" borderId="40" xfId="7" applyFont="1" applyBorder="1" applyAlignment="1">
      <alignment horizontal="center" vertical="center" wrapText="1"/>
    </xf>
    <xf numFmtId="0" fontId="38" fillId="0" borderId="41" xfId="7" applyFont="1" applyBorder="1" applyAlignment="1">
      <alignment horizontal="center" vertical="center" wrapText="1"/>
    </xf>
    <xf numFmtId="0" fontId="14" fillId="0" borderId="39" xfId="7" applyBorder="1"/>
    <xf numFmtId="0" fontId="14" fillId="0" borderId="40" xfId="7" applyBorder="1"/>
    <xf numFmtId="0" fontId="37" fillId="0" borderId="41" xfId="7" applyFont="1" applyBorder="1" applyAlignment="1" applyProtection="1">
      <alignment horizontal="center" vertical="center"/>
      <protection locked="0"/>
    </xf>
    <xf numFmtId="0" fontId="37" fillId="0" borderId="40" xfId="7" applyFont="1" applyBorder="1" applyAlignment="1" applyProtection="1">
      <alignment horizontal="center" vertical="center"/>
      <protection locked="0"/>
    </xf>
    <xf numFmtId="166" fontId="37" fillId="0" borderId="41" xfId="7" applyNumberFormat="1" applyFont="1" applyBorder="1" applyAlignment="1" applyProtection="1">
      <alignment horizontal="center" vertical="center"/>
      <protection locked="0"/>
    </xf>
    <xf numFmtId="166" fontId="37" fillId="0" borderId="42" xfId="7" applyNumberFormat="1" applyFont="1" applyBorder="1" applyAlignment="1" applyProtection="1">
      <alignment horizontal="center" vertical="center"/>
      <protection locked="0"/>
    </xf>
    <xf numFmtId="0" fontId="14" fillId="0" borderId="0" xfId="7" applyAlignment="1" applyProtection="1">
      <alignment horizontal="center" wrapText="1"/>
      <protection hidden="1"/>
    </xf>
    <xf numFmtId="0" fontId="38" fillId="0" borderId="5" xfId="29" applyFont="1" applyBorder="1" applyAlignment="1">
      <alignment horizontal="center" vertical="center" wrapText="1"/>
    </xf>
    <xf numFmtId="0" fontId="38" fillId="0" borderId="6" xfId="29" applyFont="1" applyBorder="1" applyAlignment="1">
      <alignment horizontal="center" vertical="center" wrapText="1"/>
    </xf>
    <xf numFmtId="0" fontId="38" fillId="0" borderId="36" xfId="29" applyFont="1" applyBorder="1" applyAlignment="1">
      <alignment horizontal="center" vertical="center" wrapText="1"/>
    </xf>
    <xf numFmtId="0" fontId="38" fillId="0" borderId="37" xfId="29" applyFont="1" applyBorder="1" applyAlignment="1">
      <alignment horizontal="center" vertical="center" wrapText="1"/>
    </xf>
    <xf numFmtId="0" fontId="14" fillId="0" borderId="6" xfId="29" applyFont="1" applyBorder="1"/>
    <xf numFmtId="0" fontId="14" fillId="0" borderId="36" xfId="29" applyFont="1" applyBorder="1"/>
    <xf numFmtId="0" fontId="39" fillId="0" borderId="37" xfId="29" applyFont="1" applyBorder="1" applyAlignment="1">
      <alignment horizontal="left" vertical="top"/>
    </xf>
    <xf numFmtId="0" fontId="39" fillId="0" borderId="36" xfId="29" applyFont="1" applyBorder="1" applyAlignment="1">
      <alignment horizontal="left" vertical="top"/>
    </xf>
    <xf numFmtId="0" fontId="39" fillId="0" borderId="7" xfId="29" applyFont="1" applyBorder="1" applyAlignment="1">
      <alignment horizontal="left" vertical="top"/>
    </xf>
    <xf numFmtId="0" fontId="38" fillId="0" borderId="38" xfId="29" applyFont="1" applyBorder="1" applyAlignment="1">
      <alignment horizontal="center" vertical="center" wrapText="1"/>
    </xf>
    <xf numFmtId="0" fontId="38" fillId="0" borderId="39" xfId="29" applyFont="1" applyBorder="1" applyAlignment="1">
      <alignment horizontal="center" vertical="center" wrapText="1"/>
    </xf>
    <xf numFmtId="0" fontId="38" fillId="0" borderId="40" xfId="29" applyFont="1" applyBorder="1" applyAlignment="1">
      <alignment horizontal="center" vertical="center" wrapText="1"/>
    </xf>
    <xf numFmtId="0" fontId="38" fillId="0" borderId="41" xfId="29" applyFont="1" applyBorder="1" applyAlignment="1">
      <alignment horizontal="center" vertical="center" wrapText="1"/>
    </xf>
    <xf numFmtId="0" fontId="14" fillId="0" borderId="39" xfId="29" applyFont="1" applyBorder="1"/>
    <xf numFmtId="0" fontId="14" fillId="0" borderId="40" xfId="29" applyFont="1" applyBorder="1"/>
    <xf numFmtId="0" fontId="37" fillId="0" borderId="41" xfId="29" applyFont="1" applyBorder="1" applyAlignment="1" applyProtection="1">
      <alignment horizontal="center" vertical="center"/>
      <protection locked="0"/>
    </xf>
    <xf numFmtId="0" fontId="37" fillId="0" borderId="40" xfId="29" applyFont="1" applyBorder="1" applyAlignment="1" applyProtection="1">
      <alignment horizontal="center" vertical="center"/>
      <protection locked="0"/>
    </xf>
    <xf numFmtId="166" fontId="37" fillId="0" borderId="41" xfId="29" applyNumberFormat="1" applyFont="1" applyBorder="1" applyAlignment="1" applyProtection="1">
      <alignment horizontal="center" vertical="center"/>
      <protection locked="0"/>
    </xf>
    <xf numFmtId="166" fontId="37" fillId="0" borderId="42" xfId="29" applyNumberFormat="1" applyFont="1" applyBorder="1" applyAlignment="1" applyProtection="1">
      <alignment horizontal="center" vertical="center"/>
      <protection locked="0"/>
    </xf>
    <xf numFmtId="0" fontId="14" fillId="0" borderId="0" xfId="29" applyFont="1" applyAlignment="1" applyProtection="1">
      <alignment horizontal="center" wrapText="1"/>
      <protection hidden="1"/>
    </xf>
    <xf numFmtId="0" fontId="1" fillId="0" borderId="0" xfId="29" applyAlignment="1" applyProtection="1">
      <alignment horizontal="center"/>
      <protection hidden="1"/>
    </xf>
    <xf numFmtId="0" fontId="39" fillId="0" borderId="44" xfId="29" applyFont="1" applyBorder="1" applyAlignment="1">
      <alignment horizontal="left" vertical="top"/>
    </xf>
    <xf numFmtId="0" fontId="39" fillId="0" borderId="45" xfId="29" applyFont="1" applyBorder="1" applyAlignment="1">
      <alignment horizontal="left" vertical="top"/>
    </xf>
    <xf numFmtId="0" fontId="39" fillId="0" borderId="46" xfId="29" applyFont="1" applyBorder="1" applyAlignment="1">
      <alignment horizontal="left" vertical="top"/>
    </xf>
    <xf numFmtId="0" fontId="39" fillId="0" borderId="47" xfId="29" applyFont="1" applyBorder="1" applyAlignment="1">
      <alignment horizontal="left" vertical="top"/>
    </xf>
    <xf numFmtId="0" fontId="39" fillId="0" borderId="47" xfId="29" applyFont="1" applyBorder="1" applyAlignment="1">
      <alignment horizontal="left" vertical="top" wrapText="1"/>
    </xf>
    <xf numFmtId="0" fontId="39" fillId="0" borderId="46" xfId="29" applyFont="1" applyBorder="1" applyAlignment="1">
      <alignment horizontal="left" vertical="top" wrapText="1"/>
    </xf>
    <xf numFmtId="0" fontId="39" fillId="0" borderId="47" xfId="29" applyFont="1" applyBorder="1" applyAlignment="1">
      <alignment horizontal="left" vertical="top" shrinkToFit="1"/>
    </xf>
    <xf numFmtId="0" fontId="39" fillId="0" borderId="46" xfId="29" applyFont="1" applyBorder="1" applyAlignment="1">
      <alignment horizontal="left" vertical="top" shrinkToFit="1"/>
    </xf>
    <xf numFmtId="0" fontId="39" fillId="0" borderId="48" xfId="29" applyFont="1" applyBorder="1" applyAlignment="1">
      <alignment horizontal="left" vertical="top"/>
    </xf>
    <xf numFmtId="0" fontId="14" fillId="0" borderId="38" xfId="29" applyFont="1" applyBorder="1" applyAlignment="1" applyProtection="1">
      <alignment horizontal="left" vertical="center"/>
      <protection locked="0"/>
    </xf>
    <xf numFmtId="0" fontId="1" fillId="0" borderId="39" xfId="29" applyBorder="1" applyAlignment="1" applyProtection="1">
      <alignment horizontal="left" vertical="center"/>
      <protection locked="0"/>
    </xf>
    <xf numFmtId="0" fontId="1" fillId="0" borderId="40" xfId="29" applyBorder="1" applyAlignment="1" applyProtection="1">
      <alignment horizontal="left" vertical="center"/>
      <protection locked="0"/>
    </xf>
    <xf numFmtId="0" fontId="37" fillId="0" borderId="41" xfId="29" applyFont="1" applyBorder="1" applyAlignment="1" applyProtection="1">
      <alignment vertical="center"/>
      <protection locked="0"/>
    </xf>
    <xf numFmtId="0" fontId="37" fillId="0" borderId="43" xfId="29" applyFont="1" applyBorder="1" applyAlignment="1" applyProtection="1">
      <alignment vertical="center"/>
      <protection locked="0"/>
    </xf>
    <xf numFmtId="0" fontId="37" fillId="0" borderId="49" xfId="29" applyFont="1" applyBorder="1" applyAlignment="1" applyProtection="1">
      <alignment vertical="center"/>
      <protection locked="0"/>
    </xf>
    <xf numFmtId="0" fontId="37" fillId="0" borderId="0" xfId="29" applyFont="1" applyAlignment="1" applyProtection="1">
      <alignment vertical="center"/>
      <protection locked="0"/>
    </xf>
    <xf numFmtId="0" fontId="37" fillId="0" borderId="41" xfId="29" applyFont="1" applyBorder="1" applyAlignment="1" applyProtection="1">
      <alignment horizontal="left" vertical="center"/>
      <protection locked="0"/>
    </xf>
    <xf numFmtId="0" fontId="37" fillId="0" borderId="40" xfId="29" applyFont="1" applyBorder="1" applyAlignment="1" applyProtection="1">
      <alignment horizontal="left" vertical="center"/>
      <protection locked="0"/>
    </xf>
    <xf numFmtId="164" fontId="37" fillId="0" borderId="41" xfId="29" applyNumberFormat="1" applyFont="1" applyBorder="1" applyAlignment="1" applyProtection="1">
      <alignment horizontal="center" vertical="center" shrinkToFit="1"/>
      <protection locked="0"/>
    </xf>
    <xf numFmtId="164" fontId="37" fillId="0" borderId="40" xfId="29" applyNumberFormat="1" applyFont="1" applyBorder="1" applyAlignment="1" applyProtection="1">
      <alignment horizontal="center" vertical="center" shrinkToFit="1"/>
      <protection locked="0"/>
    </xf>
    <xf numFmtId="167" fontId="40" fillId="0" borderId="41" xfId="29" applyNumberFormat="1" applyFont="1" applyBorder="1" applyAlignment="1">
      <alignment horizontal="center" vertical="center"/>
    </xf>
    <xf numFmtId="167" fontId="40" fillId="0" borderId="42" xfId="29" applyNumberFormat="1" applyFont="1" applyBorder="1" applyAlignment="1">
      <alignment horizontal="center" vertical="center"/>
    </xf>
    <xf numFmtId="0" fontId="41" fillId="0" borderId="44" xfId="29" applyFont="1" applyBorder="1" applyAlignment="1">
      <alignment horizontal="center" wrapText="1"/>
    </xf>
    <xf numFmtId="0" fontId="41" fillId="0" borderId="45" xfId="29" applyFont="1" applyBorder="1" applyAlignment="1">
      <alignment horizontal="center" wrapText="1"/>
    </xf>
    <xf numFmtId="0" fontId="41" fillId="0" borderId="51" xfId="29" applyFont="1" applyBorder="1" applyAlignment="1">
      <alignment horizontal="center" wrapText="1"/>
    </xf>
    <xf numFmtId="0" fontId="41" fillId="0" borderId="53" xfId="29" applyFont="1" applyBorder="1" applyAlignment="1">
      <alignment horizontal="center" wrapText="1"/>
    </xf>
    <xf numFmtId="0" fontId="41" fillId="0" borderId="48" xfId="29" applyFont="1" applyBorder="1" applyAlignment="1">
      <alignment horizontal="center" wrapText="1"/>
    </xf>
    <xf numFmtId="0" fontId="80" fillId="0" borderId="56" xfId="29" applyFont="1" applyBorder="1" applyAlignment="1">
      <alignment horizontal="left" wrapText="1"/>
    </xf>
    <xf numFmtId="0" fontId="80" fillId="0" borderId="57" xfId="29" applyFont="1" applyBorder="1" applyAlignment="1">
      <alignment horizontal="left" wrapText="1"/>
    </xf>
    <xf numFmtId="0" fontId="37" fillId="0" borderId="56" xfId="29" applyFont="1" applyBorder="1" applyAlignment="1">
      <alignment horizontal="left" vertical="center" wrapText="1"/>
    </xf>
    <xf numFmtId="0" fontId="37" fillId="0" borderId="57" xfId="29" applyFont="1" applyBorder="1" applyAlignment="1">
      <alignment horizontal="left" vertical="center" wrapText="1"/>
    </xf>
    <xf numFmtId="0" fontId="42" fillId="0" borderId="0" xfId="29" applyFont="1" applyAlignment="1">
      <alignment horizontal="center" vertical="center"/>
    </xf>
    <xf numFmtId="0" fontId="41" fillId="0" borderId="0" xfId="29" applyFont="1" applyAlignment="1">
      <alignment horizontal="left" vertical="center" wrapText="1"/>
    </xf>
    <xf numFmtId="0" fontId="41" fillId="0" borderId="0" xfId="29" applyFont="1" applyAlignment="1">
      <alignment horizontal="center"/>
    </xf>
    <xf numFmtId="0" fontId="41" fillId="0" borderId="0" xfId="29" applyFont="1" applyAlignment="1">
      <alignment horizontal="left" wrapText="1"/>
    </xf>
    <xf numFmtId="0" fontId="41" fillId="0" borderId="0" xfId="29" applyFont="1" applyAlignment="1">
      <alignment horizontal="center" vertical="center" textRotation="90"/>
    </xf>
    <xf numFmtId="0" fontId="41" fillId="0" borderId="47" xfId="29" applyFont="1" applyBorder="1" applyAlignment="1" applyProtection="1">
      <alignment horizontal="left" vertical="top"/>
      <protection locked="0"/>
    </xf>
    <xf numFmtId="0" fontId="41" fillId="0" borderId="45" xfId="29" applyFont="1" applyBorder="1" applyAlignment="1" applyProtection="1">
      <alignment horizontal="left" vertical="top"/>
      <protection locked="0"/>
    </xf>
    <xf numFmtId="0" fontId="41" fillId="0" borderId="46" xfId="29" applyFont="1" applyBorder="1" applyAlignment="1" applyProtection="1">
      <alignment horizontal="left" vertical="top"/>
      <protection locked="0"/>
    </xf>
    <xf numFmtId="0" fontId="41" fillId="0" borderId="49" xfId="29" applyFont="1" applyBorder="1" applyAlignment="1" applyProtection="1">
      <alignment horizontal="left" vertical="top"/>
      <protection locked="0"/>
    </xf>
    <xf numFmtId="0" fontId="41" fillId="0" borderId="0" xfId="29" applyFont="1" applyAlignment="1" applyProtection="1">
      <alignment horizontal="left" vertical="top"/>
      <protection locked="0"/>
    </xf>
    <xf numFmtId="0" fontId="41" fillId="0" borderId="43" xfId="29" applyFont="1" applyBorder="1" applyAlignment="1" applyProtection="1">
      <alignment horizontal="left" vertical="top"/>
      <protection locked="0"/>
    </xf>
    <xf numFmtId="0" fontId="41" fillId="0" borderId="41" xfId="29" applyFont="1" applyBorder="1" applyAlignment="1" applyProtection="1">
      <alignment horizontal="left" vertical="top"/>
      <protection locked="0"/>
    </xf>
    <xf numFmtId="0" fontId="41" fillId="0" borderId="39" xfId="29" applyFont="1" applyBorder="1" applyAlignment="1" applyProtection="1">
      <alignment horizontal="left" vertical="top"/>
      <protection locked="0"/>
    </xf>
    <xf numFmtId="0" fontId="41" fillId="0" borderId="40" xfId="29" applyFont="1" applyBorder="1" applyAlignment="1" applyProtection="1">
      <alignment horizontal="left" vertical="top"/>
      <protection locked="0"/>
    </xf>
    <xf numFmtId="49" fontId="39" fillId="0" borderId="15" xfId="29" applyNumberFormat="1" applyFont="1" applyBorder="1" applyAlignment="1">
      <alignment horizontal="left" vertical="top"/>
    </xf>
    <xf numFmtId="49" fontId="39" fillId="0" borderId="0" xfId="29" applyNumberFormat="1" applyFont="1" applyAlignment="1">
      <alignment horizontal="left" vertical="top"/>
    </xf>
    <xf numFmtId="49" fontId="39" fillId="0" borderId="43" xfId="29" applyNumberFormat="1" applyFont="1" applyBorder="1" applyAlignment="1">
      <alignment horizontal="left" vertical="top"/>
    </xf>
    <xf numFmtId="49" fontId="39" fillId="0" borderId="54" xfId="29" applyNumberFormat="1" applyFont="1" applyBorder="1" applyAlignment="1">
      <alignment horizontal="left" vertical="top"/>
    </xf>
    <xf numFmtId="49" fontId="39" fillId="0" borderId="65" xfId="29" applyNumberFormat="1" applyFont="1" applyBorder="1" applyAlignment="1">
      <alignment horizontal="left" vertical="top"/>
    </xf>
    <xf numFmtId="0" fontId="39" fillId="0" borderId="65" xfId="29" applyFont="1" applyBorder="1" applyAlignment="1">
      <alignment horizontal="left" vertical="top"/>
    </xf>
    <xf numFmtId="0" fontId="39" fillId="0" borderId="66" xfId="29" applyFont="1" applyBorder="1" applyAlignment="1">
      <alignment horizontal="left" vertical="top"/>
    </xf>
    <xf numFmtId="0" fontId="43" fillId="0" borderId="16" xfId="29" applyFont="1" applyBorder="1" applyAlignment="1">
      <alignment horizontal="left" vertical="top"/>
    </xf>
    <xf numFmtId="0" fontId="39" fillId="0" borderId="17" xfId="29" applyFont="1" applyBorder="1" applyAlignment="1">
      <alignment horizontal="left" vertical="top"/>
    </xf>
    <xf numFmtId="0" fontId="39" fillId="0" borderId="8" xfId="29" applyFont="1" applyBorder="1" applyAlignment="1">
      <alignment horizontal="left" vertical="top"/>
    </xf>
    <xf numFmtId="9" fontId="38" fillId="0" borderId="18" xfId="30" applyFont="1" applyBorder="1" applyAlignment="1" applyProtection="1">
      <alignment horizontal="center" vertical="center"/>
    </xf>
    <xf numFmtId="9" fontId="38" fillId="0" borderId="19" xfId="30" applyFont="1" applyBorder="1" applyAlignment="1" applyProtection="1">
      <alignment horizontal="center" vertical="center"/>
    </xf>
    <xf numFmtId="9" fontId="38" fillId="0" borderId="68" xfId="30" applyFont="1" applyBorder="1" applyAlignment="1" applyProtection="1">
      <alignment horizontal="center" vertical="center"/>
    </xf>
    <xf numFmtId="0" fontId="39" fillId="0" borderId="6" xfId="29" applyFont="1" applyBorder="1" applyAlignment="1">
      <alignment horizontal="right" vertical="top"/>
    </xf>
    <xf numFmtId="0" fontId="38" fillId="0" borderId="69" xfId="29" applyFont="1" applyBorder="1" applyAlignment="1">
      <alignment horizontal="center" vertical="center"/>
    </xf>
    <xf numFmtId="0" fontId="38" fillId="0" borderId="70" xfId="29" applyFont="1" applyBorder="1" applyAlignment="1">
      <alignment horizontal="center" vertical="center"/>
    </xf>
    <xf numFmtId="0" fontId="38" fillId="0" borderId="20" xfId="29" applyFont="1" applyBorder="1" applyAlignment="1">
      <alignment horizontal="center" vertical="center"/>
    </xf>
    <xf numFmtId="0" fontId="44" fillId="0" borderId="22" xfId="29" applyFont="1" applyBorder="1" applyAlignment="1">
      <alignment horizontal="center" vertical="center"/>
    </xf>
    <xf numFmtId="0" fontId="38" fillId="0" borderId="22" xfId="29" applyFont="1" applyBorder="1" applyAlignment="1" applyProtection="1">
      <alignment horizontal="center" vertical="center"/>
      <protection locked="0"/>
    </xf>
    <xf numFmtId="0" fontId="38" fillId="0" borderId="71" xfId="29" applyFont="1" applyBorder="1" applyAlignment="1" applyProtection="1">
      <alignment horizontal="center" vertical="center"/>
      <protection locked="0"/>
    </xf>
    <xf numFmtId="0" fontId="41" fillId="0" borderId="0" xfId="4" applyFont="1" applyAlignment="1">
      <alignment horizontal="center" vertical="center"/>
    </xf>
    <xf numFmtId="170" fontId="75" fillId="0" borderId="47" xfId="7" applyNumberFormat="1" applyFont="1" applyBorder="1" applyAlignment="1" applyProtection="1">
      <alignment horizontal="left" vertical="top"/>
      <protection locked="0"/>
    </xf>
    <xf numFmtId="170" fontId="75" fillId="0" borderId="45" xfId="7" applyNumberFormat="1" applyFont="1" applyBorder="1" applyAlignment="1" applyProtection="1">
      <alignment horizontal="left" vertical="top"/>
      <protection locked="0"/>
    </xf>
    <xf numFmtId="170" fontId="75" fillId="0" borderId="46" xfId="7" applyNumberFormat="1" applyFont="1" applyBorder="1" applyAlignment="1" applyProtection="1">
      <alignment horizontal="left" vertical="top"/>
      <protection locked="0"/>
    </xf>
    <xf numFmtId="170" fontId="75" fillId="0" borderId="49" xfId="7" applyNumberFormat="1" applyFont="1" applyBorder="1" applyAlignment="1" applyProtection="1">
      <alignment horizontal="left" vertical="top"/>
      <protection locked="0"/>
    </xf>
    <xf numFmtId="170" fontId="75" fillId="0" borderId="0" xfId="7" applyNumberFormat="1" applyFont="1" applyAlignment="1" applyProtection="1">
      <alignment horizontal="left" vertical="top"/>
      <protection locked="0"/>
    </xf>
    <xf numFmtId="170" fontId="75" fillId="0" borderId="43" xfId="7" applyNumberFormat="1" applyFont="1" applyBorder="1" applyAlignment="1" applyProtection="1">
      <alignment horizontal="left" vertical="top"/>
      <protection locked="0"/>
    </xf>
    <xf numFmtId="170" fontId="75" fillId="0" borderId="41" xfId="7" applyNumberFormat="1" applyFont="1" applyBorder="1" applyAlignment="1" applyProtection="1">
      <alignment horizontal="left" vertical="top"/>
      <protection locked="0"/>
    </xf>
    <xf numFmtId="170" fontId="75" fillId="0" borderId="39" xfId="7" applyNumberFormat="1" applyFont="1" applyBorder="1" applyAlignment="1" applyProtection="1">
      <alignment horizontal="left" vertical="top"/>
      <protection locked="0"/>
    </xf>
    <xf numFmtId="170" fontId="75" fillId="0" borderId="40" xfId="7" applyNumberFormat="1" applyFont="1" applyBorder="1" applyAlignment="1" applyProtection="1">
      <alignment horizontal="left" vertical="top"/>
      <protection locked="0"/>
    </xf>
    <xf numFmtId="0" fontId="70" fillId="0" borderId="0" xfId="7" applyFont="1" applyAlignment="1">
      <alignment horizontal="center" vertical="center"/>
    </xf>
    <xf numFmtId="0" fontId="67" fillId="0" borderId="45" xfId="7" applyFont="1" applyBorder="1" applyAlignment="1" applyProtection="1">
      <alignment horizontal="center" vertical="center"/>
      <protection locked="0"/>
    </xf>
    <xf numFmtId="0" fontId="67" fillId="0" borderId="46" xfId="7" applyFont="1" applyBorder="1" applyAlignment="1" applyProtection="1">
      <alignment horizontal="center" vertical="center"/>
      <protection locked="0"/>
    </xf>
    <xf numFmtId="0" fontId="67" fillId="0" borderId="39" xfId="7" applyFont="1" applyBorder="1" applyAlignment="1" applyProtection="1">
      <alignment horizontal="center" vertical="center"/>
      <protection locked="0"/>
    </xf>
    <xf numFmtId="0" fontId="67" fillId="0" borderId="40" xfId="7" applyFont="1" applyBorder="1" applyAlignment="1" applyProtection="1">
      <alignment horizontal="center" vertical="center"/>
      <protection locked="0"/>
    </xf>
    <xf numFmtId="0" fontId="36" fillId="0" borderId="0" xfId="3" applyFont="1" applyAlignment="1" applyProtection="1">
      <alignment horizontal="left" vertical="center"/>
      <protection locked="0"/>
    </xf>
    <xf numFmtId="1" fontId="67" fillId="0" borderId="0" xfId="7" applyNumberFormat="1" applyFont="1" applyAlignment="1">
      <alignment horizontal="center" vertical="center"/>
    </xf>
    <xf numFmtId="1" fontId="67" fillId="0" borderId="43" xfId="7" applyNumberFormat="1" applyFont="1" applyBorder="1" applyAlignment="1">
      <alignment horizontal="center" vertical="center"/>
    </xf>
    <xf numFmtId="1" fontId="68" fillId="0" borderId="17" xfId="7" applyNumberFormat="1" applyFont="1" applyBorder="1" applyAlignment="1" applyProtection="1">
      <alignment horizontal="center" vertical="center"/>
      <protection locked="0"/>
    </xf>
    <xf numFmtId="1" fontId="68" fillId="0" borderId="56" xfId="7" applyNumberFormat="1" applyFont="1" applyBorder="1" applyAlignment="1" applyProtection="1">
      <alignment horizontal="center" vertical="center"/>
      <protection locked="0"/>
    </xf>
    <xf numFmtId="1" fontId="68" fillId="0" borderId="8" xfId="7" applyNumberFormat="1" applyFont="1" applyBorder="1" applyAlignment="1" applyProtection="1">
      <alignment horizontal="center" vertical="center"/>
      <protection locked="0"/>
    </xf>
    <xf numFmtId="165" fontId="68" fillId="0" borderId="17" xfId="7" applyNumberFormat="1" applyFont="1" applyBorder="1" applyAlignment="1" applyProtection="1">
      <alignment horizontal="center" vertical="center"/>
      <protection locked="0"/>
    </xf>
    <xf numFmtId="165" fontId="68" fillId="0" borderId="8" xfId="7" applyNumberFormat="1" applyFont="1" applyBorder="1" applyAlignment="1" applyProtection="1">
      <alignment horizontal="center" vertical="center"/>
      <protection locked="0"/>
    </xf>
    <xf numFmtId="0" fontId="72" fillId="0" borderId="0" xfId="4" applyFont="1" applyAlignment="1">
      <alignment horizontal="center" vertical="center"/>
    </xf>
    <xf numFmtId="0" fontId="37" fillId="0" borderId="41" xfId="7" applyFont="1" applyBorder="1" applyAlignment="1">
      <alignment vertical="center"/>
    </xf>
    <xf numFmtId="0" fontId="37" fillId="0" borderId="43" xfId="7" applyFont="1" applyBorder="1" applyAlignment="1">
      <alignment vertical="center"/>
    </xf>
    <xf numFmtId="0" fontId="37" fillId="0" borderId="41" xfId="7" applyFont="1" applyBorder="1" applyAlignment="1">
      <alignment horizontal="left" vertical="center"/>
    </xf>
    <xf numFmtId="0" fontId="37" fillId="0" borderId="40" xfId="7" applyFont="1" applyBorder="1" applyAlignment="1">
      <alignment horizontal="left" vertical="center"/>
    </xf>
    <xf numFmtId="164" fontId="37" fillId="0" borderId="41" xfId="7" applyNumberFormat="1" applyFont="1" applyBorder="1" applyAlignment="1">
      <alignment horizontal="center" vertical="center" shrinkToFit="1"/>
    </xf>
    <xf numFmtId="164" fontId="37" fillId="0" borderId="40" xfId="7" applyNumberFormat="1" applyFont="1" applyBorder="1" applyAlignment="1">
      <alignment horizontal="center" vertical="center" shrinkToFit="1"/>
    </xf>
    <xf numFmtId="0" fontId="14" fillId="0" borderId="0" xfId="20" applyFont="1" applyAlignment="1" applyProtection="1">
      <alignment horizontal="center" wrapText="1"/>
      <protection hidden="1"/>
    </xf>
    <xf numFmtId="0" fontId="5" fillId="0" borderId="0" xfId="20" applyAlignment="1" applyProtection="1">
      <alignment horizontal="center"/>
      <protection hidden="1"/>
    </xf>
    <xf numFmtId="0" fontId="39" fillId="0" borderId="44" xfId="20" applyFont="1" applyBorder="1" applyAlignment="1">
      <alignment horizontal="left" vertical="top"/>
    </xf>
    <xf numFmtId="0" fontId="39" fillId="0" borderId="45" xfId="20" applyFont="1" applyBorder="1" applyAlignment="1">
      <alignment horizontal="left" vertical="top"/>
    </xf>
    <xf numFmtId="0" fontId="39" fillId="0" borderId="46" xfId="20" applyFont="1" applyBorder="1" applyAlignment="1">
      <alignment horizontal="left" vertical="top"/>
    </xf>
    <xf numFmtId="0" fontId="39" fillId="0" borderId="47" xfId="20" applyFont="1" applyBorder="1" applyAlignment="1">
      <alignment horizontal="left" vertical="top"/>
    </xf>
    <xf numFmtId="0" fontId="39" fillId="0" borderId="47" xfId="20" applyFont="1" applyBorder="1" applyAlignment="1">
      <alignment horizontal="left" vertical="top" wrapText="1"/>
    </xf>
    <xf numFmtId="0" fontId="39" fillId="0" borderId="46" xfId="20" applyFont="1" applyBorder="1" applyAlignment="1">
      <alignment horizontal="left" vertical="top" wrapText="1"/>
    </xf>
    <xf numFmtId="0" fontId="14" fillId="0" borderId="38" xfId="20" applyFont="1" applyBorder="1" applyAlignment="1" applyProtection="1">
      <alignment horizontal="left" vertical="center"/>
      <protection locked="0"/>
    </xf>
    <xf numFmtId="0" fontId="5" fillId="0" borderId="39" xfId="20" applyBorder="1" applyAlignment="1" applyProtection="1">
      <alignment horizontal="left" vertical="center"/>
      <protection locked="0"/>
    </xf>
    <xf numFmtId="0" fontId="5" fillId="0" borderId="40" xfId="20" applyBorder="1" applyAlignment="1" applyProtection="1">
      <alignment horizontal="left" vertical="center"/>
      <protection locked="0"/>
    </xf>
    <xf numFmtId="0" fontId="37" fillId="0" borderId="41" xfId="20" applyFont="1" applyBorder="1" applyAlignment="1">
      <alignment vertical="center"/>
    </xf>
    <xf numFmtId="0" fontId="37" fillId="0" borderId="43" xfId="20" applyFont="1" applyBorder="1" applyAlignment="1">
      <alignment vertical="center"/>
    </xf>
    <xf numFmtId="0" fontId="37" fillId="0" borderId="49" xfId="20" applyFont="1" applyBorder="1" applyAlignment="1" applyProtection="1">
      <alignment vertical="center"/>
      <protection locked="0"/>
    </xf>
    <xf numFmtId="0" fontId="37" fillId="0" borderId="0" xfId="20" applyFont="1" applyAlignment="1" applyProtection="1">
      <alignment vertical="center"/>
      <protection locked="0"/>
    </xf>
    <xf numFmtId="0" fontId="37" fillId="0" borderId="43" xfId="20" applyFont="1" applyBorder="1" applyAlignment="1" applyProtection="1">
      <alignment vertical="center"/>
      <protection locked="0"/>
    </xf>
    <xf numFmtId="0" fontId="37" fillId="0" borderId="41" xfId="20" applyFont="1" applyBorder="1" applyAlignment="1">
      <alignment horizontal="left" vertical="center"/>
    </xf>
    <xf numFmtId="0" fontId="37" fillId="0" borderId="40" xfId="20" applyFont="1" applyBorder="1" applyAlignment="1">
      <alignment horizontal="left" vertical="center"/>
    </xf>
    <xf numFmtId="0" fontId="38" fillId="0" borderId="5" xfId="20" applyFont="1" applyBorder="1" applyAlignment="1">
      <alignment horizontal="center" vertical="center" wrapText="1"/>
    </xf>
    <xf numFmtId="0" fontId="38" fillId="0" borderId="6" xfId="20" applyFont="1" applyBorder="1" applyAlignment="1">
      <alignment horizontal="center" vertical="center" wrapText="1"/>
    </xf>
    <xf numFmtId="0" fontId="38" fillId="0" borderId="36" xfId="20" applyFont="1" applyBorder="1" applyAlignment="1">
      <alignment horizontal="center" vertical="center" wrapText="1"/>
    </xf>
    <xf numFmtId="0" fontId="38" fillId="0" borderId="38" xfId="20" applyFont="1" applyBorder="1" applyAlignment="1">
      <alignment horizontal="center" vertical="center" wrapText="1"/>
    </xf>
    <xf numFmtId="0" fontId="38" fillId="0" borderId="39" xfId="20" applyFont="1" applyBorder="1" applyAlignment="1">
      <alignment horizontal="center" vertical="center" wrapText="1"/>
    </xf>
    <xf numFmtId="0" fontId="38" fillId="0" borderId="40" xfId="20" applyFont="1" applyBorder="1" applyAlignment="1">
      <alignment horizontal="center" vertical="center" wrapText="1"/>
    </xf>
    <xf numFmtId="0" fontId="41" fillId="0" borderId="44" xfId="20" applyFont="1" applyBorder="1" applyAlignment="1">
      <alignment horizontal="center" wrapText="1"/>
    </xf>
    <xf numFmtId="0" fontId="41" fillId="0" borderId="45" xfId="20" applyFont="1" applyBorder="1" applyAlignment="1">
      <alignment horizontal="center" wrapText="1"/>
    </xf>
    <xf numFmtId="0" fontId="41" fillId="0" borderId="51" xfId="20" applyFont="1" applyBorder="1" applyAlignment="1">
      <alignment horizontal="center" wrapText="1"/>
    </xf>
    <xf numFmtId="164" fontId="37" fillId="0" borderId="41" xfId="20" applyNumberFormat="1" applyFont="1" applyBorder="1" applyAlignment="1">
      <alignment horizontal="center" vertical="center" shrinkToFit="1"/>
    </xf>
    <xf numFmtId="164" fontId="37" fillId="0" borderId="40" xfId="20" applyNumberFormat="1" applyFont="1" applyBorder="1" applyAlignment="1">
      <alignment horizontal="center" vertical="center" shrinkToFit="1"/>
    </xf>
    <xf numFmtId="167" fontId="40" fillId="0" borderId="41" xfId="20" applyNumberFormat="1" applyFont="1" applyBorder="1" applyAlignment="1">
      <alignment horizontal="center" vertical="center"/>
    </xf>
    <xf numFmtId="167" fontId="40" fillId="0" borderId="42" xfId="20" applyNumberFormat="1" applyFont="1" applyBorder="1" applyAlignment="1">
      <alignment horizontal="center" vertical="center"/>
    </xf>
    <xf numFmtId="0" fontId="38" fillId="0" borderId="37" xfId="20" applyFont="1" applyBorder="1" applyAlignment="1">
      <alignment horizontal="center" vertical="center" wrapText="1"/>
    </xf>
    <xf numFmtId="0" fontId="14" fillId="0" borderId="6" xfId="20" applyFont="1" applyBorder="1"/>
    <xf numFmtId="0" fontId="14" fillId="0" borderId="36" xfId="20" applyFont="1" applyBorder="1"/>
    <xf numFmtId="0" fontId="39" fillId="0" borderId="37" xfId="20" applyFont="1" applyBorder="1" applyAlignment="1">
      <alignment horizontal="left" vertical="top"/>
    </xf>
    <xf numFmtId="0" fontId="39" fillId="0" borderId="36" xfId="20" applyFont="1" applyBorder="1" applyAlignment="1">
      <alignment horizontal="left" vertical="top"/>
    </xf>
    <xf numFmtId="0" fontId="39" fillId="0" borderId="7" xfId="20" applyFont="1" applyBorder="1" applyAlignment="1">
      <alignment horizontal="left" vertical="top"/>
    </xf>
    <xf numFmtId="0" fontId="39" fillId="0" borderId="47" xfId="20" applyFont="1" applyBorder="1" applyAlignment="1">
      <alignment horizontal="left" vertical="top" shrinkToFit="1"/>
    </xf>
    <xf numFmtId="0" fontId="39" fillId="0" borderId="46" xfId="20" applyFont="1" applyBorder="1" applyAlignment="1">
      <alignment horizontal="left" vertical="top" shrinkToFit="1"/>
    </xf>
    <xf numFmtId="0" fontId="39" fillId="0" borderId="48" xfId="20" applyFont="1" applyBorder="1" applyAlignment="1">
      <alignment horizontal="left" vertical="top"/>
    </xf>
    <xf numFmtId="0" fontId="38" fillId="0" borderId="41" xfId="20" applyFont="1" applyBorder="1" applyAlignment="1">
      <alignment horizontal="center" vertical="center" wrapText="1"/>
    </xf>
    <xf numFmtId="0" fontId="14" fillId="0" borderId="39" xfId="20" applyFont="1" applyBorder="1"/>
    <xf numFmtId="0" fontId="14" fillId="0" borderId="40" xfId="20" applyFont="1" applyBorder="1"/>
    <xf numFmtId="0" fontId="37" fillId="0" borderId="41" xfId="20" applyFont="1" applyBorder="1" applyAlignment="1" applyProtection="1">
      <alignment horizontal="center" vertical="center"/>
      <protection locked="0"/>
    </xf>
    <xf numFmtId="0" fontId="37" fillId="0" borderId="40" xfId="20" applyFont="1" applyBorder="1" applyAlignment="1" applyProtection="1">
      <alignment horizontal="center" vertical="center"/>
      <protection locked="0"/>
    </xf>
    <xf numFmtId="166" fontId="37" fillId="0" borderId="41" xfId="20" applyNumberFormat="1" applyFont="1" applyBorder="1" applyAlignment="1" applyProtection="1">
      <alignment horizontal="center" vertical="center"/>
      <protection locked="0"/>
    </xf>
    <xf numFmtId="166" fontId="37" fillId="0" borderId="42" xfId="20" applyNumberFormat="1" applyFont="1" applyBorder="1" applyAlignment="1" applyProtection="1">
      <alignment horizontal="center" vertical="center"/>
      <protection locked="0"/>
    </xf>
    <xf numFmtId="0" fontId="41" fillId="0" borderId="53" xfId="20" applyFont="1" applyBorder="1" applyAlignment="1">
      <alignment horizontal="center" wrapText="1"/>
    </xf>
    <xf numFmtId="0" fontId="41" fillId="0" borderId="48" xfId="20" applyFont="1" applyBorder="1" applyAlignment="1">
      <alignment horizontal="center" wrapText="1"/>
    </xf>
    <xf numFmtId="0" fontId="37" fillId="0" borderId="56" xfId="20" applyFont="1" applyBorder="1" applyAlignment="1">
      <alignment horizontal="left" wrapText="1"/>
    </xf>
    <xf numFmtId="0" fontId="37" fillId="0" borderId="57" xfId="20" applyFont="1" applyBorder="1" applyAlignment="1">
      <alignment horizontal="left" wrapText="1"/>
    </xf>
    <xf numFmtId="0" fontId="41" fillId="0" borderId="53" xfId="20" applyFont="1" applyBorder="1" applyAlignment="1" applyProtection="1">
      <alignment horizontal="left" vertical="top" wrapText="1" readingOrder="1"/>
      <protection locked="0"/>
    </xf>
    <xf numFmtId="0" fontId="41" fillId="0" borderId="45" xfId="20" applyFont="1" applyBorder="1" applyAlignment="1" applyProtection="1">
      <alignment horizontal="left" vertical="top" wrapText="1" readingOrder="1"/>
      <protection locked="0"/>
    </xf>
    <xf numFmtId="0" fontId="41" fillId="0" borderId="48" xfId="20" applyFont="1" applyBorder="1" applyAlignment="1" applyProtection="1">
      <alignment horizontal="left" vertical="top" wrapText="1" readingOrder="1"/>
      <protection locked="0"/>
    </xf>
    <xf numFmtId="0" fontId="41" fillId="0" borderId="13" xfId="20" applyFont="1" applyBorder="1" applyAlignment="1" applyProtection="1">
      <alignment horizontal="left" vertical="top" wrapText="1" readingOrder="1"/>
      <protection locked="0"/>
    </xf>
    <xf numFmtId="0" fontId="41" fillId="0" borderId="0" xfId="20" applyFont="1" applyAlignment="1" applyProtection="1">
      <alignment horizontal="left" vertical="top" wrapText="1" readingOrder="1"/>
      <protection locked="0"/>
    </xf>
    <xf numFmtId="0" fontId="41" fillId="0" borderId="14" xfId="20" applyFont="1" applyBorder="1" applyAlignment="1" applyProtection="1">
      <alignment horizontal="left" vertical="top" wrapText="1" readingOrder="1"/>
      <protection locked="0"/>
    </xf>
    <xf numFmtId="0" fontId="41" fillId="0" borderId="64" xfId="20" applyFont="1" applyBorder="1" applyAlignment="1" applyProtection="1">
      <alignment horizontal="left" vertical="top" wrapText="1" readingOrder="1"/>
      <protection locked="0"/>
    </xf>
    <xf numFmtId="0" fontId="41" fillId="0" borderId="39" xfId="20" applyFont="1" applyBorder="1" applyAlignment="1" applyProtection="1">
      <alignment horizontal="left" vertical="top" wrapText="1" readingOrder="1"/>
      <protection locked="0"/>
    </xf>
    <xf numFmtId="0" fontId="41" fillId="0" borderId="42" xfId="20" applyFont="1" applyBorder="1" applyAlignment="1" applyProtection="1">
      <alignment horizontal="left" vertical="top" wrapText="1" readingOrder="1"/>
      <protection locked="0"/>
    </xf>
    <xf numFmtId="0" fontId="37" fillId="0" borderId="56" xfId="20" applyFont="1" applyBorder="1" applyAlignment="1">
      <alignment horizontal="left" vertical="center" wrapText="1"/>
    </xf>
    <xf numFmtId="0" fontId="37" fillId="0" borderId="57" xfId="20" applyFont="1" applyBorder="1" applyAlignment="1">
      <alignment horizontal="left" vertical="center" wrapText="1"/>
    </xf>
    <xf numFmtId="0" fontId="41" fillId="0" borderId="47" xfId="20" applyFont="1" applyBorder="1" applyAlignment="1" applyProtection="1">
      <alignment horizontal="left" vertical="top"/>
      <protection locked="0"/>
    </xf>
    <xf numFmtId="0" fontId="41" fillId="0" borderId="45" xfId="20" applyFont="1" applyBorder="1" applyAlignment="1" applyProtection="1">
      <alignment horizontal="left" vertical="top"/>
      <protection locked="0"/>
    </xf>
    <xf numFmtId="0" fontId="41" fillId="0" borderId="46" xfId="20" applyFont="1" applyBorder="1" applyAlignment="1" applyProtection="1">
      <alignment horizontal="left" vertical="top"/>
      <protection locked="0"/>
    </xf>
    <xf numFmtId="0" fontId="41" fillId="0" borderId="49" xfId="20" applyFont="1" applyBorder="1" applyAlignment="1" applyProtection="1">
      <alignment horizontal="left" vertical="top"/>
      <protection locked="0"/>
    </xf>
    <xf numFmtId="0" fontId="41" fillId="0" borderId="0" xfId="20" applyFont="1" applyAlignment="1" applyProtection="1">
      <alignment horizontal="left" vertical="top"/>
      <protection locked="0"/>
    </xf>
    <xf numFmtId="0" fontId="41" fillId="0" borderId="43" xfId="20" applyFont="1" applyBorder="1" applyAlignment="1" applyProtection="1">
      <alignment horizontal="left" vertical="top"/>
      <protection locked="0"/>
    </xf>
    <xf numFmtId="0" fontId="41" fillId="0" borderId="41" xfId="20" applyFont="1" applyBorder="1" applyAlignment="1" applyProtection="1">
      <alignment horizontal="left" vertical="top"/>
      <protection locked="0"/>
    </xf>
    <xf numFmtId="0" fontId="41" fillId="0" borderId="39" xfId="20" applyFont="1" applyBorder="1" applyAlignment="1" applyProtection="1">
      <alignment horizontal="left" vertical="top"/>
      <protection locked="0"/>
    </xf>
    <xf numFmtId="0" fontId="41" fillId="0" borderId="40" xfId="20" applyFont="1" applyBorder="1" applyAlignment="1" applyProtection="1">
      <alignment horizontal="left" vertical="top"/>
      <protection locked="0"/>
    </xf>
    <xf numFmtId="0" fontId="41" fillId="0" borderId="0" xfId="20" applyFont="1" applyAlignment="1">
      <alignment horizontal="center"/>
    </xf>
    <xf numFmtId="0" fontId="41" fillId="0" borderId="0" xfId="20" applyFont="1" applyAlignment="1">
      <alignment horizontal="center" vertical="center" textRotation="90"/>
    </xf>
    <xf numFmtId="0" fontId="43" fillId="0" borderId="16" xfId="20" applyFont="1" applyBorder="1" applyAlignment="1">
      <alignment horizontal="left" vertical="top"/>
    </xf>
    <xf numFmtId="0" fontId="39" fillId="0" borderId="17" xfId="20" applyFont="1" applyBorder="1" applyAlignment="1">
      <alignment horizontal="left" vertical="top"/>
    </xf>
    <xf numFmtId="0" fontId="39" fillId="0" borderId="8" xfId="20" applyFont="1" applyBorder="1" applyAlignment="1">
      <alignment horizontal="left" vertical="top"/>
    </xf>
    <xf numFmtId="9" fontId="38" fillId="0" borderId="18" xfId="21" applyFont="1" applyBorder="1" applyAlignment="1" applyProtection="1">
      <alignment horizontal="center" vertical="center"/>
    </xf>
    <xf numFmtId="9" fontId="38" fillId="0" borderId="19" xfId="21" applyFont="1" applyBorder="1" applyAlignment="1" applyProtection="1">
      <alignment horizontal="center" vertical="center"/>
    </xf>
    <xf numFmtId="9" fontId="38" fillId="0" borderId="68" xfId="21" applyFont="1" applyBorder="1" applyAlignment="1" applyProtection="1">
      <alignment horizontal="center" vertical="center"/>
    </xf>
    <xf numFmtId="0" fontId="38" fillId="0" borderId="69" xfId="20" applyFont="1" applyBorder="1" applyAlignment="1">
      <alignment horizontal="center" vertical="center"/>
    </xf>
    <xf numFmtId="0" fontId="36" fillId="0" borderId="0" xfId="3" applyFont="1" applyAlignment="1" applyProtection="1">
      <alignment horizontal="center" vertical="center"/>
    </xf>
    <xf numFmtId="49" fontId="39" fillId="0" borderId="15" xfId="20" applyNumberFormat="1" applyFont="1" applyBorder="1" applyAlignment="1">
      <alignment horizontal="left" vertical="top"/>
    </xf>
    <xf numFmtId="49" fontId="39" fillId="0" borderId="0" xfId="20" applyNumberFormat="1" applyFont="1" applyAlignment="1">
      <alignment horizontal="left" vertical="top"/>
    </xf>
    <xf numFmtId="49" fontId="39" fillId="0" borderId="43" xfId="20" applyNumberFormat="1" applyFont="1" applyBorder="1" applyAlignment="1">
      <alignment horizontal="left" vertical="top"/>
    </xf>
    <xf numFmtId="49" fontId="39" fillId="0" borderId="54" xfId="20" applyNumberFormat="1" applyFont="1" applyBorder="1" applyAlignment="1">
      <alignment horizontal="left" vertical="top"/>
    </xf>
    <xf numFmtId="49" fontId="39" fillId="0" borderId="65" xfId="20" applyNumberFormat="1" applyFont="1" applyBorder="1" applyAlignment="1">
      <alignment horizontal="left" vertical="top"/>
    </xf>
    <xf numFmtId="0" fontId="38" fillId="0" borderId="22" xfId="20" applyFont="1" applyBorder="1" applyAlignment="1" applyProtection="1">
      <alignment horizontal="center" vertical="center"/>
      <protection locked="0"/>
    </xf>
    <xf numFmtId="0" fontId="38" fillId="0" borderId="71" xfId="20" applyFont="1" applyBorder="1" applyAlignment="1" applyProtection="1">
      <alignment horizontal="center" vertical="center"/>
      <protection locked="0"/>
    </xf>
    <xf numFmtId="0" fontId="39" fillId="0" borderId="6" xfId="20" applyFont="1" applyBorder="1" applyAlignment="1">
      <alignment horizontal="right" vertical="top"/>
    </xf>
    <xf numFmtId="0" fontId="39" fillId="0" borderId="65" xfId="20" applyFont="1" applyBorder="1" applyAlignment="1">
      <alignment horizontal="left" vertical="top"/>
    </xf>
    <xf numFmtId="0" fontId="39" fillId="0" borderId="66" xfId="20" applyFont="1" applyBorder="1" applyAlignment="1">
      <alignment horizontal="left" vertical="top"/>
    </xf>
    <xf numFmtId="0" fontId="38" fillId="0" borderId="70" xfId="20" applyFont="1" applyBorder="1" applyAlignment="1">
      <alignment horizontal="center" vertical="center"/>
    </xf>
    <xf numFmtId="0" fontId="38" fillId="0" borderId="20" xfId="20" applyFont="1" applyBorder="1" applyAlignment="1">
      <alignment horizontal="center" vertical="center"/>
    </xf>
    <xf numFmtId="0" fontId="44" fillId="0" borderId="22" xfId="20" applyFont="1" applyBorder="1" applyAlignment="1">
      <alignment horizontal="center" vertical="center"/>
    </xf>
    <xf numFmtId="0" fontId="36" fillId="0" borderId="0" xfId="3" applyFont="1" applyBorder="1" applyAlignment="1" applyProtection="1">
      <alignment horizontal="center" vertical="center"/>
      <protection locked="0"/>
    </xf>
    <xf numFmtId="0" fontId="18" fillId="0" borderId="0" xfId="3" applyBorder="1" applyAlignment="1" applyProtection="1">
      <alignment horizontal="center" vertical="center"/>
      <protection locked="0"/>
    </xf>
    <xf numFmtId="0" fontId="38" fillId="0" borderId="6" xfId="7" applyFont="1" applyBorder="1"/>
    <xf numFmtId="0" fontId="38" fillId="0" borderId="36" xfId="7" applyFont="1" applyBorder="1"/>
    <xf numFmtId="170" fontId="75" fillId="9" borderId="47" xfId="7" applyNumberFormat="1" applyFont="1" applyFill="1" applyBorder="1" applyAlignment="1" applyProtection="1">
      <alignment horizontal="left" vertical="top"/>
      <protection locked="0"/>
    </xf>
    <xf numFmtId="170" fontId="75" fillId="9" borderId="45" xfId="7" applyNumberFormat="1" applyFont="1" applyFill="1" applyBorder="1" applyAlignment="1" applyProtection="1">
      <alignment horizontal="left" vertical="top"/>
      <protection locked="0"/>
    </xf>
    <xf numFmtId="170" fontId="75" fillId="9" borderId="46" xfId="7" applyNumberFormat="1" applyFont="1" applyFill="1" applyBorder="1" applyAlignment="1" applyProtection="1">
      <alignment horizontal="left" vertical="top"/>
      <protection locked="0"/>
    </xf>
    <xf numFmtId="170" fontId="75" fillId="9" borderId="49" xfId="7" applyNumberFormat="1" applyFont="1" applyFill="1" applyBorder="1" applyAlignment="1" applyProtection="1">
      <alignment horizontal="left" vertical="top"/>
      <protection locked="0"/>
    </xf>
    <xf numFmtId="170" fontId="75" fillId="9" borderId="0" xfId="7" applyNumberFormat="1" applyFont="1" applyFill="1" applyAlignment="1" applyProtection="1">
      <alignment horizontal="left" vertical="top"/>
      <protection locked="0"/>
    </xf>
    <xf numFmtId="170" fontId="75" fillId="9" borderId="43" xfId="7" applyNumberFormat="1" applyFont="1" applyFill="1" applyBorder="1" applyAlignment="1" applyProtection="1">
      <alignment horizontal="left" vertical="top"/>
      <protection locked="0"/>
    </xf>
    <xf numFmtId="170" fontId="75" fillId="9" borderId="41" xfId="7" applyNumberFormat="1" applyFont="1" applyFill="1" applyBorder="1" applyAlignment="1" applyProtection="1">
      <alignment horizontal="left" vertical="top"/>
      <protection locked="0"/>
    </xf>
    <xf numFmtId="170" fontId="75" fillId="9" borderId="39" xfId="7" applyNumberFormat="1" applyFont="1" applyFill="1" applyBorder="1" applyAlignment="1" applyProtection="1">
      <alignment horizontal="left" vertical="top"/>
      <protection locked="0"/>
    </xf>
    <xf numFmtId="170" fontId="75" fillId="9" borderId="40" xfId="7" applyNumberFormat="1" applyFont="1" applyFill="1" applyBorder="1" applyAlignment="1" applyProtection="1">
      <alignment horizontal="left" vertical="top"/>
      <protection locked="0"/>
    </xf>
    <xf numFmtId="0" fontId="67" fillId="0" borderId="16" xfId="7" applyFont="1" applyBorder="1" applyAlignment="1" applyProtection="1">
      <alignment horizontal="center" vertical="center"/>
      <protection locked="0"/>
    </xf>
    <xf numFmtId="1" fontId="65" fillId="0" borderId="0" xfId="4" applyNumberFormat="1" applyFont="1" applyAlignment="1">
      <alignment horizontal="center" vertical="center"/>
    </xf>
    <xf numFmtId="0" fontId="18" fillId="0" borderId="0" xfId="3" applyAlignment="1" applyProtection="1">
      <alignment horizontal="left" vertical="center"/>
      <protection locked="0"/>
    </xf>
    <xf numFmtId="0" fontId="36" fillId="0" borderId="0" xfId="3" applyFont="1" applyBorder="1" applyAlignment="1" applyProtection="1">
      <alignment horizontal="center" vertical="center"/>
    </xf>
    <xf numFmtId="0" fontId="37" fillId="0" borderId="41" xfId="7" applyFont="1" applyBorder="1" applyAlignment="1">
      <alignment horizontal="center" vertical="center"/>
    </xf>
    <xf numFmtId="0" fontId="37" fillId="0" borderId="40" xfId="7" applyFont="1" applyBorder="1" applyAlignment="1">
      <alignment horizontal="center" vertical="center"/>
    </xf>
    <xf numFmtId="166" fontId="37" fillId="0" borderId="41" xfId="7" applyNumberFormat="1" applyFont="1" applyBorder="1" applyAlignment="1">
      <alignment horizontal="center" vertical="center"/>
    </xf>
    <xf numFmtId="166" fontId="37" fillId="0" borderId="42" xfId="7" applyNumberFormat="1" applyFont="1" applyBorder="1" applyAlignment="1">
      <alignment horizontal="center" vertical="center"/>
    </xf>
    <xf numFmtId="0" fontId="14" fillId="0" borderId="38" xfId="7" applyBorder="1" applyAlignment="1">
      <alignment horizontal="left" vertical="center"/>
    </xf>
    <xf numFmtId="0" fontId="14" fillId="0" borderId="39" xfId="7" applyBorder="1" applyAlignment="1">
      <alignment horizontal="left" vertical="center"/>
    </xf>
    <xf numFmtId="0" fontId="14" fillId="0" borderId="40" xfId="7" applyBorder="1" applyAlignment="1">
      <alignment horizontal="left" vertical="center"/>
    </xf>
    <xf numFmtId="0" fontId="37" fillId="0" borderId="49" xfId="7" applyFont="1" applyBorder="1" applyAlignment="1">
      <alignment vertical="center"/>
    </xf>
    <xf numFmtId="0" fontId="37" fillId="0" borderId="0" xfId="7" applyFont="1" applyAlignment="1">
      <alignment vertical="center"/>
    </xf>
    <xf numFmtId="0" fontId="41" fillId="0" borderId="53" xfId="7" applyFont="1" applyBorder="1" applyAlignment="1">
      <alignment horizontal="left" vertical="top" wrapText="1" readingOrder="1"/>
    </xf>
    <xf numFmtId="0" fontId="41" fillId="0" borderId="45" xfId="7" applyFont="1" applyBorder="1" applyAlignment="1">
      <alignment horizontal="left" vertical="top" wrapText="1" readingOrder="1"/>
    </xf>
    <xf numFmtId="0" fontId="41" fillId="0" borderId="48" xfId="7" applyFont="1" applyBorder="1" applyAlignment="1">
      <alignment horizontal="left" vertical="top" wrapText="1" readingOrder="1"/>
    </xf>
    <xf numFmtId="0" fontId="41" fillId="0" borderId="13" xfId="7" applyFont="1" applyBorder="1" applyAlignment="1">
      <alignment horizontal="left" vertical="top" wrapText="1" readingOrder="1"/>
    </xf>
    <xf numFmtId="0" fontId="41" fillId="0" borderId="0" xfId="7" applyFont="1" applyAlignment="1">
      <alignment horizontal="left" vertical="top" wrapText="1" readingOrder="1"/>
    </xf>
    <xf numFmtId="0" fontId="41" fillId="0" borderId="14" xfId="7" applyFont="1" applyBorder="1" applyAlignment="1">
      <alignment horizontal="left" vertical="top" wrapText="1" readingOrder="1"/>
    </xf>
    <xf numFmtId="0" fontId="41" fillId="0" borderId="64" xfId="7" applyFont="1" applyBorder="1" applyAlignment="1">
      <alignment horizontal="left" vertical="top" wrapText="1" readingOrder="1"/>
    </xf>
    <xf numFmtId="0" fontId="41" fillId="0" borderId="39" xfId="7" applyFont="1" applyBorder="1" applyAlignment="1">
      <alignment horizontal="left" vertical="top" wrapText="1" readingOrder="1"/>
    </xf>
    <xf numFmtId="0" fontId="41" fillId="0" borderId="42" xfId="7" applyFont="1" applyBorder="1" applyAlignment="1">
      <alignment horizontal="left" vertical="top" wrapText="1" readingOrder="1"/>
    </xf>
    <xf numFmtId="0" fontId="41" fillId="0" borderId="47" xfId="7" applyFont="1" applyBorder="1" applyAlignment="1">
      <alignment horizontal="left" vertical="top"/>
    </xf>
    <xf numFmtId="0" fontId="41" fillId="0" borderId="45" xfId="7" applyFont="1" applyBorder="1" applyAlignment="1">
      <alignment horizontal="left" vertical="top"/>
    </xf>
    <xf numFmtId="0" fontId="41" fillId="0" borderId="46" xfId="7" applyFont="1" applyBorder="1" applyAlignment="1">
      <alignment horizontal="left" vertical="top"/>
    </xf>
    <xf numFmtId="0" fontId="41" fillId="0" borderId="49" xfId="7" applyFont="1" applyBorder="1" applyAlignment="1">
      <alignment horizontal="left" vertical="top"/>
    </xf>
    <xf numFmtId="0" fontId="41" fillId="0" borderId="0" xfId="7" applyFont="1" applyAlignment="1">
      <alignment horizontal="left" vertical="top"/>
    </xf>
    <xf numFmtId="0" fontId="41" fillId="0" borderId="43" xfId="7" applyFont="1" applyBorder="1" applyAlignment="1">
      <alignment horizontal="left" vertical="top"/>
    </xf>
    <xf numFmtId="0" fontId="41" fillId="0" borderId="41" xfId="7" applyFont="1" applyBorder="1" applyAlignment="1">
      <alignment horizontal="left" vertical="top"/>
    </xf>
    <xf numFmtId="0" fontId="41" fillId="0" borderId="39" xfId="7" applyFont="1" applyBorder="1" applyAlignment="1">
      <alignment horizontal="left" vertical="top"/>
    </xf>
    <xf numFmtId="0" fontId="41" fillId="0" borderId="40" xfId="7" applyFont="1" applyBorder="1" applyAlignment="1">
      <alignment horizontal="left" vertical="top"/>
    </xf>
    <xf numFmtId="0" fontId="38" fillId="0" borderId="22" xfId="7" applyFont="1" applyBorder="1" applyAlignment="1">
      <alignment horizontal="center" vertical="center"/>
    </xf>
    <xf numFmtId="0" fontId="38" fillId="0" borderId="71" xfId="7" applyFont="1" applyBorder="1" applyAlignment="1">
      <alignment horizontal="center" vertical="center"/>
    </xf>
    <xf numFmtId="0" fontId="41" fillId="0" borderId="53" xfId="0" applyFont="1" applyBorder="1" applyAlignment="1" applyProtection="1">
      <alignment horizontal="left" vertical="top" wrapText="1" readingOrder="1"/>
      <protection locked="0"/>
    </xf>
    <xf numFmtId="0" fontId="41" fillId="0" borderId="45" xfId="0" applyFont="1" applyBorder="1" applyAlignment="1" applyProtection="1">
      <alignment horizontal="left" vertical="top" wrapText="1" readingOrder="1"/>
      <protection locked="0"/>
    </xf>
    <xf numFmtId="0" fontId="41" fillId="0" borderId="48" xfId="0" applyFont="1" applyBorder="1" applyAlignment="1" applyProtection="1">
      <alignment horizontal="left" vertical="top" wrapText="1" readingOrder="1"/>
      <protection locked="0"/>
    </xf>
    <xf numFmtId="0" fontId="41" fillId="0" borderId="13" xfId="0" applyFont="1" applyBorder="1" applyAlignment="1" applyProtection="1">
      <alignment horizontal="left" vertical="top" wrapText="1" readingOrder="1"/>
      <protection locked="0"/>
    </xf>
    <xf numFmtId="0" fontId="41" fillId="0" borderId="0" xfId="0" applyFont="1" applyAlignment="1" applyProtection="1">
      <alignment horizontal="left" vertical="top" wrapText="1" readingOrder="1"/>
      <protection locked="0"/>
    </xf>
    <xf numFmtId="0" fontId="41" fillId="0" borderId="14" xfId="0" applyFont="1" applyBorder="1" applyAlignment="1" applyProtection="1">
      <alignment horizontal="left" vertical="top" wrapText="1" readingOrder="1"/>
      <protection locked="0"/>
    </xf>
    <xf numFmtId="0" fontId="41" fillId="0" borderId="64" xfId="0" applyFont="1" applyBorder="1" applyAlignment="1" applyProtection="1">
      <alignment horizontal="left" vertical="top" wrapText="1" readingOrder="1"/>
      <protection locked="0"/>
    </xf>
    <xf numFmtId="0" fontId="41" fillId="0" borderId="39" xfId="0" applyFont="1" applyBorder="1" applyAlignment="1" applyProtection="1">
      <alignment horizontal="left" vertical="top" wrapText="1" readingOrder="1"/>
      <protection locked="0"/>
    </xf>
    <xf numFmtId="0" fontId="41" fillId="0" borderId="42" xfId="0" applyFont="1" applyBorder="1" applyAlignment="1" applyProtection="1">
      <alignment horizontal="left" vertical="top" wrapText="1" readingOrder="1"/>
      <protection locked="0"/>
    </xf>
    <xf numFmtId="0" fontId="14" fillId="0" borderId="38" xfId="0" applyFont="1" applyBorder="1" applyAlignment="1" applyProtection="1">
      <alignment horizontal="left" vertical="center"/>
      <protection locked="0"/>
    </xf>
    <xf numFmtId="0" fontId="0" fillId="0" borderId="39" xfId="0" applyBorder="1" applyAlignment="1" applyProtection="1">
      <alignment horizontal="left" vertical="center"/>
      <protection locked="0"/>
    </xf>
    <xf numFmtId="0" fontId="0" fillId="0" borderId="40" xfId="0" applyBorder="1" applyAlignment="1" applyProtection="1">
      <alignment horizontal="left" vertical="center"/>
      <protection locked="0"/>
    </xf>
    <xf numFmtId="0" fontId="37" fillId="0" borderId="49" xfId="0" applyFont="1" applyBorder="1" applyAlignment="1" applyProtection="1">
      <alignment vertical="center"/>
      <protection locked="0"/>
    </xf>
    <xf numFmtId="0" fontId="37" fillId="0" borderId="0" xfId="0" applyFont="1" applyAlignment="1" applyProtection="1">
      <alignment vertical="center"/>
      <protection locked="0"/>
    </xf>
    <xf numFmtId="0" fontId="37" fillId="0" borderId="43" xfId="0" applyFont="1" applyBorder="1" applyAlignment="1" applyProtection="1">
      <alignment vertical="center"/>
      <protection locked="0"/>
    </xf>
    <xf numFmtId="0" fontId="37" fillId="0" borderId="41" xfId="0" applyFont="1" applyBorder="1" applyAlignment="1" applyProtection="1">
      <alignment horizontal="center" vertical="center"/>
      <protection locked="0"/>
    </xf>
    <xf numFmtId="0" fontId="37" fillId="0" borderId="40" xfId="0" applyFont="1" applyBorder="1" applyAlignment="1" applyProtection="1">
      <alignment horizontal="center" vertical="center"/>
      <protection locked="0"/>
    </xf>
    <xf numFmtId="166" fontId="37" fillId="0" borderId="41" xfId="0" applyNumberFormat="1" applyFont="1" applyBorder="1" applyAlignment="1" applyProtection="1">
      <alignment horizontal="center" vertical="center"/>
      <protection locked="0"/>
    </xf>
    <xf numFmtId="166" fontId="37" fillId="0" borderId="42" xfId="0" applyNumberFormat="1" applyFont="1" applyBorder="1" applyAlignment="1" applyProtection="1">
      <alignment horizontal="center" vertical="center"/>
      <protection locked="0"/>
    </xf>
  </cellXfs>
  <cellStyles count="31">
    <cellStyle name="Comma" xfId="6" builtinId="3"/>
    <cellStyle name="Hyperlink" xfId="3" builtinId="8"/>
    <cellStyle name="Hyperlink 3" xfId="11" xr:uid="{AAF2CCD4-27D2-4F62-B05F-A1E1E15F2363}"/>
    <cellStyle name="Normal" xfId="0" builtinId="0" customBuiltin="1"/>
    <cellStyle name="Normal 10" xfId="18" xr:uid="{ECD0E936-9BD7-4360-9665-1BCAB191B089}"/>
    <cellStyle name="Normal 10 2" xfId="23" xr:uid="{604E1F99-94DF-4430-80D3-E3CB086BAAED}"/>
    <cellStyle name="Normal 10 2 3" xfId="27" xr:uid="{5643198C-6D51-45CB-B8BA-5C518CBD2310}"/>
    <cellStyle name="Normal 10 2 4" xfId="29" xr:uid="{A432234A-154F-4B99-BF3E-52DB5A6F4297}"/>
    <cellStyle name="Normal 11" xfId="7" xr:uid="{A6D80C08-C7F2-405A-B76D-2F41869EDC62}"/>
    <cellStyle name="Normal 12" xfId="20" xr:uid="{37B01485-372E-4354-81BC-A3885BAFD1CC}"/>
    <cellStyle name="Normal 13" xfId="25" xr:uid="{1D734DB9-218F-4347-A4CD-A827931428F7}"/>
    <cellStyle name="Normal 2" xfId="4" xr:uid="{9A76DC85-A02E-4B5A-AE75-6A85DF3D43E1}"/>
    <cellStyle name="Normal 2 11" xfId="1" xr:uid="{DC6B5F69-E625-4F63-98AD-544688292D90}"/>
    <cellStyle name="Normal 3" xfId="8" xr:uid="{9F6FBFF6-E2F2-4D48-B033-460904BD6E88}"/>
    <cellStyle name="Normal 4" xfId="9" xr:uid="{3CFAEDFB-F420-475F-894E-22D627CB4E81}"/>
    <cellStyle name="Normal 5" xfId="10" xr:uid="{A71A1BF9-DEE5-45E4-B4E1-2E0AF9B7973C}"/>
    <cellStyle name="Normal 52" xfId="2" xr:uid="{71FE1EBB-4236-4415-9A55-545928341ADB}"/>
    <cellStyle name="Normal 6" xfId="12" xr:uid="{C21BA87A-BCB5-4298-A06C-8F8941F774BD}"/>
    <cellStyle name="Normal 7" xfId="13" xr:uid="{31A33052-12D2-4798-9FDE-1C1862230D2A}"/>
    <cellStyle name="Normal 8" xfId="15" xr:uid="{93505910-AD7E-41CC-9604-975A253905E0}"/>
    <cellStyle name="Normal 8 2" xfId="22" xr:uid="{EE5D3B2B-85FC-4391-8F8A-E873839FCB84}"/>
    <cellStyle name="Normal 9" xfId="16" xr:uid="{75B93305-E0EC-46DA-A68B-5555E0A4FCBB}"/>
    <cellStyle name="Percent 2" xfId="5" xr:uid="{8011F3E4-B0A5-476D-8C8E-DBC65B57C7E5}"/>
    <cellStyle name="Percent 3" xfId="14" xr:uid="{41B1ACC6-45D5-4300-999C-2A1CFC5E3DFF}"/>
    <cellStyle name="Percent 4" xfId="17" xr:uid="{303DE785-70EB-477B-87AD-DFC9157191D5}"/>
    <cellStyle name="Percent 5" xfId="19" xr:uid="{5DDE287A-C23F-4C03-8E19-D3B758CE4649}"/>
    <cellStyle name="Percent 5 2" xfId="24" xr:uid="{4C887FB8-A080-454A-8A33-9A1B9A9E197D}"/>
    <cellStyle name="Percent 5 2 3" xfId="28" xr:uid="{25E1F2D4-2DF2-4BFA-8249-B993FF9A946F}"/>
    <cellStyle name="Percent 5 2 4" xfId="30" xr:uid="{F0F81C1D-4FC0-4AF2-A541-43345367319C}"/>
    <cellStyle name="Percent 6" xfId="21" xr:uid="{0E9BF615-3357-4F12-AC01-F3913326C027}"/>
    <cellStyle name="Percent 7" xfId="26" xr:uid="{EE0B5AB0-42B6-4351-9AA3-1D91C558E215}"/>
  </cellStyles>
  <dxfs count="329">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ont>
        <strike val="0"/>
        <color theme="0"/>
      </font>
    </dxf>
    <dxf>
      <fill>
        <patternFill>
          <bgColor rgb="FFFFFF00"/>
        </patternFill>
      </fill>
    </dxf>
    <dxf>
      <fill>
        <patternFill>
          <bgColor rgb="FFFFFF00"/>
        </patternFill>
      </fill>
    </dxf>
    <dxf>
      <font>
        <b/>
        <i/>
      </font>
      <fill>
        <patternFill patternType="solid">
          <fgColor auto="1"/>
        </patternFill>
      </fill>
    </dxf>
    <dxf>
      <fill>
        <patternFill>
          <bgColor rgb="FFFFFF00"/>
        </patternFill>
      </fill>
    </dxf>
    <dxf>
      <fill>
        <patternFill>
          <bgColor rgb="FFFFFF00"/>
        </patternFill>
      </fill>
    </dxf>
    <dxf>
      <fill>
        <patternFill>
          <bgColor rgb="FFFF0000"/>
        </patternFill>
      </fill>
    </dxf>
    <dxf>
      <font>
        <color theme="0"/>
      </font>
    </dxf>
    <dxf>
      <font>
        <color theme="0"/>
      </font>
    </dxf>
    <dxf>
      <font>
        <color theme="1"/>
      </font>
      <fill>
        <patternFill patternType="none">
          <bgColor auto="1"/>
        </patternFill>
      </fill>
    </dxf>
    <dxf>
      <fill>
        <patternFill>
          <bgColor rgb="FFEBEBEB"/>
        </patternFill>
      </fill>
    </dxf>
    <dxf>
      <font>
        <b/>
        <i val="0"/>
      </font>
      <fill>
        <patternFill>
          <bgColor theme="0" tint="-0.2499465926084170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FF00"/>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476250</xdr:colOff>
          <xdr:row>14</xdr:row>
          <xdr:rowOff>190500</xdr:rowOff>
        </xdr:from>
        <xdr:to>
          <xdr:col>7</xdr:col>
          <xdr:colOff>1800225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FF0000"/>
                  </a:solidFill>
                  <a:latin typeface="Times New Roman"/>
                  <a:cs typeface="Times New Roman"/>
                </a:rPr>
                <a:t>Sort 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466725</xdr:colOff>
          <xdr:row>6</xdr:row>
          <xdr:rowOff>161925</xdr:rowOff>
        </xdr:from>
        <xdr:to>
          <xdr:col>6</xdr:col>
          <xdr:colOff>314325</xdr:colOff>
          <xdr:row>10</xdr:row>
          <xdr:rowOff>85725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5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Just Update Summaries and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2</xdr:row>
          <xdr:rowOff>95250</xdr:rowOff>
        </xdr:from>
        <xdr:to>
          <xdr:col>11</xdr:col>
          <xdr:colOff>400050</xdr:colOff>
          <xdr:row>6</xdr:row>
          <xdr:rowOff>19050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5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Unlock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561975</xdr:colOff>
          <xdr:row>6</xdr:row>
          <xdr:rowOff>152400</xdr:rowOff>
        </xdr:from>
        <xdr:to>
          <xdr:col>11</xdr:col>
          <xdr:colOff>409575</xdr:colOff>
          <xdr:row>10</xdr:row>
          <xdr:rowOff>76200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5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2</xdr:row>
          <xdr:rowOff>76200</xdr:rowOff>
        </xdr:from>
        <xdr:to>
          <xdr:col>6</xdr:col>
          <xdr:colOff>333375</xdr:colOff>
          <xdr:row>6</xdr:row>
          <xdr:rowOff>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500-000005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Sort Grade Sheets and Update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6</xdr:row>
          <xdr:rowOff>133350</xdr:rowOff>
        </xdr:from>
        <xdr:to>
          <xdr:col>16</xdr:col>
          <xdr:colOff>200025</xdr:colOff>
          <xdr:row>10</xdr:row>
          <xdr:rowOff>57150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5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2</xdr:row>
          <xdr:rowOff>85725</xdr:rowOff>
        </xdr:from>
        <xdr:to>
          <xdr:col>16</xdr:col>
          <xdr:colOff>190500</xdr:colOff>
          <xdr:row>6</xdr:row>
          <xdr:rowOff>9525</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5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Import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10</xdr:row>
          <xdr:rowOff>180975</xdr:rowOff>
        </xdr:from>
        <xdr:to>
          <xdr:col>16</xdr:col>
          <xdr:colOff>190500</xdr:colOff>
          <xdr:row>14</xdr:row>
          <xdr:rowOff>104775</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500-00000F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Macro Buttons </a:t>
              </a:r>
            </a:p>
            <a:p>
              <a:pPr algn="ctr" rtl="0">
                <a:defRPr sz="1000"/>
              </a:pPr>
              <a:r>
                <a:rPr lang="en-US" sz="1600" b="1" i="0" u="none" strike="noStrike" baseline="0">
                  <a:solidFill>
                    <a:srgbClr val="000000"/>
                  </a:solidFill>
                  <a:latin typeface="Times New Roman"/>
                  <a:cs typeface="Times New Roman"/>
                </a:rPr>
                <a:t>(Evil Designed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19</xdr:row>
          <xdr:rowOff>95250</xdr:rowOff>
        </xdr:from>
        <xdr:to>
          <xdr:col>16</xdr:col>
          <xdr:colOff>190500</xdr:colOff>
          <xdr:row>23</xdr:row>
          <xdr:rowOff>19050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500-00001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Macro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15</xdr:row>
          <xdr:rowOff>0</xdr:rowOff>
        </xdr:from>
        <xdr:to>
          <xdr:col>16</xdr:col>
          <xdr:colOff>200025</xdr:colOff>
          <xdr:row>18</xdr:row>
          <xdr:rowOff>114300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500-00001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IP Sign Button </a:t>
              </a:r>
            </a:p>
            <a:p>
              <a:pPr algn="ctr" rtl="0">
                <a:defRPr sz="1000"/>
              </a:pPr>
              <a:r>
                <a:rPr lang="en-US" sz="1600" b="1" i="0" u="none" strike="noStrike" baseline="0">
                  <a:solidFill>
                    <a:srgbClr val="000000"/>
                  </a:solidFill>
                  <a:latin typeface="Times New Roman"/>
                  <a:cs typeface="Times New Roman"/>
                </a:rPr>
                <a:t>(All Grade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8</xdr:row>
          <xdr:rowOff>0</xdr:rowOff>
        </xdr:from>
        <xdr:to>
          <xdr:col>12</xdr:col>
          <xdr:colOff>0</xdr:colOff>
          <xdr:row>10</xdr:row>
          <xdr:rowOff>0</xdr:rowOff>
        </xdr:to>
        <xdr:sp macro="" textlink="">
          <xdr:nvSpPr>
            <xdr:cNvPr id="186369" name="IP_Signature" hidden="1">
              <a:extLst>
                <a:ext uri="{63B3BB69-23CF-44E3-9099-C40C66FF867C}">
                  <a14:compatExt spid="_x0000_s186369"/>
                </a:ext>
                <a:ext uri="{FF2B5EF4-FFF2-40B4-BE49-F238E27FC236}">
                  <a16:creationId xmlns:a16="http://schemas.microsoft.com/office/drawing/2014/main" id="{00000000-0008-0000-0B00-000001D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A9924E0-5FD7-4F9F-B05C-F32FF96678D3}"/>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3778" name="IP_Signature" hidden="1">
              <a:extLst>
                <a:ext uri="{63B3BB69-23CF-44E3-9099-C40C66FF867C}">
                  <a14:compatExt spid="_x0000_s203778"/>
                </a:ext>
                <a:ext uri="{FF2B5EF4-FFF2-40B4-BE49-F238E27FC236}">
                  <a16:creationId xmlns:a16="http://schemas.microsoft.com/office/drawing/2014/main" id="{00000000-0008-0000-0E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3779" name="CCG_Click" hidden="1">
              <a:extLst>
                <a:ext uri="{63B3BB69-23CF-44E3-9099-C40C66FF867C}">
                  <a14:compatExt spid="_x0000_s203779"/>
                </a:ext>
                <a:ext uri="{FF2B5EF4-FFF2-40B4-BE49-F238E27FC236}">
                  <a16:creationId xmlns:a16="http://schemas.microsoft.com/office/drawing/2014/main" id="{00000000-0008-0000-0E00-000003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3780" name="MCG_Click" hidden="1">
              <a:extLst>
                <a:ext uri="{63B3BB69-23CF-44E3-9099-C40C66FF867C}">
                  <a14:compatExt spid="_x0000_s203780"/>
                </a:ext>
                <a:ext uri="{FF2B5EF4-FFF2-40B4-BE49-F238E27FC236}">
                  <a16:creationId xmlns:a16="http://schemas.microsoft.com/office/drawing/2014/main" id="{00000000-0008-0000-0E00-000004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3781" name="DCG_Click" hidden="1">
              <a:extLst>
                <a:ext uri="{63B3BB69-23CF-44E3-9099-C40C66FF867C}">
                  <a14:compatExt spid="_x0000_s203781"/>
                </a:ext>
                <a:ext uri="{FF2B5EF4-FFF2-40B4-BE49-F238E27FC236}">
                  <a16:creationId xmlns:a16="http://schemas.microsoft.com/office/drawing/2014/main" id="{00000000-0008-0000-0E00-000005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3782" name="PMC_Click" hidden="1">
              <a:extLst>
                <a:ext uri="{63B3BB69-23CF-44E3-9099-C40C66FF867C}">
                  <a14:compatExt spid="_x0000_s203782"/>
                </a:ext>
                <a:ext uri="{FF2B5EF4-FFF2-40B4-BE49-F238E27FC236}">
                  <a16:creationId xmlns:a16="http://schemas.microsoft.com/office/drawing/2014/main" id="{00000000-0008-0000-0E00-000006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27</xdr:row>
          <xdr:rowOff>0</xdr:rowOff>
        </xdr:from>
        <xdr:to>
          <xdr:col>12</xdr:col>
          <xdr:colOff>0</xdr:colOff>
          <xdr:row>29</xdr:row>
          <xdr:rowOff>0</xdr:rowOff>
        </xdr:to>
        <xdr:sp macro="" textlink="">
          <xdr:nvSpPr>
            <xdr:cNvPr id="204801" name="IP_Signature" hidden="1">
              <a:extLst>
                <a:ext uri="{63B3BB69-23CF-44E3-9099-C40C66FF867C}">
                  <a14:compatExt spid="_x0000_s204801"/>
                </a:ext>
                <a:ext uri="{FF2B5EF4-FFF2-40B4-BE49-F238E27FC236}">
                  <a16:creationId xmlns:a16="http://schemas.microsoft.com/office/drawing/2014/main" id="{00000000-0008-0000-1000-0000012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C39C9E15-F2B1-4B58-B352-9E81B2FD84EA}"/>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5826" name="IP_Signature" hidden="1">
              <a:extLst>
                <a:ext uri="{63B3BB69-23CF-44E3-9099-C40C66FF867C}">
                  <a14:compatExt spid="_x0000_s205826"/>
                </a:ext>
                <a:ext uri="{FF2B5EF4-FFF2-40B4-BE49-F238E27FC236}">
                  <a16:creationId xmlns:a16="http://schemas.microsoft.com/office/drawing/2014/main" id="{00000000-0008-0000-1100-000002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5827" name="CCG_Click" hidden="1">
              <a:extLst>
                <a:ext uri="{63B3BB69-23CF-44E3-9099-C40C66FF867C}">
                  <a14:compatExt spid="_x0000_s205827"/>
                </a:ext>
                <a:ext uri="{FF2B5EF4-FFF2-40B4-BE49-F238E27FC236}">
                  <a16:creationId xmlns:a16="http://schemas.microsoft.com/office/drawing/2014/main" id="{00000000-0008-0000-1100-000003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5828" name="MCG_Click" hidden="1">
              <a:extLst>
                <a:ext uri="{63B3BB69-23CF-44E3-9099-C40C66FF867C}">
                  <a14:compatExt spid="_x0000_s205828"/>
                </a:ext>
                <a:ext uri="{FF2B5EF4-FFF2-40B4-BE49-F238E27FC236}">
                  <a16:creationId xmlns:a16="http://schemas.microsoft.com/office/drawing/2014/main" id="{00000000-0008-0000-1100-000004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5829" name="DCG_Click" hidden="1">
              <a:extLst>
                <a:ext uri="{63B3BB69-23CF-44E3-9099-C40C66FF867C}">
                  <a14:compatExt spid="_x0000_s205829"/>
                </a:ext>
                <a:ext uri="{FF2B5EF4-FFF2-40B4-BE49-F238E27FC236}">
                  <a16:creationId xmlns:a16="http://schemas.microsoft.com/office/drawing/2014/main" id="{00000000-0008-0000-1100-000005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5830" name="PMC_Click" hidden="1">
              <a:extLst>
                <a:ext uri="{63B3BB69-23CF-44E3-9099-C40C66FF867C}">
                  <a14:compatExt spid="_x0000_s205830"/>
                </a:ext>
                <a:ext uri="{FF2B5EF4-FFF2-40B4-BE49-F238E27FC236}">
                  <a16:creationId xmlns:a16="http://schemas.microsoft.com/office/drawing/2014/main" id="{00000000-0008-0000-1100-000006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44882428-E6B5-45E0-9021-7DB4A9DEAAC3}"/>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7879" name="IP_Signature" hidden="1">
              <a:extLst>
                <a:ext uri="{63B3BB69-23CF-44E3-9099-C40C66FF867C}">
                  <a14:compatExt spid="_x0000_s207879"/>
                </a:ext>
                <a:ext uri="{FF2B5EF4-FFF2-40B4-BE49-F238E27FC236}">
                  <a16:creationId xmlns:a16="http://schemas.microsoft.com/office/drawing/2014/main" id="{00000000-0008-0000-1300-000007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7880" name="CCG_Click" hidden="1">
              <a:extLst>
                <a:ext uri="{63B3BB69-23CF-44E3-9099-C40C66FF867C}">
                  <a14:compatExt spid="_x0000_s207880"/>
                </a:ext>
                <a:ext uri="{FF2B5EF4-FFF2-40B4-BE49-F238E27FC236}">
                  <a16:creationId xmlns:a16="http://schemas.microsoft.com/office/drawing/2014/main" id="{00000000-0008-0000-1300-000008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7881" name="MCG_Click" hidden="1">
              <a:extLst>
                <a:ext uri="{63B3BB69-23CF-44E3-9099-C40C66FF867C}">
                  <a14:compatExt spid="_x0000_s207881"/>
                </a:ext>
                <a:ext uri="{FF2B5EF4-FFF2-40B4-BE49-F238E27FC236}">
                  <a16:creationId xmlns:a16="http://schemas.microsoft.com/office/drawing/2014/main" id="{00000000-0008-0000-1300-000009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7882" name="DCG_Click" hidden="1">
              <a:extLst>
                <a:ext uri="{63B3BB69-23CF-44E3-9099-C40C66FF867C}">
                  <a14:compatExt spid="_x0000_s207882"/>
                </a:ext>
                <a:ext uri="{FF2B5EF4-FFF2-40B4-BE49-F238E27FC236}">
                  <a16:creationId xmlns:a16="http://schemas.microsoft.com/office/drawing/2014/main" id="{00000000-0008-0000-1300-00000A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7883" name="PMC_Click" hidden="1">
              <a:extLst>
                <a:ext uri="{63B3BB69-23CF-44E3-9099-C40C66FF867C}">
                  <a14:compatExt spid="_x0000_s207883"/>
                </a:ext>
                <a:ext uri="{FF2B5EF4-FFF2-40B4-BE49-F238E27FC236}">
                  <a16:creationId xmlns:a16="http://schemas.microsoft.com/office/drawing/2014/main" id="{00000000-0008-0000-1300-00000B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34877959-DB7F-4935-BFF1-8E74B8AAF011}"/>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33473" name="IP_Signature" hidden="1">
              <a:extLst>
                <a:ext uri="{63B3BB69-23CF-44E3-9099-C40C66FF867C}">
                  <a14:compatExt spid="_x0000_s233473"/>
                </a:ext>
                <a:ext uri="{FF2B5EF4-FFF2-40B4-BE49-F238E27FC236}">
                  <a16:creationId xmlns:a16="http://schemas.microsoft.com/office/drawing/2014/main" id="{00000000-0008-0000-1400-000001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33474" name="CCG_Click" hidden="1">
              <a:extLst>
                <a:ext uri="{63B3BB69-23CF-44E3-9099-C40C66FF867C}">
                  <a14:compatExt spid="_x0000_s233474"/>
                </a:ext>
                <a:ext uri="{FF2B5EF4-FFF2-40B4-BE49-F238E27FC236}">
                  <a16:creationId xmlns:a16="http://schemas.microsoft.com/office/drawing/2014/main" id="{00000000-0008-0000-1400-000002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33475" name="MCG_Click" hidden="1">
              <a:extLst>
                <a:ext uri="{63B3BB69-23CF-44E3-9099-C40C66FF867C}">
                  <a14:compatExt spid="_x0000_s233475"/>
                </a:ext>
                <a:ext uri="{FF2B5EF4-FFF2-40B4-BE49-F238E27FC236}">
                  <a16:creationId xmlns:a16="http://schemas.microsoft.com/office/drawing/2014/main" id="{00000000-0008-0000-1400-000003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33476" name="DCG_Click" hidden="1">
              <a:extLst>
                <a:ext uri="{63B3BB69-23CF-44E3-9099-C40C66FF867C}">
                  <a14:compatExt spid="_x0000_s233476"/>
                </a:ext>
                <a:ext uri="{FF2B5EF4-FFF2-40B4-BE49-F238E27FC236}">
                  <a16:creationId xmlns:a16="http://schemas.microsoft.com/office/drawing/2014/main" id="{00000000-0008-0000-1400-000004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33477" name="PMC_Click" hidden="1">
              <a:extLst>
                <a:ext uri="{63B3BB69-23CF-44E3-9099-C40C66FF867C}">
                  <a14:compatExt spid="_x0000_s233477"/>
                </a:ext>
                <a:ext uri="{FF2B5EF4-FFF2-40B4-BE49-F238E27FC236}">
                  <a16:creationId xmlns:a16="http://schemas.microsoft.com/office/drawing/2014/main" id="{00000000-0008-0000-1400-000005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1BE0525-8082-4BB7-9BAF-20EAFC33BF81}"/>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8899" name="IP_Signature" hidden="1">
              <a:extLst>
                <a:ext uri="{63B3BB69-23CF-44E3-9099-C40C66FF867C}">
                  <a14:compatExt spid="_x0000_s208899"/>
                </a:ext>
                <a:ext uri="{FF2B5EF4-FFF2-40B4-BE49-F238E27FC236}">
                  <a16:creationId xmlns:a16="http://schemas.microsoft.com/office/drawing/2014/main" id="{00000000-0008-0000-1500-0000033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8900" name="CCG_Click" hidden="1">
              <a:extLst>
                <a:ext uri="{63B3BB69-23CF-44E3-9099-C40C66FF867C}">
                  <a14:compatExt spid="_x0000_s208900"/>
                </a:ext>
                <a:ext uri="{FF2B5EF4-FFF2-40B4-BE49-F238E27FC236}">
                  <a16:creationId xmlns:a16="http://schemas.microsoft.com/office/drawing/2014/main" id="{00000000-0008-0000-1500-0000043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8901" name="MCG_Click" hidden="1">
              <a:extLst>
                <a:ext uri="{63B3BB69-23CF-44E3-9099-C40C66FF867C}">
                  <a14:compatExt spid="_x0000_s208901"/>
                </a:ext>
                <a:ext uri="{FF2B5EF4-FFF2-40B4-BE49-F238E27FC236}">
                  <a16:creationId xmlns:a16="http://schemas.microsoft.com/office/drawing/2014/main" id="{00000000-0008-0000-1500-0000053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8902" name="DCG_Click" hidden="1">
              <a:extLst>
                <a:ext uri="{63B3BB69-23CF-44E3-9099-C40C66FF867C}">
                  <a14:compatExt spid="_x0000_s208902"/>
                </a:ext>
                <a:ext uri="{FF2B5EF4-FFF2-40B4-BE49-F238E27FC236}">
                  <a16:creationId xmlns:a16="http://schemas.microsoft.com/office/drawing/2014/main" id="{00000000-0008-0000-1500-0000063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8903" name="PMC_Click" hidden="1">
              <a:extLst>
                <a:ext uri="{63B3BB69-23CF-44E3-9099-C40C66FF867C}">
                  <a14:compatExt spid="_x0000_s208903"/>
                </a:ext>
                <a:ext uri="{FF2B5EF4-FFF2-40B4-BE49-F238E27FC236}">
                  <a16:creationId xmlns:a16="http://schemas.microsoft.com/office/drawing/2014/main" id="{00000000-0008-0000-1500-0000073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45</xdr:row>
          <xdr:rowOff>0</xdr:rowOff>
        </xdr:from>
        <xdr:to>
          <xdr:col>7</xdr:col>
          <xdr:colOff>0</xdr:colOff>
          <xdr:row>47</xdr:row>
          <xdr:rowOff>0</xdr:rowOff>
        </xdr:to>
        <xdr:sp macro="" textlink="">
          <xdr:nvSpPr>
            <xdr:cNvPr id="234497" name="IP_Signature" hidden="1">
              <a:extLst>
                <a:ext uri="{63B3BB69-23CF-44E3-9099-C40C66FF867C}">
                  <a14:compatExt spid="_x0000_s234497"/>
                </a:ext>
                <a:ext uri="{FF2B5EF4-FFF2-40B4-BE49-F238E27FC236}">
                  <a16:creationId xmlns:a16="http://schemas.microsoft.com/office/drawing/2014/main" id="{00000000-0008-0000-1600-0000019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45</xdr:row>
          <xdr:rowOff>0</xdr:rowOff>
        </xdr:from>
        <xdr:to>
          <xdr:col>7</xdr:col>
          <xdr:colOff>0</xdr:colOff>
          <xdr:row>47</xdr:row>
          <xdr:rowOff>0</xdr:rowOff>
        </xdr:to>
        <xdr:sp macro="" textlink="">
          <xdr:nvSpPr>
            <xdr:cNvPr id="209921" name="IP_Signature" hidden="1">
              <a:extLst>
                <a:ext uri="{63B3BB69-23CF-44E3-9099-C40C66FF867C}">
                  <a14:compatExt spid="_x0000_s209921"/>
                </a:ext>
                <a:ext uri="{FF2B5EF4-FFF2-40B4-BE49-F238E27FC236}">
                  <a16:creationId xmlns:a16="http://schemas.microsoft.com/office/drawing/2014/main" id="{00000000-0008-0000-1700-0000013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60291930-936D-4611-9A4E-45A5FE952909}"/>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A862D513-64A4-4F77-A1C3-BD9EA427F89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1618" name="IP_Signature" hidden="1">
              <a:extLst>
                <a:ext uri="{63B3BB69-23CF-44E3-9099-C40C66FF867C}">
                  <a14:compatExt spid="_x0000_s111618"/>
                </a:ext>
                <a:ext uri="{FF2B5EF4-FFF2-40B4-BE49-F238E27FC236}">
                  <a16:creationId xmlns:a16="http://schemas.microsoft.com/office/drawing/2014/main" id="{00000000-0008-0000-1900-000002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11619" name="CCG_Click" hidden="1">
              <a:extLst>
                <a:ext uri="{63B3BB69-23CF-44E3-9099-C40C66FF867C}">
                  <a14:compatExt spid="_x0000_s111619"/>
                </a:ext>
                <a:ext uri="{FF2B5EF4-FFF2-40B4-BE49-F238E27FC236}">
                  <a16:creationId xmlns:a16="http://schemas.microsoft.com/office/drawing/2014/main" id="{00000000-0008-0000-1900-000003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1620" name="MCG_Click" hidden="1">
              <a:extLst>
                <a:ext uri="{63B3BB69-23CF-44E3-9099-C40C66FF867C}">
                  <a14:compatExt spid="_x0000_s111620"/>
                </a:ext>
                <a:ext uri="{FF2B5EF4-FFF2-40B4-BE49-F238E27FC236}">
                  <a16:creationId xmlns:a16="http://schemas.microsoft.com/office/drawing/2014/main" id="{00000000-0008-0000-1900-000004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11621" name="DCG_Click" hidden="1">
              <a:extLst>
                <a:ext uri="{63B3BB69-23CF-44E3-9099-C40C66FF867C}">
                  <a14:compatExt spid="_x0000_s111621"/>
                </a:ext>
                <a:ext uri="{FF2B5EF4-FFF2-40B4-BE49-F238E27FC236}">
                  <a16:creationId xmlns:a16="http://schemas.microsoft.com/office/drawing/2014/main" id="{00000000-0008-0000-1900-000005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1622" name="PMC_Click" hidden="1">
              <a:extLst>
                <a:ext uri="{63B3BB69-23CF-44E3-9099-C40C66FF867C}">
                  <a14:compatExt spid="_x0000_s111622"/>
                </a:ext>
                <a:ext uri="{FF2B5EF4-FFF2-40B4-BE49-F238E27FC236}">
                  <a16:creationId xmlns:a16="http://schemas.microsoft.com/office/drawing/2014/main" id="{00000000-0008-0000-1900-000006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B9467F9-236E-4C6A-983C-AB0903517FF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2642" name="IP_Signature" hidden="1">
              <a:extLst>
                <a:ext uri="{63B3BB69-23CF-44E3-9099-C40C66FF867C}">
                  <a14:compatExt spid="_x0000_s112642"/>
                </a:ext>
                <a:ext uri="{FF2B5EF4-FFF2-40B4-BE49-F238E27FC236}">
                  <a16:creationId xmlns:a16="http://schemas.microsoft.com/office/drawing/2014/main" id="{00000000-0008-0000-1A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12643" name="CCG_Click" hidden="1">
              <a:extLst>
                <a:ext uri="{63B3BB69-23CF-44E3-9099-C40C66FF867C}">
                  <a14:compatExt spid="_x0000_s112643"/>
                </a:ext>
                <a:ext uri="{FF2B5EF4-FFF2-40B4-BE49-F238E27FC236}">
                  <a16:creationId xmlns:a16="http://schemas.microsoft.com/office/drawing/2014/main" id="{00000000-0008-0000-1A00-000003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2644" name="MCG_Click" hidden="1">
              <a:extLst>
                <a:ext uri="{63B3BB69-23CF-44E3-9099-C40C66FF867C}">
                  <a14:compatExt spid="_x0000_s112644"/>
                </a:ext>
                <a:ext uri="{FF2B5EF4-FFF2-40B4-BE49-F238E27FC236}">
                  <a16:creationId xmlns:a16="http://schemas.microsoft.com/office/drawing/2014/main" id="{00000000-0008-0000-1A00-000004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12645" name="DCG_Click" hidden="1">
              <a:extLst>
                <a:ext uri="{63B3BB69-23CF-44E3-9099-C40C66FF867C}">
                  <a14:compatExt spid="_x0000_s112645"/>
                </a:ext>
                <a:ext uri="{FF2B5EF4-FFF2-40B4-BE49-F238E27FC236}">
                  <a16:creationId xmlns:a16="http://schemas.microsoft.com/office/drawing/2014/main" id="{00000000-0008-0000-1A00-000005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2646" name="PMC_Click" hidden="1">
              <a:extLst>
                <a:ext uri="{63B3BB69-23CF-44E3-9099-C40C66FF867C}">
                  <a14:compatExt spid="_x0000_s112646"/>
                </a:ext>
                <a:ext uri="{FF2B5EF4-FFF2-40B4-BE49-F238E27FC236}">
                  <a16:creationId xmlns:a16="http://schemas.microsoft.com/office/drawing/2014/main" id="{00000000-0008-0000-1A00-000006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F1AD9E0-E0CC-4394-A75B-639ECA275D1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7762" name="IP_Signature" hidden="1">
              <a:extLst>
                <a:ext uri="{63B3BB69-23CF-44E3-9099-C40C66FF867C}">
                  <a14:compatExt spid="_x0000_s117762"/>
                </a:ext>
                <a:ext uri="{FF2B5EF4-FFF2-40B4-BE49-F238E27FC236}">
                  <a16:creationId xmlns:a16="http://schemas.microsoft.com/office/drawing/2014/main" id="{00000000-0008-0000-2200-000002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17763" name="CCG_Click" hidden="1">
              <a:extLst>
                <a:ext uri="{63B3BB69-23CF-44E3-9099-C40C66FF867C}">
                  <a14:compatExt spid="_x0000_s117763"/>
                </a:ext>
                <a:ext uri="{FF2B5EF4-FFF2-40B4-BE49-F238E27FC236}">
                  <a16:creationId xmlns:a16="http://schemas.microsoft.com/office/drawing/2014/main" id="{00000000-0008-0000-2200-000003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7764" name="MCG_Click" hidden="1">
              <a:extLst>
                <a:ext uri="{63B3BB69-23CF-44E3-9099-C40C66FF867C}">
                  <a14:compatExt spid="_x0000_s117764"/>
                </a:ext>
                <a:ext uri="{FF2B5EF4-FFF2-40B4-BE49-F238E27FC236}">
                  <a16:creationId xmlns:a16="http://schemas.microsoft.com/office/drawing/2014/main" id="{00000000-0008-0000-2200-000004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17765" name="DCG_Click" hidden="1">
              <a:extLst>
                <a:ext uri="{63B3BB69-23CF-44E3-9099-C40C66FF867C}">
                  <a14:compatExt spid="_x0000_s117765"/>
                </a:ext>
                <a:ext uri="{FF2B5EF4-FFF2-40B4-BE49-F238E27FC236}">
                  <a16:creationId xmlns:a16="http://schemas.microsoft.com/office/drawing/2014/main" id="{00000000-0008-0000-2200-000005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7766" name="PMC_Click" hidden="1">
              <a:extLst>
                <a:ext uri="{63B3BB69-23CF-44E3-9099-C40C66FF867C}">
                  <a14:compatExt spid="_x0000_s117766"/>
                </a:ext>
                <a:ext uri="{FF2B5EF4-FFF2-40B4-BE49-F238E27FC236}">
                  <a16:creationId xmlns:a16="http://schemas.microsoft.com/office/drawing/2014/main" id="{00000000-0008-0000-2200-000006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29.198.99.208\grades$\Students\12B\Flight%20grade%20sheets%20and%20flight%20logs\Chown%20Benjamin\Chown%20Benjamin%20flight%20gradebook%20CSO%20-%20RPA.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25B%20STC/Individual%20Grade%20Sheets/25B%20STC%20Templates/25B%20STC%20Template%20Grade%20Sheets%20STC.xlsm" TargetMode="External"/><Relationship Id="rId2" Type="http://schemas.openxmlformats.org/officeDocument/2006/relationships/externalLinkPath" Target="file:///N:\STC\Students\25B%20STC\Individual%20Grade%20Sheets\25B%20STC%20Templates\25B%20STC%20Template%20Grade%20Sheets%20STC.xlsm" TargetMode="External"/><Relationship Id="rId1" Type="http://schemas.openxmlformats.org/officeDocument/2006/relationships/externalLinkPath" Target="/STC/Students/25B%20STC/Individual%20Grade%20Sheets/25B%20STC%20Templates/25B%20STC%20Template%20Grade%20Sheets%20STC.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F%206324W"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26A%20STC%20Templates/26A%20STC%20Template%20Grade%20Sheets%20STC.xlsm" TargetMode="External"/><Relationship Id="rId2" Type="http://schemas.openxmlformats.org/officeDocument/2006/relationships/externalLinkPath" Target="file:///N:\STC\Students\26A%20STC\Individual%20Grade%20Sheets\26A%20STC%20Templates\26A%20STC%20Template%20Grade%20Sheets%20STC.xlsm" TargetMode="External"/><Relationship Id="rId1" Type="http://schemas.openxmlformats.org/officeDocument/2006/relationships/externalLinkPath" Target="/STC/Students/26A%20STC/Individual%20Grade%20Sheets/26A%20STC%20Templates/26A%20STC%20Template%20Grade%20Sheets%20ST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ibis"/>
      <sheetName val="Probations"/>
      <sheetName val="Restrictions"/>
      <sheetName val="link to class GB"/>
      <sheetName val="PF"/>
      <sheetName val="FQ"/>
      <sheetName val="SY"/>
      <sheetName val="QE"/>
      <sheetName val="PF 6051F"/>
      <sheetName val="PF 7351F"/>
      <sheetName val="PF 6151F"/>
      <sheetName val="PF 6152F"/>
      <sheetName val="PF 7151FN"/>
      <sheetName val="PF 7561FP"/>
      <sheetName val="PF 8951FB"/>
      <sheetName val="PF 8354FP"/>
      <sheetName val="PF 8357FP"/>
      <sheetName val="PF 8952FB"/>
      <sheetName val="PF 8952WB"/>
      <sheetName val="PF 7301WD"/>
      <sheetName val="FQ 6351F"/>
      <sheetName val="FQ 6352F"/>
      <sheetName val="FQ 6353F"/>
      <sheetName val="FQ 6354F"/>
      <sheetName val="FQ 6355F"/>
      <sheetName val="FQ 6357F"/>
      <sheetName val="FQ 7661DP"/>
      <sheetName val="FQ 7661F"/>
      <sheetName val="FQ 8151F"/>
      <sheetName val="FQ 8152F"/>
      <sheetName val="FQ 8154F"/>
      <sheetName val="FQ 8155F"/>
      <sheetName val="FQ 8753FP"/>
      <sheetName val="FQ 8754FP"/>
      <sheetName val="FQ 8951FD"/>
      <sheetName val="FQ 8952F"/>
      <sheetName val="FQ 9351F"/>
      <sheetName val="FQ 9352FN"/>
      <sheetName val="FQ 9361C"/>
      <sheetName val="FQ 9361D"/>
      <sheetName val="FQ 9551F"/>
      <sheetName val="FQ 9551W"/>
      <sheetName val="FQ 9751FA"/>
      <sheetName val="FQ 9958SB"/>
      <sheetName val="FQ 9958W"/>
      <sheetName val="SY 6721L"/>
      <sheetName val="SY 6722L"/>
      <sheetName val="SY 7121L"/>
      <sheetName val="SY 7122L"/>
      <sheetName val="SY 7151F"/>
      <sheetName val="SY 7151W"/>
      <sheetName val="SY 7321L"/>
      <sheetName val="SY 7531S"/>
      <sheetName val="SY 7551F"/>
      <sheetName val="SY 7551W"/>
      <sheetName val="SY 7552F"/>
      <sheetName val="SY 8121LU"/>
      <sheetName val="SY 8251FA"/>
      <sheetName val="SY 8261F"/>
      <sheetName val="SY 8518SB"/>
      <sheetName val="SY 8518WB"/>
      <sheetName val="FQ 9969FP"/>
      <sheetName val="QE 6750"/>
      <sheetName val="Color list"/>
      <sheetName val="QE 6750W"/>
      <sheetName val="T-6"/>
      <sheetName val="Extra 300"/>
      <sheetName val="AN-2"/>
      <sheetName val="Capston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ow r="3">
          <cell r="AT3">
            <v>5</v>
          </cell>
        </row>
        <row r="5">
          <cell r="P5" t="str">
            <v>No</v>
          </cell>
        </row>
        <row r="40">
          <cell r="AD40" t="str">
            <v>Written Report</v>
          </cell>
        </row>
      </sheetData>
      <sheetData sheetId="67"/>
      <sheetData sheetId="6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Review"/>
      <sheetName val="Alibis"/>
      <sheetName val="Probations"/>
      <sheetName val="Restrictions"/>
      <sheetName val="Color list"/>
      <sheetName val="Updater"/>
      <sheetName val="Link to Class Gradebook"/>
      <sheetName val="AS"/>
      <sheetName val="SY"/>
      <sheetName val="TF"/>
      <sheetName val="AS 7130L"/>
      <sheetName val="AS 7140S FQ"/>
      <sheetName val="AS 7140S"/>
      <sheetName val="AS 7150S"/>
      <sheetName val="AS 7310A"/>
      <sheetName val="AS 7314W"/>
      <sheetName val="AS 7316R"/>
      <sheetName val="SY 7213C"/>
      <sheetName val="SY 752xx"/>
      <sheetName val="SY 7521O"/>
      <sheetName val="SY 7522Y"/>
      <sheetName val="TF 5310Y"/>
      <sheetName val="TF 6221C"/>
      <sheetName val="TF 6233C"/>
      <sheetName val="TF 6241F"/>
      <sheetName val="TF 6265R"/>
      <sheetName val="TF 6268R"/>
      <sheetName val="TF 7113R"/>
      <sheetName val="TF 7123R"/>
      <sheetName val="TF 7133R"/>
      <sheetName val="TF 7502R"/>
      <sheetName val="25B STC Template Grade Sheets S"/>
    </sheetNames>
    <definedNames>
      <definedName name="IP_signature"/>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F 6324W"/>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Review"/>
      <sheetName val="Alibis"/>
      <sheetName val="Probations"/>
      <sheetName val="Restrictions"/>
      <sheetName val="Color list"/>
      <sheetName val="Updater"/>
      <sheetName val="Link to Class Gradebook"/>
      <sheetName val="AS"/>
      <sheetName val="SY"/>
      <sheetName val="TF"/>
      <sheetName val="SO 6140S"/>
      <sheetName val="AS 7130L"/>
      <sheetName val="AS 7140S FQ"/>
      <sheetName val="AS 7140S HQ"/>
      <sheetName val="AS 7150S"/>
      <sheetName val="AS 7160S"/>
      <sheetName val="AS 7310A"/>
      <sheetName val="AS 7314W"/>
      <sheetName val="AS 7316R"/>
      <sheetName val="SY 7213C"/>
      <sheetName val="SY 752xx"/>
      <sheetName val="SY 7521O"/>
      <sheetName val="SY 7522Y"/>
      <sheetName val="TF 5310Y"/>
      <sheetName val="TF 6221C"/>
      <sheetName val="TF 6233C"/>
      <sheetName val="TF 6241F"/>
      <sheetName val="TF 6265R"/>
      <sheetName val="TF 6268R"/>
      <sheetName val="TF 6402R"/>
      <sheetName val="TF 6403R"/>
      <sheetName val="TF 7113R"/>
      <sheetName val="TF 7123R"/>
      <sheetName val="TF 7133R"/>
      <sheetName val="TF 7502R"/>
      <sheetName val="26A STC Template Grade Sheets S"/>
    </sheetNames>
    <definedNames>
      <definedName name="CCG_Click"/>
      <definedName name="DCG_Click"/>
      <definedName name="IP_signature"/>
      <definedName name="MCG_Click"/>
      <definedName name="PMC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6.vml"/><Relationship Id="rId7" Type="http://schemas.openxmlformats.org/officeDocument/2006/relationships/ctrlProp" Target="../ctrlProps/ctrlProp21.xml"/><Relationship Id="rId2" Type="http://schemas.openxmlformats.org/officeDocument/2006/relationships/drawing" Target="../drawings/drawing6.xml"/><Relationship Id="rId1" Type="http://schemas.openxmlformats.org/officeDocument/2006/relationships/printerSettings" Target="../printerSettings/printerSettings12.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7.vml"/><Relationship Id="rId7" Type="http://schemas.openxmlformats.org/officeDocument/2006/relationships/ctrlProp" Target="../ctrlProps/ctrlProp26.xml"/><Relationship Id="rId2" Type="http://schemas.openxmlformats.org/officeDocument/2006/relationships/drawing" Target="../drawings/drawing7.xml"/><Relationship Id="rId1" Type="http://schemas.openxmlformats.org/officeDocument/2006/relationships/printerSettings" Target="../printerSettings/printerSettings13.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8.vml"/><Relationship Id="rId7" Type="http://schemas.openxmlformats.org/officeDocument/2006/relationships/ctrlProp" Target="../ctrlProps/ctrlProp31.xml"/><Relationship Id="rId2" Type="http://schemas.openxmlformats.org/officeDocument/2006/relationships/drawing" Target="../drawings/drawing8.xml"/><Relationship Id="rId1" Type="http://schemas.openxmlformats.org/officeDocument/2006/relationships/printerSettings" Target="../printerSettings/printerSettings14.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9.xml"/><Relationship Id="rId1" Type="http://schemas.openxmlformats.org/officeDocument/2006/relationships/printerSettings" Target="../printerSettings/printerSettings15.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12.vml"/><Relationship Id="rId7" Type="http://schemas.openxmlformats.org/officeDocument/2006/relationships/ctrlProp" Target="../ctrlProps/ctrlProp43.xml"/><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3.vml"/><Relationship Id="rId7" Type="http://schemas.openxmlformats.org/officeDocument/2006/relationships/ctrlProp" Target="../ctrlProps/ctrlProp48.xml"/><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4.vml"/><Relationship Id="rId7" Type="http://schemas.openxmlformats.org/officeDocument/2006/relationships/ctrlProp" Target="../ctrlProps/ctrlProp53.xml"/><Relationship Id="rId2" Type="http://schemas.openxmlformats.org/officeDocument/2006/relationships/drawing" Target="../drawings/drawing15.xml"/><Relationship Id="rId1" Type="http://schemas.openxmlformats.org/officeDocument/2006/relationships/printerSettings" Target="../printerSettings/printerSettings19.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0358F-79C0-4E3B-A9E9-758179A89872}">
  <sheetPr codeName="Sheet4">
    <tabColor rgb="FF7030A0"/>
  </sheetPr>
  <dimension ref="B1:H69"/>
  <sheetViews>
    <sheetView showGridLines="0" workbookViewId="0">
      <selection activeCell="B17" sqref="B17"/>
    </sheetView>
  </sheetViews>
  <sheetFormatPr defaultColWidth="9.140625" defaultRowHeight="15" x14ac:dyDescent="0.25"/>
  <cols>
    <col min="1" max="1" width="2.140625" customWidth="1"/>
    <col min="2" max="2" width="59.85546875" bestFit="1" customWidth="1"/>
    <col min="3" max="3" width="23.7109375" customWidth="1"/>
    <col min="4" max="4" width="21.7109375" customWidth="1"/>
    <col min="5" max="5" width="30.5703125" customWidth="1"/>
    <col min="6" max="6" width="21.5703125" customWidth="1"/>
    <col min="7" max="7" width="19.7109375" customWidth="1"/>
    <col min="8" max="8" width="31.7109375" customWidth="1"/>
  </cols>
  <sheetData>
    <row r="1" spans="2:8" ht="15.75" thickBot="1" x14ac:dyDescent="0.3"/>
    <row r="2" spans="2:8" ht="21" thickBot="1" x14ac:dyDescent="0.3">
      <c r="B2" s="1124" t="s">
        <v>11</v>
      </c>
      <c r="C2" s="1125"/>
      <c r="D2" s="1125"/>
      <c r="E2" s="1125"/>
      <c r="F2" s="1125"/>
      <c r="G2" s="1126"/>
      <c r="H2" s="17"/>
    </row>
    <row r="3" spans="2:8" ht="27.75" customHeight="1" thickBot="1" x14ac:dyDescent="0.3">
      <c r="B3" s="39" t="s">
        <v>6</v>
      </c>
      <c r="C3" s="40" t="s">
        <v>12</v>
      </c>
      <c r="D3" s="1127" t="s">
        <v>13</v>
      </c>
      <c r="E3" s="1128"/>
      <c r="F3" s="40" t="s">
        <v>14</v>
      </c>
      <c r="G3" s="41" t="s">
        <v>15</v>
      </c>
      <c r="H3" s="18"/>
    </row>
    <row r="4" spans="2:8" ht="21" customHeight="1" x14ac:dyDescent="0.25">
      <c r="B4" s="47"/>
      <c r="C4" s="48"/>
      <c r="D4" s="1129"/>
      <c r="E4" s="1130"/>
      <c r="F4" s="49"/>
      <c r="G4" s="50"/>
      <c r="H4" s="19"/>
    </row>
    <row r="5" spans="2:8" ht="18.75" x14ac:dyDescent="0.25">
      <c r="B5" s="51"/>
      <c r="C5" s="52"/>
      <c r="D5" s="1131"/>
      <c r="E5" s="1132"/>
      <c r="F5" s="53"/>
      <c r="G5" s="54"/>
      <c r="H5" s="19"/>
    </row>
    <row r="6" spans="2:8" ht="19.5" thickBot="1" x14ac:dyDescent="0.3">
      <c r="B6" s="55"/>
      <c r="C6" s="56"/>
      <c r="D6" s="1133"/>
      <c r="E6" s="1134"/>
      <c r="F6" s="57"/>
      <c r="G6" s="58"/>
      <c r="H6" s="19"/>
    </row>
    <row r="7" spans="2:8" ht="19.5" thickBot="1" x14ac:dyDescent="0.3">
      <c r="B7" s="17"/>
      <c r="C7" s="17"/>
      <c r="D7" s="17"/>
      <c r="E7" s="17"/>
      <c r="F7" s="17"/>
      <c r="G7" s="17"/>
      <c r="H7" s="17"/>
    </row>
    <row r="8" spans="2:8" ht="21" thickBot="1" x14ac:dyDescent="0.3">
      <c r="B8" s="1124" t="s">
        <v>16</v>
      </c>
      <c r="C8" s="1125"/>
      <c r="D8" s="1125"/>
      <c r="E8" s="1125"/>
      <c r="F8" s="1125"/>
      <c r="G8" s="1125"/>
      <c r="H8" s="1126"/>
    </row>
    <row r="9" spans="2:8" s="20" customFormat="1" ht="35.25" customHeight="1" thickBot="1" x14ac:dyDescent="0.3">
      <c r="B9" s="39" t="s">
        <v>6</v>
      </c>
      <c r="C9" s="40" t="s">
        <v>12</v>
      </c>
      <c r="D9" s="1127" t="s">
        <v>17</v>
      </c>
      <c r="E9" s="1128"/>
      <c r="F9" s="1127" t="s">
        <v>18</v>
      </c>
      <c r="G9" s="1128"/>
      <c r="H9" s="41" t="s">
        <v>19</v>
      </c>
    </row>
    <row r="10" spans="2:8" ht="15.75" x14ac:dyDescent="0.25">
      <c r="B10" s="59"/>
      <c r="C10" s="60"/>
      <c r="D10" s="1139"/>
      <c r="E10" s="1140"/>
      <c r="F10" s="1141"/>
      <c r="G10" s="1142"/>
      <c r="H10" s="61"/>
    </row>
    <row r="11" spans="2:8" ht="15.75" x14ac:dyDescent="0.25">
      <c r="B11" s="59"/>
      <c r="C11" s="60"/>
      <c r="D11" s="1139"/>
      <c r="E11" s="1140"/>
      <c r="F11" s="1141"/>
      <c r="G11" s="1142"/>
      <c r="H11" s="61"/>
    </row>
    <row r="12" spans="2:8" ht="16.5" thickBot="1" x14ac:dyDescent="0.3">
      <c r="B12" s="62"/>
      <c r="C12" s="63"/>
      <c r="D12" s="1135"/>
      <c r="E12" s="1136"/>
      <c r="F12" s="1137"/>
      <c r="G12" s="1138"/>
      <c r="H12" s="64"/>
    </row>
    <row r="14" spans="2:8" ht="15.75" thickBot="1" x14ac:dyDescent="0.3"/>
    <row r="15" spans="2:8" ht="21" thickBot="1" x14ac:dyDescent="0.3">
      <c r="B15" s="1124" t="s">
        <v>20</v>
      </c>
      <c r="C15" s="1125"/>
      <c r="D15" s="1125"/>
      <c r="E15" s="1125"/>
      <c r="F15" s="1125"/>
      <c r="G15" s="1126"/>
    </row>
    <row r="16" spans="2:8" ht="18.75" x14ac:dyDescent="0.25">
      <c r="B16" s="70" t="s">
        <v>3</v>
      </c>
      <c r="C16" s="71" t="s">
        <v>4</v>
      </c>
      <c r="D16" s="71" t="s">
        <v>21</v>
      </c>
      <c r="E16" s="71" t="s">
        <v>5</v>
      </c>
      <c r="F16" s="71" t="s">
        <v>1</v>
      </c>
      <c r="G16" s="71" t="s">
        <v>6</v>
      </c>
    </row>
    <row r="17" spans="2:7" x14ac:dyDescent="0.25">
      <c r="B17" s="80" t="s">
        <v>441</v>
      </c>
      <c r="C17" s="73" t="e">
        <f>IF(ISBLANK([0]!hdr_acft),"",[0]!hdr_acft)</f>
        <v>#REF!</v>
      </c>
      <c r="D17" s="74" t="e">
        <f>IF(ISBLANK([0]!hdr_time),"",[0]!hdr_time)</f>
        <v>#REF!</v>
      </c>
      <c r="E17" s="79" t="e">
        <f>IF(ISBLANK([0]!hdr_instr),"",[0]!hdr_instr)</f>
        <v>#REF!</v>
      </c>
      <c r="F17" s="208" t="e">
        <f>IF(ISBLANK([0]!grade),"",[0]!grade)</f>
        <v>#REF!</v>
      </c>
      <c r="G17" s="76" t="e">
        <f>IF(ISBLANK([0]!hdr_date),"00-Jan-00",[0]!hdr_date)</f>
        <v>#REF!</v>
      </c>
    </row>
    <row r="18" spans="2:7" x14ac:dyDescent="0.25">
      <c r="B18" s="72" t="s">
        <v>457</v>
      </c>
      <c r="C18" s="73" t="str">
        <f>IF(ISBLANK('AS 7150S'!hdr_acft),"",'AS 7150S'!hdr_acft)</f>
        <v>Control Room</v>
      </c>
      <c r="D18" s="74" t="str">
        <f>IF(ISBLANK('AS 7150S'!hdr_time),"",'AS 7150S'!hdr_time)</f>
        <v/>
      </c>
      <c r="E18" s="75" t="str">
        <f>IF(ISBLANK('AS 7150S'!hdr_instr),"",'AS 7150S'!hdr_instr)</f>
        <v/>
      </c>
      <c r="F18" s="207" t="str">
        <f>IF(ISBLANK('AS 7150S'!grade),"",'AS 7150S'!grade)</f>
        <v>0</v>
      </c>
      <c r="G18" s="76" t="str">
        <f>IF(ISBLANK('AS 7150S'!hdr_date),"00-Jan-00",'AS 7150S'!hdr_date)</f>
        <v>00-Jan-00</v>
      </c>
    </row>
    <row r="19" spans="2:7" x14ac:dyDescent="0.25">
      <c r="B19" s="72" t="s">
        <v>498</v>
      </c>
      <c r="C19" s="73" t="str">
        <f>IF(ISBLANK('SY 7213C'!hdr_acft),"",'SY 7213C'!hdr_acft)</f>
        <v>Control Room</v>
      </c>
      <c r="D19" s="74" t="str">
        <f>IF(ISBLANK('SY 7213C'!hdr_time),"",'SY 7213C'!hdr_time)</f>
        <v/>
      </c>
      <c r="E19" s="75" t="str">
        <f>IF(ISBLANK('SY 7213C'!hdr_instr),"",'SY 7213C'!hdr_instr)</f>
        <v/>
      </c>
      <c r="F19" s="207" t="str">
        <f>IF(ISBLANK('SY 7213C'!grade),"",'SY 7213C'!grade)</f>
        <v>0</v>
      </c>
      <c r="G19" s="76" t="str">
        <f>IF(ISBLANK('SY 7213C'!hdr_date),"00-Jan-00",'SY 7213C'!hdr_date)</f>
        <v>00-Jan-00</v>
      </c>
    </row>
    <row r="20" spans="2:7" x14ac:dyDescent="0.25">
      <c r="B20" s="80" t="s">
        <v>508</v>
      </c>
      <c r="C20" s="73" t="str">
        <f>IF(ISBLANK('SY 7521O'!hdr_acft),"",'SY 7521O'!hdr_acft)</f>
        <v>Control Room</v>
      </c>
      <c r="D20" s="74" t="str">
        <f>IF(ISBLANK('SY 7521O'!hdr_time),"",'SY 7521O'!hdr_time)</f>
        <v/>
      </c>
      <c r="E20" s="79" t="str">
        <f>IF(ISBLANK('SY 7521O'!hdr_instr),"",'SY 7521O'!hdr_instr)</f>
        <v/>
      </c>
      <c r="F20" s="208" t="str">
        <f>IF(ISBLANK('SY 7521O'!grade),"",'SY 7521O'!grade)</f>
        <v>0</v>
      </c>
      <c r="G20" s="76" t="str">
        <f>IF(ISBLANK('SY 7521O'!hdr_date),"00-Jan-00",'SY 7521O'!hdr_date)</f>
        <v>00-Jan-00</v>
      </c>
    </row>
    <row r="21" spans="2:7" x14ac:dyDescent="0.25">
      <c r="B21" s="72" t="s">
        <v>295</v>
      </c>
      <c r="C21" s="73" t="str">
        <f>IF(ISBLANK('TF 6221C'!hdr_acft),"",'TF 6221C'!hdr_acft)</f>
        <v>Control Room</v>
      </c>
      <c r="D21" s="74">
        <f>IF(ISBLANK('TF 6221C'!hdr_time),"",'TF 6221C'!hdr_time)</f>
        <v>1</v>
      </c>
      <c r="E21" s="75" t="str">
        <f>IF(ISBLANK('TF 6221C'!hdr_instr),"",'TF 6221C'!hdr_instr)</f>
        <v>Tegtmeier, Carl "Rubix"</v>
      </c>
      <c r="F21" s="207">
        <f>IF(ISBLANK('TF 6221C'!grade),"",'TF 6221C'!grade)</f>
        <v>0.93173076923076925</v>
      </c>
      <c r="G21" s="76">
        <f>IF(ISBLANK('TF 6221C'!hdr_date),"00-Jan-00",'TF 6221C'!hdr_date)</f>
        <v>46085</v>
      </c>
    </row>
    <row r="22" spans="2:7" x14ac:dyDescent="0.25">
      <c r="B22" s="72" t="s">
        <v>440</v>
      </c>
      <c r="C22" s="73" t="str">
        <f>IF(ISBLANK('TF 6233C'!hdr_acft),"",'TF 6233C'!hdr_acft)</f>
        <v>Control Room</v>
      </c>
      <c r="D22" s="74" t="str">
        <f>IF(ISBLANK('TF 6233C'!hdr_time),"",'TF 6233C'!hdr_time)</f>
        <v/>
      </c>
      <c r="E22" s="75" t="str">
        <f>IF(ISBLANK('TF 6233C'!hdr_instr),"",'TF 6233C'!hdr_instr)</f>
        <v/>
      </c>
      <c r="F22" s="207" t="str">
        <f>IF(ISBLANK('TF 6233C'!grade),"",'TF 6233C'!grade)</f>
        <v>0</v>
      </c>
      <c r="G22" s="76" t="str">
        <f>IF(ISBLANK('TF 6233C'!hdr_date),"00-Jan-00",'TF 6233C'!hdr_date)</f>
        <v>00-Jan-00</v>
      </c>
    </row>
    <row r="23" spans="2:7" x14ac:dyDescent="0.25">
      <c r="B23" s="77" t="s">
        <v>298</v>
      </c>
      <c r="C23" s="73" t="str">
        <f>IF(ISBLANK('TF 6241F'!hdr_acft),"",'TF 6241F'!hdr_acft)</f>
        <v/>
      </c>
      <c r="D23" s="74" t="str">
        <f>IF(ISBLANK('TF 6241F'!hdr_time),"",'TF 6241F'!hdr_time)</f>
        <v/>
      </c>
      <c r="E23" s="75" t="str">
        <f>IF(ISBLANK('TF 6241F'!hdr_instr),"",'TF 6241F'!hdr_instr)</f>
        <v/>
      </c>
      <c r="F23" s="207" t="str">
        <f>IF(ISBLANK('TF 6241F'!grade),"",'TF 6241F'!grade)</f>
        <v>0</v>
      </c>
      <c r="G23" s="76" t="str">
        <f>IF(ISBLANK('TF 6241F'!hdr_date),"00-Jan-00",'TF 6241F'!hdr_date)</f>
        <v>00-Jan-00</v>
      </c>
    </row>
    <row r="24" spans="2:7" x14ac:dyDescent="0.25">
      <c r="B24" s="80"/>
      <c r="C24" s="73"/>
      <c r="D24" s="74"/>
      <c r="E24" s="79"/>
      <c r="F24" s="208"/>
      <c r="G24" s="76"/>
    </row>
    <row r="25" spans="2:7" x14ac:dyDescent="0.25">
      <c r="B25" s="80"/>
      <c r="C25" s="73"/>
      <c r="D25" s="74"/>
      <c r="E25" s="79"/>
      <c r="F25" s="208"/>
      <c r="G25" s="76"/>
    </row>
    <row r="26" spans="2:7" x14ac:dyDescent="0.25">
      <c r="B26" s="80"/>
      <c r="C26" s="73"/>
      <c r="D26" s="74"/>
      <c r="E26" s="79"/>
      <c r="F26" s="208"/>
      <c r="G26" s="76"/>
    </row>
    <row r="27" spans="2:7" x14ac:dyDescent="0.25">
      <c r="B27" s="80"/>
      <c r="C27" s="73"/>
      <c r="D27" s="74"/>
      <c r="E27" s="79"/>
      <c r="F27" s="208"/>
      <c r="G27" s="76"/>
    </row>
    <row r="28" spans="2:7" x14ac:dyDescent="0.25">
      <c r="B28" s="80"/>
      <c r="C28" s="73"/>
      <c r="D28" s="74"/>
      <c r="E28" s="79"/>
      <c r="F28" s="208"/>
      <c r="G28" s="76"/>
    </row>
    <row r="29" spans="2:7" x14ac:dyDescent="0.25">
      <c r="B29" s="80"/>
      <c r="C29" s="73"/>
      <c r="D29" s="74"/>
      <c r="E29" s="79"/>
      <c r="F29" s="208"/>
      <c r="G29" s="76"/>
    </row>
    <row r="30" spans="2:7" x14ac:dyDescent="0.25">
      <c r="B30" s="80"/>
      <c r="C30" s="73"/>
      <c r="D30" s="74"/>
      <c r="E30" s="79"/>
      <c r="F30" s="208"/>
      <c r="G30" s="76"/>
    </row>
    <row r="31" spans="2:7" x14ac:dyDescent="0.25">
      <c r="B31" s="80"/>
      <c r="C31" s="73"/>
      <c r="D31" s="74"/>
      <c r="E31" s="79"/>
      <c r="F31" s="208"/>
      <c r="G31" s="76"/>
    </row>
    <row r="32" spans="2:7" x14ac:dyDescent="0.25">
      <c r="B32" s="80"/>
      <c r="C32" s="73"/>
      <c r="D32" s="74"/>
      <c r="E32" s="79"/>
      <c r="F32" s="208"/>
      <c r="G32" s="76"/>
    </row>
    <row r="33" spans="2:7" x14ac:dyDescent="0.25">
      <c r="B33" s="80"/>
      <c r="C33" s="73"/>
      <c r="D33" s="74"/>
      <c r="E33" s="79"/>
      <c r="F33" s="208"/>
      <c r="G33" s="76"/>
    </row>
    <row r="34" spans="2:7" x14ac:dyDescent="0.25">
      <c r="B34" s="80"/>
      <c r="C34" s="73"/>
      <c r="D34" s="74"/>
      <c r="E34" s="79"/>
      <c r="F34" s="208"/>
      <c r="G34" s="76"/>
    </row>
    <row r="35" spans="2:7" x14ac:dyDescent="0.25">
      <c r="B35" s="80"/>
      <c r="C35" s="73"/>
      <c r="D35" s="74"/>
      <c r="E35" s="79"/>
      <c r="F35" s="208"/>
      <c r="G35" s="76"/>
    </row>
    <row r="36" spans="2:7" x14ac:dyDescent="0.25">
      <c r="B36" s="80"/>
      <c r="C36" s="73"/>
      <c r="D36" s="74"/>
      <c r="E36" s="79"/>
      <c r="F36" s="208"/>
      <c r="G36" s="76"/>
    </row>
    <row r="37" spans="2:7" x14ac:dyDescent="0.25">
      <c r="B37" s="80"/>
      <c r="C37" s="73"/>
      <c r="D37" s="74"/>
      <c r="E37" s="79"/>
      <c r="F37" s="208"/>
      <c r="G37" s="76"/>
    </row>
    <row r="38" spans="2:7" x14ac:dyDescent="0.25">
      <c r="B38" s="80"/>
      <c r="C38" s="73"/>
      <c r="D38" s="74"/>
      <c r="E38" s="79"/>
      <c r="F38" s="208"/>
      <c r="G38" s="76"/>
    </row>
    <row r="39" spans="2:7" x14ac:dyDescent="0.25">
      <c r="B39" s="80"/>
      <c r="C39" s="73"/>
      <c r="D39" s="74"/>
      <c r="E39" s="79"/>
      <c r="F39" s="208"/>
      <c r="G39" s="76"/>
    </row>
    <row r="40" spans="2:7" x14ac:dyDescent="0.25">
      <c r="B40" s="80"/>
      <c r="C40" s="73"/>
      <c r="D40" s="74"/>
      <c r="E40" s="79"/>
      <c r="F40" s="208"/>
      <c r="G40" s="76"/>
    </row>
    <row r="41" spans="2:7" x14ac:dyDescent="0.25">
      <c r="B41" s="80"/>
      <c r="C41" s="73"/>
      <c r="D41" s="74"/>
      <c r="E41" s="79"/>
      <c r="F41" s="208"/>
      <c r="G41" s="76"/>
    </row>
    <row r="42" spans="2:7" x14ac:dyDescent="0.25">
      <c r="B42" s="78"/>
      <c r="C42" s="73"/>
      <c r="D42" s="74"/>
      <c r="E42" s="79"/>
      <c r="F42" s="208"/>
      <c r="G42" s="76"/>
    </row>
    <row r="43" spans="2:7" x14ac:dyDescent="0.25">
      <c r="B43" s="78"/>
      <c r="C43" s="73"/>
      <c r="D43" s="74"/>
      <c r="E43" s="79"/>
      <c r="F43" s="208"/>
      <c r="G43" s="76"/>
    </row>
    <row r="44" spans="2:7" x14ac:dyDescent="0.25">
      <c r="B44" s="78"/>
      <c r="C44" s="73"/>
      <c r="D44" s="74"/>
      <c r="E44" s="79"/>
      <c r="F44" s="208"/>
      <c r="G44" s="76"/>
    </row>
    <row r="45" spans="2:7" x14ac:dyDescent="0.25">
      <c r="B45" s="78"/>
      <c r="C45" s="73"/>
      <c r="D45" s="74"/>
      <c r="E45" s="79"/>
      <c r="F45" s="208"/>
      <c r="G45" s="76"/>
    </row>
    <row r="46" spans="2:7" x14ac:dyDescent="0.25">
      <c r="B46" s="78"/>
      <c r="C46" s="73"/>
      <c r="D46" s="74"/>
      <c r="E46" s="79"/>
      <c r="F46" s="208"/>
      <c r="G46" s="76"/>
    </row>
    <row r="47" spans="2:7" x14ac:dyDescent="0.25">
      <c r="B47" s="78"/>
      <c r="C47" s="73"/>
      <c r="D47" s="74"/>
      <c r="E47" s="79"/>
      <c r="F47" s="208"/>
      <c r="G47" s="76"/>
    </row>
    <row r="48" spans="2:7" x14ac:dyDescent="0.25">
      <c r="B48" s="78"/>
      <c r="C48" s="73"/>
      <c r="D48" s="74"/>
      <c r="E48" s="79"/>
      <c r="F48" s="208"/>
      <c r="G48" s="76"/>
    </row>
    <row r="49" spans="2:7" x14ac:dyDescent="0.25">
      <c r="B49" s="78"/>
      <c r="C49" s="73"/>
      <c r="D49" s="74"/>
      <c r="E49" s="79"/>
      <c r="F49" s="208"/>
      <c r="G49" s="76"/>
    </row>
    <row r="50" spans="2:7" x14ac:dyDescent="0.25">
      <c r="B50" s="78"/>
      <c r="C50" s="73"/>
      <c r="D50" s="74"/>
      <c r="E50" s="79"/>
      <c r="F50" s="208"/>
      <c r="G50" s="76"/>
    </row>
    <row r="51" spans="2:7" x14ac:dyDescent="0.25">
      <c r="B51" s="78"/>
      <c r="C51" s="73"/>
      <c r="D51" s="74"/>
      <c r="E51" s="79"/>
      <c r="F51" s="208"/>
      <c r="G51" s="76"/>
    </row>
    <row r="52" spans="2:7" x14ac:dyDescent="0.25">
      <c r="B52" s="78"/>
      <c r="C52" s="73"/>
      <c r="D52" s="74"/>
      <c r="E52" s="79"/>
      <c r="F52" s="208"/>
      <c r="G52" s="76"/>
    </row>
    <row r="53" spans="2:7" x14ac:dyDescent="0.25">
      <c r="B53" s="78"/>
      <c r="C53" s="73"/>
      <c r="D53" s="74"/>
      <c r="E53" s="79"/>
      <c r="F53" s="208"/>
      <c r="G53" s="76"/>
    </row>
    <row r="54" spans="2:7" x14ac:dyDescent="0.25">
      <c r="B54" s="78"/>
      <c r="C54" s="73"/>
      <c r="D54" s="74"/>
      <c r="E54" s="79"/>
      <c r="F54" s="208"/>
      <c r="G54" s="76"/>
    </row>
    <row r="55" spans="2:7" x14ac:dyDescent="0.25">
      <c r="B55" s="78"/>
      <c r="C55" s="73"/>
      <c r="D55" s="74"/>
      <c r="E55" s="79"/>
      <c r="F55" s="208"/>
      <c r="G55" s="76"/>
    </row>
    <row r="56" spans="2:7" x14ac:dyDescent="0.25">
      <c r="B56" s="78"/>
      <c r="C56" s="73"/>
      <c r="D56" s="74"/>
      <c r="E56" s="79"/>
      <c r="F56" s="208"/>
      <c r="G56" s="76"/>
    </row>
    <row r="57" spans="2:7" x14ac:dyDescent="0.25">
      <c r="B57" s="78"/>
      <c r="C57" s="73"/>
      <c r="D57" s="74"/>
      <c r="E57" s="79"/>
      <c r="F57" s="208"/>
      <c r="G57" s="76"/>
    </row>
    <row r="58" spans="2:7" x14ac:dyDescent="0.25">
      <c r="B58" s="78"/>
      <c r="C58" s="73"/>
      <c r="D58" s="74"/>
      <c r="E58" s="79"/>
      <c r="F58" s="208"/>
      <c r="G58" s="76"/>
    </row>
    <row r="59" spans="2:7" x14ac:dyDescent="0.25">
      <c r="B59" s="78"/>
      <c r="C59" s="73"/>
      <c r="D59" s="74"/>
      <c r="E59" s="79"/>
      <c r="F59" s="208"/>
      <c r="G59" s="76"/>
    </row>
    <row r="60" spans="2:7" x14ac:dyDescent="0.25">
      <c r="B60" s="78"/>
      <c r="C60" s="73"/>
      <c r="D60" s="74"/>
      <c r="E60" s="79"/>
      <c r="F60" s="208"/>
      <c r="G60" s="76"/>
    </row>
    <row r="61" spans="2:7" x14ac:dyDescent="0.25">
      <c r="B61" s="78"/>
      <c r="C61" s="73"/>
      <c r="D61" s="74"/>
      <c r="E61" s="79"/>
      <c r="F61" s="208"/>
      <c r="G61" s="76"/>
    </row>
    <row r="62" spans="2:7" x14ac:dyDescent="0.25">
      <c r="B62" s="78"/>
      <c r="C62" s="73"/>
      <c r="D62" s="74"/>
      <c r="E62" s="79"/>
      <c r="F62" s="208"/>
      <c r="G62" s="76"/>
    </row>
    <row r="63" spans="2:7" x14ac:dyDescent="0.25">
      <c r="B63" s="78"/>
      <c r="C63" s="73"/>
      <c r="D63" s="74"/>
      <c r="E63" s="79"/>
      <c r="F63" s="208"/>
      <c r="G63" s="76"/>
    </row>
    <row r="64" spans="2:7" x14ac:dyDescent="0.25">
      <c r="B64" s="78"/>
      <c r="C64" s="73"/>
      <c r="D64" s="74"/>
      <c r="E64" s="79"/>
      <c r="F64" s="208"/>
      <c r="G64" s="76"/>
    </row>
    <row r="65" spans="2:7" x14ac:dyDescent="0.25">
      <c r="B65" s="78"/>
      <c r="C65" s="73"/>
      <c r="D65" s="74"/>
      <c r="E65" s="79"/>
      <c r="F65" s="208"/>
      <c r="G65" s="76"/>
    </row>
    <row r="66" spans="2:7" x14ac:dyDescent="0.25">
      <c r="B66" s="78"/>
      <c r="C66" s="73"/>
      <c r="D66" s="74"/>
      <c r="E66" s="79"/>
      <c r="F66" s="208"/>
      <c r="G66" s="76"/>
    </row>
    <row r="67" spans="2:7" x14ac:dyDescent="0.25">
      <c r="B67" s="78"/>
      <c r="C67" s="73"/>
      <c r="D67" s="74"/>
      <c r="E67" s="79"/>
      <c r="F67" s="208"/>
      <c r="G67" s="76"/>
    </row>
    <row r="68" spans="2:7" x14ac:dyDescent="0.25">
      <c r="B68" s="78"/>
      <c r="C68" s="73"/>
      <c r="D68" s="74"/>
      <c r="E68" s="79"/>
      <c r="F68" s="208"/>
      <c r="G68" s="76"/>
    </row>
    <row r="69" spans="2:7" x14ac:dyDescent="0.25">
      <c r="B69" s="78"/>
      <c r="C69" s="73"/>
      <c r="D69" s="74"/>
      <c r="E69" s="79"/>
      <c r="F69" s="208"/>
      <c r="G69" s="76"/>
    </row>
  </sheetData>
  <sortState xmlns:xlrd2="http://schemas.microsoft.com/office/spreadsheetml/2017/richdata2" ref="B16:G17">
    <sortCondition descending="1" ref="G16:G17"/>
  </sortState>
  <mergeCells count="15">
    <mergeCell ref="B15:G15"/>
    <mergeCell ref="D12:E12"/>
    <mergeCell ref="F12:G12"/>
    <mergeCell ref="D9:E9"/>
    <mergeCell ref="F9:G9"/>
    <mergeCell ref="D10:E10"/>
    <mergeCell ref="F10:G10"/>
    <mergeCell ref="D11:E11"/>
    <mergeCell ref="F11:G11"/>
    <mergeCell ref="B8:H8"/>
    <mergeCell ref="B2:G2"/>
    <mergeCell ref="D3:E3"/>
    <mergeCell ref="D4:E4"/>
    <mergeCell ref="D5:E5"/>
    <mergeCell ref="D6:E6"/>
  </mergeCells>
  <conditionalFormatting sqref="G17:G69">
    <cfRule type="cellIs" dxfId="312" priority="1" operator="equal">
      <formula>"00-Jan-00"</formula>
    </cfRule>
  </conditionalFormatting>
  <hyperlinks>
    <hyperlink ref="B17" location="'AS 7140S'!A1" display="AS 7140S GROOT Handling Qualities" xr:uid="{0EF25BC7-DB9A-402A-90C2-EB51B6632838}"/>
    <hyperlink ref="B18" location="'AS 7150S'!A1" display="AS 7150S Aerocube Attitude Testing" xr:uid="{B791A75A-AFFE-4286-A431-F44EF6F6A349}"/>
    <hyperlink ref="B19" location="'SY 7213C'!A1" display="SY 7213C F-16 Weapons Delivery Control Room (ABM/FTE/STC)" xr:uid="{286CF542-78DC-48C6-AB24-052F1EABC9BE}"/>
    <hyperlink ref="B20" location="'SY 7521O'!A1" display="SY 7521O Space Systems Practical (STC)" xr:uid="{14EDE94E-C980-4F62-B5B6-07DD5051CEA7}"/>
    <hyperlink ref="B21" location="'TF 6221C'!A1" display="TF 6221C Control Room Test Conduct Primer (ABM/FTE/STC)" xr:uid="{6936C156-62CE-4002-967E-E49ECBFABCE3}"/>
    <hyperlink ref="B22" location="'TF 6233C'!A1" display="TF 6233C Sim/Control Room Test Conduct Intro (STC)" xr:uid="{C463342D-81AC-48BD-A72E-ED31F3E2F906}"/>
    <hyperlink ref="B23" location="'TF 6241F'!A1" display="TF 6241F C-12 Airborne Test Conduct Intro" xr:uid="{9D2A8CDC-BD95-490A-A518-41150D61067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ortDate">
                <anchor moveWithCells="1" sizeWithCells="1">
                  <from>
                    <xdr:col>7</xdr:col>
                    <xdr:colOff>476250</xdr:colOff>
                    <xdr:row>14</xdr:row>
                    <xdr:rowOff>190500</xdr:rowOff>
                  </from>
                  <to>
                    <xdr:col>7</xdr:col>
                    <xdr:colOff>1800225</xdr:colOff>
                    <xdr:row>16</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F2783-4E1F-42F7-A499-AF9404C05A08}">
  <sheetPr codeName="Sheet5">
    <pageSetUpPr fitToPage="1"/>
  </sheetPr>
  <dimension ref="A1:E25"/>
  <sheetViews>
    <sheetView workbookViewId="0">
      <selection activeCell="G6" sqref="G6"/>
    </sheetView>
  </sheetViews>
  <sheetFormatPr defaultRowHeight="15" x14ac:dyDescent="0.25"/>
  <cols>
    <col min="1" max="1" width="13.42578125" customWidth="1"/>
    <col min="2" max="2" width="22.28515625" customWidth="1"/>
    <col min="3" max="3" width="41.5703125" customWidth="1"/>
    <col min="4" max="4" width="41.28515625" customWidth="1"/>
    <col min="5" max="5" width="24.7109375" customWidth="1"/>
  </cols>
  <sheetData>
    <row r="1" spans="1:5" ht="18.75" x14ac:dyDescent="0.3">
      <c r="A1" s="42" t="s">
        <v>22</v>
      </c>
      <c r="C1" s="43" t="s">
        <v>667</v>
      </c>
    </row>
    <row r="2" spans="1:5" ht="18.75" x14ac:dyDescent="0.3">
      <c r="A2" s="42" t="s">
        <v>23</v>
      </c>
      <c r="C2" s="43" t="s">
        <v>314</v>
      </c>
    </row>
    <row r="3" spans="1:5" ht="18.75" x14ac:dyDescent="0.3">
      <c r="A3" s="42" t="s">
        <v>0</v>
      </c>
      <c r="C3" s="43" t="s">
        <v>620</v>
      </c>
    </row>
    <row r="4" spans="1:5" ht="15.75" thickBot="1" x14ac:dyDescent="0.3"/>
    <row r="5" spans="1:5" s="16" customFormat="1" ht="39.950000000000003" customHeight="1" thickBot="1" x14ac:dyDescent="0.35">
      <c r="A5" s="21" t="s">
        <v>6</v>
      </c>
      <c r="B5" s="22" t="s">
        <v>12</v>
      </c>
      <c r="C5" s="22" t="s">
        <v>17</v>
      </c>
      <c r="D5" s="22" t="s">
        <v>18</v>
      </c>
      <c r="E5" s="23" t="s">
        <v>19</v>
      </c>
    </row>
    <row r="6" spans="1:5" s="24" customFormat="1" ht="120" customHeight="1" x14ac:dyDescent="0.25">
      <c r="A6" s="45" t="s">
        <v>24</v>
      </c>
      <c r="B6" s="46" t="s">
        <v>138</v>
      </c>
      <c r="C6" s="44" t="s">
        <v>26</v>
      </c>
      <c r="D6" s="44" t="s">
        <v>27</v>
      </c>
      <c r="E6" s="44" t="s">
        <v>28</v>
      </c>
    </row>
    <row r="7" spans="1:5" s="24" customFormat="1" ht="120" customHeight="1" x14ac:dyDescent="0.25">
      <c r="A7" s="45"/>
      <c r="B7" s="46"/>
      <c r="C7" s="44"/>
      <c r="D7" s="44"/>
      <c r="E7" s="44"/>
    </row>
    <row r="8" spans="1:5" s="24" customFormat="1" ht="120" customHeight="1" x14ac:dyDescent="0.25">
      <c r="A8" s="45"/>
      <c r="B8" s="46"/>
      <c r="C8" s="44"/>
      <c r="D8" s="44"/>
      <c r="E8" s="44"/>
    </row>
    <row r="9" spans="1:5" s="24" customFormat="1" ht="120" customHeight="1" x14ac:dyDescent="0.25">
      <c r="A9" s="45"/>
      <c r="B9" s="46"/>
      <c r="C9" s="44"/>
      <c r="D9" s="44"/>
      <c r="E9" s="44"/>
    </row>
    <row r="10" spans="1:5" s="24" customFormat="1" ht="120" customHeight="1" x14ac:dyDescent="0.25">
      <c r="A10" s="45"/>
      <c r="B10" s="46"/>
      <c r="C10" s="44"/>
      <c r="D10" s="44"/>
      <c r="E10" s="44"/>
    </row>
    <row r="11" spans="1:5" s="24" customFormat="1" ht="120" customHeight="1" x14ac:dyDescent="0.25">
      <c r="A11" s="45"/>
      <c r="B11" s="46"/>
      <c r="C11" s="44"/>
      <c r="D11" s="44"/>
      <c r="E11" s="44"/>
    </row>
    <row r="12" spans="1:5" s="24" customFormat="1" ht="120" customHeight="1" x14ac:dyDescent="0.25">
      <c r="A12" s="45"/>
      <c r="B12" s="46"/>
      <c r="C12" s="44"/>
      <c r="D12" s="44"/>
      <c r="E12" s="44"/>
    </row>
    <row r="13" spans="1:5" s="24" customFormat="1" ht="120" customHeight="1" x14ac:dyDescent="0.25">
      <c r="A13" s="45"/>
      <c r="B13" s="46"/>
      <c r="C13" s="44"/>
      <c r="D13" s="44"/>
      <c r="E13" s="44"/>
    </row>
    <row r="14" spans="1:5" s="24" customFormat="1" ht="120" customHeight="1" x14ac:dyDescent="0.25">
      <c r="A14" s="45"/>
      <c r="B14" s="46"/>
      <c r="C14" s="44"/>
      <c r="D14" s="44"/>
      <c r="E14" s="44"/>
    </row>
    <row r="15" spans="1:5" s="24" customFormat="1" ht="120" customHeight="1" x14ac:dyDescent="0.25">
      <c r="A15" s="45"/>
      <c r="B15" s="46"/>
      <c r="C15" s="44"/>
      <c r="D15" s="44"/>
      <c r="E15" s="44"/>
    </row>
    <row r="16" spans="1:5" s="16" customFormat="1" x14ac:dyDescent="0.25"/>
    <row r="17" s="16" customFormat="1" x14ac:dyDescent="0.25"/>
    <row r="18" s="16" customFormat="1" x14ac:dyDescent="0.25"/>
    <row r="19" s="16" customFormat="1" x14ac:dyDescent="0.25"/>
    <row r="20" s="16" customFormat="1" x14ac:dyDescent="0.25"/>
    <row r="21" s="16" customFormat="1" x14ac:dyDescent="0.25"/>
    <row r="22" s="16" customFormat="1" x14ac:dyDescent="0.25"/>
    <row r="23" s="16" customFormat="1" x14ac:dyDescent="0.25"/>
    <row r="24" s="16" customFormat="1" x14ac:dyDescent="0.25"/>
    <row r="25" s="16" customFormat="1" x14ac:dyDescent="0.25"/>
  </sheetData>
  <pageMargins left="0.7" right="0.7" top="0.5" bottom="0.5" header="0.3" footer="0.3"/>
  <pageSetup scale="79" fitToHeight="2"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8B99-2562-494D-9003-5B84402B7458}">
  <sheetPr codeName="Sheet6">
    <pageSetUpPr fitToPage="1"/>
  </sheetPr>
  <dimension ref="A1:F10"/>
  <sheetViews>
    <sheetView workbookViewId="0">
      <selection activeCell="E6" sqref="E6"/>
    </sheetView>
  </sheetViews>
  <sheetFormatPr defaultRowHeight="15" x14ac:dyDescent="0.25"/>
  <cols>
    <col min="1" max="1" width="12.85546875" customWidth="1"/>
    <col min="2" max="2" width="11.28515625" customWidth="1"/>
    <col min="3" max="3" width="43.42578125" customWidth="1"/>
    <col min="4" max="4" width="24.7109375" customWidth="1"/>
    <col min="5" max="5" width="10.42578125" customWidth="1"/>
  </cols>
  <sheetData>
    <row r="1" spans="1:6" ht="18.75" x14ac:dyDescent="0.3">
      <c r="A1" s="42" t="str">
        <f>Alibis!A1</f>
        <v>Student</v>
      </c>
      <c r="C1" s="43" t="str">
        <f>Alibis!C1</f>
        <v>DOYLE, DEVIN</v>
      </c>
    </row>
    <row r="2" spans="1:6" ht="18.75" x14ac:dyDescent="0.3">
      <c r="A2" s="42" t="str">
        <f>Alibis!A2</f>
        <v>Crew Type</v>
      </c>
      <c r="C2" s="43" t="str">
        <f>Alibis!C2</f>
        <v>STC</v>
      </c>
    </row>
    <row r="3" spans="1:6" ht="18.75" x14ac:dyDescent="0.3">
      <c r="A3" s="42" t="str">
        <f>Alibis!A3</f>
        <v>Class</v>
      </c>
      <c r="C3" s="43" t="str">
        <f>Alibis!C3</f>
        <v>26A STC</v>
      </c>
    </row>
    <row r="4" spans="1:6" ht="15.75" thickBot="1" x14ac:dyDescent="0.3"/>
    <row r="5" spans="1:6" ht="38.25" thickBot="1" x14ac:dyDescent="0.35">
      <c r="A5" s="21" t="s">
        <v>29</v>
      </c>
      <c r="B5" s="22" t="s">
        <v>12</v>
      </c>
      <c r="C5" s="22" t="s">
        <v>11</v>
      </c>
      <c r="D5" s="22" t="s">
        <v>14</v>
      </c>
      <c r="E5" s="23" t="s">
        <v>15</v>
      </c>
      <c r="F5" s="25"/>
    </row>
    <row r="6" spans="1:6" ht="120" customHeight="1" x14ac:dyDescent="0.25">
      <c r="A6" s="45" t="s">
        <v>24</v>
      </c>
      <c r="B6" s="46" t="s">
        <v>25</v>
      </c>
      <c r="C6" s="44" t="s">
        <v>30</v>
      </c>
      <c r="D6" s="44" t="s">
        <v>31</v>
      </c>
      <c r="E6" s="44">
        <v>41122</v>
      </c>
    </row>
    <row r="7" spans="1:6" ht="120" customHeight="1" x14ac:dyDescent="0.25">
      <c r="A7" s="45"/>
      <c r="B7" s="46"/>
      <c r="C7" s="44"/>
      <c r="D7" s="44"/>
      <c r="E7" s="44"/>
    </row>
    <row r="8" spans="1:6" ht="120" customHeight="1" x14ac:dyDescent="0.25">
      <c r="A8" s="45"/>
      <c r="B8" s="46"/>
      <c r="C8" s="44"/>
      <c r="D8" s="44"/>
      <c r="E8" s="44"/>
    </row>
    <row r="9" spans="1:6" ht="120" customHeight="1" x14ac:dyDescent="0.25">
      <c r="A9" s="45"/>
      <c r="B9" s="46"/>
      <c r="C9" s="44"/>
      <c r="D9" s="44"/>
      <c r="E9" s="44"/>
    </row>
    <row r="10" spans="1:6" ht="120" customHeight="1" x14ac:dyDescent="0.25">
      <c r="A10" s="45"/>
      <c r="B10" s="46"/>
      <c r="C10" s="44"/>
      <c r="D10" s="44"/>
      <c r="E10" s="44"/>
    </row>
  </sheetData>
  <pageMargins left="0.7" right="0.7" top="0.5" bottom="0.5" header="0.3" footer="0.3"/>
  <pageSetup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113D1-3BEA-4A14-AA14-45F1A2BB4938}">
  <sheetPr codeName="Sheet7">
    <pageSetUpPr fitToPage="1"/>
  </sheetPr>
  <dimension ref="A1:E10"/>
  <sheetViews>
    <sheetView workbookViewId="0">
      <selection activeCell="C1" sqref="C1"/>
    </sheetView>
  </sheetViews>
  <sheetFormatPr defaultRowHeight="15" x14ac:dyDescent="0.25"/>
  <cols>
    <col min="1" max="1" width="17.85546875" customWidth="1"/>
    <col min="2" max="2" width="14.140625" customWidth="1"/>
    <col min="3" max="3" width="44.5703125" customWidth="1"/>
    <col min="4" max="4" width="15.7109375" customWidth="1"/>
    <col min="5" max="5" width="15.28515625" customWidth="1"/>
  </cols>
  <sheetData>
    <row r="1" spans="1:5" ht="18.75" x14ac:dyDescent="0.3">
      <c r="A1" s="42" t="str">
        <f>Alibis!A1</f>
        <v>Student</v>
      </c>
      <c r="C1" s="43" t="str">
        <f>Alibis!C1</f>
        <v>DOYLE, DEVIN</v>
      </c>
    </row>
    <row r="2" spans="1:5" ht="18.75" x14ac:dyDescent="0.3">
      <c r="A2" s="42" t="str">
        <f>Alibis!A2</f>
        <v>Crew Type</v>
      </c>
      <c r="C2" s="43" t="str">
        <f>Alibis!C2</f>
        <v>STC</v>
      </c>
    </row>
    <row r="3" spans="1:5" ht="18.75" x14ac:dyDescent="0.3">
      <c r="A3" s="42" t="str">
        <f>Alibis!A3</f>
        <v>Class</v>
      </c>
      <c r="C3" s="43" t="str">
        <f>Alibis!C3</f>
        <v>26A STC</v>
      </c>
    </row>
    <row r="4" spans="1:5" ht="15.75" thickBot="1" x14ac:dyDescent="0.3"/>
    <row r="5" spans="1:5" ht="60" customHeight="1" thickBot="1" x14ac:dyDescent="0.35">
      <c r="A5" s="21" t="s">
        <v>29</v>
      </c>
      <c r="B5" s="22" t="s">
        <v>32</v>
      </c>
      <c r="C5" s="22" t="s">
        <v>33</v>
      </c>
      <c r="D5" s="22" t="s">
        <v>14</v>
      </c>
      <c r="E5" s="23" t="s">
        <v>15</v>
      </c>
    </row>
    <row r="6" spans="1:5" ht="120" customHeight="1" x14ac:dyDescent="0.25">
      <c r="A6" s="45" t="s">
        <v>24</v>
      </c>
      <c r="B6" s="46" t="s">
        <v>34</v>
      </c>
      <c r="C6" s="44" t="s">
        <v>35</v>
      </c>
      <c r="D6" s="44" t="s">
        <v>31</v>
      </c>
      <c r="E6" s="44">
        <v>41456</v>
      </c>
    </row>
    <row r="7" spans="1:5" ht="120" customHeight="1" x14ac:dyDescent="0.25">
      <c r="A7" s="45"/>
      <c r="B7" s="46"/>
      <c r="C7" s="44"/>
      <c r="D7" s="44"/>
      <c r="E7" s="44"/>
    </row>
    <row r="8" spans="1:5" ht="120" customHeight="1" x14ac:dyDescent="0.25">
      <c r="A8" s="45"/>
      <c r="B8" s="46"/>
      <c r="C8" s="44"/>
      <c r="D8" s="44"/>
      <c r="E8" s="44"/>
    </row>
    <row r="9" spans="1:5" ht="120" customHeight="1" x14ac:dyDescent="0.25">
      <c r="A9" s="45"/>
      <c r="B9" s="46"/>
      <c r="C9" s="44"/>
      <c r="D9" s="44"/>
      <c r="E9" s="44"/>
    </row>
    <row r="10" spans="1:5" ht="120" customHeight="1" x14ac:dyDescent="0.25">
      <c r="A10" s="45"/>
      <c r="B10" s="46"/>
      <c r="C10" s="44"/>
      <c r="D10" s="44"/>
      <c r="E10" s="44"/>
    </row>
  </sheetData>
  <pageMargins left="0.7" right="0.7" top="0.5" bottom="0.5" header="0.3" footer="0.3"/>
  <pageSetup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5E105-11DD-40DC-BBF5-BC002A41277B}">
  <sheetPr codeName="Sheet12">
    <pageSetUpPr fitToPage="1"/>
  </sheetPr>
  <dimension ref="A2:A5"/>
  <sheetViews>
    <sheetView workbookViewId="0">
      <selection activeCell="C3" sqref="C3"/>
    </sheetView>
  </sheetViews>
  <sheetFormatPr defaultRowHeight="15" x14ac:dyDescent="0.25"/>
  <sheetData>
    <row r="2" spans="1:1" x14ac:dyDescent="0.25">
      <c r="A2" s="65" t="s">
        <v>36</v>
      </c>
    </row>
    <row r="3" spans="1:1" x14ac:dyDescent="0.25">
      <c r="A3" s="65" t="s">
        <v>37</v>
      </c>
    </row>
    <row r="4" spans="1:1" x14ac:dyDescent="0.25">
      <c r="A4" s="65" t="s">
        <v>38</v>
      </c>
    </row>
    <row r="5" spans="1:1" x14ac:dyDescent="0.25">
      <c r="A5" s="65" t="s">
        <v>39</v>
      </c>
    </row>
  </sheetData>
  <pageMargins left="0.7" right="0.7" top="0.5" bottom="0.5" header="0.3" footer="0.3"/>
  <pageSetup fitToHeight="2"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D1946-6EF9-4A21-BBBB-6008613ACEC1}">
  <sheetPr codeName="Sheet1"/>
  <dimension ref="A1"/>
  <sheetViews>
    <sheetView workbookViewId="0">
      <selection activeCell="I17" sqref="I17"/>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_Summary_and_Links">
                <anchor moveWithCells="1" sizeWithCells="1">
                  <from>
                    <xdr:col>2</xdr:col>
                    <xdr:colOff>466725</xdr:colOff>
                    <xdr:row>6</xdr:row>
                    <xdr:rowOff>161925</xdr:rowOff>
                  </from>
                  <to>
                    <xdr:col>6</xdr:col>
                    <xdr:colOff>314325</xdr:colOff>
                    <xdr:row>10</xdr:row>
                    <xdr:rowOff>85725</xdr:rowOff>
                  </to>
                </anchor>
              </controlPr>
            </control>
          </mc:Choice>
        </mc:AlternateContent>
        <mc:AlternateContent xmlns:mc="http://schemas.openxmlformats.org/markup-compatibility/2006">
          <mc:Choice Requires="x14">
            <control shapeId="23554" r:id="rId4" name="Button 2">
              <controlPr defaultSize="0" print="0" autoFill="0" autoPict="0" macro="[0]!UnlockSheets">
                <anchor moveWithCells="1" sizeWithCells="1">
                  <from>
                    <xdr:col>7</xdr:col>
                    <xdr:colOff>552450</xdr:colOff>
                    <xdr:row>2</xdr:row>
                    <xdr:rowOff>95250</xdr:rowOff>
                  </from>
                  <to>
                    <xdr:col>11</xdr:col>
                    <xdr:colOff>400050</xdr:colOff>
                    <xdr:row>6</xdr:row>
                    <xdr:rowOff>19050</xdr:rowOff>
                  </to>
                </anchor>
              </controlPr>
            </control>
          </mc:Choice>
        </mc:AlternateContent>
        <mc:AlternateContent xmlns:mc="http://schemas.openxmlformats.org/markup-compatibility/2006">
          <mc:Choice Requires="x14">
            <control shapeId="23555" r:id="rId5" name="Button 3">
              <controlPr defaultSize="0" print="0" autoFill="0" autoPict="0" macro="[0]!LockSheets">
                <anchor moveWithCells="1" sizeWithCells="1">
                  <from>
                    <xdr:col>7</xdr:col>
                    <xdr:colOff>561975</xdr:colOff>
                    <xdr:row>6</xdr:row>
                    <xdr:rowOff>152400</xdr:rowOff>
                  </from>
                  <to>
                    <xdr:col>11</xdr:col>
                    <xdr:colOff>409575</xdr:colOff>
                    <xdr:row>10</xdr:row>
                    <xdr:rowOff>76200</xdr:rowOff>
                  </to>
                </anchor>
              </controlPr>
            </control>
          </mc:Choice>
        </mc:AlternateContent>
        <mc:AlternateContent xmlns:mc="http://schemas.openxmlformats.org/markup-compatibility/2006">
          <mc:Choice Requires="x14">
            <control shapeId="23557" r:id="rId6" name="Button 5">
              <controlPr defaultSize="0" print="0" autoFill="0" autoPict="0" macro="[0]!SortGradeSheets">
                <anchor moveWithCells="1" sizeWithCells="1">
                  <from>
                    <xdr:col>2</xdr:col>
                    <xdr:colOff>485775</xdr:colOff>
                    <xdr:row>2</xdr:row>
                    <xdr:rowOff>76200</xdr:rowOff>
                  </from>
                  <to>
                    <xdr:col>6</xdr:col>
                    <xdr:colOff>333375</xdr:colOff>
                    <xdr:row>6</xdr:row>
                    <xdr:rowOff>0</xdr:rowOff>
                  </to>
                </anchor>
              </controlPr>
            </control>
          </mc:Choice>
        </mc:AlternateContent>
        <mc:AlternateContent xmlns:mc="http://schemas.openxmlformats.org/markup-compatibility/2006">
          <mc:Choice Requires="x14">
            <control shapeId="23558" r:id="rId7" name="Button 6">
              <controlPr defaultSize="0" print="0" autoFill="0" autoPict="0" macro="[0]!DeleteGradeSheet">
                <anchor moveWithCells="1" sizeWithCells="1">
                  <from>
                    <xdr:col>12</xdr:col>
                    <xdr:colOff>352425</xdr:colOff>
                    <xdr:row>6</xdr:row>
                    <xdr:rowOff>133350</xdr:rowOff>
                  </from>
                  <to>
                    <xdr:col>16</xdr:col>
                    <xdr:colOff>200025</xdr:colOff>
                    <xdr:row>10</xdr:row>
                    <xdr:rowOff>57150</xdr:rowOff>
                  </to>
                </anchor>
              </controlPr>
            </control>
          </mc:Choice>
        </mc:AlternateContent>
        <mc:AlternateContent xmlns:mc="http://schemas.openxmlformats.org/markup-compatibility/2006">
          <mc:Choice Requires="x14">
            <control shapeId="23559" r:id="rId8" name="Button 7">
              <controlPr defaultSize="0" print="0" autoFill="0" autoPict="0" macro="[0]!ImportGradeSheet">
                <anchor moveWithCells="1" sizeWithCells="1">
                  <from>
                    <xdr:col>12</xdr:col>
                    <xdr:colOff>342900</xdr:colOff>
                    <xdr:row>2</xdr:row>
                    <xdr:rowOff>85725</xdr:rowOff>
                  </from>
                  <to>
                    <xdr:col>16</xdr:col>
                    <xdr:colOff>190500</xdr:colOff>
                    <xdr:row>6</xdr:row>
                    <xdr:rowOff>9525</xdr:rowOff>
                  </to>
                </anchor>
              </controlPr>
            </control>
          </mc:Choice>
        </mc:AlternateContent>
        <mc:AlternateContent xmlns:mc="http://schemas.openxmlformats.org/markup-compatibility/2006">
          <mc:Choice Requires="x14">
            <control shapeId="23567" r:id="rId9" name="Button 15">
              <controlPr defaultSize="0" print="0" autoFill="0" autoPict="0" macro="[0]!AddGSButtons">
                <anchor moveWithCells="1" sizeWithCells="1">
                  <from>
                    <xdr:col>12</xdr:col>
                    <xdr:colOff>342900</xdr:colOff>
                    <xdr:row>10</xdr:row>
                    <xdr:rowOff>180975</xdr:rowOff>
                  </from>
                  <to>
                    <xdr:col>16</xdr:col>
                    <xdr:colOff>190500</xdr:colOff>
                    <xdr:row>14</xdr:row>
                    <xdr:rowOff>104775</xdr:rowOff>
                  </to>
                </anchor>
              </controlPr>
            </control>
          </mc:Choice>
        </mc:AlternateContent>
        <mc:AlternateContent xmlns:mc="http://schemas.openxmlformats.org/markup-compatibility/2006">
          <mc:Choice Requires="x14">
            <control shapeId="23568" r:id="rId10" name="Button 16">
              <controlPr defaultSize="0" print="0" autoFill="0" autoPict="0" macro="[0]!DeleteMacroButtons">
                <anchor moveWithCells="1" sizeWithCells="1">
                  <from>
                    <xdr:col>12</xdr:col>
                    <xdr:colOff>342900</xdr:colOff>
                    <xdr:row>19</xdr:row>
                    <xdr:rowOff>95250</xdr:rowOff>
                  </from>
                  <to>
                    <xdr:col>16</xdr:col>
                    <xdr:colOff>190500</xdr:colOff>
                    <xdr:row>23</xdr:row>
                    <xdr:rowOff>19050</xdr:rowOff>
                  </to>
                </anchor>
              </controlPr>
            </control>
          </mc:Choice>
        </mc:AlternateContent>
        <mc:AlternateContent xmlns:mc="http://schemas.openxmlformats.org/markup-compatibility/2006">
          <mc:Choice Requires="x14">
            <control shapeId="23569" r:id="rId11" name="Button 17">
              <controlPr defaultSize="0" print="0" autoFill="0" autoPict="0" macro="[0]!AddIPSign">
                <anchor moveWithCells="1" sizeWithCells="1">
                  <from>
                    <xdr:col>12</xdr:col>
                    <xdr:colOff>352425</xdr:colOff>
                    <xdr:row>15</xdr:row>
                    <xdr:rowOff>0</xdr:rowOff>
                  </from>
                  <to>
                    <xdr:col>16</xdr:col>
                    <xdr:colOff>200025</xdr:colOff>
                    <xdr:row>18</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440D0-5DC1-4C8A-A132-C221A91BFEA1}">
  <sheetPr codeName="Sheet13">
    <pageSetUpPr fitToPage="1"/>
  </sheetPr>
  <dimension ref="A1:E306"/>
  <sheetViews>
    <sheetView showFormulas="1" topLeftCell="A100" workbookViewId="0">
      <selection activeCell="B114" sqref="B114"/>
    </sheetView>
  </sheetViews>
  <sheetFormatPr defaultRowHeight="15" x14ac:dyDescent="0.25"/>
  <cols>
    <col min="1" max="1" width="12.85546875" customWidth="1"/>
    <col min="2" max="2" width="64.5703125" style="16" customWidth="1"/>
    <col min="3" max="3" width="25.85546875" style="31" bestFit="1" customWidth="1"/>
    <col min="4" max="4" width="12.85546875" customWidth="1"/>
  </cols>
  <sheetData>
    <row r="1" spans="1:5" ht="105.75" customHeight="1" x14ac:dyDescent="0.3">
      <c r="A1" s="26"/>
      <c r="B1" s="27"/>
      <c r="C1" s="28" t="str">
        <f>Alibis!C1</f>
        <v>DOYLE, DEVIN</v>
      </c>
      <c r="D1" s="1" t="s">
        <v>23</v>
      </c>
      <c r="E1" s="29" t="str">
        <f>Alibis!C2</f>
        <v>STC</v>
      </c>
    </row>
    <row r="2" spans="1:5" ht="21" x14ac:dyDescent="0.25">
      <c r="A2" s="30" t="s">
        <v>337</v>
      </c>
      <c r="B2"/>
    </row>
    <row r="3" spans="1:5" ht="18.75" x14ac:dyDescent="0.25">
      <c r="A3" s="37" t="s">
        <v>338</v>
      </c>
      <c r="B3" s="26" t="s">
        <v>339</v>
      </c>
      <c r="C3" s="33"/>
    </row>
    <row r="4" spans="1:5" x14ac:dyDescent="0.25">
      <c r="A4" s="5" t="s">
        <v>340</v>
      </c>
      <c r="B4" s="32" t="s">
        <v>341</v>
      </c>
      <c r="C4" s="33"/>
    </row>
    <row r="5" spans="1:5" x14ac:dyDescent="0.25">
      <c r="A5" s="20" t="s">
        <v>342</v>
      </c>
      <c r="B5" s="32" t="s">
        <v>343</v>
      </c>
      <c r="C5" s="36"/>
    </row>
    <row r="6" spans="1:5" x14ac:dyDescent="0.25">
      <c r="A6" s="20" t="s">
        <v>344</v>
      </c>
      <c r="B6" s="32" t="s">
        <v>345</v>
      </c>
      <c r="C6" s="36"/>
    </row>
    <row r="7" spans="1:5" ht="18.75" x14ac:dyDescent="0.25">
      <c r="A7" s="37" t="s">
        <v>346</v>
      </c>
      <c r="B7" s="263" t="s">
        <v>347</v>
      </c>
      <c r="C7" s="36"/>
    </row>
    <row r="8" spans="1:5" x14ac:dyDescent="0.25">
      <c r="A8" s="5" t="s">
        <v>348</v>
      </c>
      <c r="B8" s="32" t="s">
        <v>349</v>
      </c>
      <c r="C8" s="33"/>
    </row>
    <row r="9" spans="1:5" ht="18.75" x14ac:dyDescent="0.3">
      <c r="A9" s="264" t="s">
        <v>350</v>
      </c>
      <c r="B9" s="263" t="s">
        <v>351</v>
      </c>
      <c r="C9" s="33"/>
    </row>
    <row r="10" spans="1:5" x14ac:dyDescent="0.25">
      <c r="A10" s="20" t="s">
        <v>352</v>
      </c>
      <c r="B10" s="32" t="s">
        <v>353</v>
      </c>
      <c r="C10" s="36"/>
    </row>
    <row r="11" spans="1:5" x14ac:dyDescent="0.25">
      <c r="A11" s="32" t="s">
        <v>354</v>
      </c>
      <c r="B11" s="32" t="s">
        <v>621</v>
      </c>
      <c r="C11" s="33"/>
    </row>
    <row r="12" spans="1:5" ht="18.75" x14ac:dyDescent="0.25">
      <c r="A12" s="37" t="s">
        <v>355</v>
      </c>
      <c r="B12" s="263" t="s">
        <v>356</v>
      </c>
      <c r="C12" s="33"/>
    </row>
    <row r="13" spans="1:5" x14ac:dyDescent="0.25">
      <c r="A13" s="5" t="s">
        <v>357</v>
      </c>
      <c r="B13" s="32" t="s">
        <v>358</v>
      </c>
      <c r="C13" s="33"/>
    </row>
    <row r="14" spans="1:5" ht="18.75" x14ac:dyDescent="0.25">
      <c r="A14" s="37" t="s">
        <v>596</v>
      </c>
      <c r="B14" s="263" t="s">
        <v>597</v>
      </c>
      <c r="C14" s="33"/>
    </row>
    <row r="15" spans="1:5" x14ac:dyDescent="0.25">
      <c r="A15" s="5" t="s">
        <v>598</v>
      </c>
      <c r="B15" s="32" t="s">
        <v>599</v>
      </c>
      <c r="C15" s="36"/>
    </row>
    <row r="16" spans="1:5" ht="21" x14ac:dyDescent="0.35">
      <c r="A16" s="265" t="s">
        <v>359</v>
      </c>
      <c r="B16" s="32"/>
      <c r="C16" s="36"/>
    </row>
    <row r="17" spans="1:3" ht="18.75" x14ac:dyDescent="0.3">
      <c r="A17" s="264" t="s">
        <v>360</v>
      </c>
      <c r="B17" s="263" t="s">
        <v>361</v>
      </c>
      <c r="C17" s="33"/>
    </row>
    <row r="18" spans="1:3" x14ac:dyDescent="0.25">
      <c r="A18" s="32" t="s">
        <v>672</v>
      </c>
      <c r="B18" s="32" t="s">
        <v>673</v>
      </c>
      <c r="C18" s="33"/>
    </row>
    <row r="19" spans="1:3" x14ac:dyDescent="0.25">
      <c r="A19" s="32" t="s">
        <v>362</v>
      </c>
      <c r="B19" s="32" t="s">
        <v>622</v>
      </c>
    </row>
    <row r="20" spans="1:3" x14ac:dyDescent="0.25">
      <c r="A20" s="32" t="s">
        <v>363</v>
      </c>
      <c r="B20" s="32" t="s">
        <v>364</v>
      </c>
      <c r="C20" s="36">
        <f>AS!F14</f>
        <v>0</v>
      </c>
    </row>
    <row r="21" spans="1:3" x14ac:dyDescent="0.25">
      <c r="A21" s="5" t="s">
        <v>365</v>
      </c>
      <c r="B21" s="32" t="s">
        <v>366</v>
      </c>
      <c r="C21" s="36" t="str">
        <f>AS!F8</f>
        <v>INCOMPLETE</v>
      </c>
    </row>
    <row r="22" spans="1:3" x14ac:dyDescent="0.25">
      <c r="A22" s="32" t="s">
        <v>367</v>
      </c>
      <c r="B22" s="32" t="s">
        <v>368</v>
      </c>
      <c r="C22" s="36" t="str">
        <f>AS!F9</f>
        <v>---</v>
      </c>
    </row>
    <row r="23" spans="1:3" ht="18.75" x14ac:dyDescent="0.25">
      <c r="A23" s="37" t="s">
        <v>369</v>
      </c>
      <c r="B23" s="263" t="s">
        <v>370</v>
      </c>
      <c r="C23" s="33"/>
    </row>
    <row r="24" spans="1:3" x14ac:dyDescent="0.25">
      <c r="A24" s="32" t="s">
        <v>51</v>
      </c>
      <c r="B24" s="32" t="s">
        <v>371</v>
      </c>
      <c r="C24" s="36"/>
    </row>
    <row r="25" spans="1:3" x14ac:dyDescent="0.25">
      <c r="A25" s="5" t="s">
        <v>372</v>
      </c>
      <c r="B25" s="32" t="s">
        <v>373</v>
      </c>
      <c r="C25" s="36"/>
    </row>
    <row r="26" spans="1:3" ht="18.75" x14ac:dyDescent="0.3">
      <c r="A26" s="264" t="s">
        <v>374</v>
      </c>
      <c r="B26" s="263" t="s">
        <v>375</v>
      </c>
      <c r="C26" s="33"/>
    </row>
    <row r="27" spans="1:3" x14ac:dyDescent="0.25">
      <c r="A27" s="32" t="s">
        <v>376</v>
      </c>
      <c r="B27" s="32" t="s">
        <v>629</v>
      </c>
      <c r="C27" s="36" t="str">
        <f>AS!F15</f>
        <v>Grade</v>
      </c>
    </row>
    <row r="28" spans="1:3" x14ac:dyDescent="0.25">
      <c r="A28" s="32" t="s">
        <v>377</v>
      </c>
      <c r="B28" s="32" t="s">
        <v>378</v>
      </c>
      <c r="C28" s="36">
        <f>AS!F16</f>
        <v>0.89750000000000019</v>
      </c>
    </row>
    <row r="29" spans="1:3" x14ac:dyDescent="0.25">
      <c r="A29" s="5" t="s">
        <v>379</v>
      </c>
      <c r="B29" s="32" t="s">
        <v>380</v>
      </c>
      <c r="C29" s="36">
        <f>AS!F17</f>
        <v>0</v>
      </c>
    </row>
    <row r="30" spans="1:3" ht="21" x14ac:dyDescent="0.25">
      <c r="A30" s="266" t="s">
        <v>381</v>
      </c>
      <c r="B30" s="32"/>
    </row>
    <row r="31" spans="1:3" ht="18.75" x14ac:dyDescent="0.25">
      <c r="A31" s="38" t="s">
        <v>382</v>
      </c>
      <c r="B31" s="263" t="s">
        <v>383</v>
      </c>
      <c r="C31" s="33"/>
    </row>
    <row r="32" spans="1:3" x14ac:dyDescent="0.25">
      <c r="A32" s="5" t="s">
        <v>53</v>
      </c>
      <c r="B32" s="32" t="s">
        <v>384</v>
      </c>
      <c r="C32" s="36"/>
    </row>
    <row r="33" spans="1:3" x14ac:dyDescent="0.25">
      <c r="A33" s="5" t="s">
        <v>124</v>
      </c>
      <c r="B33" s="32" t="s">
        <v>385</v>
      </c>
      <c r="C33" s="33"/>
    </row>
    <row r="34" spans="1:3" ht="18.75" x14ac:dyDescent="0.25">
      <c r="A34" s="38" t="s">
        <v>386</v>
      </c>
      <c r="B34" s="263" t="s">
        <v>387</v>
      </c>
      <c r="C34" s="36"/>
    </row>
    <row r="35" spans="1:3" x14ac:dyDescent="0.25">
      <c r="A35" s="5" t="s">
        <v>52</v>
      </c>
      <c r="B35" s="32" t="s">
        <v>388</v>
      </c>
      <c r="C35" s="36"/>
    </row>
    <row r="36" spans="1:3" x14ac:dyDescent="0.25">
      <c r="A36" s="32" t="s">
        <v>389</v>
      </c>
      <c r="B36" s="32" t="s">
        <v>390</v>
      </c>
      <c r="C36" s="33"/>
    </row>
    <row r="37" spans="1:3" ht="18.75" x14ac:dyDescent="0.25">
      <c r="A37" s="37" t="s">
        <v>391</v>
      </c>
      <c r="B37" s="263" t="s">
        <v>392</v>
      </c>
      <c r="C37" s="33"/>
    </row>
    <row r="38" spans="1:3" x14ac:dyDescent="0.25">
      <c r="A38" s="5" t="s">
        <v>393</v>
      </c>
      <c r="B38" s="32" t="s">
        <v>394</v>
      </c>
      <c r="C38" s="33"/>
    </row>
    <row r="39" spans="1:3" x14ac:dyDescent="0.25">
      <c r="A39" s="32" t="s">
        <v>395</v>
      </c>
      <c r="B39" s="32" t="s">
        <v>396</v>
      </c>
      <c r="C39" s="33"/>
    </row>
    <row r="40" spans="1:3" ht="21" x14ac:dyDescent="0.25">
      <c r="A40" s="266" t="s">
        <v>397</v>
      </c>
      <c r="B40" s="32"/>
      <c r="C40" s="33"/>
    </row>
    <row r="41" spans="1:3" ht="18.75" x14ac:dyDescent="0.3">
      <c r="A41" s="264" t="s">
        <v>398</v>
      </c>
      <c r="B41" s="263" t="s">
        <v>399</v>
      </c>
      <c r="C41" s="36"/>
    </row>
    <row r="42" spans="1:3" x14ac:dyDescent="0.25">
      <c r="A42" s="20" t="s">
        <v>400</v>
      </c>
      <c r="B42" s="32" t="s">
        <v>401</v>
      </c>
      <c r="C42" s="33"/>
    </row>
    <row r="43" spans="1:3" ht="18.75" x14ac:dyDescent="0.3">
      <c r="A43" s="264" t="s">
        <v>402</v>
      </c>
      <c r="B43" s="263" t="s">
        <v>403</v>
      </c>
      <c r="C43" s="36"/>
    </row>
    <row r="44" spans="1:3" x14ac:dyDescent="0.25">
      <c r="A44" s="32" t="s">
        <v>623</v>
      </c>
      <c r="B44" s="32" t="s">
        <v>624</v>
      </c>
      <c r="C44" s="33"/>
    </row>
    <row r="45" spans="1:3" x14ac:dyDescent="0.25">
      <c r="A45" s="5" t="s">
        <v>404</v>
      </c>
      <c r="B45" s="32" t="s">
        <v>405</v>
      </c>
      <c r="C45" s="36"/>
    </row>
    <row r="46" spans="1:3" ht="21" x14ac:dyDescent="0.25">
      <c r="A46" s="30" t="s">
        <v>600</v>
      </c>
      <c r="B46" s="32"/>
      <c r="C46" s="33"/>
    </row>
    <row r="47" spans="1:3" ht="18.75" x14ac:dyDescent="0.25">
      <c r="A47" s="37" t="s">
        <v>601</v>
      </c>
      <c r="B47" s="263" t="s">
        <v>602</v>
      </c>
      <c r="C47" s="33"/>
    </row>
    <row r="48" spans="1:3" x14ac:dyDescent="0.25">
      <c r="A48" s="5" t="s">
        <v>603</v>
      </c>
      <c r="B48" s="263" t="s">
        <v>604</v>
      </c>
      <c r="C48" s="33"/>
    </row>
    <row r="49" spans="1:3" ht="21" x14ac:dyDescent="0.25">
      <c r="A49" s="30" t="s">
        <v>42</v>
      </c>
      <c r="B49" s="32"/>
      <c r="C49" s="33"/>
    </row>
    <row r="50" spans="1:3" ht="18.75" x14ac:dyDescent="0.25">
      <c r="A50" s="37" t="s">
        <v>54</v>
      </c>
      <c r="B50" s="263" t="s">
        <v>406</v>
      </c>
      <c r="C50" s="33"/>
    </row>
    <row r="51" spans="1:3" x14ac:dyDescent="0.25">
      <c r="A51" s="5" t="s">
        <v>50</v>
      </c>
      <c r="B51" s="32" t="s">
        <v>55</v>
      </c>
      <c r="C51" s="36"/>
    </row>
    <row r="52" spans="1:3" x14ac:dyDescent="0.25">
      <c r="A52" s="32" t="s">
        <v>40</v>
      </c>
      <c r="B52" s="32" t="s">
        <v>56</v>
      </c>
      <c r="C52" s="36"/>
    </row>
    <row r="53" spans="1:3" ht="18.75" x14ac:dyDescent="0.25">
      <c r="A53" s="38" t="s">
        <v>57</v>
      </c>
      <c r="B53" s="263" t="s">
        <v>407</v>
      </c>
      <c r="C53" s="33"/>
    </row>
    <row r="54" spans="1:3" x14ac:dyDescent="0.25">
      <c r="A54" s="20" t="s">
        <v>408</v>
      </c>
      <c r="B54" s="32" t="s">
        <v>409</v>
      </c>
      <c r="C54" s="33"/>
    </row>
    <row r="55" spans="1:3" ht="18.75" x14ac:dyDescent="0.3">
      <c r="A55" s="264" t="s">
        <v>58</v>
      </c>
      <c r="B55" s="263" t="s">
        <v>410</v>
      </c>
      <c r="C55" s="33"/>
    </row>
    <row r="56" spans="1:3" x14ac:dyDescent="0.25">
      <c r="A56" s="32" t="s">
        <v>348</v>
      </c>
      <c r="B56" s="32" t="s">
        <v>625</v>
      </c>
      <c r="C56" s="33"/>
    </row>
    <row r="57" spans="1:3" x14ac:dyDescent="0.25">
      <c r="A57" s="32" t="s">
        <v>605</v>
      </c>
      <c r="B57" s="32" t="s">
        <v>606</v>
      </c>
      <c r="C57" s="36"/>
    </row>
    <row r="58" spans="1:3" ht="18.75" x14ac:dyDescent="0.25">
      <c r="A58" s="37" t="s">
        <v>60</v>
      </c>
      <c r="B58" s="263" t="s">
        <v>411</v>
      </c>
      <c r="C58" s="33"/>
    </row>
    <row r="59" spans="1:3" x14ac:dyDescent="0.25">
      <c r="A59" s="32" t="s">
        <v>61</v>
      </c>
      <c r="B59" s="32" t="s">
        <v>62</v>
      </c>
    </row>
    <row r="60" spans="1:3" ht="21" x14ac:dyDescent="0.25">
      <c r="A60" s="266" t="s">
        <v>43</v>
      </c>
      <c r="B60" s="263"/>
      <c r="C60" s="33"/>
    </row>
    <row r="61" spans="1:3" ht="18.75" x14ac:dyDescent="0.25">
      <c r="A61" s="38" t="s">
        <v>63</v>
      </c>
      <c r="B61" s="263" t="s">
        <v>412</v>
      </c>
      <c r="C61" s="36"/>
    </row>
    <row r="62" spans="1:3" x14ac:dyDescent="0.25">
      <c r="A62" s="5" t="s">
        <v>64</v>
      </c>
      <c r="B62" s="32" t="s">
        <v>65</v>
      </c>
      <c r="C62" s="36" t="str">
        <f>SY!F8</f>
        <v>0</v>
      </c>
    </row>
    <row r="63" spans="1:3" ht="18.75" x14ac:dyDescent="0.25">
      <c r="A63" s="38" t="s">
        <v>66</v>
      </c>
      <c r="B63" s="263" t="s">
        <v>413</v>
      </c>
    </row>
    <row r="64" spans="1:3" x14ac:dyDescent="0.25">
      <c r="A64" s="32" t="s">
        <v>67</v>
      </c>
      <c r="B64" s="32" t="s">
        <v>626</v>
      </c>
      <c r="C64" s="36"/>
    </row>
    <row r="65" spans="1:3" ht="18.75" x14ac:dyDescent="0.25">
      <c r="A65" s="38" t="s">
        <v>68</v>
      </c>
      <c r="B65" s="263" t="s">
        <v>545</v>
      </c>
      <c r="C65" s="33"/>
    </row>
    <row r="66" spans="1:3" s="32" customFormat="1" x14ac:dyDescent="0.25">
      <c r="A66" s="32" t="s">
        <v>674</v>
      </c>
      <c r="B66" s="32" t="s">
        <v>675</v>
      </c>
    </row>
    <row r="67" spans="1:3" x14ac:dyDescent="0.25">
      <c r="A67" s="32" t="s">
        <v>414</v>
      </c>
      <c r="B67" s="32" t="s">
        <v>415</v>
      </c>
      <c r="C67" s="36" t="str">
        <f>SY!F9</f>
        <v>0</v>
      </c>
    </row>
    <row r="68" spans="1:3" x14ac:dyDescent="0.25">
      <c r="A68" s="32" t="s">
        <v>416</v>
      </c>
      <c r="B68" s="32" t="s">
        <v>417</v>
      </c>
      <c r="C68" s="36"/>
    </row>
    <row r="69" spans="1:3" ht="21" x14ac:dyDescent="0.25">
      <c r="A69" s="266" t="s">
        <v>44</v>
      </c>
      <c r="B69" s="32"/>
      <c r="C69" s="33"/>
    </row>
    <row r="70" spans="1:3" ht="18.75" x14ac:dyDescent="0.25">
      <c r="A70" s="37" t="s">
        <v>70</v>
      </c>
      <c r="B70" s="263" t="s">
        <v>418</v>
      </c>
      <c r="C70" s="33"/>
    </row>
    <row r="71" spans="1:3" x14ac:dyDescent="0.25">
      <c r="A71" s="5" t="s">
        <v>53</v>
      </c>
      <c r="B71" s="32" t="s">
        <v>71</v>
      </c>
      <c r="C71" s="36"/>
    </row>
    <row r="72" spans="1:3" ht="18.75" x14ac:dyDescent="0.3">
      <c r="A72" s="264" t="s">
        <v>72</v>
      </c>
      <c r="B72" s="263" t="s">
        <v>419</v>
      </c>
      <c r="C72" s="36"/>
    </row>
    <row r="73" spans="1:3" x14ac:dyDescent="0.25">
      <c r="A73" s="20" t="s">
        <v>73</v>
      </c>
      <c r="B73" s="32" t="s">
        <v>74</v>
      </c>
      <c r="C73" s="33"/>
    </row>
    <row r="74" spans="1:3" ht="21" x14ac:dyDescent="0.35">
      <c r="A74" s="265" t="s">
        <v>45</v>
      </c>
      <c r="B74" s="263"/>
      <c r="C74" s="33"/>
    </row>
    <row r="75" spans="1:3" ht="18.75" x14ac:dyDescent="0.3">
      <c r="A75" s="264" t="s">
        <v>75</v>
      </c>
      <c r="B75" s="263" t="s">
        <v>420</v>
      </c>
      <c r="C75" s="33"/>
    </row>
    <row r="76" spans="1:3" x14ac:dyDescent="0.25">
      <c r="A76" s="20" t="s">
        <v>76</v>
      </c>
      <c r="B76" s="32" t="s">
        <v>77</v>
      </c>
      <c r="C76" s="33"/>
    </row>
    <row r="77" spans="1:3" ht="18.75" x14ac:dyDescent="0.3">
      <c r="A77" s="264" t="s">
        <v>78</v>
      </c>
      <c r="B77" s="263" t="s">
        <v>421</v>
      </c>
    </row>
    <row r="78" spans="1:3" x14ac:dyDescent="0.25">
      <c r="A78" s="32" t="s">
        <v>79</v>
      </c>
      <c r="B78" s="32" t="s">
        <v>422</v>
      </c>
    </row>
    <row r="79" spans="1:3" ht="18.75" x14ac:dyDescent="0.25">
      <c r="A79" s="37" t="s">
        <v>80</v>
      </c>
      <c r="B79" s="263" t="s">
        <v>423</v>
      </c>
    </row>
    <row r="80" spans="1:3" x14ac:dyDescent="0.25">
      <c r="A80" s="5" t="s">
        <v>607</v>
      </c>
      <c r="B80" s="32" t="s">
        <v>424</v>
      </c>
      <c r="C80" s="36">
        <f>TF!F15</f>
        <v>0</v>
      </c>
    </row>
    <row r="81" spans="1:3" ht="45" x14ac:dyDescent="0.25">
      <c r="A81" s="32" t="s">
        <v>608</v>
      </c>
      <c r="B81" s="370" t="s">
        <v>627</v>
      </c>
      <c r="C81" s="36"/>
    </row>
    <row r="82" spans="1:3" ht="21" x14ac:dyDescent="0.25">
      <c r="A82" s="266" t="s">
        <v>46</v>
      </c>
      <c r="B82" s="32"/>
      <c r="C82" s="36"/>
    </row>
    <row r="83" spans="1:3" ht="18.75" x14ac:dyDescent="0.25">
      <c r="A83" s="38" t="s">
        <v>81</v>
      </c>
      <c r="B83" s="263" t="s">
        <v>425</v>
      </c>
    </row>
    <row r="84" spans="1:3" x14ac:dyDescent="0.25">
      <c r="A84" s="20" t="s">
        <v>82</v>
      </c>
      <c r="B84" s="32" t="s">
        <v>83</v>
      </c>
      <c r="C84" s="36">
        <f>TF!F8</f>
        <v>0.93173076923076925</v>
      </c>
    </row>
    <row r="85" spans="1:3" x14ac:dyDescent="0.25">
      <c r="A85" s="20" t="s">
        <v>426</v>
      </c>
      <c r="B85" s="32" t="s">
        <v>427</v>
      </c>
      <c r="C85" s="36" t="str">
        <f>TF!F9</f>
        <v>0</v>
      </c>
    </row>
    <row r="86" spans="1:3" x14ac:dyDescent="0.25">
      <c r="A86" s="20" t="s">
        <v>609</v>
      </c>
      <c r="B86" s="32" t="s">
        <v>628</v>
      </c>
      <c r="C86" s="36" t="str">
        <f>TF!F10</f>
        <v>0</v>
      </c>
    </row>
    <row r="87" spans="1:3" x14ac:dyDescent="0.25">
      <c r="A87" s="20" t="s">
        <v>428</v>
      </c>
      <c r="B87" s="32" t="s">
        <v>429</v>
      </c>
      <c r="C87" s="36">
        <f>TF!F16</f>
        <v>0.95099999942219982</v>
      </c>
    </row>
    <row r="88" spans="1:3" x14ac:dyDescent="0.25">
      <c r="A88" s="32" t="s">
        <v>544</v>
      </c>
      <c r="B88" s="32" t="s">
        <v>430</v>
      </c>
      <c r="C88" s="36">
        <f>TF!F17</f>
        <v>0.90900000022979988</v>
      </c>
    </row>
    <row r="89" spans="1:3" x14ac:dyDescent="0.25">
      <c r="A89" s="5" t="s">
        <v>610</v>
      </c>
      <c r="B89" s="32" t="s">
        <v>611</v>
      </c>
      <c r="C89" s="33"/>
    </row>
    <row r="90" spans="1:3" x14ac:dyDescent="0.25">
      <c r="A90" s="5" t="s">
        <v>612</v>
      </c>
      <c r="B90" s="32" t="s">
        <v>613</v>
      </c>
    </row>
    <row r="91" spans="1:3" ht="18.75" x14ac:dyDescent="0.25">
      <c r="A91" s="38" t="s">
        <v>84</v>
      </c>
      <c r="B91" s="263" t="s">
        <v>431</v>
      </c>
      <c r="C91" s="33"/>
    </row>
    <row r="92" spans="1:3" x14ac:dyDescent="0.25">
      <c r="A92" s="5" t="s">
        <v>59</v>
      </c>
      <c r="B92" s="32" t="s">
        <v>85</v>
      </c>
      <c r="C92" s="33"/>
    </row>
    <row r="93" spans="1:3" x14ac:dyDescent="0.25">
      <c r="A93" s="32" t="s">
        <v>86</v>
      </c>
      <c r="B93" s="32" t="s">
        <v>87</v>
      </c>
    </row>
    <row r="94" spans="1:3" ht="18.75" x14ac:dyDescent="0.25">
      <c r="A94" s="37" t="s">
        <v>614</v>
      </c>
      <c r="B94" s="263" t="s">
        <v>615</v>
      </c>
    </row>
    <row r="95" spans="1:3" x14ac:dyDescent="0.25">
      <c r="A95" s="5" t="s">
        <v>616</v>
      </c>
      <c r="B95" s="32" t="s">
        <v>617</v>
      </c>
      <c r="C95" s="36" t="str">
        <f>TF!F18</f>
        <v>---</v>
      </c>
    </row>
    <row r="96" spans="1:3" x14ac:dyDescent="0.25">
      <c r="A96" s="32" t="s">
        <v>618</v>
      </c>
      <c r="B96" s="32" t="s">
        <v>619</v>
      </c>
      <c r="C96" s="36" t="str">
        <f>TF!F19</f>
        <v>---</v>
      </c>
    </row>
    <row r="97" spans="1:3" ht="21" x14ac:dyDescent="0.25">
      <c r="A97" s="266" t="s">
        <v>47</v>
      </c>
      <c r="B97" s="263"/>
    </row>
    <row r="98" spans="1:3" ht="18.75" x14ac:dyDescent="0.25">
      <c r="A98" s="37" t="s">
        <v>88</v>
      </c>
      <c r="B98" s="263" t="s">
        <v>432</v>
      </c>
      <c r="C98" s="36"/>
    </row>
    <row r="99" spans="1:3" x14ac:dyDescent="0.25">
      <c r="A99" s="32" t="s">
        <v>89</v>
      </c>
      <c r="B99" s="32" t="s">
        <v>90</v>
      </c>
      <c r="C99" s="36" t="str">
        <f>TF!F20</f>
        <v>---</v>
      </c>
    </row>
    <row r="100" spans="1:3" x14ac:dyDescent="0.25">
      <c r="A100" s="32" t="s">
        <v>91</v>
      </c>
      <c r="B100" s="32" t="s">
        <v>92</v>
      </c>
      <c r="C100" s="36" t="str">
        <f>TF!F21</f>
        <v>---</v>
      </c>
    </row>
    <row r="101" spans="1:3" x14ac:dyDescent="0.25">
      <c r="A101" s="5" t="s">
        <v>93</v>
      </c>
      <c r="B101" s="32" t="s">
        <v>94</v>
      </c>
      <c r="C101" s="36" t="str">
        <f>TF!F22</f>
        <v>---</v>
      </c>
    </row>
    <row r="102" spans="1:3" ht="18.75" x14ac:dyDescent="0.3">
      <c r="A102" s="264" t="s">
        <v>95</v>
      </c>
      <c r="B102" s="263" t="s">
        <v>433</v>
      </c>
      <c r="C102" s="33"/>
    </row>
    <row r="103" spans="1:3" x14ac:dyDescent="0.25">
      <c r="A103" s="20" t="s">
        <v>96</v>
      </c>
      <c r="B103" s="32" t="s">
        <v>97</v>
      </c>
      <c r="C103" s="36" t="str">
        <f>TF!F23</f>
        <v>0</v>
      </c>
    </row>
    <row r="104" spans="1:3" x14ac:dyDescent="0.25">
      <c r="A104" s="32" t="s">
        <v>69</v>
      </c>
      <c r="B104" s="32" t="s">
        <v>98</v>
      </c>
      <c r="C104" s="36"/>
    </row>
    <row r="105" spans="1:3" ht="21" x14ac:dyDescent="0.25">
      <c r="A105" s="30" t="s">
        <v>48</v>
      </c>
      <c r="B105" s="263"/>
      <c r="C105" s="33"/>
    </row>
    <row r="106" spans="1:3" ht="18.75" x14ac:dyDescent="0.25">
      <c r="A106" s="38" t="s">
        <v>99</v>
      </c>
      <c r="B106" s="263" t="s">
        <v>434</v>
      </c>
      <c r="C106" s="33"/>
    </row>
    <row r="107" spans="1:3" x14ac:dyDescent="0.25">
      <c r="A107" s="32" t="s">
        <v>100</v>
      </c>
      <c r="B107" s="32" t="s">
        <v>101</v>
      </c>
      <c r="C107" s="36"/>
    </row>
    <row r="108" spans="1:3" ht="18.75" x14ac:dyDescent="0.25">
      <c r="A108" s="38" t="s">
        <v>102</v>
      </c>
      <c r="B108" s="263" t="s">
        <v>435</v>
      </c>
      <c r="C108" s="33"/>
    </row>
    <row r="109" spans="1:3" x14ac:dyDescent="0.25">
      <c r="A109" s="20" t="s">
        <v>103</v>
      </c>
      <c r="B109" s="32" t="s">
        <v>104</v>
      </c>
      <c r="C109" s="33"/>
    </row>
    <row r="110" spans="1:3" x14ac:dyDescent="0.25">
      <c r="A110" s="20" t="s">
        <v>105</v>
      </c>
      <c r="B110" s="32" t="s">
        <v>106</v>
      </c>
      <c r="C110" s="33"/>
    </row>
    <row r="111" spans="1:3" ht="21" x14ac:dyDescent="0.35">
      <c r="A111" s="265" t="s">
        <v>49</v>
      </c>
      <c r="B111" s="263"/>
      <c r="C111" s="33"/>
    </row>
    <row r="112" spans="1:3" ht="18.75" x14ac:dyDescent="0.3">
      <c r="A112" s="264" t="s">
        <v>107</v>
      </c>
      <c r="B112" s="263" t="s">
        <v>436</v>
      </c>
      <c r="C112" s="35"/>
    </row>
    <row r="113" spans="1:3" x14ac:dyDescent="0.25">
      <c r="A113" s="32" t="s">
        <v>108</v>
      </c>
      <c r="B113" s="32" t="s">
        <v>109</v>
      </c>
    </row>
    <row r="114" spans="1:3" x14ac:dyDescent="0.25">
      <c r="A114" s="32" t="s">
        <v>676</v>
      </c>
      <c r="B114" s="32" t="s">
        <v>677</v>
      </c>
    </row>
    <row r="115" spans="1:3" x14ac:dyDescent="0.25">
      <c r="A115" s="32" t="s">
        <v>676</v>
      </c>
      <c r="B115" s="32" t="s">
        <v>678</v>
      </c>
    </row>
    <row r="116" spans="1:3" x14ac:dyDescent="0.25">
      <c r="A116" s="32" t="s">
        <v>41</v>
      </c>
      <c r="B116" s="32" t="s">
        <v>110</v>
      </c>
    </row>
    <row r="117" spans="1:3" ht="21" x14ac:dyDescent="0.25">
      <c r="A117" s="266" t="s">
        <v>111</v>
      </c>
      <c r="B117" s="263"/>
    </row>
    <row r="118" spans="1:3" ht="18.75" x14ac:dyDescent="0.25">
      <c r="A118" s="37" t="s">
        <v>112</v>
      </c>
      <c r="B118" s="263" t="s">
        <v>546</v>
      </c>
    </row>
    <row r="119" spans="1:3" x14ac:dyDescent="0.25">
      <c r="A119" s="32" t="s">
        <v>113</v>
      </c>
      <c r="B119" s="32" t="s">
        <v>114</v>
      </c>
    </row>
    <row r="120" spans="1:3" ht="21" x14ac:dyDescent="0.25">
      <c r="A120" s="30" t="s">
        <v>115</v>
      </c>
      <c r="B120" s="263"/>
    </row>
    <row r="121" spans="1:3" ht="18.75" x14ac:dyDescent="0.25">
      <c r="A121" s="37" t="s">
        <v>116</v>
      </c>
      <c r="B121" s="263" t="s">
        <v>437</v>
      </c>
    </row>
    <row r="122" spans="1:3" x14ac:dyDescent="0.25">
      <c r="A122" s="5" t="s">
        <v>117</v>
      </c>
      <c r="B122" s="32" t="s">
        <v>438</v>
      </c>
      <c r="C122" s="35"/>
    </row>
    <row r="123" spans="1:3" x14ac:dyDescent="0.25">
      <c r="A123" s="32" t="s">
        <v>118</v>
      </c>
      <c r="B123" s="32" t="s">
        <v>119</v>
      </c>
      <c r="C123" s="35"/>
    </row>
    <row r="124" spans="1:3" ht="21" x14ac:dyDescent="0.25">
      <c r="A124" s="30" t="s">
        <v>120</v>
      </c>
      <c r="B124" s="263"/>
    </row>
    <row r="125" spans="1:3" ht="18.75" x14ac:dyDescent="0.25">
      <c r="A125" s="38" t="s">
        <v>121</v>
      </c>
      <c r="B125" s="263" t="s">
        <v>439</v>
      </c>
    </row>
    <row r="126" spans="1:3" x14ac:dyDescent="0.25">
      <c r="A126" s="32" t="s">
        <v>122</v>
      </c>
      <c r="B126" s="32" t="s">
        <v>123</v>
      </c>
      <c r="C126" s="35"/>
    </row>
    <row r="127" spans="1:3" x14ac:dyDescent="0.25">
      <c r="A127" s="5" t="s">
        <v>124</v>
      </c>
      <c r="B127" s="32" t="s">
        <v>125</v>
      </c>
    </row>
    <row r="128" spans="1:3" x14ac:dyDescent="0.25">
      <c r="A128" s="32" t="s">
        <v>126</v>
      </c>
      <c r="B128" s="32" t="s">
        <v>127</v>
      </c>
    </row>
    <row r="129" spans="1:3" x14ac:dyDescent="0.25">
      <c r="A129" s="32" t="s">
        <v>128</v>
      </c>
      <c r="B129" s="32" t="s">
        <v>129</v>
      </c>
    </row>
    <row r="130" spans="1:3" x14ac:dyDescent="0.25">
      <c r="A130" s="32" t="s">
        <v>130</v>
      </c>
      <c r="B130" s="32" t="s">
        <v>131</v>
      </c>
    </row>
    <row r="131" spans="1:3" x14ac:dyDescent="0.25">
      <c r="A131" s="5" t="s">
        <v>132</v>
      </c>
      <c r="B131" s="32" t="s">
        <v>133</v>
      </c>
    </row>
    <row r="132" spans="1:3" x14ac:dyDescent="0.25">
      <c r="A132" s="20" t="s">
        <v>134</v>
      </c>
      <c r="B132" s="32" t="s">
        <v>135</v>
      </c>
    </row>
    <row r="133" spans="1:3" x14ac:dyDescent="0.25">
      <c r="A133" s="20" t="s">
        <v>136</v>
      </c>
      <c r="B133" s="32" t="s">
        <v>137</v>
      </c>
      <c r="C133" s="36"/>
    </row>
    <row r="134" spans="1:3" x14ac:dyDescent="0.25">
      <c r="A134" s="20"/>
      <c r="B134" s="32"/>
      <c r="C134" s="36"/>
    </row>
    <row r="135" spans="1:3" ht="21" x14ac:dyDescent="0.25">
      <c r="A135" s="30"/>
      <c r="B135" s="32"/>
      <c r="C135" s="36"/>
    </row>
    <row r="136" spans="1:3" ht="18.75" x14ac:dyDescent="0.25">
      <c r="A136" s="37"/>
      <c r="B136" s="32"/>
      <c r="C136" s="36"/>
    </row>
    <row r="137" spans="1:3" ht="18.75" x14ac:dyDescent="0.25">
      <c r="A137" s="37"/>
      <c r="B137" s="32"/>
    </row>
    <row r="138" spans="1:3" x14ac:dyDescent="0.25">
      <c r="A138" s="5"/>
      <c r="B138" s="32"/>
    </row>
    <row r="139" spans="1:3" x14ac:dyDescent="0.25">
      <c r="A139" s="20"/>
      <c r="B139" s="32"/>
    </row>
    <row r="140" spans="1:3" x14ac:dyDescent="0.25">
      <c r="A140" s="20"/>
      <c r="B140" s="32"/>
    </row>
    <row r="141" spans="1:3" x14ac:dyDescent="0.25">
      <c r="A141" s="20"/>
      <c r="B141" s="32"/>
    </row>
    <row r="142" spans="1:3" ht="18.75" x14ac:dyDescent="0.25">
      <c r="A142" s="37"/>
      <c r="B142" s="34"/>
    </row>
    <row r="143" spans="1:3" x14ac:dyDescent="0.25">
      <c r="A143" s="5"/>
      <c r="B143" s="32"/>
    </row>
    <row r="144" spans="1:3" x14ac:dyDescent="0.25">
      <c r="A144" s="5"/>
      <c r="B144" s="32"/>
      <c r="C144" s="36"/>
    </row>
    <row r="145" spans="1:3" ht="18.75" x14ac:dyDescent="0.25">
      <c r="A145" s="37"/>
      <c r="B145" s="32"/>
      <c r="C145" s="36"/>
    </row>
    <row r="146" spans="1:3" ht="18.75" x14ac:dyDescent="0.25">
      <c r="A146" s="37"/>
      <c r="B146" s="32"/>
      <c r="C146" s="36"/>
    </row>
    <row r="147" spans="1:3" ht="21" x14ac:dyDescent="0.25">
      <c r="A147" s="30"/>
      <c r="B147" s="32"/>
    </row>
    <row r="148" spans="1:3" ht="18.75" x14ac:dyDescent="0.25">
      <c r="A148" s="37"/>
      <c r="B148" s="32"/>
    </row>
    <row r="149" spans="1:3" x14ac:dyDescent="0.25">
      <c r="A149" s="5"/>
      <c r="B149" s="32"/>
    </row>
    <row r="150" spans="1:3" x14ac:dyDescent="0.25">
      <c r="A150" s="20"/>
      <c r="B150" s="32"/>
    </row>
    <row r="151" spans="1:3" x14ac:dyDescent="0.25">
      <c r="A151" s="20"/>
      <c r="B151" s="32"/>
      <c r="C151" s="36"/>
    </row>
    <row r="152" spans="1:3" ht="18.75" x14ac:dyDescent="0.25">
      <c r="A152" s="37"/>
      <c r="B152" s="32"/>
    </row>
    <row r="153" spans="1:3" ht="18.75" x14ac:dyDescent="0.25">
      <c r="A153" s="37"/>
      <c r="B153" s="32"/>
    </row>
    <row r="154" spans="1:3" ht="18.75" x14ac:dyDescent="0.25">
      <c r="A154" s="37"/>
      <c r="B154" s="34"/>
    </row>
    <row r="155" spans="1:3" ht="18.75" x14ac:dyDescent="0.25">
      <c r="A155" s="37"/>
      <c r="B155" s="32"/>
    </row>
    <row r="156" spans="1:3" x14ac:dyDescent="0.25">
      <c r="A156" s="5"/>
      <c r="B156" s="32"/>
    </row>
    <row r="157" spans="1:3" x14ac:dyDescent="0.25">
      <c r="A157" s="20"/>
      <c r="B157" s="32"/>
    </row>
    <row r="158" spans="1:3" ht="18.75" x14ac:dyDescent="0.25">
      <c r="A158" s="37"/>
      <c r="B158" s="5"/>
    </row>
    <row r="159" spans="1:3" ht="21" x14ac:dyDescent="0.25">
      <c r="A159" s="30"/>
      <c r="B159" s="5"/>
    </row>
    <row r="160" spans="1:3" ht="18.75" x14ac:dyDescent="0.25">
      <c r="A160" s="37"/>
      <c r="B160" s="5"/>
    </row>
    <row r="161" spans="1:2" x14ac:dyDescent="0.25">
      <c r="A161" s="5"/>
      <c r="B161" s="32"/>
    </row>
    <row r="162" spans="1:2" ht="18.75" x14ac:dyDescent="0.25">
      <c r="A162" s="37"/>
      <c r="B162" s="32"/>
    </row>
    <row r="163" spans="1:2" ht="18.75" x14ac:dyDescent="0.25">
      <c r="A163" s="37"/>
      <c r="B163" s="32"/>
    </row>
    <row r="164" spans="1:2" x14ac:dyDescent="0.25">
      <c r="A164" s="5"/>
      <c r="B164" s="32"/>
    </row>
    <row r="165" spans="1:2" x14ac:dyDescent="0.25">
      <c r="A165" s="5"/>
      <c r="B165" s="32"/>
    </row>
    <row r="166" spans="1:2" ht="21" x14ac:dyDescent="0.25">
      <c r="A166" s="30"/>
      <c r="B166" s="34"/>
    </row>
    <row r="167" spans="1:2" ht="18.75" x14ac:dyDescent="0.25">
      <c r="A167" s="37"/>
      <c r="B167" s="5"/>
    </row>
    <row r="168" spans="1:2" x14ac:dyDescent="0.25">
      <c r="A168" s="5"/>
      <c r="B168" s="32"/>
    </row>
    <row r="169" spans="1:2" x14ac:dyDescent="0.25">
      <c r="A169" s="5"/>
      <c r="B169" s="32"/>
    </row>
    <row r="170" spans="1:2" ht="21" x14ac:dyDescent="0.25">
      <c r="A170" s="30"/>
      <c r="B170" s="5"/>
    </row>
    <row r="171" spans="1:2" ht="18.75" x14ac:dyDescent="0.25">
      <c r="A171" s="37"/>
      <c r="B171" s="5"/>
    </row>
    <row r="172" spans="1:2" x14ac:dyDescent="0.25">
      <c r="A172" s="5"/>
      <c r="B172" s="32"/>
    </row>
    <row r="173" spans="1:2" ht="21" x14ac:dyDescent="0.25">
      <c r="A173" s="30"/>
      <c r="B173" s="5"/>
    </row>
    <row r="174" spans="1:2" ht="18.75" x14ac:dyDescent="0.25">
      <c r="A174" s="37"/>
      <c r="B174" s="5"/>
    </row>
    <row r="175" spans="1:2" x14ac:dyDescent="0.25">
      <c r="A175" s="5"/>
      <c r="B175" s="32"/>
    </row>
    <row r="176" spans="1:2" x14ac:dyDescent="0.25">
      <c r="A176" s="5"/>
      <c r="B176" s="32"/>
    </row>
    <row r="177" spans="1:2" ht="18.75" x14ac:dyDescent="0.25">
      <c r="A177" s="37"/>
      <c r="B177" s="5"/>
    </row>
    <row r="178" spans="1:2" ht="21" x14ac:dyDescent="0.25">
      <c r="A178" s="30"/>
      <c r="B178" s="5"/>
    </row>
    <row r="179" spans="1:2" ht="18.75" x14ac:dyDescent="0.25">
      <c r="A179" s="37"/>
      <c r="B179" s="5"/>
    </row>
    <row r="180" spans="1:2" x14ac:dyDescent="0.25">
      <c r="A180" s="5"/>
      <c r="B180" s="32"/>
    </row>
    <row r="181" spans="1:2" x14ac:dyDescent="0.25">
      <c r="A181" s="5"/>
      <c r="B181" s="32"/>
    </row>
    <row r="182" spans="1:2" x14ac:dyDescent="0.25">
      <c r="A182" s="5"/>
      <c r="B182" s="32"/>
    </row>
    <row r="183" spans="1:2" x14ac:dyDescent="0.25">
      <c r="A183" s="5"/>
      <c r="B183" s="32"/>
    </row>
    <row r="184" spans="1:2" x14ac:dyDescent="0.25">
      <c r="A184" s="5"/>
      <c r="B184" s="32"/>
    </row>
    <row r="185" spans="1:2" x14ac:dyDescent="0.25">
      <c r="A185" s="5"/>
      <c r="B185" s="32"/>
    </row>
    <row r="186" spans="1:2" x14ac:dyDescent="0.25">
      <c r="A186" s="5"/>
      <c r="B186" s="32"/>
    </row>
    <row r="187" spans="1:2" x14ac:dyDescent="0.25">
      <c r="A187" s="5"/>
      <c r="B187" s="32"/>
    </row>
    <row r="188" spans="1:2" ht="21" x14ac:dyDescent="0.25">
      <c r="A188" s="266"/>
      <c r="B188" s="34"/>
    </row>
    <row r="189" spans="1:2" x14ac:dyDescent="0.25">
      <c r="A189" s="5"/>
      <c r="B189" s="5"/>
    </row>
    <row r="190" spans="1:2" x14ac:dyDescent="0.25">
      <c r="A190" s="5"/>
      <c r="B190" s="5"/>
    </row>
    <row r="191" spans="1:2" x14ac:dyDescent="0.25">
      <c r="A191" s="5"/>
      <c r="B191" s="5"/>
    </row>
    <row r="192" spans="1:2" x14ac:dyDescent="0.25">
      <c r="A192" s="5"/>
      <c r="B192" s="5"/>
    </row>
    <row r="193" spans="1:2" x14ac:dyDescent="0.25">
      <c r="A193" s="5"/>
      <c r="B193" s="5"/>
    </row>
    <row r="194" spans="1:2" x14ac:dyDescent="0.25">
      <c r="A194" s="5"/>
      <c r="B194" s="5"/>
    </row>
    <row r="195" spans="1:2" ht="21" x14ac:dyDescent="0.25">
      <c r="A195" s="266"/>
      <c r="B195" s="5"/>
    </row>
    <row r="196" spans="1:2" x14ac:dyDescent="0.25">
      <c r="A196" s="5"/>
      <c r="B196" s="5"/>
    </row>
    <row r="197" spans="1:2" x14ac:dyDescent="0.25">
      <c r="A197" s="5"/>
      <c r="B197" s="5"/>
    </row>
    <row r="198" spans="1:2" x14ac:dyDescent="0.25">
      <c r="A198" s="5"/>
      <c r="B198" s="5"/>
    </row>
    <row r="199" spans="1:2" x14ac:dyDescent="0.25">
      <c r="A199" s="5"/>
      <c r="B199" s="5"/>
    </row>
    <row r="200" spans="1:2" x14ac:dyDescent="0.25">
      <c r="A200" s="5"/>
      <c r="B200" s="5"/>
    </row>
    <row r="201" spans="1:2" x14ac:dyDescent="0.25">
      <c r="A201" s="5"/>
      <c r="B201" s="5"/>
    </row>
    <row r="202" spans="1:2" ht="21" x14ac:dyDescent="0.25">
      <c r="A202" s="266"/>
      <c r="B202" s="5"/>
    </row>
    <row r="203" spans="1:2" x14ac:dyDescent="0.25">
      <c r="A203" s="5"/>
      <c r="B203" s="5"/>
    </row>
    <row r="204" spans="1:2" x14ac:dyDescent="0.25">
      <c r="A204" s="5"/>
      <c r="B204" s="5"/>
    </row>
    <row r="205" spans="1:2" x14ac:dyDescent="0.25">
      <c r="A205" s="365"/>
      <c r="B205" s="366"/>
    </row>
    <row r="206" spans="1:2" x14ac:dyDescent="0.25">
      <c r="A206" s="365"/>
      <c r="B206" s="366"/>
    </row>
    <row r="207" spans="1:2" x14ac:dyDescent="0.25">
      <c r="A207" s="20"/>
      <c r="B207" s="366"/>
    </row>
    <row r="208" spans="1:2" x14ac:dyDescent="0.25">
      <c r="A208" s="365"/>
      <c r="B208" s="366"/>
    </row>
    <row r="209" spans="1:2" x14ac:dyDescent="0.25">
      <c r="A209" s="365"/>
      <c r="B209" s="366"/>
    </row>
    <row r="210" spans="1:2" x14ac:dyDescent="0.25">
      <c r="A210" s="365"/>
      <c r="B210" s="366"/>
    </row>
    <row r="211" spans="1:2" x14ac:dyDescent="0.25">
      <c r="A211" s="20"/>
      <c r="B211" s="367"/>
    </row>
    <row r="212" spans="1:2" x14ac:dyDescent="0.25">
      <c r="A212" s="365"/>
      <c r="B212" s="366"/>
    </row>
    <row r="213" spans="1:2" x14ac:dyDescent="0.25">
      <c r="A213" s="365"/>
      <c r="B213" s="366"/>
    </row>
    <row r="214" spans="1:2" x14ac:dyDescent="0.25">
      <c r="A214" s="365"/>
      <c r="B214" s="366"/>
    </row>
    <row r="215" spans="1:2" x14ac:dyDescent="0.25">
      <c r="A215" s="365"/>
      <c r="B215" s="366"/>
    </row>
    <row r="216" spans="1:2" x14ac:dyDescent="0.25">
      <c r="A216" s="365"/>
      <c r="B216" s="366"/>
    </row>
    <row r="217" spans="1:2" x14ac:dyDescent="0.25">
      <c r="A217" s="365"/>
      <c r="B217" s="366"/>
    </row>
    <row r="218" spans="1:2" x14ac:dyDescent="0.25">
      <c r="A218" s="365"/>
      <c r="B218" s="366"/>
    </row>
    <row r="219" spans="1:2" x14ac:dyDescent="0.25">
      <c r="A219" s="365"/>
      <c r="B219" s="366"/>
    </row>
    <row r="220" spans="1:2" x14ac:dyDescent="0.25">
      <c r="A220" s="368"/>
      <c r="B220" s="369"/>
    </row>
    <row r="221" spans="1:2" x14ac:dyDescent="0.25">
      <c r="A221" s="368"/>
      <c r="B221" s="369"/>
    </row>
    <row r="222" spans="1:2" x14ac:dyDescent="0.25">
      <c r="A222" s="368"/>
      <c r="B222" s="369"/>
    </row>
    <row r="223" spans="1:2" x14ac:dyDescent="0.25">
      <c r="A223" s="368"/>
      <c r="B223" s="369"/>
    </row>
    <row r="224" spans="1:2" x14ac:dyDescent="0.25">
      <c r="A224" s="368"/>
      <c r="B224" s="369"/>
    </row>
    <row r="225" spans="1:2" x14ac:dyDescent="0.25">
      <c r="A225" s="20"/>
      <c r="B225" s="20"/>
    </row>
    <row r="226" spans="1:2" x14ac:dyDescent="0.25">
      <c r="A226" s="367"/>
      <c r="B226" s="369"/>
    </row>
    <row r="227" spans="1:2" x14ac:dyDescent="0.25">
      <c r="A227" s="368"/>
      <c r="B227" s="369"/>
    </row>
    <row r="228" spans="1:2" x14ac:dyDescent="0.25">
      <c r="A228" s="368"/>
      <c r="B228" s="369"/>
    </row>
    <row r="229" spans="1:2" x14ac:dyDescent="0.25">
      <c r="A229" s="368"/>
      <c r="B229" s="369"/>
    </row>
    <row r="230" spans="1:2" x14ac:dyDescent="0.25">
      <c r="A230" s="20"/>
      <c r="B230" s="20"/>
    </row>
    <row r="231" spans="1:2" x14ac:dyDescent="0.25">
      <c r="A231" s="367"/>
      <c r="B231" s="20"/>
    </row>
    <row r="232" spans="1:2" x14ac:dyDescent="0.25">
      <c r="A232" s="368"/>
      <c r="B232" s="369"/>
    </row>
    <row r="233" spans="1:2" x14ac:dyDescent="0.25">
      <c r="A233" s="368"/>
      <c r="B233" s="369"/>
    </row>
    <row r="234" spans="1:2" x14ac:dyDescent="0.25">
      <c r="A234" s="20"/>
      <c r="B234" s="20"/>
    </row>
    <row r="235" spans="1:2" x14ac:dyDescent="0.25">
      <c r="A235" s="20"/>
      <c r="B235" s="20"/>
    </row>
    <row r="236" spans="1:2" x14ac:dyDescent="0.25">
      <c r="A236" s="20"/>
      <c r="B236" s="20"/>
    </row>
    <row r="237" spans="1:2" x14ac:dyDescent="0.25">
      <c r="A237" s="20"/>
      <c r="B237" s="20"/>
    </row>
    <row r="238" spans="1:2" x14ac:dyDescent="0.25">
      <c r="A238" s="20"/>
      <c r="B238" s="20"/>
    </row>
    <row r="239" spans="1:2" x14ac:dyDescent="0.25">
      <c r="A239" s="20"/>
      <c r="B239" s="20"/>
    </row>
    <row r="240" spans="1:2" x14ac:dyDescent="0.25">
      <c r="A240" s="20"/>
      <c r="B240" s="20"/>
    </row>
    <row r="241" spans="1:2" x14ac:dyDescent="0.25">
      <c r="A241" s="20"/>
      <c r="B241" s="20"/>
    </row>
    <row r="242" spans="1:2" ht="15.75" x14ac:dyDescent="0.25">
      <c r="A242" s="26"/>
      <c r="B242" s="27"/>
    </row>
    <row r="243" spans="1:2" ht="15.75" x14ac:dyDescent="0.25">
      <c r="A243" s="26"/>
      <c r="B243" s="27"/>
    </row>
    <row r="244" spans="1:2" ht="15.75" x14ac:dyDescent="0.25">
      <c r="A244" s="26"/>
      <c r="B244" s="27"/>
    </row>
    <row r="245" spans="1:2" ht="15.75" x14ac:dyDescent="0.25">
      <c r="A245" s="26"/>
      <c r="B245" s="27"/>
    </row>
    <row r="246" spans="1:2" ht="15.75" x14ac:dyDescent="0.25">
      <c r="A246" s="26"/>
      <c r="B246" s="27"/>
    </row>
    <row r="247" spans="1:2" ht="15.75" x14ac:dyDescent="0.25">
      <c r="A247" s="26"/>
      <c r="B247" s="27"/>
    </row>
    <row r="248" spans="1:2" ht="15.75" x14ac:dyDescent="0.25">
      <c r="A248" s="26"/>
      <c r="B248" s="27"/>
    </row>
    <row r="249" spans="1:2" ht="15.75" x14ac:dyDescent="0.25">
      <c r="A249" s="26"/>
      <c r="B249" s="27"/>
    </row>
    <row r="250" spans="1:2" ht="15.75" x14ac:dyDescent="0.25">
      <c r="A250" s="26"/>
      <c r="B250" s="27"/>
    </row>
    <row r="251" spans="1:2" ht="15.75" x14ac:dyDescent="0.25">
      <c r="A251" s="26"/>
      <c r="B251" s="27"/>
    </row>
    <row r="252" spans="1:2" ht="15.75" x14ac:dyDescent="0.25">
      <c r="A252" s="26"/>
      <c r="B252" s="27"/>
    </row>
    <row r="253" spans="1:2" ht="15.75" x14ac:dyDescent="0.25">
      <c r="A253" s="26"/>
      <c r="B253" s="27"/>
    </row>
    <row r="254" spans="1:2" ht="15.75" x14ac:dyDescent="0.25">
      <c r="A254" s="26"/>
      <c r="B254" s="27"/>
    </row>
    <row r="255" spans="1:2" ht="15.75" x14ac:dyDescent="0.25">
      <c r="A255" s="26"/>
      <c r="B255" s="27"/>
    </row>
    <row r="256" spans="1:2" ht="15.75" x14ac:dyDescent="0.25">
      <c r="A256" s="26"/>
      <c r="B256" s="27"/>
    </row>
    <row r="257" spans="1:2" ht="15.75" x14ac:dyDescent="0.25">
      <c r="A257" s="26"/>
      <c r="B257" s="27"/>
    </row>
    <row r="258" spans="1:2" ht="15.75" x14ac:dyDescent="0.25">
      <c r="A258" s="26"/>
      <c r="B258" s="27"/>
    </row>
    <row r="259" spans="1:2" ht="15.75" x14ac:dyDescent="0.25">
      <c r="A259" s="26"/>
      <c r="B259" s="27"/>
    </row>
    <row r="260" spans="1:2" ht="15.75" x14ac:dyDescent="0.25">
      <c r="A260" s="26"/>
      <c r="B260" s="27"/>
    </row>
    <row r="261" spans="1:2" ht="15.75" x14ac:dyDescent="0.25">
      <c r="A261" s="26"/>
      <c r="B261" s="27"/>
    </row>
    <row r="262" spans="1:2" ht="15.75" x14ac:dyDescent="0.25">
      <c r="A262" s="26"/>
      <c r="B262" s="27"/>
    </row>
    <row r="263" spans="1:2" ht="15.75" x14ac:dyDescent="0.25">
      <c r="A263" s="26"/>
      <c r="B263" s="27"/>
    </row>
    <row r="264" spans="1:2" ht="15.75" x14ac:dyDescent="0.25">
      <c r="A264" s="26"/>
      <c r="B264" s="27"/>
    </row>
    <row r="265" spans="1:2" ht="15.75" x14ac:dyDescent="0.25">
      <c r="A265" s="26"/>
      <c r="B265" s="27"/>
    </row>
    <row r="266" spans="1:2" ht="15.75" x14ac:dyDescent="0.25">
      <c r="A266" s="26"/>
      <c r="B266" s="27"/>
    </row>
    <row r="267" spans="1:2" ht="15.75" x14ac:dyDescent="0.25">
      <c r="A267" s="26"/>
      <c r="B267" s="27"/>
    </row>
    <row r="268" spans="1:2" ht="15.75" x14ac:dyDescent="0.25">
      <c r="A268" s="26"/>
      <c r="B268" s="27"/>
    </row>
    <row r="269" spans="1:2" ht="15.75" x14ac:dyDescent="0.25">
      <c r="A269" s="26"/>
      <c r="B269" s="27"/>
    </row>
    <row r="270" spans="1:2" ht="15.75" x14ac:dyDescent="0.25">
      <c r="A270" s="26"/>
      <c r="B270" s="27"/>
    </row>
    <row r="271" spans="1:2" ht="15.75" x14ac:dyDescent="0.25">
      <c r="A271" s="26"/>
      <c r="B271" s="27"/>
    </row>
    <row r="272" spans="1:2" ht="15.75" x14ac:dyDescent="0.25">
      <c r="A272" s="26"/>
      <c r="B272" s="27"/>
    </row>
    <row r="273" spans="1:2" ht="15.75" x14ac:dyDescent="0.25">
      <c r="A273" s="26"/>
      <c r="B273" s="27"/>
    </row>
    <row r="274" spans="1:2" ht="15.75" x14ac:dyDescent="0.25">
      <c r="A274" s="26"/>
      <c r="B274" s="27"/>
    </row>
    <row r="275" spans="1:2" ht="15.75" x14ac:dyDescent="0.25">
      <c r="A275" s="26"/>
      <c r="B275" s="27"/>
    </row>
    <row r="276" spans="1:2" ht="15.75" x14ac:dyDescent="0.25">
      <c r="A276" s="26"/>
      <c r="B276" s="27"/>
    </row>
    <row r="277" spans="1:2" ht="15.75" x14ac:dyDescent="0.25">
      <c r="A277" s="26"/>
      <c r="B277" s="27"/>
    </row>
    <row r="278" spans="1:2" ht="15.75" x14ac:dyDescent="0.25">
      <c r="A278" s="26"/>
      <c r="B278" s="27"/>
    </row>
    <row r="279" spans="1:2" ht="15.75" x14ac:dyDescent="0.25">
      <c r="A279" s="26"/>
      <c r="B279" s="27"/>
    </row>
    <row r="280" spans="1:2" ht="15.75" x14ac:dyDescent="0.25">
      <c r="A280" s="26"/>
      <c r="B280" s="27"/>
    </row>
    <row r="281" spans="1:2" ht="15.75" x14ac:dyDescent="0.25">
      <c r="A281" s="26"/>
      <c r="B281" s="27"/>
    </row>
    <row r="282" spans="1:2" ht="15.75" x14ac:dyDescent="0.25">
      <c r="A282" s="26"/>
      <c r="B282" s="27"/>
    </row>
    <row r="283" spans="1:2" ht="15.75" x14ac:dyDescent="0.25">
      <c r="A283" s="26"/>
      <c r="B283" s="27"/>
    </row>
    <row r="284" spans="1:2" ht="15.75" x14ac:dyDescent="0.25">
      <c r="A284" s="26"/>
      <c r="B284" s="27"/>
    </row>
    <row r="285" spans="1:2" ht="15.75" x14ac:dyDescent="0.25">
      <c r="A285" s="26"/>
      <c r="B285" s="27"/>
    </row>
    <row r="286" spans="1:2" ht="15.75" x14ac:dyDescent="0.25">
      <c r="A286" s="26"/>
      <c r="B286" s="27"/>
    </row>
    <row r="287" spans="1:2" ht="15.75" x14ac:dyDescent="0.25">
      <c r="A287" s="26"/>
      <c r="B287" s="27"/>
    </row>
    <row r="288" spans="1:2" ht="15.75" x14ac:dyDescent="0.25">
      <c r="A288" s="26"/>
      <c r="B288" s="27"/>
    </row>
    <row r="289" spans="1:2" ht="15.75" x14ac:dyDescent="0.25">
      <c r="A289" s="26"/>
      <c r="B289" s="27"/>
    </row>
    <row r="290" spans="1:2" ht="15.75" x14ac:dyDescent="0.25">
      <c r="A290" s="26"/>
      <c r="B290" s="27"/>
    </row>
    <row r="291" spans="1:2" ht="15.75" x14ac:dyDescent="0.25">
      <c r="A291" s="26"/>
      <c r="B291" s="27"/>
    </row>
    <row r="292" spans="1:2" ht="15.75" x14ac:dyDescent="0.25">
      <c r="A292" s="26"/>
      <c r="B292" s="27"/>
    </row>
    <row r="293" spans="1:2" ht="15.75" x14ac:dyDescent="0.25">
      <c r="A293" s="26"/>
      <c r="B293" s="27"/>
    </row>
    <row r="294" spans="1:2" ht="15.75" x14ac:dyDescent="0.25">
      <c r="A294" s="26"/>
      <c r="B294" s="27"/>
    </row>
    <row r="295" spans="1:2" ht="15.75" x14ac:dyDescent="0.25">
      <c r="A295" s="26"/>
      <c r="B295" s="27"/>
    </row>
    <row r="296" spans="1:2" ht="15.75" x14ac:dyDescent="0.25">
      <c r="A296" s="26"/>
      <c r="B296" s="27"/>
    </row>
    <row r="297" spans="1:2" ht="15.75" x14ac:dyDescent="0.25">
      <c r="A297" s="26"/>
      <c r="B297" s="27"/>
    </row>
    <row r="298" spans="1:2" ht="15.75" x14ac:dyDescent="0.25">
      <c r="A298" s="26"/>
      <c r="B298" s="27"/>
    </row>
    <row r="299" spans="1:2" ht="15.75" x14ac:dyDescent="0.25">
      <c r="A299" s="26"/>
      <c r="B299" s="27"/>
    </row>
    <row r="300" spans="1:2" ht="15.75" x14ac:dyDescent="0.25">
      <c r="A300" s="26"/>
      <c r="B300" s="27"/>
    </row>
    <row r="301" spans="1:2" ht="15.75" x14ac:dyDescent="0.25">
      <c r="A301" s="26"/>
      <c r="B301" s="27"/>
    </row>
    <row r="302" spans="1:2" ht="15.75" x14ac:dyDescent="0.25">
      <c r="A302" s="26"/>
      <c r="B302" s="27"/>
    </row>
    <row r="303" spans="1:2" ht="15.75" x14ac:dyDescent="0.25">
      <c r="A303" s="26"/>
      <c r="B303" s="27"/>
    </row>
    <row r="304" spans="1:2" ht="15.75" x14ac:dyDescent="0.25">
      <c r="A304" s="26"/>
      <c r="B304" s="27"/>
    </row>
    <row r="305" spans="1:2" ht="15.75" x14ac:dyDescent="0.25">
      <c r="A305" s="26"/>
      <c r="B305" s="27"/>
    </row>
    <row r="306" spans="1:2" ht="15.75" x14ac:dyDescent="0.25">
      <c r="A306" s="26"/>
      <c r="B306" s="27"/>
    </row>
  </sheetData>
  <pageMargins left="0.7" right="0.7" top="0.5" bottom="0.5" header="0.3" footer="0.3"/>
  <pageSetup scale="41" fitToHeight="2"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C8AAA-4496-477C-84F5-4E5CA773807B}">
  <sheetPr codeName="Sheet8">
    <tabColor rgb="FF00B0F0"/>
    <pageSetUpPr fitToPage="1"/>
  </sheetPr>
  <dimension ref="A1:F19"/>
  <sheetViews>
    <sheetView workbookViewId="0">
      <selection activeCell="J10" sqref="J10"/>
    </sheetView>
  </sheetViews>
  <sheetFormatPr defaultColWidth="9.140625" defaultRowHeight="15" x14ac:dyDescent="0.25"/>
  <cols>
    <col min="1" max="1" width="40.42578125" bestFit="1" customWidth="1"/>
    <col min="2" max="2" width="13.7109375" customWidth="1"/>
    <col min="3" max="3" width="12" customWidth="1"/>
    <col min="4" max="4" width="18.5703125" customWidth="1"/>
    <col min="5" max="5" width="14.28515625" customWidth="1"/>
    <col min="6" max="6" width="17.85546875" customWidth="1"/>
  </cols>
  <sheetData>
    <row r="1" spans="1:6" ht="18.75" x14ac:dyDescent="0.3">
      <c r="A1" s="42" t="str">
        <f>Alibis!A1</f>
        <v>Student</v>
      </c>
      <c r="C1" s="43" t="str">
        <f>Alibis!C1</f>
        <v>DOYLE, DEVIN</v>
      </c>
    </row>
    <row r="2" spans="1:6" ht="18.75" x14ac:dyDescent="0.3">
      <c r="A2" s="42" t="str">
        <f>Alibis!A2</f>
        <v>Crew Type</v>
      </c>
      <c r="C2" s="43" t="str">
        <f>Alibis!C2</f>
        <v>STC</v>
      </c>
      <c r="F2" s="82" t="s">
        <v>140</v>
      </c>
    </row>
    <row r="3" spans="1:6" ht="18.75" x14ac:dyDescent="0.3">
      <c r="A3" s="42" t="str">
        <f>Alibis!A3</f>
        <v>Class</v>
      </c>
      <c r="C3" s="43" t="str">
        <f>Alibis!C3</f>
        <v>26A STC</v>
      </c>
      <c r="F3" s="3"/>
    </row>
    <row r="4" spans="1:6" ht="19.5" thickBot="1" x14ac:dyDescent="0.35">
      <c r="A4" s="1"/>
      <c r="C4" s="2"/>
      <c r="F4" s="3"/>
    </row>
    <row r="5" spans="1:6" ht="15" customHeight="1" x14ac:dyDescent="0.25">
      <c r="B5" s="1143" t="s">
        <v>2</v>
      </c>
      <c r="C5" s="1143"/>
      <c r="D5" s="1143"/>
      <c r="E5" s="1143"/>
      <c r="F5" s="1143"/>
    </row>
    <row r="6" spans="1:6" ht="18" customHeight="1" x14ac:dyDescent="0.25">
      <c r="B6" s="1144"/>
      <c r="C6" s="1144"/>
      <c r="D6" s="1144"/>
      <c r="E6" s="1144"/>
      <c r="F6" s="1144"/>
    </row>
    <row r="7" spans="1:6" ht="37.5" x14ac:dyDescent="0.25">
      <c r="A7" s="7" t="s">
        <v>3</v>
      </c>
      <c r="B7" s="7" t="s">
        <v>4</v>
      </c>
      <c r="C7" s="6" t="s">
        <v>10</v>
      </c>
      <c r="D7" s="7" t="s">
        <v>5</v>
      </c>
      <c r="E7" s="7" t="s">
        <v>6</v>
      </c>
      <c r="F7" s="7" t="s">
        <v>1</v>
      </c>
    </row>
    <row r="8" spans="1:6" x14ac:dyDescent="0.25">
      <c r="A8" s="69" t="s">
        <v>688</v>
      </c>
      <c r="B8" s="66" t="str">
        <f>IF(ISBLANK('AS 7140S FQ'!hdr_acft),"",'AS 7140S FQ'!hdr_acft)</f>
        <v/>
      </c>
      <c r="C8" s="67" t="str">
        <f>IF(ISBLANK('AS 7140S FQ'!hdr_time),"",'AS 7140S FQ'!hdr_time)</f>
        <v/>
      </c>
      <c r="D8" s="66" t="str">
        <f>IF(ISBLANK('AS 7140S FQ'!hdr_instr),"",'AS 7140S FQ'!hdr_instr)</f>
        <v>Charles Selerno</v>
      </c>
      <c r="E8" s="68">
        <f>IF(ISBLANK('AS 7140S FQ'!hdr_date),"",'AS 7140S FQ'!hdr_date)</f>
        <v>46156</v>
      </c>
      <c r="F8" s="102" t="str">
        <f>IF(ISBLANK('AS 7140S FQ'!grade),0,'AS 7140S FQ'!grade)</f>
        <v>INCOMPLETE</v>
      </c>
    </row>
    <row r="9" spans="1:6" x14ac:dyDescent="0.25">
      <c r="A9" s="69" t="s">
        <v>441</v>
      </c>
      <c r="B9" s="66" t="str">
        <f>IF(ISBLANK('AS 7140S HQ'!hdr_acft),"",'AS 7140S HQ'!hdr_acft)</f>
        <v/>
      </c>
      <c r="C9" s="67" t="str">
        <f>IF(ISBLANK('AS 7140S HQ'!hdr_time),"",'AS 7140S HQ'!hdr_time)</f>
        <v/>
      </c>
      <c r="D9" s="66" t="str">
        <f>IF(ISBLANK('AS 7140S HQ'!hdr_instr),"",'AS 7140S HQ'!hdr_instr)</f>
        <v/>
      </c>
      <c r="E9" s="68" t="str">
        <f>IF(ISBLANK('AS 7140S HQ'!hdr_date),"",'AS 7140S HQ'!hdr_date)</f>
        <v/>
      </c>
      <c r="F9" s="102" t="str">
        <f>IF(ISBLANK('AS 7140S HQ'!grade),0,'AS 7140S HQ'!grade)</f>
        <v>---</v>
      </c>
    </row>
    <row r="10" spans="1:6" x14ac:dyDescent="0.25">
      <c r="A10" s="69" t="s">
        <v>457</v>
      </c>
      <c r="B10" s="66" t="str">
        <f>IF(ISBLANK('AS 7150S'!hdr_acft),"",'AS 7150S'!hdr_acft)</f>
        <v>Control Room</v>
      </c>
      <c r="C10" s="67" t="str">
        <f>IF(ISBLANK('AS 7150S'!hdr_time),"",'AS 7150S'!hdr_time)</f>
        <v/>
      </c>
      <c r="D10" s="66" t="str">
        <f>IF(ISBLANK('AS 7150S'!hdr_instr),"",'AS 7150S'!hdr_instr)</f>
        <v/>
      </c>
      <c r="E10" s="68" t="str">
        <f>IF(ISBLANK('AS 7150S'!hdr_date),"",'AS 7150S'!hdr_date)</f>
        <v/>
      </c>
      <c r="F10" s="102" t="str">
        <f>IF(ISBLANK('AS 7150S'!grade),0,'AS 7150S'!grade)</f>
        <v>0</v>
      </c>
    </row>
    <row r="11" spans="1:6" x14ac:dyDescent="0.25">
      <c r="A11" s="69" t="s">
        <v>690</v>
      </c>
      <c r="B11" s="66" t="str">
        <f>IF(ISBLANK('AS 7160S'!hdr_acft),"",'AS 7160S'!hdr_acft)</f>
        <v/>
      </c>
      <c r="C11" s="67" t="str">
        <f>IF(ISBLANK('AS 7160S'!hdr_time),"",'AS 7160S'!hdr_time)</f>
        <v/>
      </c>
      <c r="D11" s="66" t="str">
        <f>IF(ISBLANK('AS 7160S'!hdr_instr),"",'AS 7160S'!hdr_instr)</f>
        <v/>
      </c>
      <c r="E11" s="68" t="str">
        <f>IF(ISBLANK('AS 7160S'!hdr_date),"",'AS 7160S'!hdr_date)</f>
        <v/>
      </c>
      <c r="F11" s="102" t="str">
        <f>IF(ISBLANK('AS 7160S'!grade),0,'AS 7160S'!grade)</f>
        <v>---</v>
      </c>
    </row>
    <row r="12" spans="1:6" x14ac:dyDescent="0.25">
      <c r="B12" s="4"/>
      <c r="C12" s="8"/>
      <c r="D12" s="5"/>
      <c r="E12" s="5"/>
      <c r="F12" s="5"/>
    </row>
    <row r="13" spans="1:6" x14ac:dyDescent="0.25">
      <c r="B13" s="4"/>
      <c r="C13" s="8"/>
      <c r="D13" s="5"/>
      <c r="E13" s="5"/>
      <c r="F13" s="5"/>
    </row>
    <row r="14" spans="1:6" x14ac:dyDescent="0.25">
      <c r="B14" s="4"/>
      <c r="C14" s="8"/>
      <c r="D14" s="5"/>
      <c r="E14" s="5"/>
      <c r="F14" s="5"/>
    </row>
    <row r="15" spans="1:6" ht="37.5" x14ac:dyDescent="0.25">
      <c r="A15" s="7" t="s">
        <v>7</v>
      </c>
      <c r="B15" s="7" t="s">
        <v>4</v>
      </c>
      <c r="C15" s="7" t="s">
        <v>8</v>
      </c>
      <c r="D15" s="7" t="s">
        <v>5</v>
      </c>
      <c r="E15" s="7" t="s">
        <v>9</v>
      </c>
      <c r="F15" s="7" t="s">
        <v>1</v>
      </c>
    </row>
    <row r="16" spans="1:6" x14ac:dyDescent="0.25">
      <c r="A16" s="81" t="s">
        <v>315</v>
      </c>
      <c r="B16" s="66"/>
      <c r="C16" s="66"/>
      <c r="D16" s="66" t="str">
        <f>IF(ISBLANK('AS 7130L'!instructor),"",'AS 7130L'!instructor)</f>
        <v/>
      </c>
      <c r="E16" s="68" t="str">
        <f>IF(ISBLANK('AS 7130L'!date),"",'AS 7130L'!date)</f>
        <v/>
      </c>
      <c r="F16" s="102">
        <f>IF(ISBLANK('AS 7130L'!report_grade),"",'AS 7130L'!report_grade)</f>
        <v>0.89750000000000019</v>
      </c>
    </row>
    <row r="17" spans="1:6" x14ac:dyDescent="0.25">
      <c r="A17" s="81" t="s">
        <v>664</v>
      </c>
      <c r="B17" s="66"/>
      <c r="C17" s="66"/>
      <c r="D17" s="66" t="str">
        <f>IF(ISBLANK('AS 7310A'!instructor),"",'AS 7310A'!instructor)</f>
        <v/>
      </c>
      <c r="E17" s="68" t="str">
        <f>IF(ISBLANK('AS 7310A'!date),"",'AS 7310A'!date)</f>
        <v/>
      </c>
      <c r="F17" s="102">
        <f>IF(ISBLANK('AS 7310A'!report_grade),"",'AS 7310A'!report_grade)</f>
        <v>0</v>
      </c>
    </row>
    <row r="18" spans="1:6" x14ac:dyDescent="0.25">
      <c r="A18" s="81" t="s">
        <v>496</v>
      </c>
      <c r="B18" s="66"/>
      <c r="C18" s="66"/>
      <c r="D18" s="66" t="str">
        <f>IF(ISBLANK('AS 7314W'!instructor),"",'AS 7314W'!instructor)</f>
        <v/>
      </c>
      <c r="E18" s="68" t="str">
        <f>IF(ISBLANK('AS 7314W'!date),"",'AS 7314W'!date)</f>
        <v/>
      </c>
      <c r="F18" s="102" t="str">
        <f>IF(ISBLANK('AS 7314W'!report_grade),"",'AS 7314W'!report_grade)</f>
        <v>0</v>
      </c>
    </row>
    <row r="19" spans="1:6" x14ac:dyDescent="0.25">
      <c r="A19" s="81" t="s">
        <v>497</v>
      </c>
      <c r="B19" s="66"/>
      <c r="C19" s="66"/>
      <c r="D19" s="66" t="str">
        <f>IF(ISBLANK('AS 7316R'!instructor),"",'AS 7316R'!instructor)</f>
        <v/>
      </c>
      <c r="E19" s="68" t="str">
        <f>IF(ISBLANK('AS 7316R'!date),"",'AS 7316R'!date)</f>
        <v/>
      </c>
      <c r="F19" s="102" t="str">
        <f>IF(ISBLANK('AS 7316R'!report_grade),"",'AS 7316R'!report_grade)</f>
        <v>---</v>
      </c>
    </row>
  </sheetData>
  <mergeCells count="1">
    <mergeCell ref="B5:F6"/>
  </mergeCells>
  <hyperlinks>
    <hyperlink ref="F2" location="Review!A1" display="Review Tab" xr:uid="{461F7590-C627-4C37-A44A-BD2C782005B0}"/>
    <hyperlink ref="A16" location="'AS 7130L'!A1" display="AS 7130L Satellite Systems Labs" xr:uid="{D768AFE0-51C6-4EEF-A4AC-915DE0D07D9B}"/>
    <hyperlink ref="A8" location="'AS 7140S FQ'!A1" display="AS 7140S GROOT Flying Qualities" xr:uid="{93FC4B3B-D3DA-4E9E-A76F-48B42928FD43}"/>
    <hyperlink ref="A11" location="'AS 7160S'!A1" display="AS 7160S GROOT CG Auto-location" xr:uid="{BDCF1D8B-25E7-4F0C-89F2-520117BAA283}"/>
    <hyperlink ref="A17" location="'AS 7310A'!A1" display="AS 7310A Rocket Sim Assignment Brief" xr:uid="{4EF9FD40-2181-44AD-999E-540AF87DAB4A}"/>
    <hyperlink ref="A18" location="'AS 7314W'!A1" display="AS 7314W Rocket Test Plan Review" xr:uid="{AE654296-DCD8-4E72-AF1D-3A4AFA2EE23B}"/>
    <hyperlink ref="A19" location="'AS 7316R'!A1" display="AS 7316R Rocket Report Flight V&amp;V Report" xr:uid="{5F7FC21F-DE43-4366-8995-8BDE4F6257E2}"/>
    <hyperlink ref="A9" location="'AS 7140S HQ'!A1" display="AS 7140S GROOT Handling Qualities" xr:uid="{711D191C-814E-4D10-BB92-8E67ADEE0BA4}"/>
    <hyperlink ref="A10" location="'AS 7150S'!A1" display="AS 7150S Aerocube Attitude Testing" xr:uid="{FFBA59D3-0DE1-434F-980E-291F63A2A0BE}"/>
  </hyperlinks>
  <pageMargins left="0.7" right="0.7" top="0.5" bottom="0.5" header="0.3" footer="0.3"/>
  <pageSetup scale="94" fitToHeight="2"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F2EE4-4040-4C69-BD8C-E0C45B8337F9}">
  <sheetPr codeName="Sheet10">
    <tabColor rgb="FFFF0000"/>
    <pageSetUpPr fitToPage="1"/>
  </sheetPr>
  <dimension ref="A1:F15"/>
  <sheetViews>
    <sheetView zoomScaleNormal="100" workbookViewId="0">
      <selection activeCell="A19" sqref="A19"/>
    </sheetView>
  </sheetViews>
  <sheetFormatPr defaultColWidth="9.140625" defaultRowHeight="15" x14ac:dyDescent="0.25"/>
  <cols>
    <col min="1" max="1" width="59.85546875" bestFit="1" customWidth="1"/>
    <col min="2" max="2" width="13.7109375" customWidth="1"/>
    <col min="3" max="3" width="12" style="15" customWidth="1"/>
    <col min="4" max="4" width="22.85546875" customWidth="1"/>
    <col min="5" max="5" width="14.28515625" customWidth="1"/>
    <col min="6" max="6" width="17.85546875" customWidth="1"/>
  </cols>
  <sheetData>
    <row r="1" spans="1:6" ht="18.75" x14ac:dyDescent="0.3">
      <c r="A1" s="42" t="str">
        <f>Alibis!A1</f>
        <v>Student</v>
      </c>
      <c r="C1" s="43" t="str">
        <f>Alibis!C1</f>
        <v>DOYLE, DEVIN</v>
      </c>
    </row>
    <row r="2" spans="1:6" ht="18.75" x14ac:dyDescent="0.3">
      <c r="A2" s="42" t="str">
        <f>Alibis!A2</f>
        <v>Crew Type</v>
      </c>
      <c r="C2" s="43" t="str">
        <f>Alibis!C2</f>
        <v>STC</v>
      </c>
      <c r="F2" s="82" t="s">
        <v>140</v>
      </c>
    </row>
    <row r="3" spans="1:6" ht="18.75" x14ac:dyDescent="0.3">
      <c r="A3" s="42" t="str">
        <f>Alibis!A3</f>
        <v>Class</v>
      </c>
      <c r="C3" s="43" t="str">
        <f>Alibis!C3</f>
        <v>26A STC</v>
      </c>
      <c r="F3" s="3"/>
    </row>
    <row r="4" spans="1:6" ht="19.5" thickBot="1" x14ac:dyDescent="0.35">
      <c r="A4" s="1"/>
      <c r="C4" s="2"/>
      <c r="F4" s="3"/>
    </row>
    <row r="5" spans="1:6" ht="15" customHeight="1" x14ac:dyDescent="0.25">
      <c r="B5" s="1143" t="s">
        <v>2</v>
      </c>
      <c r="C5" s="1143"/>
      <c r="D5" s="1143"/>
      <c r="E5" s="1143"/>
      <c r="F5" s="1143"/>
    </row>
    <row r="6" spans="1:6" ht="17.25" customHeight="1" x14ac:dyDescent="0.25">
      <c r="B6" s="1144"/>
      <c r="C6" s="1144"/>
      <c r="D6" s="1144"/>
      <c r="E6" s="1144"/>
      <c r="F6" s="1144"/>
    </row>
    <row r="7" spans="1:6" ht="37.5" x14ac:dyDescent="0.25">
      <c r="A7" s="7" t="s">
        <v>3</v>
      </c>
      <c r="B7" s="7" t="s">
        <v>4</v>
      </c>
      <c r="C7" s="6" t="s">
        <v>10</v>
      </c>
      <c r="D7" s="7" t="s">
        <v>5</v>
      </c>
      <c r="E7" s="7" t="s">
        <v>6</v>
      </c>
      <c r="F7" s="7" t="s">
        <v>1</v>
      </c>
    </row>
    <row r="8" spans="1:6" x14ac:dyDescent="0.25">
      <c r="A8" s="69" t="s">
        <v>498</v>
      </c>
      <c r="B8" s="66" t="str">
        <f>IF(ISBLANK('SY 7213C'!hdr_acft),"",'SY 7213C'!hdr_acft)</f>
        <v>Control Room</v>
      </c>
      <c r="C8" s="67" t="str">
        <f>IF(ISBLANK('SY 7213C'!hdr_time),"",'SY 7213C'!hdr_time)</f>
        <v/>
      </c>
      <c r="D8" s="66" t="str">
        <f>IF(ISBLANK('SY 7213C'!hdr_instr),"",'SY 7213C'!hdr_instr)</f>
        <v/>
      </c>
      <c r="E8" s="68" t="str">
        <f>IF(ISBLANK('SY 7213C'!hdr_date),"",'SY 7213C'!hdr_date)</f>
        <v/>
      </c>
      <c r="F8" s="102" t="str">
        <f>IF(ISBLANK('SY 7213C'!grade),0,'SY 7213C'!grade)</f>
        <v>0</v>
      </c>
    </row>
    <row r="9" spans="1:6" x14ac:dyDescent="0.25">
      <c r="A9" s="69" t="s">
        <v>508</v>
      </c>
      <c r="B9" s="66" t="str">
        <f>IF(ISBLANK('SY 7521O'!hdr_acft),"",'SY 7521O'!hdr_acft)</f>
        <v>Control Room</v>
      </c>
      <c r="C9" s="67" t="str">
        <f>IF(ISBLANK('SY 7521O'!hdr_time),"",'SY 7521O'!hdr_time)</f>
        <v/>
      </c>
      <c r="D9" s="66" t="str">
        <f>IF(ISBLANK('SY 7521O'!hdr_instr),"",'SY 7521O'!hdr_instr)</f>
        <v/>
      </c>
      <c r="E9" s="68" t="str">
        <f>IF(ISBLANK('SY 7521O'!hdr_date),"",'SY 7521O'!hdr_date)</f>
        <v/>
      </c>
      <c r="F9" s="102" t="str">
        <f>IF(ISBLANK('SY 7521O'!grade),0,'SY 7521O'!grade)</f>
        <v>0</v>
      </c>
    </row>
    <row r="10" spans="1:6" ht="18.75" x14ac:dyDescent="0.25">
      <c r="A10" s="9"/>
      <c r="B10" s="10"/>
      <c r="C10" s="11"/>
      <c r="D10" s="12"/>
      <c r="E10" s="13"/>
      <c r="F10" s="14"/>
    </row>
    <row r="11" spans="1:6" ht="18.75" x14ac:dyDescent="0.25">
      <c r="A11" s="9"/>
      <c r="B11" s="10"/>
      <c r="C11" s="11"/>
      <c r="D11" s="12"/>
      <c r="E11" s="13"/>
      <c r="F11" s="14"/>
    </row>
    <row r="13" spans="1:6" ht="37.5" x14ac:dyDescent="0.25">
      <c r="A13" s="7" t="s">
        <v>7</v>
      </c>
      <c r="B13" s="7" t="s">
        <v>4</v>
      </c>
      <c r="C13" s="7" t="s">
        <v>8</v>
      </c>
      <c r="D13" s="7" t="s">
        <v>5</v>
      </c>
      <c r="E13" s="7" t="s">
        <v>9</v>
      </c>
      <c r="F13" s="7" t="s">
        <v>1</v>
      </c>
    </row>
    <row r="14" spans="1:6" x14ac:dyDescent="0.25">
      <c r="A14" s="502" t="s">
        <v>679</v>
      </c>
      <c r="B14" s="503"/>
      <c r="C14" s="504"/>
      <c r="D14" s="66" t="str">
        <f>IF(ISBLANK('SY 752xx'!instructor),"",'SY 752xx'!instructor)</f>
        <v/>
      </c>
      <c r="E14" s="68" t="str">
        <f>IF(ISBLANK('SY 752xx'!date),"",'SY 752xx'!date)</f>
        <v/>
      </c>
      <c r="F14" s="102" t="str">
        <f>'SY 752xx'!report_grade</f>
        <v>0</v>
      </c>
    </row>
    <row r="15" spans="1:6" x14ac:dyDescent="0.25">
      <c r="A15" s="502" t="s">
        <v>680</v>
      </c>
      <c r="B15" s="503"/>
      <c r="C15" s="66"/>
      <c r="D15" s="66" t="str">
        <f>IF(ISBLANK('SY 7522Y'!instructor),"",'SY 7522Y'!instructor)</f>
        <v/>
      </c>
      <c r="E15" s="68" t="str">
        <f>IF(ISBLANK('SY 7522Y'!date),"",'SY 7522Y'!date)</f>
        <v/>
      </c>
      <c r="F15" s="102">
        <f>'SY 7522Y'!report_grade</f>
        <v>0</v>
      </c>
    </row>
  </sheetData>
  <sheetProtection algorithmName="SHA-512" hashValue="VPThNXNGiiG46ccntQ410WXO3gc7YikeFutx0pX5qxf/f1wgr/xOxIiZXi1MTmCk/MUBcukrMpcK6VFxfijwSw==" saltValue="SIJ4jVcksNoswps1aAC59A==" spinCount="100000" sheet="1"/>
  <mergeCells count="1">
    <mergeCell ref="B5:F6"/>
  </mergeCells>
  <hyperlinks>
    <hyperlink ref="F2" location="Review!A1" display="Review Tab" xr:uid="{7CB1572A-20A5-458F-95EB-919CB8CB99E6}"/>
    <hyperlink ref="A8" location="'SY 7213C'!A1" display="SY 7213C F-16 Weapons Delivery Control Room (ABM/FTE/STC)" xr:uid="{4AFB3800-68ED-45C8-9A4E-92EF34F782CB}"/>
    <hyperlink ref="A9" location="'SY 7521O'!A1" display="SY 7521O Space Systems Practical (STC)" xr:uid="{D69F7811-8B1B-45DE-BC3F-8D396684A05A}"/>
    <hyperlink ref="A14" location="'SY 752xx'!A1" display="SY 752xx Space Systems Practical Test Plan" xr:uid="{590C0714-D08A-4159-9597-63AA67E0EBEB}"/>
    <hyperlink ref="A15" location="'SY 7522Y'!A1" display="SY 7522Y Space Systems Practical Oral Report" xr:uid="{E9C83253-BF5D-40B3-8C92-229016B6239F}"/>
  </hyperlinks>
  <pageMargins left="0.7" right="0.7" top="0.5" bottom="0.5" header="0.3" footer="0.3"/>
  <pageSetup scale="90" fitToHeight="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6E728-56DB-4F1D-B779-16B446599C40}">
  <sheetPr codeName="Sheet11">
    <tabColor rgb="FFFFFF00"/>
    <pageSetUpPr fitToPage="1"/>
  </sheetPr>
  <dimension ref="A1:F23"/>
  <sheetViews>
    <sheetView workbookViewId="0">
      <selection activeCell="A8" sqref="A8"/>
    </sheetView>
  </sheetViews>
  <sheetFormatPr defaultColWidth="9.140625" defaultRowHeight="15" x14ac:dyDescent="0.25"/>
  <cols>
    <col min="1" max="1" width="57" style="16" bestFit="1" customWidth="1"/>
    <col min="2" max="2" width="13.7109375" style="16" customWidth="1"/>
    <col min="3" max="3" width="12" style="16" customWidth="1"/>
    <col min="4" max="4" width="18.5703125" style="16" customWidth="1"/>
    <col min="5" max="5" width="14.28515625" style="16" customWidth="1"/>
    <col min="6" max="6" width="17.85546875" style="16" customWidth="1"/>
  </cols>
  <sheetData>
    <row r="1" spans="1:6" ht="18.75" x14ac:dyDescent="0.3">
      <c r="A1" s="42" t="str">
        <f>Alibis!A1</f>
        <v>Student</v>
      </c>
      <c r="B1"/>
      <c r="C1" s="43" t="str">
        <f>Alibis!C1</f>
        <v>DOYLE, DEVIN</v>
      </c>
      <c r="D1"/>
      <c r="E1"/>
      <c r="F1"/>
    </row>
    <row r="2" spans="1:6" ht="18.75" x14ac:dyDescent="0.3">
      <c r="A2" s="42" t="str">
        <f>Alibis!A2</f>
        <v>Crew Type</v>
      </c>
      <c r="B2"/>
      <c r="C2" s="43" t="str">
        <f>Alibis!C2</f>
        <v>STC</v>
      </c>
      <c r="D2"/>
      <c r="E2"/>
      <c r="F2" s="82" t="s">
        <v>140</v>
      </c>
    </row>
    <row r="3" spans="1:6" ht="18.75" x14ac:dyDescent="0.3">
      <c r="A3" s="42" t="str">
        <f>Alibis!A3</f>
        <v>Class</v>
      </c>
      <c r="B3"/>
      <c r="C3" s="43" t="str">
        <f>Alibis!C3</f>
        <v>26A STC</v>
      </c>
      <c r="D3"/>
      <c r="E3"/>
      <c r="F3" s="3"/>
    </row>
    <row r="4" spans="1:6" ht="19.5" thickBot="1" x14ac:dyDescent="0.35">
      <c r="A4" s="1"/>
      <c r="B4"/>
      <c r="C4" s="2"/>
      <c r="D4"/>
      <c r="E4"/>
      <c r="F4" s="3"/>
    </row>
    <row r="5" spans="1:6" ht="15" customHeight="1" x14ac:dyDescent="0.25">
      <c r="A5"/>
      <c r="B5" s="1143" t="s">
        <v>2</v>
      </c>
      <c r="C5" s="1143"/>
      <c r="D5" s="1143"/>
      <c r="E5" s="1143"/>
      <c r="F5" s="1143"/>
    </row>
    <row r="6" spans="1:6" ht="18.75" customHeight="1" x14ac:dyDescent="0.25">
      <c r="A6"/>
      <c r="B6" s="1144"/>
      <c r="C6" s="1144"/>
      <c r="D6" s="1144"/>
      <c r="E6" s="1144"/>
      <c r="F6" s="1144"/>
    </row>
    <row r="7" spans="1:6" ht="37.5" x14ac:dyDescent="0.25">
      <c r="A7" s="7" t="s">
        <v>3</v>
      </c>
      <c r="B7" s="7" t="s">
        <v>4</v>
      </c>
      <c r="C7" s="6" t="s">
        <v>10</v>
      </c>
      <c r="D7" s="7" t="s">
        <v>5</v>
      </c>
      <c r="E7" s="7" t="s">
        <v>6</v>
      </c>
      <c r="F7" s="7" t="s">
        <v>1</v>
      </c>
    </row>
    <row r="8" spans="1:6" ht="30" x14ac:dyDescent="0.25">
      <c r="A8" s="69" t="s">
        <v>295</v>
      </c>
      <c r="B8" s="66" t="str">
        <f>IF(ISBLANK('TF 6221C'!hdr_acft),"",'TF 6221C'!hdr_acft)</f>
        <v>Control Room</v>
      </c>
      <c r="C8" s="67">
        <f>IF(ISBLANK('TF 6221C'!hdr_time),"",'TF 6221C'!hdr_time)</f>
        <v>1</v>
      </c>
      <c r="D8" s="66" t="str">
        <f>IF(ISBLANK('TF 6221C'!hdr_instr),"",'TF 6221C'!hdr_instr)</f>
        <v>Tegtmeier, Carl "Rubix"</v>
      </c>
      <c r="E8" s="68">
        <f>IF(ISBLANK('TF 6221C'!hdr_date),"",'TF 6221C'!hdr_date)</f>
        <v>46085</v>
      </c>
      <c r="F8" s="102">
        <f>IF(ISBLANK('TF 6221C'!grade),0,'TF 6221C'!grade)</f>
        <v>0.93173076923076925</v>
      </c>
    </row>
    <row r="9" spans="1:6" x14ac:dyDescent="0.25">
      <c r="A9" s="69" t="s">
        <v>440</v>
      </c>
      <c r="B9" s="66" t="str">
        <f>IF(ISBLANK('TF 6233C'!hdr_acft),"",'TF 6233C'!hdr_acft)</f>
        <v>Control Room</v>
      </c>
      <c r="C9" s="67" t="str">
        <f>IF(ISBLANK('TF 6233C'!hdr_time),"",'TF 6233C'!hdr_time)</f>
        <v/>
      </c>
      <c r="D9" s="66" t="str">
        <f>IF(ISBLANK('TF 6233C'!hdr_instr),"",'TF 6233C'!hdr_instr)</f>
        <v/>
      </c>
      <c r="E9" s="68" t="str">
        <f>IF(ISBLANK('TF 6233C'!hdr_date),"",'TF 6233C'!hdr_date)</f>
        <v/>
      </c>
      <c r="F9" s="102" t="str">
        <f>IF(ISBLANK('TF 6233C'!grade),0,'TF 6233C'!grade)</f>
        <v>0</v>
      </c>
    </row>
    <row r="10" spans="1:6" x14ac:dyDescent="0.25">
      <c r="A10" s="69" t="s">
        <v>298</v>
      </c>
      <c r="B10" s="66" t="str">
        <f>IF(ISBLANK('TF 6241F'!hdr_acft),"",'TF 6241F'!hdr_acft)</f>
        <v/>
      </c>
      <c r="C10" s="67" t="str">
        <f>IF(ISBLANK('TF 6241F'!hdr_time),"",'TF 6241F'!hdr_time)</f>
        <v/>
      </c>
      <c r="D10" s="66" t="str">
        <f>IF(ISBLANK('TF 6241F'!hdr_instr),"",'TF 6241F'!hdr_instr)</f>
        <v/>
      </c>
      <c r="E10" s="68" t="str">
        <f>IF(ISBLANK('TF 6241F'!hdr_date),"",'TF 6241F'!hdr_date)</f>
        <v/>
      </c>
      <c r="F10" s="102" t="str">
        <f>IF(ISBLANK('TF 6241F'!grade),0,'TF 6241F'!grade)</f>
        <v>0</v>
      </c>
    </row>
    <row r="11" spans="1:6" ht="18.75" x14ac:dyDescent="0.25">
      <c r="A11" s="9"/>
      <c r="B11" s="10"/>
      <c r="C11" s="11"/>
      <c r="D11" s="12"/>
      <c r="E11" s="13"/>
      <c r="F11" s="14"/>
    </row>
    <row r="12" spans="1:6" s="16" customFormat="1" ht="18.75" customHeight="1" x14ac:dyDescent="0.25">
      <c r="A12" s="9"/>
      <c r="B12" s="10"/>
      <c r="C12" s="11"/>
      <c r="D12" s="12"/>
      <c r="E12" s="13"/>
      <c r="F12" s="14"/>
    </row>
    <row r="13" spans="1:6" x14ac:dyDescent="0.25">
      <c r="A13"/>
      <c r="B13"/>
      <c r="C13" s="15"/>
      <c r="D13"/>
      <c r="E13"/>
      <c r="F13"/>
    </row>
    <row r="14" spans="1:6" ht="37.5" x14ac:dyDescent="0.25">
      <c r="A14" s="7" t="s">
        <v>7</v>
      </c>
      <c r="B14" s="7" t="s">
        <v>4</v>
      </c>
      <c r="C14" s="7" t="s">
        <v>8</v>
      </c>
      <c r="D14" s="7" t="s">
        <v>5</v>
      </c>
      <c r="E14" s="7" t="s">
        <v>9</v>
      </c>
      <c r="F14" s="7" t="s">
        <v>1</v>
      </c>
    </row>
    <row r="15" spans="1:6" x14ac:dyDescent="0.25">
      <c r="A15" s="81" t="s">
        <v>516</v>
      </c>
      <c r="B15" s="66"/>
      <c r="C15" s="66"/>
      <c r="D15" s="66" t="str">
        <f>IF(ISBLANK('TF 5310Y'!instructor),"",'TF 5310Y'!instructor)</f>
        <v/>
      </c>
      <c r="E15" s="68" t="str">
        <f>IF(ISBLANK('TF 5310Y'!date),"",'TF 5310Y'!date)</f>
        <v/>
      </c>
      <c r="F15" s="102">
        <f>IF(ISBLANK('TF 5310Y'!report_grade),"",'TF 5310Y'!report_grade)</f>
        <v>0</v>
      </c>
    </row>
    <row r="16" spans="1:6" x14ac:dyDescent="0.25">
      <c r="A16" s="81" t="s">
        <v>542</v>
      </c>
      <c r="B16" s="66"/>
      <c r="C16" s="66"/>
      <c r="D16" s="66" t="str">
        <f>IF(ISBLANK('TF 6265R'!instructor),"",'TF 6265R'!instructor)</f>
        <v>Rusty Lowry</v>
      </c>
      <c r="E16" s="68">
        <f>IF(ISBLANK('TF 6265R'!date),"",'TF 6265R'!date)</f>
        <v>46097</v>
      </c>
      <c r="F16" s="102">
        <f>IF(ISBLANK('TF 6265R'!report_grade),"",'TF 6265R'!report_grade)</f>
        <v>0.95099999942219982</v>
      </c>
    </row>
    <row r="17" spans="1:6" x14ac:dyDescent="0.25">
      <c r="A17" s="81" t="s">
        <v>543</v>
      </c>
      <c r="B17" s="66"/>
      <c r="C17" s="66"/>
      <c r="D17" s="66" t="str">
        <f>IF(ISBLANK('TF 6268R'!instructor),"",'TF 6268R'!instructor)</f>
        <v>Rusty Lowry</v>
      </c>
      <c r="E17" s="68">
        <f>IF(ISBLANK('TF 6268R'!date),"",'TF 6268R'!date)</f>
        <v>46143</v>
      </c>
      <c r="F17" s="102">
        <f>IF(ISBLANK('TF 6268R'!report_grade),"",'TF 6268R'!report_grade)</f>
        <v>0.90900000022979988</v>
      </c>
    </row>
    <row r="18" spans="1:6" x14ac:dyDescent="0.25">
      <c r="A18" s="501" t="s">
        <v>665</v>
      </c>
      <c r="B18" s="66"/>
      <c r="C18" s="66"/>
      <c r="D18" s="66" t="str">
        <f>IF(ISBLANK('TF 6402R'!instructor),"",'TF 6402R'!instructor)</f>
        <v/>
      </c>
      <c r="E18" s="68" t="str">
        <f>IF(ISBLANK('TF 6402R'!date),"",'TF 6402R'!date)</f>
        <v/>
      </c>
      <c r="F18" s="102" t="str">
        <f>IF(ISBLANK('TF 6402R'!report_grade),"",'TF 6402R'!report_grade)</f>
        <v>---</v>
      </c>
    </row>
    <row r="19" spans="1:6" x14ac:dyDescent="0.25">
      <c r="A19" s="501" t="s">
        <v>666</v>
      </c>
      <c r="B19" s="66"/>
      <c r="C19" s="66"/>
      <c r="D19" s="66" t="str">
        <f>IF(ISBLANK('TF 6403R'!instructor),"",'TF 6403R'!instructor)</f>
        <v/>
      </c>
      <c r="E19" s="68" t="str">
        <f>IF(ISBLANK('TF 6403R'!date),"",'TF 6403R'!date)</f>
        <v/>
      </c>
      <c r="F19" s="102" t="str">
        <f>IF(ISBLANK('TF 6403R'!report_grade),"",'TF 6403R'!report_grade)</f>
        <v>---</v>
      </c>
    </row>
    <row r="20" spans="1:6" x14ac:dyDescent="0.25">
      <c r="A20" s="81" t="s">
        <v>299</v>
      </c>
      <c r="B20" s="66"/>
      <c r="C20" s="66"/>
      <c r="D20" s="66" t="str">
        <f>IF(ISBLANK('TF 7113R'!instructor),"",'TF 7113R'!instructor)</f>
        <v/>
      </c>
      <c r="E20" s="68" t="str">
        <f>IF(ISBLANK('TF 7113R'!date),"",'TF 7113R'!date)</f>
        <v/>
      </c>
      <c r="F20" s="102" t="str">
        <f>IF(ISBLANK('TF 7113R'!report_grade),"",'TF 7113R'!report_grade)</f>
        <v>---</v>
      </c>
    </row>
    <row r="21" spans="1:6" x14ac:dyDescent="0.25">
      <c r="A21" s="81" t="s">
        <v>301</v>
      </c>
      <c r="B21" s="66"/>
      <c r="C21" s="66"/>
      <c r="D21" s="66" t="str">
        <f>IF(ISBLANK('TF 7123R'!instructor),"",'TF 7123R'!instructor)</f>
        <v/>
      </c>
      <c r="E21" s="68" t="str">
        <f>IF(ISBLANK('TF 7123R'!date),"",'TF 7123R'!date)</f>
        <v/>
      </c>
      <c r="F21" s="102" t="str">
        <f>IF(ISBLANK('TF 7123R'!report_grade),"",'TF 7123R'!report_grade)</f>
        <v>---</v>
      </c>
    </row>
    <row r="22" spans="1:6" x14ac:dyDescent="0.25">
      <c r="A22" s="81" t="s">
        <v>302</v>
      </c>
      <c r="B22" s="66"/>
      <c r="C22" s="66"/>
      <c r="D22" s="66" t="str">
        <f>IF(ISBLANK('TF 7133R'!instructor),"",'TF 7133R'!instructor)</f>
        <v/>
      </c>
      <c r="E22" s="68" t="str">
        <f>IF(ISBLANK('TF 7133R'!date),"",'TF 7133R'!date)</f>
        <v/>
      </c>
      <c r="F22" s="102" t="str">
        <f>IF(ISBLANK('TF 7133R'!report_grade),"",'TF 7133R'!report_grade)</f>
        <v>---</v>
      </c>
    </row>
    <row r="23" spans="1:6" x14ac:dyDescent="0.25">
      <c r="A23" s="81" t="s">
        <v>303</v>
      </c>
      <c r="B23" s="66"/>
      <c r="C23" s="66"/>
      <c r="D23" s="66" t="str">
        <f>IF(ISBLANK('TF 7502R'!instructor),"",'TF 7502R'!instructor)</f>
        <v/>
      </c>
      <c r="E23" s="68" t="str">
        <f>IF(ISBLANK('TF 7502R'!date),"",'TF 7502R'!date)</f>
        <v/>
      </c>
      <c r="F23" s="102" t="str">
        <f>IF(ISBLANK('TF 7502R'!report_grade),"",'TF 7502R'!report_grade)</f>
        <v>0</v>
      </c>
    </row>
  </sheetData>
  <mergeCells count="1">
    <mergeCell ref="B5:F6"/>
  </mergeCells>
  <hyperlinks>
    <hyperlink ref="F2" location="Review!A1" display="Review Tab" xr:uid="{C5AC4F20-7630-472C-83F2-4BDCA6BAA45F}"/>
    <hyperlink ref="A15" location="'TF 5310Y'!A1" display="TF 5310Y Test Policy Oral Report (STC)" xr:uid="{20A7C2CA-09D8-408E-87AD-A95DA068027E}"/>
    <hyperlink ref="A8" location="'TF 6221C'!A1" display="TF 6221C Control Room Test Conduct Primer (ABM/FTE/STC)" xr:uid="{E3A7C78F-DA37-4D24-B86A-3C6A1A9F60AC}"/>
    <hyperlink ref="A9" location="'TF 6233C'!A1" display="TF 6233C Sim/Control Room Test Conduct Intro (STC)" xr:uid="{21ACE363-3101-43C7-B4FD-4D40EF2495D2}"/>
    <hyperlink ref="A10" location="'TF 6241F'!A1" display="TF 6241F C-12 Airborne Test Conduct Intro" xr:uid="{67FB2930-105F-463D-AE43-0AB3470BDE8C}"/>
    <hyperlink ref="A16" location="'TF 6265R'!A1" display="TF 6265R Glider Low Lift/Drag (L/D) Exercise Report (STC)" xr:uid="{1E43405B-B5C0-469B-880E-6982ADD63753}"/>
    <hyperlink ref="A17" location="'TF 6268R'!A1" display="TF 6268R Glider Low Lift/Drag (L/D) Exercise Report (STC)" xr:uid="{B1B405CE-985B-46A0-AD51-E3F66C6F672F}"/>
    <hyperlink ref="A20" location="'TF 7113R'!A1" display="TF 7113R Graded Qual Eval 1 Report" xr:uid="{F43D6054-5D99-4B8A-9146-05ACF40F9E63}"/>
    <hyperlink ref="A21" location="'TF 7123R'!A1" display="TF 7123R Graded Qual Eval 2 Report" xr:uid="{584AADCF-ED76-45B7-8859-A40215BAD69C}"/>
    <hyperlink ref="A22" location="'TF 7133R'!A1" display="TF 7133R Graded Qual Eval 3 Report" xr:uid="{63EB1435-1095-40AB-9FBB-327AEEB6FE24}"/>
    <hyperlink ref="A23" location="'TF 7502R'!A1" display="TF 7502R Capstone Qual Eval Test Plan" xr:uid="{D5EFA206-BD88-4E06-A19D-CD682E50F8F6}"/>
    <hyperlink ref="A18" location="'TF 6402R'!A1" display="TF 6402R Test Reporting Written Report - Individual" xr:uid="{07BB95F7-1AB3-4E23-B5E0-67E41748A4E8}"/>
    <hyperlink ref="A19" location="'TF 6403R'!A1" display="TF 6403R Test Reporting Written Report - Group" xr:uid="{B303DBD0-4372-4810-9399-5A6EE1D0BE7A}"/>
  </hyperlinks>
  <pageMargins left="0.7" right="0.7" top="0.5" bottom="0.5" header="0.3" footer="0.3"/>
  <pageSetup scale="94" fitToHeight="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068DF-9C7D-4445-9C95-004D3209D9EE}">
  <sheetPr>
    <tabColor rgb="FF92D050"/>
    <pageSetUpPr autoPageBreaks="0"/>
  </sheetPr>
  <dimension ref="A1:AVW67"/>
  <sheetViews>
    <sheetView tabSelected="1" topLeftCell="A3" workbookViewId="0">
      <selection activeCell="L9" sqref="L9:R40"/>
    </sheetView>
  </sheetViews>
  <sheetFormatPr defaultColWidth="9.140625" defaultRowHeight="15" x14ac:dyDescent="0.25"/>
  <cols>
    <col min="1" max="1" width="1.5703125" style="516" customWidth="1"/>
    <col min="2" max="2" width="3.5703125" style="516" customWidth="1"/>
    <col min="3" max="3" width="5.5703125" style="517" customWidth="1"/>
    <col min="4" max="4" width="9.140625" style="517"/>
    <col min="5" max="5" width="14" style="517" customWidth="1"/>
    <col min="6" max="6" width="7.85546875" style="517" customWidth="1"/>
    <col min="7" max="11" width="5.140625" style="517" customWidth="1"/>
    <col min="12" max="12" width="21.5703125" style="517" customWidth="1"/>
    <col min="13" max="13" width="6.5703125" style="517" customWidth="1"/>
    <col min="14" max="14" width="12.5703125" style="517" customWidth="1"/>
    <col min="15" max="15" width="7.85546875" style="517" customWidth="1"/>
    <col min="16" max="16" width="2.7109375" style="517" customWidth="1"/>
    <col min="17" max="17" width="4.85546875" style="517" customWidth="1"/>
    <col min="18" max="18" width="7.28515625" style="517" customWidth="1"/>
    <col min="19" max="19" width="1.7109375" style="517" customWidth="1"/>
    <col min="20" max="20" width="19.140625" style="518" hidden="1" customWidth="1"/>
    <col min="21" max="21" width="31.140625" style="518" hidden="1" customWidth="1"/>
    <col min="22" max="22" width="5.140625" style="518" hidden="1" customWidth="1"/>
    <col min="23" max="24" width="6.28515625" style="518" hidden="1" customWidth="1"/>
    <col min="25" max="25" width="8.42578125" style="518" hidden="1" customWidth="1"/>
    <col min="26" max="26" width="7.85546875" style="518" hidden="1" customWidth="1"/>
    <col min="27" max="27" width="10.7109375" style="518" hidden="1" customWidth="1"/>
    <col min="28" max="28" width="8" style="518" hidden="1" customWidth="1"/>
    <col min="29" max="31" width="5.140625" style="518" hidden="1" customWidth="1"/>
    <col min="32" max="34" width="5.85546875" style="518" hidden="1" customWidth="1"/>
    <col min="35" max="35" width="8.5703125" style="519" hidden="1" customWidth="1"/>
    <col min="36" max="36" width="7" style="518" hidden="1" customWidth="1"/>
    <col min="37" max="38" width="5.28515625" style="518" hidden="1" customWidth="1"/>
    <col min="39" max="40" width="7" style="518" hidden="1" customWidth="1"/>
    <col min="41" max="41" width="5.140625" style="518" hidden="1" customWidth="1"/>
    <col min="42" max="42" width="11.28515625" style="518" hidden="1" customWidth="1"/>
    <col min="43" max="43" width="6.42578125" style="518" hidden="1" customWidth="1"/>
    <col min="44" max="44" width="8.28515625" style="518" hidden="1" customWidth="1"/>
    <col min="45" max="45" width="8.85546875" style="518" hidden="1" customWidth="1"/>
    <col min="46" max="46" width="10.7109375" style="518" hidden="1" customWidth="1"/>
    <col min="47" max="47" width="8.85546875" style="518" hidden="1" customWidth="1"/>
    <col min="48" max="48" width="6.28515625" style="518" hidden="1" customWidth="1"/>
    <col min="49" max="49" width="10" style="518" hidden="1" customWidth="1"/>
    <col min="50" max="50" width="7.5703125" style="518" hidden="1" customWidth="1"/>
    <col min="51" max="51" width="7" style="518" hidden="1" customWidth="1"/>
    <col min="52" max="52" width="8.140625" style="518" hidden="1" customWidth="1"/>
    <col min="53" max="53" width="12.5703125" style="518" hidden="1" customWidth="1"/>
    <col min="54" max="54" width="7.7109375" style="518" hidden="1" customWidth="1"/>
    <col min="55" max="55" width="12.7109375" style="518" hidden="1" customWidth="1"/>
    <col min="56" max="56" width="7" style="518" hidden="1" customWidth="1"/>
    <col min="57" max="57" width="15.5703125" style="520" hidden="1" customWidth="1"/>
    <col min="58" max="58" width="9.140625" style="520" hidden="1" customWidth="1"/>
    <col min="59" max="59" width="10" style="518" hidden="1" customWidth="1"/>
    <col min="60" max="60" width="5.28515625" style="520" hidden="1" customWidth="1"/>
    <col min="61" max="61" width="4" style="520" hidden="1" customWidth="1"/>
    <col min="62" max="62" width="4.7109375" style="520" hidden="1" customWidth="1"/>
    <col min="63" max="63" width="5.5703125" style="520" hidden="1" customWidth="1"/>
    <col min="64" max="64" width="5.28515625" style="520" hidden="1" customWidth="1"/>
    <col min="65" max="65" width="4" style="520" hidden="1" customWidth="1"/>
    <col min="66" max="66" width="5.5703125" style="520" hidden="1" customWidth="1"/>
    <col min="67" max="67" width="5.140625" style="521" customWidth="1"/>
    <col min="68" max="73" width="5.140625" style="517" customWidth="1"/>
    <col min="74" max="79" width="9.140625" style="517"/>
    <col min="80" max="82" width="9.140625" style="517" customWidth="1"/>
    <col min="83" max="83" width="5.140625" style="517" customWidth="1"/>
    <col min="84" max="16384" width="9.140625" style="517"/>
  </cols>
  <sheetData>
    <row r="1" spans="2:93" s="513" customFormat="1" ht="12" hidden="1" x14ac:dyDescent="0.2">
      <c r="C1" s="513">
        <v>3</v>
      </c>
      <c r="D1" s="513" t="s">
        <v>556</v>
      </c>
      <c r="E1" s="513" t="s">
        <v>557</v>
      </c>
      <c r="F1" s="513" t="s">
        <v>558</v>
      </c>
      <c r="G1" s="513" t="s">
        <v>559</v>
      </c>
      <c r="H1" s="513" t="s">
        <v>560</v>
      </c>
      <c r="T1" s="514"/>
      <c r="U1" s="514"/>
      <c r="V1" s="514"/>
      <c r="W1" s="514"/>
      <c r="X1" s="514"/>
      <c r="Y1" s="514"/>
      <c r="Z1" s="514"/>
      <c r="AA1" s="514"/>
      <c r="AB1" s="514"/>
      <c r="AC1" s="514"/>
      <c r="AD1" s="514"/>
      <c r="AE1" s="514"/>
      <c r="AF1" s="514"/>
      <c r="AG1" s="514"/>
      <c r="AH1" s="514"/>
      <c r="AI1" s="515"/>
      <c r="AJ1" s="514"/>
      <c r="AK1" s="514"/>
      <c r="AL1" s="514"/>
      <c r="AM1" s="514"/>
      <c r="AN1" s="514"/>
      <c r="AO1" s="514"/>
      <c r="AP1" s="514"/>
      <c r="AQ1" s="514"/>
      <c r="AR1" s="514"/>
      <c r="AS1" s="514"/>
      <c r="AT1" s="514"/>
      <c r="AU1" s="514"/>
      <c r="AV1" s="514"/>
      <c r="AW1" s="514"/>
      <c r="AX1" s="514"/>
      <c r="AY1" s="514"/>
      <c r="AZ1" s="514"/>
      <c r="BA1" s="514"/>
      <c r="BB1" s="514"/>
      <c r="BC1" s="514"/>
      <c r="BD1" s="514"/>
      <c r="BE1" s="514"/>
      <c r="BF1" s="514"/>
      <c r="BG1" s="514"/>
      <c r="BH1" s="514"/>
      <c r="BI1" s="514"/>
      <c r="BJ1" s="514"/>
      <c r="BK1" s="514"/>
      <c r="BL1" s="514"/>
      <c r="BM1" s="514"/>
      <c r="BN1" s="514"/>
    </row>
    <row r="2" spans="2:93" s="513" customFormat="1" ht="12" hidden="1" x14ac:dyDescent="0.2">
      <c r="C2" s="513">
        <v>4</v>
      </c>
      <c r="D2" s="513" t="s">
        <v>561</v>
      </c>
      <c r="E2" s="513" t="s">
        <v>562</v>
      </c>
      <c r="F2" s="513" t="s">
        <v>563</v>
      </c>
      <c r="G2" s="513" t="s">
        <v>564</v>
      </c>
      <c r="H2" s="513" t="s">
        <v>565</v>
      </c>
      <c r="T2" s="514"/>
      <c r="U2" s="514"/>
      <c r="V2" s="514"/>
      <c r="W2" s="514"/>
      <c r="X2" s="514"/>
      <c r="Y2" s="514"/>
      <c r="Z2" s="514"/>
      <c r="AA2" s="514"/>
      <c r="AB2" s="514"/>
      <c r="AC2" s="514"/>
      <c r="AD2" s="514"/>
      <c r="AE2" s="514"/>
      <c r="AF2" s="514"/>
      <c r="AG2" s="514"/>
      <c r="AH2" s="514"/>
      <c r="AI2" s="515"/>
      <c r="AJ2" s="514"/>
      <c r="AK2" s="514"/>
      <c r="AL2" s="514"/>
      <c r="AM2" s="514"/>
      <c r="AN2" s="514"/>
      <c r="AO2" s="514"/>
      <c r="AP2" s="514"/>
      <c r="AQ2" s="514"/>
      <c r="AR2" s="514"/>
      <c r="AS2" s="514"/>
      <c r="AT2" s="514"/>
      <c r="AU2" s="514"/>
      <c r="AV2" s="514"/>
      <c r="AW2" s="514"/>
      <c r="AX2" s="514"/>
      <c r="AY2" s="514"/>
      <c r="AZ2" s="514"/>
      <c r="BA2" s="514"/>
      <c r="BB2" s="514"/>
      <c r="BC2" s="514"/>
      <c r="BD2" s="514"/>
      <c r="BE2" s="514"/>
      <c r="BF2" s="514"/>
      <c r="BG2" s="514"/>
      <c r="BH2" s="514"/>
      <c r="BI2" s="514"/>
      <c r="BJ2" s="514"/>
      <c r="BK2" s="514"/>
      <c r="BL2" s="514"/>
      <c r="BM2" s="514"/>
      <c r="BN2" s="514"/>
    </row>
    <row r="3" spans="2:93" ht="15.75" thickBot="1" x14ac:dyDescent="0.3">
      <c r="BE3" s="518"/>
      <c r="BF3" s="518"/>
      <c r="BG3" s="520"/>
    </row>
    <row r="4" spans="2:93" ht="13.5" customHeight="1" thickTop="1" x14ac:dyDescent="0.25">
      <c r="B4" s="1145" t="s">
        <v>141</v>
      </c>
      <c r="C4" s="1146"/>
      <c r="D4" s="1146"/>
      <c r="E4" s="1146"/>
      <c r="F4" s="1146"/>
      <c r="G4" s="1147"/>
      <c r="H4" s="1148" t="s">
        <v>686</v>
      </c>
      <c r="I4" s="1149"/>
      <c r="J4" s="1149"/>
      <c r="K4" s="1149"/>
      <c r="L4" s="1149"/>
      <c r="M4" s="1149"/>
      <c r="N4" s="1150"/>
      <c r="O4" s="1151" t="s">
        <v>142</v>
      </c>
      <c r="P4" s="1152"/>
      <c r="Q4" s="1151" t="s">
        <v>143</v>
      </c>
      <c r="R4" s="1153"/>
      <c r="S4" s="522"/>
      <c r="T4" s="523"/>
      <c r="U4" s="523"/>
      <c r="V4" s="523"/>
      <c r="W4" s="523"/>
      <c r="X4" s="523"/>
      <c r="Y4" s="523"/>
      <c r="Z4" s="523"/>
      <c r="AA4" s="523"/>
      <c r="AB4" s="523"/>
      <c r="AC4" s="523"/>
      <c r="AD4" s="523"/>
      <c r="AE4" s="523"/>
      <c r="AF4" s="523"/>
      <c r="AG4" s="523"/>
      <c r="AH4" s="523"/>
      <c r="AI4" s="524"/>
      <c r="AJ4" s="523"/>
      <c r="AK4" s="523"/>
      <c r="AL4" s="523"/>
      <c r="AM4" s="523"/>
      <c r="AN4" s="523"/>
      <c r="AO4" s="523"/>
      <c r="AP4" s="523"/>
      <c r="AQ4" s="514"/>
      <c r="AR4" s="514"/>
      <c r="AW4" s="518" t="s">
        <v>144</v>
      </c>
      <c r="AX4" s="518" t="s">
        <v>145</v>
      </c>
      <c r="AY4" s="518" t="s">
        <v>146</v>
      </c>
      <c r="AZ4" s="518" t="s">
        <v>147</v>
      </c>
      <c r="BA4" s="518" t="s">
        <v>148</v>
      </c>
      <c r="BB4" s="518" t="s">
        <v>149</v>
      </c>
      <c r="BE4" s="518"/>
      <c r="BF4" s="518"/>
      <c r="BG4" s="520"/>
      <c r="BO4" s="525" t="s">
        <v>213</v>
      </c>
    </row>
    <row r="5" spans="2:93" s="536" customFormat="1" ht="15.75" customHeight="1" x14ac:dyDescent="0.2">
      <c r="B5" s="1154" t="s">
        <v>442</v>
      </c>
      <c r="C5" s="1155"/>
      <c r="D5" s="1155"/>
      <c r="E5" s="1155"/>
      <c r="F5" s="1155"/>
      <c r="G5" s="1156"/>
      <c r="H5" s="1157" t="s">
        <v>567</v>
      </c>
      <c r="I5" s="1158"/>
      <c r="J5" s="1158"/>
      <c r="K5" s="1158"/>
      <c r="L5" s="1158"/>
      <c r="M5" s="1158"/>
      <c r="N5" s="1159"/>
      <c r="O5" s="1160"/>
      <c r="P5" s="1161"/>
      <c r="Q5" s="1162">
        <v>46135</v>
      </c>
      <c r="R5" s="1163"/>
      <c r="S5" s="526"/>
      <c r="T5" s="527"/>
      <c r="U5" s="527"/>
      <c r="V5" s="527"/>
      <c r="W5" s="527"/>
      <c r="X5" s="527"/>
      <c r="Y5" s="527"/>
      <c r="Z5" s="527"/>
      <c r="AA5" s="527"/>
      <c r="AB5" s="527"/>
      <c r="AC5" s="527"/>
      <c r="AD5" s="527"/>
      <c r="AE5" s="527"/>
      <c r="AF5" s="527"/>
      <c r="AG5" s="527"/>
      <c r="AH5" s="527"/>
      <c r="AI5" s="528"/>
      <c r="AJ5" s="527"/>
      <c r="AK5" s="527"/>
      <c r="AL5" s="527"/>
      <c r="AM5" s="527"/>
      <c r="AN5" s="527"/>
      <c r="AO5" s="527"/>
      <c r="AP5" s="527"/>
      <c r="AQ5" s="529"/>
      <c r="AR5" s="529"/>
      <c r="AS5" s="530"/>
      <c r="AT5" s="531" t="s">
        <v>151</v>
      </c>
      <c r="AU5" s="532" t="b">
        <v>1</v>
      </c>
      <c r="AV5" s="530">
        <v>5</v>
      </c>
      <c r="AW5" s="530" t="b">
        <f>IF(ISERR(OR(AW9:AW40)),"UNK",IF(AND(graded_aca_events&gt;=1,input_test),FALSE,OR(AW9:AW40)))</f>
        <v>0</v>
      </c>
      <c r="AX5" s="530" t="b">
        <f>IF(ISERR(OR(AX9:AX40)),"UNK",IF(AND(graded_aca_events&gt;=1,input_test),FALSE,OR(AX9:AX40)))</f>
        <v>1</v>
      </c>
      <c r="AY5" s="530" t="b">
        <f>IF(ISERR(OR(AY9:AY40)),"UNK",OR(AY9:AY40))</f>
        <v>0</v>
      </c>
      <c r="AZ5" s="530" t="b">
        <f>IF(ISERR(OR(AZ9:AZ40)),"UNK",OR(AZ9:AZ40))</f>
        <v>0</v>
      </c>
      <c r="BA5" s="530" t="b">
        <f>IF(ISERR(OR(BA9:BA40)),"UNK",OR(BA9:BA40))</f>
        <v>0</v>
      </c>
      <c r="BB5" s="530" t="b">
        <f>IF(ISERR(OR(BB9:BB40)),"UNK",OR(BB9:BB40))</f>
        <v>0</v>
      </c>
      <c r="BC5" s="533" t="b">
        <f>OR(BC9:BC40)</f>
        <v>0</v>
      </c>
      <c r="BD5" s="533" t="b">
        <f>OR(BD9:BD40)</f>
        <v>1</v>
      </c>
      <c r="BE5" s="533" t="b">
        <f>OR(BE9:BE40)</f>
        <v>0</v>
      </c>
      <c r="BF5" s="533"/>
      <c r="BG5" s="530"/>
      <c r="BH5" s="1164" t="s">
        <v>152</v>
      </c>
      <c r="BI5" s="1164"/>
      <c r="BJ5" s="1164"/>
      <c r="BK5" s="1164"/>
      <c r="BL5" s="1165" t="s">
        <v>153</v>
      </c>
      <c r="BM5" s="1165"/>
      <c r="BN5" s="1165"/>
      <c r="BO5" s="535" t="s">
        <v>568</v>
      </c>
    </row>
    <row r="6" spans="2:93" s="522" customFormat="1" ht="11.25" customHeight="1" x14ac:dyDescent="0.25">
      <c r="B6" s="1166" t="s">
        <v>154</v>
      </c>
      <c r="C6" s="1167"/>
      <c r="D6" s="1167"/>
      <c r="E6" s="1168"/>
      <c r="F6" s="1169" t="s">
        <v>155</v>
      </c>
      <c r="G6" s="1168"/>
      <c r="H6" s="1169" t="s">
        <v>156</v>
      </c>
      <c r="I6" s="1167"/>
      <c r="J6" s="1167"/>
      <c r="K6" s="1167"/>
      <c r="L6" s="1168"/>
      <c r="M6" s="1170" t="s">
        <v>157</v>
      </c>
      <c r="N6" s="1171"/>
      <c r="O6" s="1172" t="s">
        <v>158</v>
      </c>
      <c r="P6" s="1173"/>
      <c r="Q6" s="1169" t="str">
        <f>IF(AU42=0,"GRADE","GRADE (inc. bonus)")</f>
        <v>GRADE</v>
      </c>
      <c r="R6" s="1174"/>
      <c r="T6" s="523"/>
      <c r="U6" s="523"/>
      <c r="V6" s="523"/>
      <c r="W6" s="523"/>
      <c r="X6" s="523"/>
      <c r="Y6" s="523"/>
      <c r="Z6" s="523"/>
      <c r="AA6" s="523"/>
      <c r="AB6" s="523"/>
      <c r="AC6" s="523"/>
      <c r="AD6" s="523"/>
      <c r="AE6" s="523"/>
      <c r="AF6" s="523"/>
      <c r="AG6" s="523"/>
      <c r="AH6" s="523"/>
      <c r="AI6" s="524"/>
      <c r="AJ6" s="523"/>
      <c r="AK6" s="523"/>
      <c r="AL6" s="523"/>
      <c r="AM6" s="523"/>
      <c r="AN6" s="523"/>
      <c r="AO6" s="523"/>
      <c r="AP6" s="523"/>
      <c r="AQ6" s="523"/>
      <c r="AR6" s="523"/>
      <c r="AS6" s="523"/>
      <c r="AT6" s="523"/>
      <c r="AU6" s="523"/>
      <c r="AV6" s="523"/>
      <c r="AW6" s="523"/>
      <c r="AX6" s="523"/>
      <c r="AY6" s="523"/>
      <c r="AZ6" s="523"/>
      <c r="BA6" s="523"/>
      <c r="BB6" s="523"/>
      <c r="BC6" s="523"/>
      <c r="BD6" s="523"/>
      <c r="BE6" s="523"/>
      <c r="BF6" s="523"/>
      <c r="BG6" s="523"/>
      <c r="BH6" s="1164"/>
      <c r="BI6" s="1164"/>
      <c r="BJ6" s="1164"/>
      <c r="BK6" s="1164"/>
      <c r="BL6" s="1165"/>
      <c r="BM6" s="1165"/>
      <c r="BN6" s="1165"/>
      <c r="BO6" s="537" t="s">
        <v>214</v>
      </c>
      <c r="BP6" s="538" t="s">
        <v>215</v>
      </c>
    </row>
    <row r="7" spans="2:93" s="536" customFormat="1" ht="15.75" customHeight="1" thickBot="1" x14ac:dyDescent="0.25">
      <c r="B7" s="1175" t="s">
        <v>682</v>
      </c>
      <c r="C7" s="1176"/>
      <c r="D7" s="1176"/>
      <c r="E7" s="1177"/>
      <c r="F7" s="1178" t="s">
        <v>270</v>
      </c>
      <c r="G7" s="1179"/>
      <c r="H7" s="1180" t="s">
        <v>693</v>
      </c>
      <c r="I7" s="1181"/>
      <c r="J7" s="1181"/>
      <c r="K7" s="1181"/>
      <c r="L7" s="1179"/>
      <c r="M7" s="1182"/>
      <c r="N7" s="1183"/>
      <c r="O7" s="1184"/>
      <c r="P7" s="1185"/>
      <c r="Q7" s="1186" t="str">
        <f>IF((graded_aca_events+graded_amn_events)&lt;1,"---",IF(ISERROR(AR47),"",IF(F42&lt;&gt;"COMPLETE","INCOMPLETE",AR47)))</f>
        <v>INCOMPLETE</v>
      </c>
      <c r="R7" s="1187"/>
      <c r="S7" s="517"/>
      <c r="T7" s="530"/>
      <c r="U7" s="530">
        <v>2</v>
      </c>
      <c r="V7" s="530">
        <v>3</v>
      </c>
      <c r="W7" s="530">
        <v>6</v>
      </c>
      <c r="X7" s="530">
        <v>7</v>
      </c>
      <c r="Y7" s="530">
        <v>11</v>
      </c>
      <c r="Z7" s="530">
        <v>8</v>
      </c>
      <c r="AA7" s="539">
        <v>9</v>
      </c>
      <c r="AB7" s="539">
        <v>10</v>
      </c>
      <c r="AC7" s="539">
        <v>5</v>
      </c>
      <c r="AD7" s="539">
        <v>4</v>
      </c>
      <c r="AE7" s="539">
        <v>12</v>
      </c>
      <c r="AF7" s="539">
        <v>13</v>
      </c>
      <c r="AG7" s="539"/>
      <c r="AH7" s="539"/>
      <c r="AI7" s="540"/>
      <c r="AJ7" s="541"/>
      <c r="AK7" s="541"/>
      <c r="AL7" s="541"/>
      <c r="AM7" s="541" t="b">
        <f>IF(COUNT(AM9:AM40)&gt;0,TRUE,FALSE)</f>
        <v>1</v>
      </c>
      <c r="AN7" s="541" t="b">
        <f>IF(COUNT(AN9:AN40)&gt;0,TRUE,FALSE)</f>
        <v>0</v>
      </c>
      <c r="AO7" s="530"/>
      <c r="AP7" s="530"/>
      <c r="AQ7" s="529"/>
      <c r="AR7" s="529"/>
      <c r="AS7" s="530"/>
      <c r="AT7" s="542">
        <v>0.5</v>
      </c>
      <c r="AU7" s="530"/>
      <c r="AV7" s="543">
        <f>0.01*input_maxb</f>
        <v>0.05</v>
      </c>
      <c r="AW7" s="544" t="s">
        <v>159</v>
      </c>
      <c r="AX7" s="545"/>
      <c r="AY7" s="544" t="s">
        <v>160</v>
      </c>
      <c r="AZ7" s="545"/>
      <c r="BA7" s="546" t="s">
        <v>161</v>
      </c>
      <c r="BB7" s="546"/>
      <c r="BC7" s="544" t="s">
        <v>162</v>
      </c>
      <c r="BD7" s="546"/>
      <c r="BE7" s="547"/>
      <c r="BF7" s="548"/>
      <c r="BG7" s="530" t="s">
        <v>163</v>
      </c>
      <c r="BH7" s="1164"/>
      <c r="BI7" s="1164"/>
      <c r="BJ7" s="1164"/>
      <c r="BK7" s="1164"/>
      <c r="BL7" s="1165"/>
      <c r="BM7" s="1165"/>
      <c r="BN7" s="1165"/>
      <c r="BO7" s="537">
        <v>0</v>
      </c>
      <c r="BP7" s="538" t="s">
        <v>216</v>
      </c>
    </row>
    <row r="8" spans="2:93" ht="27" customHeight="1" thickBot="1" x14ac:dyDescent="0.3">
      <c r="B8" s="1188" t="s">
        <v>164</v>
      </c>
      <c r="C8" s="1189"/>
      <c r="D8" s="1189"/>
      <c r="E8" s="1189"/>
      <c r="F8" s="1190"/>
      <c r="G8" s="549" t="s">
        <v>165</v>
      </c>
      <c r="H8" s="550" t="s">
        <v>166</v>
      </c>
      <c r="I8" s="551" t="s">
        <v>167</v>
      </c>
      <c r="J8" s="552" t="s">
        <v>168</v>
      </c>
      <c r="K8" s="553" t="s">
        <v>169</v>
      </c>
      <c r="L8" s="1191" t="s">
        <v>170</v>
      </c>
      <c r="M8" s="1189"/>
      <c r="N8" s="1189"/>
      <c r="O8" s="1189"/>
      <c r="P8" s="1189"/>
      <c r="Q8" s="1189"/>
      <c r="R8" s="1192"/>
      <c r="S8" s="516"/>
      <c r="T8" s="554" t="s">
        <v>171</v>
      </c>
      <c r="U8" s="554"/>
      <c r="V8" s="554" t="s">
        <v>172</v>
      </c>
      <c r="W8" s="554" t="s">
        <v>173</v>
      </c>
      <c r="X8" s="554" t="s">
        <v>174</v>
      </c>
      <c r="Y8" s="554" t="s">
        <v>175</v>
      </c>
      <c r="Z8" s="554" t="s">
        <v>176</v>
      </c>
      <c r="AA8" s="554" t="s">
        <v>177</v>
      </c>
      <c r="AB8" s="554" t="s">
        <v>178</v>
      </c>
      <c r="AC8" s="554" t="s">
        <v>179</v>
      </c>
      <c r="AD8" s="554" t="s">
        <v>180</v>
      </c>
      <c r="AE8" s="554" t="s">
        <v>181</v>
      </c>
      <c r="AF8" s="554" t="s">
        <v>182</v>
      </c>
      <c r="AG8" s="554" t="s">
        <v>183</v>
      </c>
      <c r="AH8" s="554" t="s">
        <v>184</v>
      </c>
      <c r="AI8" s="555" t="s">
        <v>185</v>
      </c>
      <c r="AJ8" s="556" t="s">
        <v>186</v>
      </c>
      <c r="AK8" s="557" t="s">
        <v>187</v>
      </c>
      <c r="AL8" s="557" t="s">
        <v>188</v>
      </c>
      <c r="AM8" s="557" t="s">
        <v>189</v>
      </c>
      <c r="AN8" s="557" t="s">
        <v>190</v>
      </c>
      <c r="AO8" s="556" t="s">
        <v>191</v>
      </c>
      <c r="AP8" s="556" t="s">
        <v>192</v>
      </c>
      <c r="AQ8" s="558" t="s">
        <v>193</v>
      </c>
      <c r="AR8" s="559" t="s">
        <v>1</v>
      </c>
      <c r="AS8" s="558" t="s">
        <v>194</v>
      </c>
      <c r="AT8" s="559" t="s">
        <v>1</v>
      </c>
      <c r="AU8" s="558" t="s">
        <v>195</v>
      </c>
      <c r="AV8" s="560" t="s">
        <v>196</v>
      </c>
      <c r="AW8" s="561" t="s">
        <v>197</v>
      </c>
      <c r="AX8" s="562" t="s">
        <v>198</v>
      </c>
      <c r="AY8" s="561" t="s">
        <v>199</v>
      </c>
      <c r="AZ8" s="562" t="s">
        <v>200</v>
      </c>
      <c r="BA8" s="563" t="s">
        <v>201</v>
      </c>
      <c r="BB8" s="563" t="s">
        <v>202</v>
      </c>
      <c r="BC8" s="564" t="s">
        <v>203</v>
      </c>
      <c r="BD8" s="565" t="s">
        <v>204</v>
      </c>
      <c r="BE8" s="566" t="s">
        <v>205</v>
      </c>
      <c r="BF8" s="567" t="s">
        <v>206</v>
      </c>
      <c r="BG8" s="520"/>
      <c r="BH8" s="520" t="s">
        <v>207</v>
      </c>
      <c r="BI8" s="520" t="s">
        <v>208</v>
      </c>
      <c r="BJ8" s="554" t="s">
        <v>209</v>
      </c>
      <c r="BK8" s="520" t="s">
        <v>210</v>
      </c>
      <c r="BL8" s="520" t="s">
        <v>207</v>
      </c>
      <c r="BM8" s="520" t="s">
        <v>208</v>
      </c>
      <c r="BN8" s="520" t="s">
        <v>210</v>
      </c>
      <c r="BO8" s="537">
        <v>1</v>
      </c>
      <c r="BP8" s="568" t="s">
        <v>569</v>
      </c>
      <c r="BX8" s="569"/>
      <c r="BY8" s="513"/>
      <c r="BZ8" s="513"/>
      <c r="CA8" s="513"/>
      <c r="CB8" s="513"/>
      <c r="CC8" s="513"/>
    </row>
    <row r="9" spans="2:93" ht="12.95" customHeight="1" x14ac:dyDescent="0.25">
      <c r="B9" s="570">
        <f>IF(ISNA(Z9),"",IF(OR(Z9=1,Z9=2),"",1))</f>
        <v>1</v>
      </c>
      <c r="C9" s="1193" t="str">
        <f t="shared" ref="C9:C40" si="0">IF(ISNA(Z9),"",CONCATENATE($U9,IF(ISNUMBER(AI9),TEXT(ROUND($AI9,3)," (0.0%)"),""),IF(AU9&gt;0," Bonus","")))</f>
        <v xml:space="preserve">      - Test Planning and Methodology (16.7%)</v>
      </c>
      <c r="D9" s="1193"/>
      <c r="E9" s="1193"/>
      <c r="F9" s="1194"/>
      <c r="G9" s="571">
        <f t="shared" ref="G9:G40" si="1">BH9</f>
        <v>1</v>
      </c>
      <c r="H9" s="572" t="str">
        <f t="shared" ref="H9:I40" si="2">BJ9</f>
        <v>1*</v>
      </c>
      <c r="I9" s="573">
        <f t="shared" si="2"/>
        <v>2</v>
      </c>
      <c r="J9" s="574"/>
      <c r="K9" s="575">
        <v>3</v>
      </c>
      <c r="L9" s="1072" t="s">
        <v>694</v>
      </c>
      <c r="M9" s="1073"/>
      <c r="N9" s="1073"/>
      <c r="O9" s="1073"/>
      <c r="P9" s="1073"/>
      <c r="Q9" s="1073"/>
      <c r="R9" s="1074"/>
      <c r="T9" s="518">
        <v>1</v>
      </c>
      <c r="U9" s="518" t="s">
        <v>570</v>
      </c>
      <c r="V9" s="576">
        <v>1</v>
      </c>
      <c r="W9" s="576">
        <v>1</v>
      </c>
      <c r="X9" s="576" t="s">
        <v>212</v>
      </c>
      <c r="Y9" s="576" t="s">
        <v>212</v>
      </c>
      <c r="Z9" s="576" t="s">
        <v>212</v>
      </c>
      <c r="AA9" s="576">
        <v>2</v>
      </c>
      <c r="AB9" s="576">
        <v>1</v>
      </c>
      <c r="AC9" s="576">
        <v>2</v>
      </c>
      <c r="AD9" s="576">
        <v>1</v>
      </c>
      <c r="AE9" s="576">
        <v>1</v>
      </c>
      <c r="AF9" s="576" t="b">
        <v>1</v>
      </c>
      <c r="AG9" s="576">
        <f t="shared" ref="AG9:AG11" si="3">IF(CrewSoloQual="Yes",$AC9,$AD9)</f>
        <v>1</v>
      </c>
      <c r="AH9" s="576">
        <f t="shared" ref="AH9:AH13" si="4">IF(ISNUMBER(AC9),IF(CrewSoloQual="Yes",$AC9-1,$AD9-1),"")</f>
        <v>0</v>
      </c>
      <c r="AI9" s="577">
        <f>IF(NOT(OR(Z9=1,Z9=2)),IF(AQ9&gt;0,$AR$45*AQ9/SUMIF($AQ$9:$AQ$40,"&gt;0"),IF(AU9&gt;0,$AV$45*AU9/SUMIF($AU$9:$AU$40,"&gt;0"),IF(AS9&gt;0,$AT$45*AS9/SUMIF($AS$9:$AS$40,"&gt;0"),""))),IF(SUMIF(AJ10:$AJ$40,"=" &amp; AJ9,AI10:$AI$40)=0,"",SUMIF(AJ10:$AJ$40,"=" &amp; AJ9,AI10:$AI$40)))</f>
        <v>0.16666666666666666</v>
      </c>
      <c r="AJ9" s="578">
        <f>0</f>
        <v>0</v>
      </c>
      <c r="AK9" s="576">
        <f t="shared" ref="AK9:AK40" si="5">BI9</f>
        <v>1</v>
      </c>
      <c r="AL9" s="576">
        <f t="shared" ref="AL9:AL40" si="6">IF(ISBLANK(K9),"",K9)</f>
        <v>3</v>
      </c>
      <c r="AM9" s="576">
        <f t="shared" ref="AM9:AM40" si="7">IF(ISNUMBER(AK9),IF(ISNUMBER(AL9),1,""),"")</f>
        <v>1</v>
      </c>
      <c r="AN9" s="576" t="str">
        <f t="shared" ref="AN9:AN40" si="8">IF(ISNUMBER(AH9),IF(AND(AB9=0,ISNUMBER(AC9),ISNUMBER(AL9)),1,""),"")</f>
        <v/>
      </c>
      <c r="AO9" s="576" t="str">
        <f t="shared" ref="AO9:AO40" si="9">IF(AB9=0,IF(CrewSoloQual="No",BI9,BK9),"")</f>
        <v/>
      </c>
      <c r="AP9" s="576" t="b">
        <f t="shared" ref="AP9:AP40" si="10">IF(ISNA(Z9),"",IF(AND(ISNUMBER(B9),G9&gt;=1,H9&lt;&gt;"NG"),IF(K9&lt;BK9,TRUE,FALSE),IF(AND(G9&gt;=1,J9="NA"),TRUE,IF(AND(AM9=1,G9=0,AL9&lt;BI9),TRUE,""))))</f>
        <v>0</v>
      </c>
      <c r="AQ9" s="579">
        <f t="shared" ref="AQ9:AQ40" si="11">IF(ISNA(Z9),0,IF(OR(J9="NA",W9="",AB9=0),0,W9))</f>
        <v>1</v>
      </c>
      <c r="AR9" s="580">
        <f t="shared" ref="AR9:AR40" si="12">IF(ISNA(Z9),"",IF(AND(NOT(OR(Z9=1,Z9=2,AK9="NG",AB9=0)),IF(ISNUMBER(AL9),AL9&gt;=0,FALSE)),VLOOKUP((10*AD9+AC9),$AQ$51:$AV$59,2+AL9,FALSE),IF(AND(input_test=TRUE,ISNUMBER(AD9),V9&lt;&gt;0),VLOOKUP((10*AD9+AC9),$AQ$51:$AV$59,2,FALSE),"")))</f>
        <v>0.95</v>
      </c>
      <c r="AS9" s="581">
        <f t="shared" ref="AS9:AS40" si="13">IF(ISNA(Z9),0,IF(OR(J9="NA",X9="",AB9=1),0,X9))</f>
        <v>0</v>
      </c>
      <c r="AT9" s="580" t="str">
        <f t="shared" ref="AT9:AT40" si="14">IF(ISNA(Z9),"",IF(AND(NOT(OR(Z9=1,Z9=2,AK9="NG",AB9=1)),IF(ISNUMBER(AL9),AL9&gt;=0,FALSE)),VLOOKUP((10*AH9+AG9),$AQ$51:$AV$59,2+AL9,FALSE),IF(AND(input_test=TRUE,ISNUMBER(AD9),V9&lt;&gt;0),VLOOKUP((10*AH9+AG9),$AQ$51:$AV$59,2,FALSE),"")))</f>
        <v/>
      </c>
      <c r="AU9" s="582">
        <f t="shared" ref="AU9:AU40" si="15">IF(ISNA(Z9),0,IF(OR(J9="NA",Y9=""),0,Y9))</f>
        <v>0</v>
      </c>
      <c r="AV9" s="583">
        <f t="shared" ref="AV9:AV40" si="16">AR9</f>
        <v>0.95</v>
      </c>
      <c r="AW9" s="582" t="b">
        <f t="shared" ref="AW9:AW40" si="17">IF(ISNA(Z9),FALSE,IF(OR(AB9=1,G9=0,Z9=1,Z9=2),FALSE,IF(OR(J9="NA",J9&gt;=G9),FALSE,TRUE)))</f>
        <v>0</v>
      </c>
      <c r="AX9" s="584" t="b">
        <f t="shared" ref="AX9:AX40" si="18">IF(ISNA(Z9),FALSE,IF(OR(AB9=0,G9=0,Z9=1,Z9=2,J9="NA"),FALSE,IF(AK9="NG",IF(NOT(ISBLANK(K9)),FALSE,TRUE),IF(J9&gt;=G9,FALSE,TRUE))))</f>
        <v>1</v>
      </c>
      <c r="AY9" s="582" t="b">
        <f t="shared" ref="AY9:AY40" si="19">IF(ISNA(Z9),FALSE,IF(OR(AB9=1,G9&lt;1,Z9=1,Z9=2,AE9=0,ISBLANK(K9)),FALSE,IF(OR(J9="NA",K9&gt;=BI9),FALSE,TRUE)))</f>
        <v>0</v>
      </c>
      <c r="AZ9" s="584" t="b">
        <f t="shared" ref="AZ9:AZ40" si="20">IF(ISNA(Z9),FALSE,IF(OR(AB9=0,G9=0,Z9=1,Z9=2,AE9=0,BI9="NG",K9="",ISBLANK(K9)),FALSE,IF(OR(J9="NA",K9&gt;=AK9),FALSE,TRUE)))</f>
        <v>0</v>
      </c>
      <c r="BA9" s="576" t="b">
        <f t="shared" ref="BA9:BA40" si="21">IF(ISNA(Z9),FALSE,IF(OR(AB9=1,G9&lt;1,Z9=1,Z9=2,AE9=0),FALSE,IF(J9="NA",TRUE,FALSE)))</f>
        <v>0</v>
      </c>
      <c r="BB9" s="576" t="b">
        <f t="shared" ref="BB9:BB40" si="22">IF(ISNA(Z9),FALSE,IF(OR(AB9=0,G9=0,Z9=1,Z9=2),FALSE,IF(J9="NA",TRUE,FALSE)))</f>
        <v>0</v>
      </c>
      <c r="BC9" s="582" t="b">
        <f t="shared" ref="BC9:BC40" si="23">IF(OR(ISNA($Z9),ISNUMBER($Z9),NOT(ISNUMBER($J9)),K9="D"),FALSE,IF(AND(NOT(ISNUMBER($K9)),J9&gt;0),TRUE,FALSE))</f>
        <v>0</v>
      </c>
      <c r="BD9" s="585" t="b">
        <f t="shared" ref="BD9:BD40" si="24">IF(OR(ISNA($Z9),ISNUMBER($Z9),NOT(ISNUMBER(K9))),FALSE,OR(NOT(ISNUMBER(J9)),J9=0,AND(J9=0,K9&lt;&gt;0)))</f>
        <v>1</v>
      </c>
      <c r="BE9" s="584" t="b">
        <f t="shared" ref="BE9:BE40" si="25">IF(OR(ISNA($Z9),K9&lt;&gt;"D"),FALSE,IF(OR(AND(H9="NG",J9=0),AND(H9&lt;&gt;"NG",NOT(OR(J9="NA",J9=0)))),TRUE,FALSE))</f>
        <v>0</v>
      </c>
      <c r="BF9" s="586" t="b">
        <f t="shared" ref="BF9:BF40" si="26">IF(OR(ISNA($Z9),H9&lt;&gt;"NG"),FALSE,IF(AND(J9="NA",K9&lt;&gt;""),TRUE,FALSE))</f>
        <v>0</v>
      </c>
      <c r="BG9" s="534" t="b">
        <f t="shared" ref="BG9:BG40" si="27">IF(ISNA($Z9),"NA",IF(OR(AZ9,AY9,AX9,AW9,AP9,BA9,BB9),TRUE,FALSE))</f>
        <v>1</v>
      </c>
      <c r="BH9" s="587">
        <f t="shared" ref="BH9:BH40" si="28">IF(ISNA($Z9),"",IF(OR($Z9=1,$Z9=2),"",$V9))</f>
        <v>1</v>
      </c>
      <c r="BI9" s="534">
        <f t="shared" ref="BI9:BI40" si="29">IF(ISNA($Z9),"",IF(OR($Z9=1,$Z9=2,$G9=""),"",IF(AB9=0,AH9,$AD9)))</f>
        <v>1</v>
      </c>
      <c r="BJ9" s="534" t="str">
        <f t="shared" ref="BJ9:BJ40" si="30">IF(ISNA(AE9),"",IF(OR(Z9=1,Z9=2),"",IF(OR(AE9=0,AD9="NG"),TEXT(BI9,"0"),CONCATENATE(TEXT(BI9,"0"),"*"))))</f>
        <v>1*</v>
      </c>
      <c r="BK9" s="534">
        <f t="shared" ref="BK9:BK40" si="31">IF(ISNA($Z9),"",IF(OR($Z9=1,$Z9=2,$G9=""),"",IF(AB9=0,AG9,$AC9)))</f>
        <v>2</v>
      </c>
      <c r="BL9" s="587">
        <f t="shared" ref="BL9:BL40" si="32">IF(ISBLANK(BH9),"",IF(BH9=0,"",BH9))</f>
        <v>1</v>
      </c>
      <c r="BM9" s="534">
        <f t="shared" ref="BM9:BM40" si="33">IF($BH9=0,"",IF($BI9="NG","D",$BI9))</f>
        <v>1</v>
      </c>
      <c r="BN9" s="534">
        <f t="shared" ref="BN9:BN40" si="34">IF(ISNA(U9),"",IF($BH9=0,"",IF($BI9="NG","D",BK9)))</f>
        <v>2</v>
      </c>
      <c r="BO9" s="537">
        <v>2</v>
      </c>
      <c r="BP9" s="588" t="s">
        <v>571</v>
      </c>
      <c r="BX9" s="589"/>
      <c r="BY9" s="513"/>
      <c r="BZ9" s="513"/>
      <c r="CA9" s="513"/>
      <c r="CB9" s="513"/>
      <c r="CC9" s="513"/>
    </row>
    <row r="10" spans="2:93" s="536" customFormat="1" ht="12.95" customHeight="1" x14ac:dyDescent="0.25">
      <c r="B10" s="590">
        <f>IF(ISNA(Z10),"",IF(OR(Z10=1,Z10=2),"    ",MAX($B$9:B9)+1))</f>
        <v>2</v>
      </c>
      <c r="C10" s="1195" t="str">
        <f t="shared" si="0"/>
        <v xml:space="preserve">      - Test Conduct (16.7%)</v>
      </c>
      <c r="D10" s="1195"/>
      <c r="E10" s="1195"/>
      <c r="F10" s="1196"/>
      <c r="G10" s="571">
        <f t="shared" si="1"/>
        <v>1</v>
      </c>
      <c r="H10" s="572" t="str">
        <f t="shared" si="2"/>
        <v>2*</v>
      </c>
      <c r="I10" s="591">
        <f t="shared" si="2"/>
        <v>2</v>
      </c>
      <c r="J10" s="592"/>
      <c r="K10" s="593">
        <v>2</v>
      </c>
      <c r="L10" s="1075"/>
      <c r="M10" s="1076"/>
      <c r="N10" s="1076"/>
      <c r="O10" s="1076"/>
      <c r="P10" s="1076"/>
      <c r="Q10" s="1076"/>
      <c r="R10" s="1077"/>
      <c r="T10" s="530">
        <v>2</v>
      </c>
      <c r="U10" s="518" t="s">
        <v>572</v>
      </c>
      <c r="V10" s="576">
        <v>1</v>
      </c>
      <c r="W10" s="576">
        <v>1</v>
      </c>
      <c r="X10" s="576" t="s">
        <v>212</v>
      </c>
      <c r="Y10" s="576" t="s">
        <v>212</v>
      </c>
      <c r="Z10" s="585" t="s">
        <v>212</v>
      </c>
      <c r="AA10" s="585">
        <v>2</v>
      </c>
      <c r="AB10" s="585">
        <v>1</v>
      </c>
      <c r="AC10" s="576">
        <v>2</v>
      </c>
      <c r="AD10" s="576">
        <v>2</v>
      </c>
      <c r="AE10" s="576">
        <v>1</v>
      </c>
      <c r="AF10" s="576" t="b">
        <v>1</v>
      </c>
      <c r="AG10" s="576">
        <f t="shared" si="3"/>
        <v>2</v>
      </c>
      <c r="AH10" s="576">
        <f t="shared" si="4"/>
        <v>1</v>
      </c>
      <c r="AI10" s="577">
        <f>IF(NOT(OR(Z10=1,Z10=2)),IF(AQ10&gt;0,$AR$45*AQ10/SUMIF($AQ$9:$AQ$40,"&gt;0"),IF(AU10&gt;0,$AV$45*AU10/SUMIF($AU$9:$AU$40,"&gt;0"),IF(AS10&gt;0,$AT$45*AS10/SUMIF($AS$9:$AS$40,"&gt;0"),""))),IF(SUMIF(AJ11:$AJ$40,"=" &amp; AJ10,AI11:$AI$40)=0,"",SUMIF(AJ11:$AJ$40,"=" &amp; AJ10,AI11:$AI$40)))</f>
        <v>0.16666666666666666</v>
      </c>
      <c r="AJ10" s="578">
        <f t="shared" ref="AJ10:AJ40" si="35">IF(OR(Z10=1,Z10=2,AA10&lt;AA9),AJ9+1,AJ9)</f>
        <v>0</v>
      </c>
      <c r="AK10" s="576">
        <f t="shared" si="5"/>
        <v>2</v>
      </c>
      <c r="AL10" s="585">
        <f t="shared" si="6"/>
        <v>2</v>
      </c>
      <c r="AM10" s="585">
        <f t="shared" si="7"/>
        <v>1</v>
      </c>
      <c r="AN10" s="585" t="str">
        <f t="shared" si="8"/>
        <v/>
      </c>
      <c r="AO10" s="585" t="str">
        <f t="shared" si="9"/>
        <v/>
      </c>
      <c r="AP10" s="576" t="b">
        <f t="shared" si="10"/>
        <v>0</v>
      </c>
      <c r="AQ10" s="579">
        <f t="shared" si="11"/>
        <v>1</v>
      </c>
      <c r="AR10" s="580">
        <f t="shared" si="12"/>
        <v>0.9</v>
      </c>
      <c r="AS10" s="581">
        <f t="shared" si="13"/>
        <v>0</v>
      </c>
      <c r="AT10" s="580" t="str">
        <f t="shared" si="14"/>
        <v/>
      </c>
      <c r="AU10" s="582">
        <f t="shared" si="15"/>
        <v>0</v>
      </c>
      <c r="AV10" s="583">
        <f t="shared" si="16"/>
        <v>0.9</v>
      </c>
      <c r="AW10" s="582" t="b">
        <f t="shared" si="17"/>
        <v>0</v>
      </c>
      <c r="AX10" s="584" t="b">
        <f t="shared" si="18"/>
        <v>1</v>
      </c>
      <c r="AY10" s="582" t="b">
        <f t="shared" si="19"/>
        <v>0</v>
      </c>
      <c r="AZ10" s="584" t="b">
        <f t="shared" si="20"/>
        <v>0</v>
      </c>
      <c r="BA10" s="576" t="b">
        <f t="shared" si="21"/>
        <v>0</v>
      </c>
      <c r="BB10" s="576" t="b">
        <f t="shared" si="22"/>
        <v>0</v>
      </c>
      <c r="BC10" s="582" t="b">
        <f t="shared" si="23"/>
        <v>0</v>
      </c>
      <c r="BD10" s="585" t="b">
        <f t="shared" si="24"/>
        <v>1</v>
      </c>
      <c r="BE10" s="584" t="b">
        <f t="shared" si="25"/>
        <v>0</v>
      </c>
      <c r="BF10" s="586" t="b">
        <f t="shared" si="26"/>
        <v>0</v>
      </c>
      <c r="BG10" s="534" t="b">
        <f t="shared" si="27"/>
        <v>1</v>
      </c>
      <c r="BH10" s="534">
        <f t="shared" si="28"/>
        <v>1</v>
      </c>
      <c r="BI10" s="534">
        <f t="shared" si="29"/>
        <v>2</v>
      </c>
      <c r="BJ10" s="534" t="str">
        <f t="shared" si="30"/>
        <v>2*</v>
      </c>
      <c r="BK10" s="534">
        <f t="shared" si="31"/>
        <v>2</v>
      </c>
      <c r="BL10" s="587">
        <f t="shared" si="32"/>
        <v>1</v>
      </c>
      <c r="BM10" s="534">
        <f t="shared" si="33"/>
        <v>2</v>
      </c>
      <c r="BN10" s="534">
        <f t="shared" si="34"/>
        <v>2</v>
      </c>
      <c r="BO10" s="537">
        <v>3</v>
      </c>
      <c r="BP10" s="588" t="s">
        <v>556</v>
      </c>
      <c r="BX10" s="513"/>
      <c r="BY10" s="513"/>
      <c r="BZ10" s="513"/>
      <c r="CA10" s="513"/>
      <c r="CB10" s="513"/>
      <c r="CC10" s="513"/>
    </row>
    <row r="11" spans="2:93" s="536" customFormat="1" ht="12.95" customHeight="1" x14ac:dyDescent="0.25">
      <c r="B11" s="590">
        <f>IF(ISNA(Z11),"",IF(OR(Z11=1,Z11=2),"    ",MAX($B$9:B10)+1))</f>
        <v>3</v>
      </c>
      <c r="C11" s="1195" t="str">
        <f t="shared" si="0"/>
        <v xml:space="preserve">      -  Data Collection (16.7%)</v>
      </c>
      <c r="D11" s="1195"/>
      <c r="E11" s="1195"/>
      <c r="F11" s="1196"/>
      <c r="G11" s="571">
        <f t="shared" si="1"/>
        <v>1</v>
      </c>
      <c r="H11" s="572" t="str">
        <f t="shared" si="2"/>
        <v>1*</v>
      </c>
      <c r="I11" s="591">
        <f t="shared" si="2"/>
        <v>2</v>
      </c>
      <c r="J11" s="594"/>
      <c r="K11" s="593">
        <v>3</v>
      </c>
      <c r="L11" s="1075"/>
      <c r="M11" s="1076"/>
      <c r="N11" s="1076"/>
      <c r="O11" s="1076"/>
      <c r="P11" s="1076"/>
      <c r="Q11" s="1076"/>
      <c r="R11" s="1077"/>
      <c r="T11" s="530">
        <v>3</v>
      </c>
      <c r="U11" s="518" t="s">
        <v>573</v>
      </c>
      <c r="V11" s="576">
        <v>1</v>
      </c>
      <c r="W11" s="576">
        <v>1</v>
      </c>
      <c r="X11" s="576" t="s">
        <v>212</v>
      </c>
      <c r="Y11" s="576" t="s">
        <v>212</v>
      </c>
      <c r="Z11" s="585" t="s">
        <v>212</v>
      </c>
      <c r="AA11" s="585">
        <v>2</v>
      </c>
      <c r="AB11" s="585">
        <v>1</v>
      </c>
      <c r="AC11" s="576">
        <v>2</v>
      </c>
      <c r="AD11" s="576">
        <v>1</v>
      </c>
      <c r="AE11" s="576">
        <v>1</v>
      </c>
      <c r="AF11" s="576" t="b">
        <v>1</v>
      </c>
      <c r="AG11" s="576">
        <f t="shared" si="3"/>
        <v>1</v>
      </c>
      <c r="AH11" s="576">
        <f t="shared" si="4"/>
        <v>0</v>
      </c>
      <c r="AI11" s="577">
        <f>IF(NOT(OR(Z11=1,Z11=2)),IF(AQ11&gt;0,$AR$45*AQ11/SUMIF($AQ$9:$AQ$40,"&gt;0"),IF(AU11&gt;0,$AV$45*AU11/SUMIF($AU$9:$AU$40,"&gt;0"),IF(AS11&gt;0,$AT$45*AS11/SUMIF($AS$9:$AS$40,"&gt;0"),""))),IF(SUMIF(AJ12:$AJ$40,"=" &amp; AJ11,AI12:$AI$40)=0,"",SUMIF(AJ12:$AJ$40,"=" &amp; AJ11,AI12:$AI$40)))</f>
        <v>0.16666666666666666</v>
      </c>
      <c r="AJ11" s="578">
        <f t="shared" si="35"/>
        <v>0</v>
      </c>
      <c r="AK11" s="576">
        <f t="shared" si="5"/>
        <v>1</v>
      </c>
      <c r="AL11" s="585">
        <f t="shared" si="6"/>
        <v>3</v>
      </c>
      <c r="AM11" s="585">
        <f t="shared" si="7"/>
        <v>1</v>
      </c>
      <c r="AN11" s="585" t="str">
        <f t="shared" si="8"/>
        <v/>
      </c>
      <c r="AO11" s="585" t="str">
        <f t="shared" si="9"/>
        <v/>
      </c>
      <c r="AP11" s="576" t="b">
        <f t="shared" si="10"/>
        <v>0</v>
      </c>
      <c r="AQ11" s="579">
        <f t="shared" si="11"/>
        <v>1</v>
      </c>
      <c r="AR11" s="580">
        <f t="shared" si="12"/>
        <v>0.95</v>
      </c>
      <c r="AS11" s="581">
        <f t="shared" si="13"/>
        <v>0</v>
      </c>
      <c r="AT11" s="580" t="str">
        <f t="shared" si="14"/>
        <v/>
      </c>
      <c r="AU11" s="582">
        <f t="shared" si="15"/>
        <v>0</v>
      </c>
      <c r="AV11" s="583">
        <f t="shared" si="16"/>
        <v>0.95</v>
      </c>
      <c r="AW11" s="582" t="b">
        <f t="shared" si="17"/>
        <v>0</v>
      </c>
      <c r="AX11" s="584" t="b">
        <f t="shared" si="18"/>
        <v>1</v>
      </c>
      <c r="AY11" s="582" t="b">
        <f t="shared" si="19"/>
        <v>0</v>
      </c>
      <c r="AZ11" s="584" t="b">
        <f t="shared" si="20"/>
        <v>0</v>
      </c>
      <c r="BA11" s="576" t="b">
        <f t="shared" si="21"/>
        <v>0</v>
      </c>
      <c r="BB11" s="576" t="b">
        <f t="shared" si="22"/>
        <v>0</v>
      </c>
      <c r="BC11" s="582" t="b">
        <f t="shared" si="23"/>
        <v>0</v>
      </c>
      <c r="BD11" s="585" t="b">
        <f t="shared" si="24"/>
        <v>1</v>
      </c>
      <c r="BE11" s="584" t="b">
        <f t="shared" si="25"/>
        <v>0</v>
      </c>
      <c r="BF11" s="586" t="b">
        <f t="shared" si="26"/>
        <v>0</v>
      </c>
      <c r="BG11" s="534" t="b">
        <f t="shared" si="27"/>
        <v>1</v>
      </c>
      <c r="BH11" s="534">
        <f t="shared" si="28"/>
        <v>1</v>
      </c>
      <c r="BI11" s="534">
        <f t="shared" si="29"/>
        <v>1</v>
      </c>
      <c r="BJ11" s="534" t="str">
        <f t="shared" si="30"/>
        <v>1*</v>
      </c>
      <c r="BK11" s="534">
        <f t="shared" si="31"/>
        <v>2</v>
      </c>
      <c r="BL11" s="587">
        <f t="shared" si="32"/>
        <v>1</v>
      </c>
      <c r="BM11" s="534">
        <f t="shared" si="33"/>
        <v>1</v>
      </c>
      <c r="BN11" s="534">
        <f t="shared" si="34"/>
        <v>2</v>
      </c>
      <c r="BO11" s="537">
        <v>4</v>
      </c>
      <c r="BP11" s="588" t="s">
        <v>561</v>
      </c>
      <c r="BX11" s="595"/>
      <c r="BY11" s="588"/>
      <c r="BZ11" s="588"/>
      <c r="CB11" s="588"/>
    </row>
    <row r="12" spans="2:93" s="536" customFormat="1" ht="12.95" customHeight="1" x14ac:dyDescent="0.25">
      <c r="B12" s="590">
        <f>IF(ISNA(Z12),"",IF(OR(Z12=1,Z12=2),"    ",MAX($B$9:B11)+1))</f>
        <v>4</v>
      </c>
      <c r="C12" s="1195" t="str">
        <f t="shared" si="0"/>
        <v xml:space="preserve">      - Critical Thinking (16.7%)</v>
      </c>
      <c r="D12" s="1195"/>
      <c r="E12" s="1195"/>
      <c r="F12" s="1196"/>
      <c r="G12" s="571">
        <f t="shared" si="1"/>
        <v>1</v>
      </c>
      <c r="H12" s="572" t="str">
        <f t="shared" si="2"/>
        <v>1*</v>
      </c>
      <c r="I12" s="591">
        <f t="shared" si="2"/>
        <v>2</v>
      </c>
      <c r="J12" s="594"/>
      <c r="K12" s="593">
        <v>3</v>
      </c>
      <c r="L12" s="1075"/>
      <c r="M12" s="1076"/>
      <c r="N12" s="1076"/>
      <c r="O12" s="1076"/>
      <c r="P12" s="1076"/>
      <c r="Q12" s="1076"/>
      <c r="R12" s="1077"/>
      <c r="T12" s="530">
        <v>4</v>
      </c>
      <c r="U12" s="518" t="s">
        <v>574</v>
      </c>
      <c r="V12" s="576">
        <v>1</v>
      </c>
      <c r="W12" s="576">
        <v>1</v>
      </c>
      <c r="X12" s="576" t="s">
        <v>212</v>
      </c>
      <c r="Y12" s="576" t="s">
        <v>212</v>
      </c>
      <c r="Z12" s="585" t="s">
        <v>212</v>
      </c>
      <c r="AA12" s="585">
        <v>2</v>
      </c>
      <c r="AB12" s="585">
        <v>1</v>
      </c>
      <c r="AC12" s="576">
        <v>2</v>
      </c>
      <c r="AD12" s="576">
        <v>1</v>
      </c>
      <c r="AE12" s="576">
        <v>1</v>
      </c>
      <c r="AF12" s="576" t="b">
        <v>1</v>
      </c>
      <c r="AG12" s="576">
        <f t="shared" ref="AG12:AG40" si="36">IF(CrewSoloQual="Yes",$AC12,$AD12)</f>
        <v>1</v>
      </c>
      <c r="AH12" s="576">
        <f t="shared" si="4"/>
        <v>0</v>
      </c>
      <c r="AI12" s="577">
        <f>IF(NOT(OR(Z12=1,Z12=2)),IF(AQ12&gt;0,$AR$45*AQ12/SUMIF($AQ$9:$AQ$40,"&gt;0"),IF(AU12&gt;0,$AV$45*AU12/SUMIF($AU$9:$AU$40,"&gt;0"),IF(AS12&gt;0,$AT$45*AS12/SUMIF($AS$9:$AS$40,"&gt;0"),""))),IF(SUMIF(AJ13:$AJ$40,"=" &amp; AJ12,AI13:$AI$40)=0,"",SUMIF(AJ13:$AJ$40,"=" &amp; AJ12,AI13:$AI$40)))</f>
        <v>0.16666666666666666</v>
      </c>
      <c r="AJ12" s="578">
        <f t="shared" si="35"/>
        <v>0</v>
      </c>
      <c r="AK12" s="576">
        <f t="shared" si="5"/>
        <v>1</v>
      </c>
      <c r="AL12" s="585">
        <f t="shared" si="6"/>
        <v>3</v>
      </c>
      <c r="AM12" s="585">
        <f t="shared" si="7"/>
        <v>1</v>
      </c>
      <c r="AN12" s="585" t="str">
        <f t="shared" si="8"/>
        <v/>
      </c>
      <c r="AO12" s="585" t="str">
        <f t="shared" si="9"/>
        <v/>
      </c>
      <c r="AP12" s="576" t="b">
        <f t="shared" si="10"/>
        <v>0</v>
      </c>
      <c r="AQ12" s="579">
        <f t="shared" si="11"/>
        <v>1</v>
      </c>
      <c r="AR12" s="580">
        <f t="shared" si="12"/>
        <v>0.95</v>
      </c>
      <c r="AS12" s="581">
        <f t="shared" si="13"/>
        <v>0</v>
      </c>
      <c r="AT12" s="580" t="str">
        <f t="shared" si="14"/>
        <v/>
      </c>
      <c r="AU12" s="582">
        <f t="shared" si="15"/>
        <v>0</v>
      </c>
      <c r="AV12" s="583">
        <f t="shared" si="16"/>
        <v>0.95</v>
      </c>
      <c r="AW12" s="582" t="b">
        <f t="shared" si="17"/>
        <v>0</v>
      </c>
      <c r="AX12" s="584" t="b">
        <f t="shared" si="18"/>
        <v>1</v>
      </c>
      <c r="AY12" s="582" t="b">
        <f t="shared" si="19"/>
        <v>0</v>
      </c>
      <c r="AZ12" s="584" t="b">
        <f t="shared" si="20"/>
        <v>0</v>
      </c>
      <c r="BA12" s="576" t="b">
        <f t="shared" si="21"/>
        <v>0</v>
      </c>
      <c r="BB12" s="576" t="b">
        <f t="shared" si="22"/>
        <v>0</v>
      </c>
      <c r="BC12" s="582" t="b">
        <f t="shared" si="23"/>
        <v>0</v>
      </c>
      <c r="BD12" s="585" t="b">
        <f t="shared" si="24"/>
        <v>1</v>
      </c>
      <c r="BE12" s="584" t="b">
        <f t="shared" si="25"/>
        <v>0</v>
      </c>
      <c r="BF12" s="586" t="b">
        <f t="shared" si="26"/>
        <v>0</v>
      </c>
      <c r="BG12" s="534" t="b">
        <f t="shared" si="27"/>
        <v>1</v>
      </c>
      <c r="BH12" s="534">
        <f t="shared" si="28"/>
        <v>1</v>
      </c>
      <c r="BI12" s="534">
        <f t="shared" si="29"/>
        <v>1</v>
      </c>
      <c r="BJ12" s="534" t="str">
        <f t="shared" si="30"/>
        <v>1*</v>
      </c>
      <c r="BK12" s="534">
        <f t="shared" si="31"/>
        <v>2</v>
      </c>
      <c r="BL12" s="587">
        <f t="shared" si="32"/>
        <v>1</v>
      </c>
      <c r="BM12" s="534">
        <f t="shared" si="33"/>
        <v>1</v>
      </c>
      <c r="BN12" s="534">
        <f t="shared" si="34"/>
        <v>2</v>
      </c>
      <c r="BO12" s="535" t="s">
        <v>221</v>
      </c>
      <c r="BP12" s="538"/>
      <c r="CE12" s="535" t="s">
        <v>575</v>
      </c>
      <c r="CF12" s="538"/>
    </row>
    <row r="13" spans="2:93" s="536" customFormat="1" ht="12.95" customHeight="1" x14ac:dyDescent="0.25">
      <c r="B13" s="590">
        <f>IF(ISNA(Z13),"",IF(OR(Z13=1,Z13=2),"    ",MAX($B$9:B12)+1))</f>
        <v>5</v>
      </c>
      <c r="C13" s="1195" t="str">
        <f t="shared" si="0"/>
        <v xml:space="preserve">      - Risk Management, Statutory Requirments, and Sustainability (16.7%)</v>
      </c>
      <c r="D13" s="1195"/>
      <c r="E13" s="1195"/>
      <c r="F13" s="1196"/>
      <c r="G13" s="571">
        <f t="shared" si="1"/>
        <v>1</v>
      </c>
      <c r="H13" s="572" t="str">
        <f t="shared" si="2"/>
        <v>2*</v>
      </c>
      <c r="I13" s="591">
        <f t="shared" si="2"/>
        <v>2</v>
      </c>
      <c r="J13" s="594"/>
      <c r="K13" s="593">
        <v>3</v>
      </c>
      <c r="L13" s="1075"/>
      <c r="M13" s="1076"/>
      <c r="N13" s="1076"/>
      <c r="O13" s="1076"/>
      <c r="P13" s="1076"/>
      <c r="Q13" s="1076"/>
      <c r="R13" s="1077"/>
      <c r="T13" s="530">
        <v>5</v>
      </c>
      <c r="U13" s="518" t="s">
        <v>576</v>
      </c>
      <c r="V13" s="576">
        <v>1</v>
      </c>
      <c r="W13" s="576">
        <v>1</v>
      </c>
      <c r="X13" s="576" t="s">
        <v>212</v>
      </c>
      <c r="Y13" s="576" t="s">
        <v>212</v>
      </c>
      <c r="Z13" s="585" t="s">
        <v>212</v>
      </c>
      <c r="AA13" s="585">
        <v>2</v>
      </c>
      <c r="AB13" s="585">
        <v>1</v>
      </c>
      <c r="AC13" s="576">
        <v>2</v>
      </c>
      <c r="AD13" s="576">
        <v>2</v>
      </c>
      <c r="AE13" s="576">
        <v>1</v>
      </c>
      <c r="AF13" s="576" t="b">
        <v>1</v>
      </c>
      <c r="AG13" s="576">
        <f t="shared" si="36"/>
        <v>2</v>
      </c>
      <c r="AH13" s="576">
        <f t="shared" si="4"/>
        <v>1</v>
      </c>
      <c r="AI13" s="577">
        <f>IF(NOT(OR(Z13=1,Z13=2)),IF(AQ13&gt;0,$AR$45*AQ13/SUMIF($AQ$9:$AQ$40,"&gt;0"),IF(AU13&gt;0,$AV$45*AU13/SUMIF($AU$9:$AU$40,"&gt;0"),IF(AS13&gt;0,$AT$45*AS13/SUMIF($AS$9:$AS$40,"&gt;0"),""))),IF(SUMIF(AJ14:$AJ$40,"=" &amp; AJ13,AI14:$AI$40)=0,"",SUMIF(AJ14:$AJ$40,"=" &amp; AJ13,AI14:$AI$40)))</f>
        <v>0.16666666666666666</v>
      </c>
      <c r="AJ13" s="578">
        <f t="shared" si="35"/>
        <v>0</v>
      </c>
      <c r="AK13" s="576">
        <f t="shared" si="5"/>
        <v>2</v>
      </c>
      <c r="AL13" s="585">
        <f t="shared" si="6"/>
        <v>3</v>
      </c>
      <c r="AM13" s="585">
        <f t="shared" si="7"/>
        <v>1</v>
      </c>
      <c r="AN13" s="585" t="str">
        <f t="shared" si="8"/>
        <v/>
      </c>
      <c r="AO13" s="585" t="str">
        <f t="shared" si="9"/>
        <v/>
      </c>
      <c r="AP13" s="576" t="b">
        <f t="shared" si="10"/>
        <v>0</v>
      </c>
      <c r="AQ13" s="579">
        <f t="shared" si="11"/>
        <v>1</v>
      </c>
      <c r="AR13" s="580">
        <f t="shared" si="12"/>
        <v>0.95</v>
      </c>
      <c r="AS13" s="581">
        <f t="shared" si="13"/>
        <v>0</v>
      </c>
      <c r="AT13" s="580" t="str">
        <f t="shared" si="14"/>
        <v/>
      </c>
      <c r="AU13" s="582">
        <f t="shared" si="15"/>
        <v>0</v>
      </c>
      <c r="AV13" s="583">
        <f t="shared" si="16"/>
        <v>0.95</v>
      </c>
      <c r="AW13" s="582" t="b">
        <f t="shared" si="17"/>
        <v>0</v>
      </c>
      <c r="AX13" s="584" t="b">
        <f t="shared" si="18"/>
        <v>1</v>
      </c>
      <c r="AY13" s="582" t="b">
        <f t="shared" si="19"/>
        <v>0</v>
      </c>
      <c r="AZ13" s="584" t="b">
        <f t="shared" si="20"/>
        <v>0</v>
      </c>
      <c r="BA13" s="576" t="b">
        <f t="shared" si="21"/>
        <v>0</v>
      </c>
      <c r="BB13" s="576" t="b">
        <f t="shared" si="22"/>
        <v>0</v>
      </c>
      <c r="BC13" s="582" t="b">
        <f t="shared" si="23"/>
        <v>0</v>
      </c>
      <c r="BD13" s="585" t="b">
        <f t="shared" si="24"/>
        <v>1</v>
      </c>
      <c r="BE13" s="584" t="b">
        <f t="shared" si="25"/>
        <v>0</v>
      </c>
      <c r="BF13" s="586" t="b">
        <f t="shared" si="26"/>
        <v>0</v>
      </c>
      <c r="BG13" s="534" t="b">
        <f t="shared" si="27"/>
        <v>1</v>
      </c>
      <c r="BH13" s="534">
        <f t="shared" si="28"/>
        <v>1</v>
      </c>
      <c r="BI13" s="534">
        <f t="shared" si="29"/>
        <v>2</v>
      </c>
      <c r="BJ13" s="534" t="str">
        <f t="shared" si="30"/>
        <v>2*</v>
      </c>
      <c r="BK13" s="534">
        <f t="shared" si="31"/>
        <v>2</v>
      </c>
      <c r="BL13" s="587">
        <f t="shared" si="32"/>
        <v>1</v>
      </c>
      <c r="BM13" s="534">
        <f t="shared" si="33"/>
        <v>2</v>
      </c>
      <c r="BN13" s="534">
        <f t="shared" si="34"/>
        <v>2</v>
      </c>
      <c r="BO13" s="537" t="s">
        <v>214</v>
      </c>
      <c r="BP13" s="538" t="s">
        <v>215</v>
      </c>
      <c r="CE13" s="537" t="s">
        <v>214</v>
      </c>
      <c r="CF13" s="538" t="s">
        <v>215</v>
      </c>
    </row>
    <row r="14" spans="2:93" s="536" customFormat="1" ht="12.95" customHeight="1" x14ac:dyDescent="0.25">
      <c r="B14" s="590">
        <f>IF(ISNA(Z14),"",IF(OR(Z14=1,Z14=2),"    ",MAX($B$9:B13)+1))</f>
        <v>6</v>
      </c>
      <c r="C14" s="1195" t="str">
        <f t="shared" si="0"/>
        <v xml:space="preserve">      - Communication (16.7%)</v>
      </c>
      <c r="D14" s="1195"/>
      <c r="E14" s="1195"/>
      <c r="F14" s="1196"/>
      <c r="G14" s="571">
        <f t="shared" si="1"/>
        <v>1</v>
      </c>
      <c r="H14" s="572" t="str">
        <f t="shared" si="2"/>
        <v>1*</v>
      </c>
      <c r="I14" s="591">
        <f t="shared" si="2"/>
        <v>2</v>
      </c>
      <c r="J14" s="594"/>
      <c r="K14" s="593">
        <v>3</v>
      </c>
      <c r="L14" s="1075"/>
      <c r="M14" s="1076"/>
      <c r="N14" s="1076"/>
      <c r="O14" s="1076"/>
      <c r="P14" s="1076"/>
      <c r="Q14" s="1076"/>
      <c r="R14" s="1077"/>
      <c r="T14" s="530">
        <v>6</v>
      </c>
      <c r="U14" s="518" t="s">
        <v>447</v>
      </c>
      <c r="V14" s="576">
        <v>1</v>
      </c>
      <c r="W14" s="576">
        <v>1</v>
      </c>
      <c r="X14" s="576" t="s">
        <v>212</v>
      </c>
      <c r="Y14" s="576" t="s">
        <v>212</v>
      </c>
      <c r="Z14" s="585" t="s">
        <v>212</v>
      </c>
      <c r="AA14" s="585">
        <v>2</v>
      </c>
      <c r="AB14" s="585">
        <v>1</v>
      </c>
      <c r="AC14" s="576">
        <v>2</v>
      </c>
      <c r="AD14" s="576">
        <v>1</v>
      </c>
      <c r="AE14" s="576">
        <v>1</v>
      </c>
      <c r="AF14" s="576" t="b">
        <v>1</v>
      </c>
      <c r="AG14" s="576">
        <f t="shared" si="36"/>
        <v>1</v>
      </c>
      <c r="AH14" s="576">
        <f t="shared" ref="AH14:AH40" si="37">IF(ISNUMBER(AC14),IF(CrewSoloQual="Yes",$AC14-1,$AD14-1),"")</f>
        <v>0</v>
      </c>
      <c r="AI14" s="577">
        <f>IF(NOT(OR(Z14=1,Z14=2)),IF(AQ14&gt;0,$AR$45*AQ14/SUMIF($AQ$9:$AQ$40,"&gt;0"),IF(AU14&gt;0,$AV$45*AU14/SUMIF($AU$9:$AU$40,"&gt;0"),IF(AS14&gt;0,$AT$45*AS14/SUMIF($AS$9:$AS$40,"&gt;0"),""))),IF(SUMIF(AJ15:$AJ$40,"=" &amp; AJ14,AI15:$AI$40)=0,"",SUMIF(AJ15:$AJ$40,"=" &amp; AJ14,AI15:$AI$40)))</f>
        <v>0.16666666666666666</v>
      </c>
      <c r="AJ14" s="578">
        <f t="shared" si="35"/>
        <v>0</v>
      </c>
      <c r="AK14" s="576">
        <f t="shared" si="5"/>
        <v>1</v>
      </c>
      <c r="AL14" s="585">
        <f t="shared" si="6"/>
        <v>3</v>
      </c>
      <c r="AM14" s="585">
        <f t="shared" si="7"/>
        <v>1</v>
      </c>
      <c r="AN14" s="585" t="str">
        <f t="shared" si="8"/>
        <v/>
      </c>
      <c r="AO14" s="585" t="str">
        <f t="shared" si="9"/>
        <v/>
      </c>
      <c r="AP14" s="576" t="b">
        <f t="shared" si="10"/>
        <v>0</v>
      </c>
      <c r="AQ14" s="579">
        <f t="shared" si="11"/>
        <v>1</v>
      </c>
      <c r="AR14" s="580">
        <f t="shared" si="12"/>
        <v>0.95</v>
      </c>
      <c r="AS14" s="581">
        <f t="shared" si="13"/>
        <v>0</v>
      </c>
      <c r="AT14" s="580" t="str">
        <f t="shared" si="14"/>
        <v/>
      </c>
      <c r="AU14" s="582">
        <f t="shared" si="15"/>
        <v>0</v>
      </c>
      <c r="AV14" s="583">
        <f t="shared" si="16"/>
        <v>0.95</v>
      </c>
      <c r="AW14" s="582" t="b">
        <f t="shared" si="17"/>
        <v>0</v>
      </c>
      <c r="AX14" s="584" t="b">
        <f t="shared" si="18"/>
        <v>1</v>
      </c>
      <c r="AY14" s="582" t="b">
        <f t="shared" si="19"/>
        <v>0</v>
      </c>
      <c r="AZ14" s="584" t="b">
        <f t="shared" si="20"/>
        <v>0</v>
      </c>
      <c r="BA14" s="576" t="b">
        <f t="shared" si="21"/>
        <v>0</v>
      </c>
      <c r="BB14" s="576" t="b">
        <f t="shared" si="22"/>
        <v>0</v>
      </c>
      <c r="BC14" s="582" t="b">
        <f t="shared" si="23"/>
        <v>0</v>
      </c>
      <c r="BD14" s="585" t="b">
        <f t="shared" si="24"/>
        <v>1</v>
      </c>
      <c r="BE14" s="584" t="b">
        <f t="shared" si="25"/>
        <v>0</v>
      </c>
      <c r="BF14" s="586" t="b">
        <f t="shared" si="26"/>
        <v>0</v>
      </c>
      <c r="BG14" s="534" t="b">
        <f t="shared" si="27"/>
        <v>1</v>
      </c>
      <c r="BH14" s="534">
        <f t="shared" si="28"/>
        <v>1</v>
      </c>
      <c r="BI14" s="534">
        <f t="shared" si="29"/>
        <v>1</v>
      </c>
      <c r="BJ14" s="534" t="str">
        <f t="shared" si="30"/>
        <v>1*</v>
      </c>
      <c r="BK14" s="534">
        <f t="shared" si="31"/>
        <v>2</v>
      </c>
      <c r="BL14" s="587">
        <f t="shared" si="32"/>
        <v>1</v>
      </c>
      <c r="BM14" s="534">
        <f t="shared" si="33"/>
        <v>1</v>
      </c>
      <c r="BN14" s="534">
        <f t="shared" si="34"/>
        <v>2</v>
      </c>
      <c r="BO14" s="537">
        <v>0</v>
      </c>
      <c r="BP14" s="538" t="s">
        <v>577</v>
      </c>
      <c r="CE14" s="537">
        <v>0</v>
      </c>
      <c r="CF14" s="538" t="s">
        <v>578</v>
      </c>
    </row>
    <row r="15" spans="2:93" s="536" customFormat="1" ht="12.95" customHeight="1" x14ac:dyDescent="0.25">
      <c r="B15" s="590" t="str">
        <f>IF(ISNA(Z15),"",IF(OR(Z15=1,Z15=2),"    ",MAX($B$9:B14)+1))</f>
        <v/>
      </c>
      <c r="C15" s="1195" t="str">
        <f t="shared" si="0"/>
        <v/>
      </c>
      <c r="D15" s="1195"/>
      <c r="E15" s="1195"/>
      <c r="F15" s="1196"/>
      <c r="G15" s="571" t="str">
        <f t="shared" si="1"/>
        <v/>
      </c>
      <c r="H15" s="572" t="str">
        <f t="shared" si="2"/>
        <v/>
      </c>
      <c r="I15" s="591" t="str">
        <f t="shared" si="2"/>
        <v/>
      </c>
      <c r="J15" s="594"/>
      <c r="K15" s="593"/>
      <c r="L15" s="1075"/>
      <c r="M15" s="1076"/>
      <c r="N15" s="1076"/>
      <c r="O15" s="1076"/>
      <c r="P15" s="1076"/>
      <c r="Q15" s="1076"/>
      <c r="R15" s="1077"/>
      <c r="T15" s="530">
        <v>7</v>
      </c>
      <c r="U15" s="518" t="e">
        <v>#N/A</v>
      </c>
      <c r="V15" s="576" t="e">
        <v>#N/A</v>
      </c>
      <c r="W15" s="576" t="e">
        <v>#N/A</v>
      </c>
      <c r="X15" s="576" t="e">
        <v>#N/A</v>
      </c>
      <c r="Y15" s="576" t="e">
        <v>#N/A</v>
      </c>
      <c r="Z15" s="585" t="e">
        <v>#N/A</v>
      </c>
      <c r="AA15" s="585" t="e">
        <v>#N/A</v>
      </c>
      <c r="AB15" s="585" t="e">
        <v>#N/A</v>
      </c>
      <c r="AC15" s="576" t="e">
        <v>#N/A</v>
      </c>
      <c r="AD15" s="576" t="e">
        <v>#N/A</v>
      </c>
      <c r="AE15" s="576" t="e">
        <v>#N/A</v>
      </c>
      <c r="AF15" s="576" t="e">
        <v>#N/A</v>
      </c>
      <c r="AG15" s="576" t="e">
        <f t="shared" si="36"/>
        <v>#N/A</v>
      </c>
      <c r="AH15" s="576" t="str">
        <f t="shared" si="37"/>
        <v/>
      </c>
      <c r="AI15" s="577" t="e">
        <f>IF(NOT(OR(Z15=1,Z15=2)),IF(AQ15&gt;0,$AR$45*AQ15/SUMIF($AQ$9:$AQ$40,"&gt;0"),IF(AU15&gt;0,$AV$45*AU15/SUMIF($AU$9:$AU$40,"&gt;0"),IF(AS15&gt;0,$AT$45*AS15/SUMIF($AS$9:$AS$40,"&gt;0"),""))),IF(SUMIF(AJ16:$AJ$40,"=" &amp; AJ15,AI16:$AI$40)=0,"",SUMIF(AJ16:$AJ$40,"=" &amp; AJ15,AI16:$AI$40)))</f>
        <v>#N/A</v>
      </c>
      <c r="AJ15" s="578" t="e">
        <f t="shared" si="35"/>
        <v>#N/A</v>
      </c>
      <c r="AK15" s="576" t="str">
        <f t="shared" si="5"/>
        <v/>
      </c>
      <c r="AL15" s="585" t="str">
        <f t="shared" si="6"/>
        <v/>
      </c>
      <c r="AM15" s="585" t="str">
        <f t="shared" si="7"/>
        <v/>
      </c>
      <c r="AN15" s="585" t="str">
        <f t="shared" si="8"/>
        <v/>
      </c>
      <c r="AO15" s="585" t="e">
        <f t="shared" si="9"/>
        <v>#N/A</v>
      </c>
      <c r="AP15" s="576" t="str">
        <f t="shared" si="10"/>
        <v/>
      </c>
      <c r="AQ15" s="579">
        <f t="shared" si="11"/>
        <v>0</v>
      </c>
      <c r="AR15" s="580" t="str">
        <f t="shared" si="12"/>
        <v/>
      </c>
      <c r="AS15" s="581">
        <f t="shared" si="13"/>
        <v>0</v>
      </c>
      <c r="AT15" s="580" t="str">
        <f t="shared" si="14"/>
        <v/>
      </c>
      <c r="AU15" s="582">
        <f t="shared" si="15"/>
        <v>0</v>
      </c>
      <c r="AV15" s="583" t="str">
        <f t="shared" si="16"/>
        <v/>
      </c>
      <c r="AW15" s="582" t="b">
        <f t="shared" si="17"/>
        <v>0</v>
      </c>
      <c r="AX15" s="584" t="b">
        <f t="shared" si="18"/>
        <v>0</v>
      </c>
      <c r="AY15" s="582" t="b">
        <f t="shared" si="19"/>
        <v>0</v>
      </c>
      <c r="AZ15" s="584" t="b">
        <f t="shared" si="20"/>
        <v>0</v>
      </c>
      <c r="BA15" s="576" t="b">
        <f t="shared" si="21"/>
        <v>0</v>
      </c>
      <c r="BB15" s="576" t="b">
        <f t="shared" si="22"/>
        <v>0</v>
      </c>
      <c r="BC15" s="582" t="b">
        <f t="shared" si="23"/>
        <v>0</v>
      </c>
      <c r="BD15" s="585" t="b">
        <f t="shared" si="24"/>
        <v>0</v>
      </c>
      <c r="BE15" s="584" t="b">
        <f t="shared" si="25"/>
        <v>0</v>
      </c>
      <c r="BF15" s="586" t="b">
        <f t="shared" si="26"/>
        <v>0</v>
      </c>
      <c r="BG15" s="534" t="str">
        <f t="shared" si="27"/>
        <v>NA</v>
      </c>
      <c r="BH15" s="534" t="str">
        <f t="shared" si="28"/>
        <v/>
      </c>
      <c r="BI15" s="534" t="str">
        <f t="shared" si="29"/>
        <v/>
      </c>
      <c r="BJ15" s="534" t="str">
        <f t="shared" si="30"/>
        <v/>
      </c>
      <c r="BK15" s="534" t="str">
        <f t="shared" si="31"/>
        <v/>
      </c>
      <c r="BL15" s="587" t="str">
        <f t="shared" si="32"/>
        <v/>
      </c>
      <c r="BM15" s="534" t="str">
        <f t="shared" si="33"/>
        <v/>
      </c>
      <c r="BN15" s="534" t="str">
        <f t="shared" si="34"/>
        <v/>
      </c>
      <c r="BO15" s="537">
        <v>1</v>
      </c>
      <c r="BP15" s="588" t="s">
        <v>579</v>
      </c>
      <c r="CE15" s="1197">
        <v>1</v>
      </c>
      <c r="CF15" s="1198" t="s">
        <v>580</v>
      </c>
      <c r="CG15" s="1198"/>
      <c r="CH15" s="1198"/>
      <c r="CI15" s="1198"/>
      <c r="CJ15" s="1198"/>
      <c r="CK15" s="1198"/>
      <c r="CL15" s="1198"/>
      <c r="CM15" s="1198"/>
      <c r="CN15" s="1198"/>
      <c r="CO15" s="1198"/>
    </row>
    <row r="16" spans="2:93" s="536" customFormat="1" ht="12.95" customHeight="1" x14ac:dyDescent="0.25">
      <c r="B16" s="590" t="str">
        <f>IF(ISNA(Z16),"",IF(OR(Z16=1,Z16=2),"    ",MAX($B$9:B15)+1))</f>
        <v/>
      </c>
      <c r="C16" s="1195" t="str">
        <f t="shared" si="0"/>
        <v/>
      </c>
      <c r="D16" s="1195"/>
      <c r="E16" s="1195"/>
      <c r="F16" s="1196"/>
      <c r="G16" s="571" t="str">
        <f t="shared" si="1"/>
        <v/>
      </c>
      <c r="H16" s="572" t="str">
        <f t="shared" si="2"/>
        <v/>
      </c>
      <c r="I16" s="591" t="str">
        <f t="shared" si="2"/>
        <v/>
      </c>
      <c r="J16" s="594"/>
      <c r="K16" s="593"/>
      <c r="L16" s="1075"/>
      <c r="M16" s="1076"/>
      <c r="N16" s="1076"/>
      <c r="O16" s="1076"/>
      <c r="P16" s="1076"/>
      <c r="Q16" s="1076"/>
      <c r="R16" s="1077"/>
      <c r="T16" s="530">
        <v>8</v>
      </c>
      <c r="U16" s="518" t="e">
        <v>#N/A</v>
      </c>
      <c r="V16" s="576" t="e">
        <v>#N/A</v>
      </c>
      <c r="W16" s="576" t="e">
        <v>#N/A</v>
      </c>
      <c r="X16" s="576" t="e">
        <v>#N/A</v>
      </c>
      <c r="Y16" s="576" t="e">
        <v>#N/A</v>
      </c>
      <c r="Z16" s="585" t="e">
        <v>#N/A</v>
      </c>
      <c r="AA16" s="585" t="e">
        <v>#N/A</v>
      </c>
      <c r="AB16" s="585" t="e">
        <v>#N/A</v>
      </c>
      <c r="AC16" s="576" t="e">
        <v>#N/A</v>
      </c>
      <c r="AD16" s="576" t="e">
        <v>#N/A</v>
      </c>
      <c r="AE16" s="576" t="e">
        <v>#N/A</v>
      </c>
      <c r="AF16" s="576" t="e">
        <v>#N/A</v>
      </c>
      <c r="AG16" s="576" t="e">
        <f t="shared" si="36"/>
        <v>#N/A</v>
      </c>
      <c r="AH16" s="576" t="str">
        <f t="shared" si="37"/>
        <v/>
      </c>
      <c r="AI16" s="577" t="e">
        <f>IF(NOT(OR(Z16=1,Z16=2)),IF(AQ16&gt;0,$AR$45*AQ16/SUMIF($AQ$9:$AQ$40,"&gt;0"),IF(AU16&gt;0,$AV$45*AU16/SUMIF($AU$9:$AU$40,"&gt;0"),IF(AS16&gt;0,$AT$45*AS16/SUMIF($AS$9:$AS$40,"&gt;0"),""))),IF(SUMIF(AJ17:$AJ$40,"=" &amp; AJ16,AI17:$AI$40)=0,"",SUMIF(AJ17:$AJ$40,"=" &amp; AJ16,AI17:$AI$40)))</f>
        <v>#N/A</v>
      </c>
      <c r="AJ16" s="578" t="e">
        <f t="shared" si="35"/>
        <v>#N/A</v>
      </c>
      <c r="AK16" s="576" t="str">
        <f t="shared" si="5"/>
        <v/>
      </c>
      <c r="AL16" s="585" t="str">
        <f t="shared" si="6"/>
        <v/>
      </c>
      <c r="AM16" s="585" t="str">
        <f t="shared" si="7"/>
        <v/>
      </c>
      <c r="AN16" s="585" t="str">
        <f t="shared" si="8"/>
        <v/>
      </c>
      <c r="AO16" s="585" t="e">
        <f t="shared" si="9"/>
        <v>#N/A</v>
      </c>
      <c r="AP16" s="576" t="str">
        <f t="shared" si="10"/>
        <v/>
      </c>
      <c r="AQ16" s="579">
        <f t="shared" si="11"/>
        <v>0</v>
      </c>
      <c r="AR16" s="580" t="str">
        <f t="shared" si="12"/>
        <v/>
      </c>
      <c r="AS16" s="581">
        <f t="shared" si="13"/>
        <v>0</v>
      </c>
      <c r="AT16" s="580" t="str">
        <f t="shared" si="14"/>
        <v/>
      </c>
      <c r="AU16" s="582">
        <f t="shared" si="15"/>
        <v>0</v>
      </c>
      <c r="AV16" s="583" t="str">
        <f t="shared" si="16"/>
        <v/>
      </c>
      <c r="AW16" s="582" t="b">
        <f t="shared" si="17"/>
        <v>0</v>
      </c>
      <c r="AX16" s="584" t="b">
        <f t="shared" si="18"/>
        <v>0</v>
      </c>
      <c r="AY16" s="582" t="b">
        <f t="shared" si="19"/>
        <v>0</v>
      </c>
      <c r="AZ16" s="584" t="b">
        <f t="shared" si="20"/>
        <v>0</v>
      </c>
      <c r="BA16" s="576" t="b">
        <f t="shared" si="21"/>
        <v>0</v>
      </c>
      <c r="BB16" s="576" t="b">
        <f t="shared" si="22"/>
        <v>0</v>
      </c>
      <c r="BC16" s="582" t="b">
        <f t="shared" si="23"/>
        <v>0</v>
      </c>
      <c r="BD16" s="585" t="b">
        <f t="shared" si="24"/>
        <v>0</v>
      </c>
      <c r="BE16" s="584" t="b">
        <f t="shared" si="25"/>
        <v>0</v>
      </c>
      <c r="BF16" s="586" t="b">
        <f t="shared" si="26"/>
        <v>0</v>
      </c>
      <c r="BG16" s="534" t="str">
        <f t="shared" si="27"/>
        <v>NA</v>
      </c>
      <c r="BH16" s="534" t="str">
        <f t="shared" si="28"/>
        <v/>
      </c>
      <c r="BI16" s="534" t="str">
        <f t="shared" si="29"/>
        <v/>
      </c>
      <c r="BJ16" s="534" t="str">
        <f t="shared" si="30"/>
        <v/>
      </c>
      <c r="BK16" s="534" t="str">
        <f t="shared" si="31"/>
        <v/>
      </c>
      <c r="BL16" s="587" t="str">
        <f t="shared" si="32"/>
        <v/>
      </c>
      <c r="BM16" s="534" t="str">
        <f t="shared" si="33"/>
        <v/>
      </c>
      <c r="BN16" s="534" t="str">
        <f t="shared" si="34"/>
        <v/>
      </c>
      <c r="BO16" s="537">
        <v>2</v>
      </c>
      <c r="BP16" s="588" t="s">
        <v>581</v>
      </c>
      <c r="CE16" s="1197"/>
      <c r="CF16" s="1198"/>
      <c r="CG16" s="1198"/>
      <c r="CH16" s="1198"/>
      <c r="CI16" s="1198"/>
      <c r="CJ16" s="1198"/>
      <c r="CK16" s="1198"/>
      <c r="CL16" s="1198"/>
      <c r="CM16" s="1198"/>
      <c r="CN16" s="1198"/>
      <c r="CO16" s="1198"/>
    </row>
    <row r="17" spans="2:93" s="536" customFormat="1" ht="12.95" customHeight="1" x14ac:dyDescent="0.25">
      <c r="B17" s="590" t="str">
        <f>IF(ISNA(Z17),"",IF(OR(Z17=1,Z17=2),"    ",MAX($B$9:B16)+1))</f>
        <v/>
      </c>
      <c r="C17" s="1195" t="str">
        <f t="shared" si="0"/>
        <v/>
      </c>
      <c r="D17" s="1195"/>
      <c r="E17" s="1195"/>
      <c r="F17" s="1196"/>
      <c r="G17" s="571" t="str">
        <f t="shared" si="1"/>
        <v/>
      </c>
      <c r="H17" s="572" t="str">
        <f t="shared" si="2"/>
        <v/>
      </c>
      <c r="I17" s="591" t="str">
        <f t="shared" si="2"/>
        <v/>
      </c>
      <c r="J17" s="594"/>
      <c r="K17" s="593"/>
      <c r="L17" s="1075"/>
      <c r="M17" s="1076"/>
      <c r="N17" s="1076"/>
      <c r="O17" s="1076"/>
      <c r="P17" s="1076"/>
      <c r="Q17" s="1076"/>
      <c r="R17" s="1077"/>
      <c r="T17" s="530">
        <v>9</v>
      </c>
      <c r="U17" s="518" t="e">
        <v>#N/A</v>
      </c>
      <c r="V17" s="576" t="e">
        <v>#N/A</v>
      </c>
      <c r="W17" s="576" t="e">
        <v>#N/A</v>
      </c>
      <c r="X17" s="576" t="e">
        <v>#N/A</v>
      </c>
      <c r="Y17" s="576" t="e">
        <v>#N/A</v>
      </c>
      <c r="Z17" s="585" t="e">
        <v>#N/A</v>
      </c>
      <c r="AA17" s="585" t="e">
        <v>#N/A</v>
      </c>
      <c r="AB17" s="585" t="e">
        <v>#N/A</v>
      </c>
      <c r="AC17" s="576" t="e">
        <v>#N/A</v>
      </c>
      <c r="AD17" s="576" t="e">
        <v>#N/A</v>
      </c>
      <c r="AE17" s="576" t="e">
        <v>#N/A</v>
      </c>
      <c r="AF17" s="576" t="e">
        <v>#N/A</v>
      </c>
      <c r="AG17" s="576" t="e">
        <f t="shared" si="36"/>
        <v>#N/A</v>
      </c>
      <c r="AH17" s="576" t="str">
        <f t="shared" si="37"/>
        <v/>
      </c>
      <c r="AI17" s="577" t="e">
        <f>IF(NOT(OR(Z17=1,Z17=2)),IF(AQ17&gt;0,$AR$45*AQ17/SUMIF($AQ$9:$AQ$40,"&gt;0"),IF(AU17&gt;0,$AV$45*AU17/SUMIF($AU$9:$AU$40,"&gt;0"),IF(AS17&gt;0,$AT$45*AS17/SUMIF($AS$9:$AS$40,"&gt;0"),""))),IF(SUMIF(AJ18:$AJ$40,"=" &amp; AJ17,AI18:$AI$40)=0,"",SUMIF(AJ18:$AJ$40,"=" &amp; AJ17,AI18:$AI$40)))</f>
        <v>#N/A</v>
      </c>
      <c r="AJ17" s="578" t="e">
        <f t="shared" si="35"/>
        <v>#N/A</v>
      </c>
      <c r="AK17" s="576" t="str">
        <f t="shared" si="5"/>
        <v/>
      </c>
      <c r="AL17" s="585" t="str">
        <f t="shared" si="6"/>
        <v/>
      </c>
      <c r="AM17" s="585" t="str">
        <f t="shared" si="7"/>
        <v/>
      </c>
      <c r="AN17" s="585" t="str">
        <f t="shared" si="8"/>
        <v/>
      </c>
      <c r="AO17" s="585" t="e">
        <f t="shared" si="9"/>
        <v>#N/A</v>
      </c>
      <c r="AP17" s="576" t="str">
        <f t="shared" si="10"/>
        <v/>
      </c>
      <c r="AQ17" s="579">
        <f t="shared" si="11"/>
        <v>0</v>
      </c>
      <c r="AR17" s="580" t="str">
        <f t="shared" si="12"/>
        <v/>
      </c>
      <c r="AS17" s="581">
        <f t="shared" si="13"/>
        <v>0</v>
      </c>
      <c r="AT17" s="580" t="str">
        <f t="shared" si="14"/>
        <v/>
      </c>
      <c r="AU17" s="582">
        <f t="shared" si="15"/>
        <v>0</v>
      </c>
      <c r="AV17" s="583" t="str">
        <f t="shared" si="16"/>
        <v/>
      </c>
      <c r="AW17" s="582" t="b">
        <f t="shared" si="17"/>
        <v>0</v>
      </c>
      <c r="AX17" s="584" t="b">
        <f t="shared" si="18"/>
        <v>0</v>
      </c>
      <c r="AY17" s="582" t="b">
        <f t="shared" si="19"/>
        <v>0</v>
      </c>
      <c r="AZ17" s="584" t="b">
        <f t="shared" si="20"/>
        <v>0</v>
      </c>
      <c r="BA17" s="576" t="b">
        <f t="shared" si="21"/>
        <v>0</v>
      </c>
      <c r="BB17" s="576" t="b">
        <f t="shared" si="22"/>
        <v>0</v>
      </c>
      <c r="BC17" s="582" t="b">
        <f t="shared" si="23"/>
        <v>0</v>
      </c>
      <c r="BD17" s="585" t="b">
        <f t="shared" si="24"/>
        <v>0</v>
      </c>
      <c r="BE17" s="584" t="b">
        <f t="shared" si="25"/>
        <v>0</v>
      </c>
      <c r="BF17" s="586" t="b">
        <f t="shared" si="26"/>
        <v>0</v>
      </c>
      <c r="BG17" s="534" t="str">
        <f t="shared" si="27"/>
        <v>NA</v>
      </c>
      <c r="BH17" s="534" t="str">
        <f t="shared" si="28"/>
        <v/>
      </c>
      <c r="BI17" s="534" t="str">
        <f t="shared" si="29"/>
        <v/>
      </c>
      <c r="BJ17" s="534" t="str">
        <f t="shared" si="30"/>
        <v/>
      </c>
      <c r="BK17" s="534" t="str">
        <f t="shared" si="31"/>
        <v/>
      </c>
      <c r="BL17" s="587" t="str">
        <f t="shared" si="32"/>
        <v/>
      </c>
      <c r="BM17" s="534" t="str">
        <f t="shared" si="33"/>
        <v/>
      </c>
      <c r="BN17" s="534" t="str">
        <f t="shared" si="34"/>
        <v/>
      </c>
      <c r="BO17" s="537">
        <v>3</v>
      </c>
      <c r="BP17" s="588" t="s">
        <v>582</v>
      </c>
      <c r="CE17" s="1197">
        <v>2</v>
      </c>
      <c r="CF17" s="1198" t="s">
        <v>583</v>
      </c>
      <c r="CG17" s="1198"/>
      <c r="CH17" s="1198"/>
      <c r="CI17" s="1198"/>
      <c r="CJ17" s="1198"/>
      <c r="CK17" s="1198"/>
      <c r="CL17" s="1198"/>
      <c r="CM17" s="1198"/>
      <c r="CN17" s="1198"/>
      <c r="CO17" s="1198"/>
    </row>
    <row r="18" spans="2:93" s="536" customFormat="1" ht="12.95" customHeight="1" x14ac:dyDescent="0.25">
      <c r="B18" s="590" t="str">
        <f>IF(ISNA(Z18),"",IF(OR(Z18=1,Z18=2),"    ",MAX($B$9:B17)+1))</f>
        <v/>
      </c>
      <c r="C18" s="1195" t="str">
        <f t="shared" si="0"/>
        <v/>
      </c>
      <c r="D18" s="1195"/>
      <c r="E18" s="1195"/>
      <c r="F18" s="1196"/>
      <c r="G18" s="571" t="str">
        <f t="shared" si="1"/>
        <v/>
      </c>
      <c r="H18" s="572" t="str">
        <f t="shared" si="2"/>
        <v/>
      </c>
      <c r="I18" s="591" t="str">
        <f t="shared" si="2"/>
        <v/>
      </c>
      <c r="J18" s="594"/>
      <c r="K18" s="593"/>
      <c r="L18" s="1075"/>
      <c r="M18" s="1076"/>
      <c r="N18" s="1076"/>
      <c r="O18" s="1076"/>
      <c r="P18" s="1076"/>
      <c r="Q18" s="1076"/>
      <c r="R18" s="1077"/>
      <c r="T18" s="530">
        <v>10</v>
      </c>
      <c r="U18" s="518" t="e">
        <v>#N/A</v>
      </c>
      <c r="V18" s="576" t="e">
        <v>#N/A</v>
      </c>
      <c r="W18" s="576" t="e">
        <v>#N/A</v>
      </c>
      <c r="X18" s="576" t="e">
        <v>#N/A</v>
      </c>
      <c r="Y18" s="576" t="e">
        <v>#N/A</v>
      </c>
      <c r="Z18" s="585" t="e">
        <v>#N/A</v>
      </c>
      <c r="AA18" s="585" t="e">
        <v>#N/A</v>
      </c>
      <c r="AB18" s="585" t="e">
        <v>#N/A</v>
      </c>
      <c r="AC18" s="576" t="e">
        <v>#N/A</v>
      </c>
      <c r="AD18" s="576" t="e">
        <v>#N/A</v>
      </c>
      <c r="AE18" s="576" t="e">
        <v>#N/A</v>
      </c>
      <c r="AF18" s="576" t="e">
        <v>#N/A</v>
      </c>
      <c r="AG18" s="576" t="e">
        <f t="shared" si="36"/>
        <v>#N/A</v>
      </c>
      <c r="AH18" s="576" t="str">
        <f t="shared" si="37"/>
        <v/>
      </c>
      <c r="AI18" s="577" t="e">
        <f>IF(NOT(OR(Z18=1,Z18=2)),IF(AQ18&gt;0,$AR$45*AQ18/SUMIF($AQ$9:$AQ$40,"&gt;0"),IF(AU18&gt;0,$AV$45*AU18/SUMIF($AU$9:$AU$40,"&gt;0"),IF(AS18&gt;0,$AT$45*AS18/SUMIF($AS$9:$AS$40,"&gt;0"),""))),IF(SUMIF(AJ19:$AJ$40,"=" &amp; AJ18,AI19:$AI$40)=0,"",SUMIF(AJ19:$AJ$40,"=" &amp; AJ18,AI19:$AI$40)))</f>
        <v>#N/A</v>
      </c>
      <c r="AJ18" s="578" t="e">
        <f t="shared" si="35"/>
        <v>#N/A</v>
      </c>
      <c r="AK18" s="576" t="str">
        <f t="shared" si="5"/>
        <v/>
      </c>
      <c r="AL18" s="585" t="str">
        <f t="shared" si="6"/>
        <v/>
      </c>
      <c r="AM18" s="585" t="str">
        <f t="shared" si="7"/>
        <v/>
      </c>
      <c r="AN18" s="585" t="str">
        <f t="shared" si="8"/>
        <v/>
      </c>
      <c r="AO18" s="585" t="e">
        <f t="shared" si="9"/>
        <v>#N/A</v>
      </c>
      <c r="AP18" s="576" t="str">
        <f t="shared" si="10"/>
        <v/>
      </c>
      <c r="AQ18" s="579">
        <f t="shared" si="11"/>
        <v>0</v>
      </c>
      <c r="AR18" s="580" t="str">
        <f t="shared" si="12"/>
        <v/>
      </c>
      <c r="AS18" s="581">
        <f t="shared" si="13"/>
        <v>0</v>
      </c>
      <c r="AT18" s="580" t="str">
        <f t="shared" si="14"/>
        <v/>
      </c>
      <c r="AU18" s="582">
        <f t="shared" si="15"/>
        <v>0</v>
      </c>
      <c r="AV18" s="583" t="str">
        <f t="shared" si="16"/>
        <v/>
      </c>
      <c r="AW18" s="582" t="b">
        <f t="shared" si="17"/>
        <v>0</v>
      </c>
      <c r="AX18" s="584" t="b">
        <f t="shared" si="18"/>
        <v>0</v>
      </c>
      <c r="AY18" s="582" t="b">
        <f t="shared" si="19"/>
        <v>0</v>
      </c>
      <c r="AZ18" s="584" t="b">
        <f t="shared" si="20"/>
        <v>0</v>
      </c>
      <c r="BA18" s="576" t="b">
        <f t="shared" si="21"/>
        <v>0</v>
      </c>
      <c r="BB18" s="576" t="b">
        <f t="shared" si="22"/>
        <v>0</v>
      </c>
      <c r="BC18" s="582" t="b">
        <f t="shared" si="23"/>
        <v>0</v>
      </c>
      <c r="BD18" s="585" t="b">
        <f t="shared" si="24"/>
        <v>0</v>
      </c>
      <c r="BE18" s="584" t="b">
        <f t="shared" si="25"/>
        <v>0</v>
      </c>
      <c r="BF18" s="586" t="b">
        <f t="shared" si="26"/>
        <v>0</v>
      </c>
      <c r="BG18" s="534" t="str">
        <f t="shared" si="27"/>
        <v>NA</v>
      </c>
      <c r="BH18" s="534" t="str">
        <f t="shared" si="28"/>
        <v/>
      </c>
      <c r="BI18" s="534" t="str">
        <f t="shared" si="29"/>
        <v/>
      </c>
      <c r="BJ18" s="534" t="str">
        <f t="shared" si="30"/>
        <v/>
      </c>
      <c r="BK18" s="534" t="str">
        <f t="shared" si="31"/>
        <v/>
      </c>
      <c r="BL18" s="587" t="str">
        <f t="shared" si="32"/>
        <v/>
      </c>
      <c r="BM18" s="534" t="str">
        <f t="shared" si="33"/>
        <v/>
      </c>
      <c r="BN18" s="534" t="str">
        <f t="shared" si="34"/>
        <v/>
      </c>
      <c r="BO18" s="537">
        <v>4</v>
      </c>
      <c r="BP18" s="588" t="s">
        <v>584</v>
      </c>
      <c r="CE18" s="1197"/>
      <c r="CF18" s="1198"/>
      <c r="CG18" s="1198"/>
      <c r="CH18" s="1198"/>
      <c r="CI18" s="1198"/>
      <c r="CJ18" s="1198"/>
      <c r="CK18" s="1198"/>
      <c r="CL18" s="1198"/>
      <c r="CM18" s="1198"/>
      <c r="CN18" s="1198"/>
      <c r="CO18" s="1198"/>
    </row>
    <row r="19" spans="2:93" s="536" customFormat="1" ht="12.95" customHeight="1" x14ac:dyDescent="0.25">
      <c r="B19" s="590" t="str">
        <f>IF(ISNA(Z19),"",IF(OR(Z19=1,Z19=2),"    ",MAX($B$9:B18)+1))</f>
        <v/>
      </c>
      <c r="C19" s="1195" t="str">
        <f t="shared" si="0"/>
        <v/>
      </c>
      <c r="D19" s="1195"/>
      <c r="E19" s="1195"/>
      <c r="F19" s="1196"/>
      <c r="G19" s="571" t="str">
        <f t="shared" si="1"/>
        <v/>
      </c>
      <c r="H19" s="572" t="str">
        <f t="shared" si="2"/>
        <v/>
      </c>
      <c r="I19" s="591" t="str">
        <f t="shared" si="2"/>
        <v/>
      </c>
      <c r="J19" s="594"/>
      <c r="K19" s="593"/>
      <c r="L19" s="1075"/>
      <c r="M19" s="1076"/>
      <c r="N19" s="1076"/>
      <c r="O19" s="1076"/>
      <c r="P19" s="1076"/>
      <c r="Q19" s="1076"/>
      <c r="R19" s="1077"/>
      <c r="T19" s="530">
        <v>11</v>
      </c>
      <c r="U19" s="518" t="e">
        <v>#N/A</v>
      </c>
      <c r="V19" s="576" t="e">
        <v>#N/A</v>
      </c>
      <c r="W19" s="576" t="e">
        <v>#N/A</v>
      </c>
      <c r="X19" s="576" t="e">
        <v>#N/A</v>
      </c>
      <c r="Y19" s="576" t="e">
        <v>#N/A</v>
      </c>
      <c r="Z19" s="585" t="e">
        <v>#N/A</v>
      </c>
      <c r="AA19" s="585" t="e">
        <v>#N/A</v>
      </c>
      <c r="AB19" s="585" t="e">
        <v>#N/A</v>
      </c>
      <c r="AC19" s="576" t="e">
        <v>#N/A</v>
      </c>
      <c r="AD19" s="576" t="e">
        <v>#N/A</v>
      </c>
      <c r="AE19" s="576" t="e">
        <v>#N/A</v>
      </c>
      <c r="AF19" s="576" t="e">
        <v>#N/A</v>
      </c>
      <c r="AG19" s="576" t="e">
        <f t="shared" si="36"/>
        <v>#N/A</v>
      </c>
      <c r="AH19" s="576" t="str">
        <f t="shared" si="37"/>
        <v/>
      </c>
      <c r="AI19" s="577" t="e">
        <f>IF(NOT(OR(Z19=1,Z19=2)),IF(AQ19&gt;0,$AR$45*AQ19/SUMIF($AQ$9:$AQ$40,"&gt;0"),IF(AU19&gt;0,$AV$45*AU19/SUMIF($AU$9:$AU$40,"&gt;0"),IF(AS19&gt;0,$AT$45*AS19/SUMIF($AS$9:$AS$40,"&gt;0"),""))),IF(SUMIF(AJ20:$AJ$40,"=" &amp; AJ19,AI20:$AI$40)=0,"",SUMIF(AJ20:$AJ$40,"=" &amp; AJ19,AI20:$AI$40)))</f>
        <v>#N/A</v>
      </c>
      <c r="AJ19" s="578" t="e">
        <f t="shared" si="35"/>
        <v>#N/A</v>
      </c>
      <c r="AK19" s="576" t="str">
        <f t="shared" si="5"/>
        <v/>
      </c>
      <c r="AL19" s="585" t="str">
        <f t="shared" si="6"/>
        <v/>
      </c>
      <c r="AM19" s="585" t="str">
        <f t="shared" si="7"/>
        <v/>
      </c>
      <c r="AN19" s="585" t="str">
        <f t="shared" si="8"/>
        <v/>
      </c>
      <c r="AO19" s="585" t="e">
        <f t="shared" si="9"/>
        <v>#N/A</v>
      </c>
      <c r="AP19" s="576" t="str">
        <f t="shared" si="10"/>
        <v/>
      </c>
      <c r="AQ19" s="579">
        <f t="shared" si="11"/>
        <v>0</v>
      </c>
      <c r="AR19" s="580" t="str">
        <f t="shared" si="12"/>
        <v/>
      </c>
      <c r="AS19" s="581">
        <f t="shared" si="13"/>
        <v>0</v>
      </c>
      <c r="AT19" s="580" t="str">
        <f t="shared" si="14"/>
        <v/>
      </c>
      <c r="AU19" s="582">
        <f t="shared" si="15"/>
        <v>0</v>
      </c>
      <c r="AV19" s="583" t="str">
        <f t="shared" si="16"/>
        <v/>
      </c>
      <c r="AW19" s="582" t="b">
        <f t="shared" si="17"/>
        <v>0</v>
      </c>
      <c r="AX19" s="584" t="b">
        <f t="shared" si="18"/>
        <v>0</v>
      </c>
      <c r="AY19" s="582" t="b">
        <f t="shared" si="19"/>
        <v>0</v>
      </c>
      <c r="AZ19" s="584" t="b">
        <f t="shared" si="20"/>
        <v>0</v>
      </c>
      <c r="BA19" s="576" t="b">
        <f t="shared" si="21"/>
        <v>0</v>
      </c>
      <c r="BB19" s="576" t="b">
        <f t="shared" si="22"/>
        <v>0</v>
      </c>
      <c r="BC19" s="582" t="b">
        <f t="shared" si="23"/>
        <v>0</v>
      </c>
      <c r="BD19" s="585" t="b">
        <f t="shared" si="24"/>
        <v>0</v>
      </c>
      <c r="BE19" s="584" t="b">
        <f t="shared" si="25"/>
        <v>0</v>
      </c>
      <c r="BF19" s="586" t="b">
        <f t="shared" si="26"/>
        <v>0</v>
      </c>
      <c r="BG19" s="534" t="str">
        <f t="shared" si="27"/>
        <v>NA</v>
      </c>
      <c r="BH19" s="534" t="str">
        <f t="shared" si="28"/>
        <v/>
      </c>
      <c r="BI19" s="534" t="str">
        <f t="shared" si="29"/>
        <v/>
      </c>
      <c r="BJ19" s="534" t="str">
        <f t="shared" si="30"/>
        <v/>
      </c>
      <c r="BK19" s="534" t="str">
        <f t="shared" si="31"/>
        <v/>
      </c>
      <c r="BL19" s="587" t="str">
        <f t="shared" si="32"/>
        <v/>
      </c>
      <c r="BM19" s="534" t="str">
        <f t="shared" si="33"/>
        <v/>
      </c>
      <c r="BN19" s="534" t="str">
        <f t="shared" si="34"/>
        <v/>
      </c>
      <c r="BO19" s="596"/>
      <c r="BP19" s="597" t="s">
        <v>223</v>
      </c>
      <c r="BQ19" s="568"/>
      <c r="BR19" s="568"/>
      <c r="BS19" s="568"/>
      <c r="BT19" s="568"/>
      <c r="BU19" s="568"/>
      <c r="CE19" s="1197">
        <v>3</v>
      </c>
      <c r="CF19" s="1198" t="s">
        <v>585</v>
      </c>
      <c r="CG19" s="1198"/>
      <c r="CH19" s="1198"/>
      <c r="CI19" s="1198"/>
      <c r="CJ19" s="1198"/>
      <c r="CK19" s="1198"/>
      <c r="CL19" s="1198"/>
      <c r="CM19" s="1198"/>
      <c r="CN19" s="1198"/>
      <c r="CO19" s="1198"/>
    </row>
    <row r="20" spans="2:93" s="536" customFormat="1" ht="12.95" customHeight="1" x14ac:dyDescent="0.25">
      <c r="B20" s="590" t="str">
        <f>IF(ISNA(Z20),"",IF(OR(Z20=1,Z20=2),"    ",MAX($B$9:B19)+1))</f>
        <v/>
      </c>
      <c r="C20" s="1195" t="str">
        <f t="shared" si="0"/>
        <v/>
      </c>
      <c r="D20" s="1195"/>
      <c r="E20" s="1195"/>
      <c r="F20" s="1196"/>
      <c r="G20" s="571" t="str">
        <f t="shared" si="1"/>
        <v/>
      </c>
      <c r="H20" s="572" t="str">
        <f t="shared" si="2"/>
        <v/>
      </c>
      <c r="I20" s="591" t="str">
        <f t="shared" si="2"/>
        <v/>
      </c>
      <c r="J20" s="594"/>
      <c r="K20" s="593"/>
      <c r="L20" s="1075"/>
      <c r="M20" s="1076"/>
      <c r="N20" s="1076"/>
      <c r="O20" s="1076"/>
      <c r="P20" s="1076"/>
      <c r="Q20" s="1076"/>
      <c r="R20" s="1077"/>
      <c r="T20" s="530">
        <v>12</v>
      </c>
      <c r="U20" s="518" t="e">
        <v>#N/A</v>
      </c>
      <c r="V20" s="576" t="e">
        <v>#N/A</v>
      </c>
      <c r="W20" s="576" t="e">
        <v>#N/A</v>
      </c>
      <c r="X20" s="576" t="e">
        <v>#N/A</v>
      </c>
      <c r="Y20" s="576" t="e">
        <v>#N/A</v>
      </c>
      <c r="Z20" s="585" t="e">
        <v>#N/A</v>
      </c>
      <c r="AA20" s="585" t="e">
        <v>#N/A</v>
      </c>
      <c r="AB20" s="585" t="e">
        <v>#N/A</v>
      </c>
      <c r="AC20" s="576" t="e">
        <v>#N/A</v>
      </c>
      <c r="AD20" s="576" t="e">
        <v>#N/A</v>
      </c>
      <c r="AE20" s="576" t="e">
        <v>#N/A</v>
      </c>
      <c r="AF20" s="576" t="e">
        <v>#N/A</v>
      </c>
      <c r="AG20" s="576" t="e">
        <f t="shared" si="36"/>
        <v>#N/A</v>
      </c>
      <c r="AH20" s="576" t="str">
        <f t="shared" si="37"/>
        <v/>
      </c>
      <c r="AI20" s="577" t="e">
        <f>IF(NOT(OR(Z20=1,Z20=2)),IF(AQ20&gt;0,$AR$45*AQ20/SUMIF($AQ$9:$AQ$40,"&gt;0"),IF(AU20&gt;0,$AV$45*AU20/SUMIF($AU$9:$AU$40,"&gt;0"),IF(AS20&gt;0,$AT$45*AS20/SUMIF($AS$9:$AS$40,"&gt;0"),""))),IF(SUMIF(AJ21:$AJ$40,"=" &amp; AJ20,AI21:$AI$40)=0,"",SUMIF(AJ21:$AJ$40,"=" &amp; AJ20,AI21:$AI$40)))</f>
        <v>#N/A</v>
      </c>
      <c r="AJ20" s="578" t="e">
        <f t="shared" si="35"/>
        <v>#N/A</v>
      </c>
      <c r="AK20" s="576" t="str">
        <f t="shared" si="5"/>
        <v/>
      </c>
      <c r="AL20" s="585" t="str">
        <f t="shared" si="6"/>
        <v/>
      </c>
      <c r="AM20" s="585" t="str">
        <f t="shared" si="7"/>
        <v/>
      </c>
      <c r="AN20" s="585" t="str">
        <f t="shared" si="8"/>
        <v/>
      </c>
      <c r="AO20" s="585" t="e">
        <f t="shared" si="9"/>
        <v>#N/A</v>
      </c>
      <c r="AP20" s="576" t="str">
        <f t="shared" si="10"/>
        <v/>
      </c>
      <c r="AQ20" s="579">
        <f t="shared" si="11"/>
        <v>0</v>
      </c>
      <c r="AR20" s="580" t="str">
        <f t="shared" si="12"/>
        <v/>
      </c>
      <c r="AS20" s="581">
        <f t="shared" si="13"/>
        <v>0</v>
      </c>
      <c r="AT20" s="580" t="str">
        <f t="shared" si="14"/>
        <v/>
      </c>
      <c r="AU20" s="582">
        <f t="shared" si="15"/>
        <v>0</v>
      </c>
      <c r="AV20" s="583" t="str">
        <f t="shared" si="16"/>
        <v/>
      </c>
      <c r="AW20" s="582" t="b">
        <f t="shared" si="17"/>
        <v>0</v>
      </c>
      <c r="AX20" s="584" t="b">
        <f t="shared" si="18"/>
        <v>0</v>
      </c>
      <c r="AY20" s="582" t="b">
        <f t="shared" si="19"/>
        <v>0</v>
      </c>
      <c r="AZ20" s="584" t="b">
        <f t="shared" si="20"/>
        <v>0</v>
      </c>
      <c r="BA20" s="576" t="b">
        <f t="shared" si="21"/>
        <v>0</v>
      </c>
      <c r="BB20" s="576" t="b">
        <f t="shared" si="22"/>
        <v>0</v>
      </c>
      <c r="BC20" s="582" t="b">
        <f t="shared" si="23"/>
        <v>0</v>
      </c>
      <c r="BD20" s="585" t="b">
        <f t="shared" si="24"/>
        <v>0</v>
      </c>
      <c r="BE20" s="584" t="b">
        <f t="shared" si="25"/>
        <v>0</v>
      </c>
      <c r="BF20" s="586" t="b">
        <f t="shared" si="26"/>
        <v>0</v>
      </c>
      <c r="BG20" s="534" t="str">
        <f t="shared" si="27"/>
        <v>NA</v>
      </c>
      <c r="BH20" s="534" t="str">
        <f t="shared" si="28"/>
        <v/>
      </c>
      <c r="BI20" s="534" t="str">
        <f t="shared" si="29"/>
        <v/>
      </c>
      <c r="BJ20" s="534" t="str">
        <f t="shared" si="30"/>
        <v/>
      </c>
      <c r="BK20" s="534" t="str">
        <f t="shared" si="31"/>
        <v/>
      </c>
      <c r="BL20" s="587" t="str">
        <f t="shared" si="32"/>
        <v/>
      </c>
      <c r="BM20" s="534" t="str">
        <f t="shared" si="33"/>
        <v/>
      </c>
      <c r="BN20" s="534" t="str">
        <f t="shared" si="34"/>
        <v/>
      </c>
      <c r="BO20" s="596"/>
      <c r="BP20" s="588"/>
      <c r="BQ20" s="1199" t="s">
        <v>224</v>
      </c>
      <c r="BR20" s="1199"/>
      <c r="BS20" s="1199"/>
      <c r="BT20" s="1199"/>
      <c r="BU20" s="1199"/>
      <c r="CE20" s="1197"/>
      <c r="CF20" s="1198"/>
      <c r="CG20" s="1198"/>
      <c r="CH20" s="1198"/>
      <c r="CI20" s="1198"/>
      <c r="CJ20" s="1198"/>
      <c r="CK20" s="1198"/>
      <c r="CL20" s="1198"/>
      <c r="CM20" s="1198"/>
      <c r="CN20" s="1198"/>
      <c r="CO20" s="1198"/>
    </row>
    <row r="21" spans="2:93" s="536" customFormat="1" ht="12.95" customHeight="1" x14ac:dyDescent="0.25">
      <c r="B21" s="590" t="str">
        <f>IF(ISNA(Z21),"",IF(OR(Z21=1,Z21=2),"    ",MAX($B$9:B20)+1))</f>
        <v/>
      </c>
      <c r="C21" s="1195" t="str">
        <f t="shared" si="0"/>
        <v/>
      </c>
      <c r="D21" s="1195"/>
      <c r="E21" s="1195"/>
      <c r="F21" s="1196"/>
      <c r="G21" s="571" t="str">
        <f t="shared" si="1"/>
        <v/>
      </c>
      <c r="H21" s="572" t="str">
        <f t="shared" si="2"/>
        <v/>
      </c>
      <c r="I21" s="591" t="str">
        <f t="shared" si="2"/>
        <v/>
      </c>
      <c r="J21" s="594"/>
      <c r="K21" s="593"/>
      <c r="L21" s="1075"/>
      <c r="M21" s="1076"/>
      <c r="N21" s="1076"/>
      <c r="O21" s="1076"/>
      <c r="P21" s="1076"/>
      <c r="Q21" s="1076"/>
      <c r="R21" s="1077"/>
      <c r="T21" s="530">
        <v>13</v>
      </c>
      <c r="U21" s="518" t="e">
        <v>#N/A</v>
      </c>
      <c r="V21" s="576" t="e">
        <v>#N/A</v>
      </c>
      <c r="W21" s="576" t="e">
        <v>#N/A</v>
      </c>
      <c r="X21" s="576" t="e">
        <v>#N/A</v>
      </c>
      <c r="Y21" s="576" t="e">
        <v>#N/A</v>
      </c>
      <c r="Z21" s="585" t="e">
        <v>#N/A</v>
      </c>
      <c r="AA21" s="585" t="e">
        <v>#N/A</v>
      </c>
      <c r="AB21" s="585" t="e">
        <v>#N/A</v>
      </c>
      <c r="AC21" s="576" t="e">
        <v>#N/A</v>
      </c>
      <c r="AD21" s="576" t="e">
        <v>#N/A</v>
      </c>
      <c r="AE21" s="576" t="e">
        <v>#N/A</v>
      </c>
      <c r="AF21" s="576" t="e">
        <v>#N/A</v>
      </c>
      <c r="AG21" s="576" t="e">
        <f t="shared" si="36"/>
        <v>#N/A</v>
      </c>
      <c r="AH21" s="576" t="str">
        <f t="shared" si="37"/>
        <v/>
      </c>
      <c r="AI21" s="577" t="e">
        <f>IF(NOT(OR(Z21=1,Z21=2)),IF(AQ21&gt;0,$AR$45*AQ21/SUMIF($AQ$9:$AQ$40,"&gt;0"),IF(AU21&gt;0,$AV$45*AU21/SUMIF($AU$9:$AU$40,"&gt;0"),IF(AS21&gt;0,$AT$45*AS21/SUMIF($AS$9:$AS$40,"&gt;0"),""))),IF(SUMIF(AJ22:$AJ$40,"=" &amp; AJ21,AI22:$AI$40)=0,"",SUMIF(AJ22:$AJ$40,"=" &amp; AJ21,AI22:$AI$40)))</f>
        <v>#N/A</v>
      </c>
      <c r="AJ21" s="578" t="e">
        <f t="shared" si="35"/>
        <v>#N/A</v>
      </c>
      <c r="AK21" s="576" t="str">
        <f t="shared" si="5"/>
        <v/>
      </c>
      <c r="AL21" s="585" t="str">
        <f t="shared" si="6"/>
        <v/>
      </c>
      <c r="AM21" s="585" t="str">
        <f t="shared" si="7"/>
        <v/>
      </c>
      <c r="AN21" s="585" t="str">
        <f t="shared" si="8"/>
        <v/>
      </c>
      <c r="AO21" s="585" t="e">
        <f t="shared" si="9"/>
        <v>#N/A</v>
      </c>
      <c r="AP21" s="576" t="str">
        <f t="shared" si="10"/>
        <v/>
      </c>
      <c r="AQ21" s="579">
        <f t="shared" si="11"/>
        <v>0</v>
      </c>
      <c r="AR21" s="580" t="str">
        <f t="shared" si="12"/>
        <v/>
      </c>
      <c r="AS21" s="581">
        <f t="shared" si="13"/>
        <v>0</v>
      </c>
      <c r="AT21" s="580" t="str">
        <f t="shared" si="14"/>
        <v/>
      </c>
      <c r="AU21" s="582">
        <f t="shared" si="15"/>
        <v>0</v>
      </c>
      <c r="AV21" s="583" t="str">
        <f t="shared" si="16"/>
        <v/>
      </c>
      <c r="AW21" s="582" t="b">
        <f t="shared" si="17"/>
        <v>0</v>
      </c>
      <c r="AX21" s="584" t="b">
        <f t="shared" si="18"/>
        <v>0</v>
      </c>
      <c r="AY21" s="582" t="b">
        <f t="shared" si="19"/>
        <v>0</v>
      </c>
      <c r="AZ21" s="584" t="b">
        <f t="shared" si="20"/>
        <v>0</v>
      </c>
      <c r="BA21" s="576" t="b">
        <f t="shared" si="21"/>
        <v>0</v>
      </c>
      <c r="BB21" s="576" t="b">
        <f t="shared" si="22"/>
        <v>0</v>
      </c>
      <c r="BC21" s="582" t="b">
        <f t="shared" si="23"/>
        <v>0</v>
      </c>
      <c r="BD21" s="585" t="b">
        <f t="shared" si="24"/>
        <v>0</v>
      </c>
      <c r="BE21" s="584" t="b">
        <f t="shared" si="25"/>
        <v>0</v>
      </c>
      <c r="BF21" s="586" t="b">
        <f t="shared" si="26"/>
        <v>0</v>
      </c>
      <c r="BG21" s="534" t="str">
        <f t="shared" si="27"/>
        <v>NA</v>
      </c>
      <c r="BH21" s="534" t="str">
        <f t="shared" si="28"/>
        <v/>
      </c>
      <c r="BI21" s="534" t="str">
        <f t="shared" si="29"/>
        <v/>
      </c>
      <c r="BJ21" s="534" t="str">
        <f t="shared" si="30"/>
        <v/>
      </c>
      <c r="BK21" s="534" t="str">
        <f t="shared" si="31"/>
        <v/>
      </c>
      <c r="BL21" s="587" t="str">
        <f t="shared" si="32"/>
        <v/>
      </c>
      <c r="BM21" s="534" t="str">
        <f t="shared" si="33"/>
        <v/>
      </c>
      <c r="BN21" s="534" t="str">
        <f t="shared" si="34"/>
        <v/>
      </c>
      <c r="BO21" s="596"/>
      <c r="BP21" s="596"/>
      <c r="BQ21" s="596">
        <v>0</v>
      </c>
      <c r="BR21" s="596">
        <v>1</v>
      </c>
      <c r="BS21" s="596">
        <v>2</v>
      </c>
      <c r="BT21" s="596">
        <v>3</v>
      </c>
      <c r="BU21" s="596">
        <v>4</v>
      </c>
      <c r="BW21" s="535" t="s">
        <v>586</v>
      </c>
      <c r="CE21" s="1197">
        <v>4</v>
      </c>
      <c r="CF21" s="1200" t="s">
        <v>587</v>
      </c>
      <c r="CG21" s="1200"/>
      <c r="CH21" s="1200"/>
      <c r="CI21" s="1200"/>
      <c r="CJ21" s="1200"/>
      <c r="CK21" s="1200"/>
      <c r="CL21" s="1200"/>
      <c r="CM21" s="1200"/>
      <c r="CN21" s="1200"/>
      <c r="CO21" s="1200"/>
    </row>
    <row r="22" spans="2:93" s="536" customFormat="1" ht="12.95" customHeight="1" x14ac:dyDescent="0.25">
      <c r="B22" s="590" t="str">
        <f>IF(ISNA(Z22),"",IF(OR(Z22=1,Z22=2),"    ",MAX($B$9:B21)+1))</f>
        <v/>
      </c>
      <c r="C22" s="1195" t="str">
        <f t="shared" si="0"/>
        <v/>
      </c>
      <c r="D22" s="1195"/>
      <c r="E22" s="1195"/>
      <c r="F22" s="1196"/>
      <c r="G22" s="571" t="str">
        <f t="shared" si="1"/>
        <v/>
      </c>
      <c r="H22" s="572" t="str">
        <f t="shared" si="2"/>
        <v/>
      </c>
      <c r="I22" s="591" t="str">
        <f t="shared" si="2"/>
        <v/>
      </c>
      <c r="J22" s="594"/>
      <c r="K22" s="593"/>
      <c r="L22" s="1075"/>
      <c r="M22" s="1076"/>
      <c r="N22" s="1076"/>
      <c r="O22" s="1076"/>
      <c r="P22" s="1076"/>
      <c r="Q22" s="1076"/>
      <c r="R22" s="1077"/>
      <c r="T22" s="530">
        <v>14</v>
      </c>
      <c r="U22" s="518" t="e">
        <v>#N/A</v>
      </c>
      <c r="V22" s="576" t="e">
        <v>#N/A</v>
      </c>
      <c r="W22" s="576" t="e">
        <v>#N/A</v>
      </c>
      <c r="X22" s="576" t="e">
        <v>#N/A</v>
      </c>
      <c r="Y22" s="576" t="e">
        <v>#N/A</v>
      </c>
      <c r="Z22" s="585" t="e">
        <v>#N/A</v>
      </c>
      <c r="AA22" s="585" t="e">
        <v>#N/A</v>
      </c>
      <c r="AB22" s="585" t="e">
        <v>#N/A</v>
      </c>
      <c r="AC22" s="576" t="e">
        <v>#N/A</v>
      </c>
      <c r="AD22" s="576" t="e">
        <v>#N/A</v>
      </c>
      <c r="AE22" s="576" t="e">
        <v>#N/A</v>
      </c>
      <c r="AF22" s="576" t="e">
        <v>#N/A</v>
      </c>
      <c r="AG22" s="576" t="e">
        <f t="shared" si="36"/>
        <v>#N/A</v>
      </c>
      <c r="AH22" s="576" t="str">
        <f t="shared" si="37"/>
        <v/>
      </c>
      <c r="AI22" s="577" t="e">
        <f>IF(NOT(OR(Z22=1,Z22=2)),IF(AQ22&gt;0,$AR$45*AQ22/SUMIF($AQ$9:$AQ$40,"&gt;0"),IF(AU22&gt;0,$AV$45*AU22/SUMIF($AU$9:$AU$40,"&gt;0"),IF(AS22&gt;0,$AT$45*AS22/SUMIF($AS$9:$AS$40,"&gt;0"),""))),IF(SUMIF(AJ23:$AJ$40,"=" &amp; AJ22,AI23:$AI$40)=0,"",SUMIF(AJ23:$AJ$40,"=" &amp; AJ22,AI23:$AI$40)))</f>
        <v>#N/A</v>
      </c>
      <c r="AJ22" s="578" t="e">
        <f t="shared" si="35"/>
        <v>#N/A</v>
      </c>
      <c r="AK22" s="576" t="str">
        <f t="shared" si="5"/>
        <v/>
      </c>
      <c r="AL22" s="585" t="str">
        <f t="shared" si="6"/>
        <v/>
      </c>
      <c r="AM22" s="585" t="str">
        <f t="shared" si="7"/>
        <v/>
      </c>
      <c r="AN22" s="585" t="str">
        <f t="shared" si="8"/>
        <v/>
      </c>
      <c r="AO22" s="585" t="e">
        <f t="shared" si="9"/>
        <v>#N/A</v>
      </c>
      <c r="AP22" s="576" t="str">
        <f t="shared" si="10"/>
        <v/>
      </c>
      <c r="AQ22" s="579">
        <f t="shared" si="11"/>
        <v>0</v>
      </c>
      <c r="AR22" s="580" t="str">
        <f t="shared" si="12"/>
        <v/>
      </c>
      <c r="AS22" s="581">
        <f t="shared" si="13"/>
        <v>0</v>
      </c>
      <c r="AT22" s="580" t="str">
        <f t="shared" si="14"/>
        <v/>
      </c>
      <c r="AU22" s="582">
        <f t="shared" si="15"/>
        <v>0</v>
      </c>
      <c r="AV22" s="583" t="str">
        <f t="shared" si="16"/>
        <v/>
      </c>
      <c r="AW22" s="582" t="b">
        <f t="shared" si="17"/>
        <v>0</v>
      </c>
      <c r="AX22" s="584" t="b">
        <f t="shared" si="18"/>
        <v>0</v>
      </c>
      <c r="AY22" s="582" t="b">
        <f t="shared" si="19"/>
        <v>0</v>
      </c>
      <c r="AZ22" s="584" t="b">
        <f t="shared" si="20"/>
        <v>0</v>
      </c>
      <c r="BA22" s="576" t="b">
        <f t="shared" si="21"/>
        <v>0</v>
      </c>
      <c r="BB22" s="576" t="b">
        <f t="shared" si="22"/>
        <v>0</v>
      </c>
      <c r="BC22" s="582" t="b">
        <f t="shared" si="23"/>
        <v>0</v>
      </c>
      <c r="BD22" s="585" t="b">
        <f t="shared" si="24"/>
        <v>0</v>
      </c>
      <c r="BE22" s="584" t="b">
        <f t="shared" si="25"/>
        <v>0</v>
      </c>
      <c r="BF22" s="586" t="b">
        <f t="shared" si="26"/>
        <v>0</v>
      </c>
      <c r="BG22" s="534" t="str">
        <f t="shared" si="27"/>
        <v>NA</v>
      </c>
      <c r="BH22" s="534" t="str">
        <f t="shared" si="28"/>
        <v/>
      </c>
      <c r="BI22" s="534" t="str">
        <f t="shared" si="29"/>
        <v/>
      </c>
      <c r="BJ22" s="534" t="str">
        <f t="shared" si="30"/>
        <v/>
      </c>
      <c r="BK22" s="534" t="str">
        <f t="shared" si="31"/>
        <v/>
      </c>
      <c r="BL22" s="587" t="str">
        <f t="shared" si="32"/>
        <v/>
      </c>
      <c r="BM22" s="534" t="str">
        <f t="shared" si="33"/>
        <v/>
      </c>
      <c r="BN22" s="534" t="str">
        <f t="shared" si="34"/>
        <v/>
      </c>
      <c r="BO22" s="1201" t="s">
        <v>226</v>
      </c>
      <c r="BP22" s="596" t="s">
        <v>227</v>
      </c>
      <c r="BQ22" s="598">
        <f t="shared" ref="BQ22:BU30" si="38">AR51</f>
        <v>0.7</v>
      </c>
      <c r="BR22" s="599">
        <f t="shared" si="38"/>
        <v>0.9</v>
      </c>
      <c r="BS22" s="599">
        <f t="shared" si="38"/>
        <v>0.93330000000000002</v>
      </c>
      <c r="BT22" s="599">
        <f t="shared" si="38"/>
        <v>0.9667</v>
      </c>
      <c r="BU22" s="600">
        <f t="shared" si="38"/>
        <v>1</v>
      </c>
      <c r="BW22" s="537" t="s">
        <v>214</v>
      </c>
      <c r="BX22" s="538" t="s">
        <v>215</v>
      </c>
      <c r="CE22" s="1197"/>
      <c r="CF22" s="1200"/>
      <c r="CG22" s="1200"/>
      <c r="CH22" s="1200"/>
      <c r="CI22" s="1200"/>
      <c r="CJ22" s="1200"/>
      <c r="CK22" s="1200"/>
      <c r="CL22" s="1200"/>
      <c r="CM22" s="1200"/>
      <c r="CN22" s="1200"/>
      <c r="CO22" s="1200"/>
    </row>
    <row r="23" spans="2:93" s="536" customFormat="1" ht="12.95" customHeight="1" x14ac:dyDescent="0.25">
      <c r="B23" s="590" t="str">
        <f>IF(ISNA(Z23),"",IF(OR(Z23=1,Z23=2),"    ",MAX($B$9:B22)+1))</f>
        <v/>
      </c>
      <c r="C23" s="1195" t="str">
        <f t="shared" si="0"/>
        <v/>
      </c>
      <c r="D23" s="1195"/>
      <c r="E23" s="1195"/>
      <c r="F23" s="1196"/>
      <c r="G23" s="571" t="str">
        <f t="shared" si="1"/>
        <v/>
      </c>
      <c r="H23" s="572" t="str">
        <f t="shared" si="2"/>
        <v/>
      </c>
      <c r="I23" s="591" t="str">
        <f t="shared" si="2"/>
        <v/>
      </c>
      <c r="J23" s="594"/>
      <c r="K23" s="593"/>
      <c r="L23" s="1075"/>
      <c r="M23" s="1076"/>
      <c r="N23" s="1076"/>
      <c r="O23" s="1076"/>
      <c r="P23" s="1076"/>
      <c r="Q23" s="1076"/>
      <c r="R23" s="1077"/>
      <c r="T23" s="530">
        <v>15</v>
      </c>
      <c r="U23" s="518" t="e">
        <v>#N/A</v>
      </c>
      <c r="V23" s="576" t="e">
        <v>#N/A</v>
      </c>
      <c r="W23" s="576" t="e">
        <v>#N/A</v>
      </c>
      <c r="X23" s="576" t="e">
        <v>#N/A</v>
      </c>
      <c r="Y23" s="576" t="e">
        <v>#N/A</v>
      </c>
      <c r="Z23" s="585" t="e">
        <v>#N/A</v>
      </c>
      <c r="AA23" s="585" t="e">
        <v>#N/A</v>
      </c>
      <c r="AB23" s="585" t="e">
        <v>#N/A</v>
      </c>
      <c r="AC23" s="576" t="e">
        <v>#N/A</v>
      </c>
      <c r="AD23" s="576" t="e">
        <v>#N/A</v>
      </c>
      <c r="AE23" s="576" t="e">
        <v>#N/A</v>
      </c>
      <c r="AF23" s="576" t="e">
        <v>#N/A</v>
      </c>
      <c r="AG23" s="576" t="e">
        <f t="shared" si="36"/>
        <v>#N/A</v>
      </c>
      <c r="AH23" s="576" t="str">
        <f t="shared" si="37"/>
        <v/>
      </c>
      <c r="AI23" s="577" t="e">
        <f>IF(NOT(OR(Z23=1,Z23=2)),IF(AQ23&gt;0,$AR$45*AQ23/SUMIF($AQ$9:$AQ$40,"&gt;0"),IF(AU23&gt;0,$AV$45*AU23/SUMIF($AU$9:$AU$40,"&gt;0"),IF(AS23&gt;0,$AT$45*AS23/SUMIF($AS$9:$AS$40,"&gt;0"),""))),IF(SUMIF(AJ24:$AJ$40,"=" &amp; AJ23,AI24:$AI$40)=0,"",SUMIF(AJ24:$AJ$40,"=" &amp; AJ23,AI24:$AI$40)))</f>
        <v>#N/A</v>
      </c>
      <c r="AJ23" s="578" t="e">
        <f t="shared" si="35"/>
        <v>#N/A</v>
      </c>
      <c r="AK23" s="576" t="str">
        <f t="shared" si="5"/>
        <v/>
      </c>
      <c r="AL23" s="585" t="str">
        <f t="shared" si="6"/>
        <v/>
      </c>
      <c r="AM23" s="585" t="str">
        <f t="shared" si="7"/>
        <v/>
      </c>
      <c r="AN23" s="585" t="str">
        <f t="shared" si="8"/>
        <v/>
      </c>
      <c r="AO23" s="585" t="e">
        <f t="shared" si="9"/>
        <v>#N/A</v>
      </c>
      <c r="AP23" s="576" t="str">
        <f t="shared" si="10"/>
        <v/>
      </c>
      <c r="AQ23" s="579">
        <f t="shared" si="11"/>
        <v>0</v>
      </c>
      <c r="AR23" s="580" t="str">
        <f t="shared" si="12"/>
        <v/>
      </c>
      <c r="AS23" s="581">
        <f t="shared" si="13"/>
        <v>0</v>
      </c>
      <c r="AT23" s="580" t="str">
        <f t="shared" si="14"/>
        <v/>
      </c>
      <c r="AU23" s="582">
        <f t="shared" si="15"/>
        <v>0</v>
      </c>
      <c r="AV23" s="583" t="str">
        <f t="shared" si="16"/>
        <v/>
      </c>
      <c r="AW23" s="582" t="b">
        <f t="shared" si="17"/>
        <v>0</v>
      </c>
      <c r="AX23" s="584" t="b">
        <f t="shared" si="18"/>
        <v>0</v>
      </c>
      <c r="AY23" s="582" t="b">
        <f t="shared" si="19"/>
        <v>0</v>
      </c>
      <c r="AZ23" s="584" t="b">
        <f t="shared" si="20"/>
        <v>0</v>
      </c>
      <c r="BA23" s="576" t="b">
        <f t="shared" si="21"/>
        <v>0</v>
      </c>
      <c r="BB23" s="576" t="b">
        <f t="shared" si="22"/>
        <v>0</v>
      </c>
      <c r="BC23" s="582" t="b">
        <f t="shared" si="23"/>
        <v>0</v>
      </c>
      <c r="BD23" s="585" t="b">
        <f t="shared" si="24"/>
        <v>0</v>
      </c>
      <c r="BE23" s="584" t="b">
        <f t="shared" si="25"/>
        <v>0</v>
      </c>
      <c r="BF23" s="586" t="b">
        <f t="shared" si="26"/>
        <v>0</v>
      </c>
      <c r="BG23" s="534" t="str">
        <f t="shared" si="27"/>
        <v>NA</v>
      </c>
      <c r="BH23" s="534" t="str">
        <f t="shared" si="28"/>
        <v/>
      </c>
      <c r="BI23" s="534" t="str">
        <f t="shared" si="29"/>
        <v/>
      </c>
      <c r="BJ23" s="534" t="str">
        <f t="shared" si="30"/>
        <v/>
      </c>
      <c r="BK23" s="534" t="str">
        <f t="shared" si="31"/>
        <v/>
      </c>
      <c r="BL23" s="587" t="str">
        <f t="shared" si="32"/>
        <v/>
      </c>
      <c r="BM23" s="534" t="str">
        <f t="shared" si="33"/>
        <v/>
      </c>
      <c r="BN23" s="534" t="str">
        <f t="shared" si="34"/>
        <v/>
      </c>
      <c r="BO23" s="1201"/>
      <c r="BP23" s="596" t="s">
        <v>228</v>
      </c>
      <c r="BQ23" s="601">
        <f t="shared" si="38"/>
        <v>0.7</v>
      </c>
      <c r="BR23" s="602">
        <f t="shared" si="38"/>
        <v>0.8</v>
      </c>
      <c r="BS23" s="602">
        <f t="shared" si="38"/>
        <v>0.9</v>
      </c>
      <c r="BT23" s="602">
        <f t="shared" si="38"/>
        <v>0.95</v>
      </c>
      <c r="BU23" s="603">
        <f t="shared" si="38"/>
        <v>1</v>
      </c>
      <c r="BW23" s="537">
        <v>0</v>
      </c>
      <c r="BX23" s="538" t="s">
        <v>216</v>
      </c>
    </row>
    <row r="24" spans="2:93" s="536" customFormat="1" ht="12.95" customHeight="1" x14ac:dyDescent="0.25">
      <c r="B24" s="590" t="str">
        <f>IF(ISNA(Z24),"",IF(OR(Z24=1,Z24=2),"    ",MAX($B$9:B23)+1))</f>
        <v/>
      </c>
      <c r="C24" s="1195" t="str">
        <f t="shared" si="0"/>
        <v/>
      </c>
      <c r="D24" s="1195"/>
      <c r="E24" s="1195"/>
      <c r="F24" s="1196"/>
      <c r="G24" s="571" t="str">
        <f t="shared" si="1"/>
        <v/>
      </c>
      <c r="H24" s="572" t="str">
        <f t="shared" si="2"/>
        <v/>
      </c>
      <c r="I24" s="591" t="str">
        <f t="shared" si="2"/>
        <v/>
      </c>
      <c r="J24" s="594"/>
      <c r="K24" s="593"/>
      <c r="L24" s="1075"/>
      <c r="M24" s="1076"/>
      <c r="N24" s="1076"/>
      <c r="O24" s="1076"/>
      <c r="P24" s="1076"/>
      <c r="Q24" s="1076"/>
      <c r="R24" s="1077"/>
      <c r="T24" s="530">
        <v>16</v>
      </c>
      <c r="U24" s="518" t="e">
        <v>#N/A</v>
      </c>
      <c r="V24" s="576" t="e">
        <v>#N/A</v>
      </c>
      <c r="W24" s="576" t="e">
        <v>#N/A</v>
      </c>
      <c r="X24" s="576" t="e">
        <v>#N/A</v>
      </c>
      <c r="Y24" s="576" t="e">
        <v>#N/A</v>
      </c>
      <c r="Z24" s="585" t="e">
        <v>#N/A</v>
      </c>
      <c r="AA24" s="585" t="e">
        <v>#N/A</v>
      </c>
      <c r="AB24" s="585" t="e">
        <v>#N/A</v>
      </c>
      <c r="AC24" s="576" t="e">
        <v>#N/A</v>
      </c>
      <c r="AD24" s="576" t="e">
        <v>#N/A</v>
      </c>
      <c r="AE24" s="576" t="e">
        <v>#N/A</v>
      </c>
      <c r="AF24" s="576" t="e">
        <v>#N/A</v>
      </c>
      <c r="AG24" s="576" t="e">
        <f t="shared" si="36"/>
        <v>#N/A</v>
      </c>
      <c r="AH24" s="576" t="str">
        <f t="shared" si="37"/>
        <v/>
      </c>
      <c r="AI24" s="577" t="e">
        <f>IF(NOT(OR(Z24=1,Z24=2)),IF(AQ24&gt;0,$AR$45*AQ24/SUMIF($AQ$9:$AQ$40,"&gt;0"),IF(AU24&gt;0,$AV$45*AU24/SUMIF($AU$9:$AU$40,"&gt;0"),IF(AS24&gt;0,$AT$45*AS24/SUMIF($AS$9:$AS$40,"&gt;0"),""))),IF(SUMIF(AJ25:$AJ$40,"=" &amp; AJ24,AI25:$AI$40)=0,"",SUMIF(AJ25:$AJ$40,"=" &amp; AJ24,AI25:$AI$40)))</f>
        <v>#N/A</v>
      </c>
      <c r="AJ24" s="578" t="e">
        <f t="shared" si="35"/>
        <v>#N/A</v>
      </c>
      <c r="AK24" s="576" t="str">
        <f t="shared" si="5"/>
        <v/>
      </c>
      <c r="AL24" s="585" t="str">
        <f t="shared" si="6"/>
        <v/>
      </c>
      <c r="AM24" s="585" t="str">
        <f t="shared" si="7"/>
        <v/>
      </c>
      <c r="AN24" s="585" t="str">
        <f t="shared" si="8"/>
        <v/>
      </c>
      <c r="AO24" s="585" t="e">
        <f t="shared" si="9"/>
        <v>#N/A</v>
      </c>
      <c r="AP24" s="576" t="str">
        <f t="shared" si="10"/>
        <v/>
      </c>
      <c r="AQ24" s="579">
        <f t="shared" si="11"/>
        <v>0</v>
      </c>
      <c r="AR24" s="580" t="str">
        <f t="shared" si="12"/>
        <v/>
      </c>
      <c r="AS24" s="581">
        <f t="shared" si="13"/>
        <v>0</v>
      </c>
      <c r="AT24" s="580" t="str">
        <f t="shared" si="14"/>
        <v/>
      </c>
      <c r="AU24" s="582">
        <f t="shared" si="15"/>
        <v>0</v>
      </c>
      <c r="AV24" s="583" t="str">
        <f t="shared" si="16"/>
        <v/>
      </c>
      <c r="AW24" s="582" t="b">
        <f t="shared" si="17"/>
        <v>0</v>
      </c>
      <c r="AX24" s="584" t="b">
        <f t="shared" si="18"/>
        <v>0</v>
      </c>
      <c r="AY24" s="582" t="b">
        <f t="shared" si="19"/>
        <v>0</v>
      </c>
      <c r="AZ24" s="584" t="b">
        <f t="shared" si="20"/>
        <v>0</v>
      </c>
      <c r="BA24" s="576" t="b">
        <f t="shared" si="21"/>
        <v>0</v>
      </c>
      <c r="BB24" s="576" t="b">
        <f t="shared" si="22"/>
        <v>0</v>
      </c>
      <c r="BC24" s="582" t="b">
        <f t="shared" si="23"/>
        <v>0</v>
      </c>
      <c r="BD24" s="585" t="b">
        <f t="shared" si="24"/>
        <v>0</v>
      </c>
      <c r="BE24" s="584" t="b">
        <f t="shared" si="25"/>
        <v>0</v>
      </c>
      <c r="BF24" s="586" t="b">
        <f t="shared" si="26"/>
        <v>0</v>
      </c>
      <c r="BG24" s="534" t="str">
        <f t="shared" si="27"/>
        <v>NA</v>
      </c>
      <c r="BH24" s="534" t="str">
        <f t="shared" si="28"/>
        <v/>
      </c>
      <c r="BI24" s="534" t="str">
        <f t="shared" si="29"/>
        <v/>
      </c>
      <c r="BJ24" s="534" t="str">
        <f t="shared" si="30"/>
        <v/>
      </c>
      <c r="BK24" s="534" t="str">
        <f t="shared" si="31"/>
        <v/>
      </c>
      <c r="BL24" s="587" t="str">
        <f t="shared" si="32"/>
        <v/>
      </c>
      <c r="BM24" s="534" t="str">
        <f t="shared" si="33"/>
        <v/>
      </c>
      <c r="BN24" s="534" t="str">
        <f t="shared" si="34"/>
        <v/>
      </c>
      <c r="BO24" s="1201"/>
      <c r="BP24" s="596" t="s">
        <v>229</v>
      </c>
      <c r="BQ24" s="601">
        <f t="shared" si="38"/>
        <v>0.7</v>
      </c>
      <c r="BR24" s="602">
        <f t="shared" si="38"/>
        <v>0.76670000000000005</v>
      </c>
      <c r="BS24" s="602">
        <f t="shared" si="38"/>
        <v>0.83330000000000004</v>
      </c>
      <c r="BT24" s="602">
        <f t="shared" si="38"/>
        <v>0.9</v>
      </c>
      <c r="BU24" s="603">
        <f t="shared" si="38"/>
        <v>1</v>
      </c>
      <c r="BW24" s="537">
        <v>1</v>
      </c>
      <c r="BX24" s="588" t="s">
        <v>588</v>
      </c>
    </row>
    <row r="25" spans="2:93" s="536" customFormat="1" ht="12.95" customHeight="1" x14ac:dyDescent="0.25">
      <c r="B25" s="590" t="str">
        <f>IF(ISNA(Z25),"",IF(OR(Z25=1,Z25=2),"    ",MAX($B$9:B24)+1))</f>
        <v/>
      </c>
      <c r="C25" s="1195" t="str">
        <f t="shared" si="0"/>
        <v/>
      </c>
      <c r="D25" s="1195"/>
      <c r="E25" s="1195"/>
      <c r="F25" s="1196"/>
      <c r="G25" s="571" t="str">
        <f t="shared" si="1"/>
        <v/>
      </c>
      <c r="H25" s="572" t="str">
        <f t="shared" si="2"/>
        <v/>
      </c>
      <c r="I25" s="591" t="str">
        <f t="shared" si="2"/>
        <v/>
      </c>
      <c r="J25" s="594"/>
      <c r="K25" s="593"/>
      <c r="L25" s="1075"/>
      <c r="M25" s="1076"/>
      <c r="N25" s="1076"/>
      <c r="O25" s="1076"/>
      <c r="P25" s="1076"/>
      <c r="Q25" s="1076"/>
      <c r="R25" s="1077"/>
      <c r="T25" s="530">
        <v>17</v>
      </c>
      <c r="U25" s="518" t="e">
        <v>#N/A</v>
      </c>
      <c r="V25" s="576" t="e">
        <v>#N/A</v>
      </c>
      <c r="W25" s="576" t="e">
        <v>#N/A</v>
      </c>
      <c r="X25" s="576" t="e">
        <v>#N/A</v>
      </c>
      <c r="Y25" s="576" t="e">
        <v>#N/A</v>
      </c>
      <c r="Z25" s="585" t="e">
        <v>#N/A</v>
      </c>
      <c r="AA25" s="585" t="e">
        <v>#N/A</v>
      </c>
      <c r="AB25" s="585" t="e">
        <v>#N/A</v>
      </c>
      <c r="AC25" s="576" t="e">
        <v>#N/A</v>
      </c>
      <c r="AD25" s="576" t="e">
        <v>#N/A</v>
      </c>
      <c r="AE25" s="576" t="e">
        <v>#N/A</v>
      </c>
      <c r="AF25" s="576" t="e">
        <v>#N/A</v>
      </c>
      <c r="AG25" s="576" t="e">
        <f t="shared" si="36"/>
        <v>#N/A</v>
      </c>
      <c r="AH25" s="576" t="str">
        <f t="shared" si="37"/>
        <v/>
      </c>
      <c r="AI25" s="577" t="e">
        <f>IF(NOT(OR(Z25=1,Z25=2)),IF(AQ25&gt;0,$AR$45*AQ25/SUMIF($AQ$9:$AQ$40,"&gt;0"),IF(AU25&gt;0,$AV$45*AU25/SUMIF($AU$9:$AU$40,"&gt;0"),IF(AS25&gt;0,$AT$45*AS25/SUMIF($AS$9:$AS$40,"&gt;0"),""))),IF(SUMIF(AJ26:$AJ$40,"=" &amp; AJ25,AI26:$AI$40)=0,"",SUMIF(AJ26:$AJ$40,"=" &amp; AJ25,AI26:$AI$40)))</f>
        <v>#N/A</v>
      </c>
      <c r="AJ25" s="578" t="e">
        <f t="shared" si="35"/>
        <v>#N/A</v>
      </c>
      <c r="AK25" s="576" t="str">
        <f t="shared" si="5"/>
        <v/>
      </c>
      <c r="AL25" s="585" t="str">
        <f t="shared" si="6"/>
        <v/>
      </c>
      <c r="AM25" s="585" t="str">
        <f t="shared" si="7"/>
        <v/>
      </c>
      <c r="AN25" s="585" t="str">
        <f t="shared" si="8"/>
        <v/>
      </c>
      <c r="AO25" s="585" t="e">
        <f t="shared" si="9"/>
        <v>#N/A</v>
      </c>
      <c r="AP25" s="576" t="str">
        <f t="shared" si="10"/>
        <v/>
      </c>
      <c r="AQ25" s="579">
        <f t="shared" si="11"/>
        <v>0</v>
      </c>
      <c r="AR25" s="580" t="str">
        <f t="shared" si="12"/>
        <v/>
      </c>
      <c r="AS25" s="581">
        <f t="shared" si="13"/>
        <v>0</v>
      </c>
      <c r="AT25" s="580" t="str">
        <f t="shared" si="14"/>
        <v/>
      </c>
      <c r="AU25" s="582">
        <f t="shared" si="15"/>
        <v>0</v>
      </c>
      <c r="AV25" s="583" t="str">
        <f t="shared" si="16"/>
        <v/>
      </c>
      <c r="AW25" s="582" t="b">
        <f t="shared" si="17"/>
        <v>0</v>
      </c>
      <c r="AX25" s="584" t="b">
        <f t="shared" si="18"/>
        <v>0</v>
      </c>
      <c r="AY25" s="582" t="b">
        <f t="shared" si="19"/>
        <v>0</v>
      </c>
      <c r="AZ25" s="584" t="b">
        <f t="shared" si="20"/>
        <v>0</v>
      </c>
      <c r="BA25" s="576" t="b">
        <f t="shared" si="21"/>
        <v>0</v>
      </c>
      <c r="BB25" s="576" t="b">
        <f t="shared" si="22"/>
        <v>0</v>
      </c>
      <c r="BC25" s="582" t="b">
        <f t="shared" si="23"/>
        <v>0</v>
      </c>
      <c r="BD25" s="585" t="b">
        <f t="shared" si="24"/>
        <v>0</v>
      </c>
      <c r="BE25" s="584" t="b">
        <f t="shared" si="25"/>
        <v>0</v>
      </c>
      <c r="BF25" s="586" t="b">
        <f t="shared" si="26"/>
        <v>0</v>
      </c>
      <c r="BG25" s="534" t="str">
        <f t="shared" si="27"/>
        <v>NA</v>
      </c>
      <c r="BH25" s="534" t="str">
        <f t="shared" si="28"/>
        <v/>
      </c>
      <c r="BI25" s="534" t="str">
        <f t="shared" si="29"/>
        <v/>
      </c>
      <c r="BJ25" s="534" t="str">
        <f t="shared" si="30"/>
        <v/>
      </c>
      <c r="BK25" s="534" t="str">
        <f t="shared" si="31"/>
        <v/>
      </c>
      <c r="BL25" s="587" t="str">
        <f t="shared" si="32"/>
        <v/>
      </c>
      <c r="BM25" s="534" t="str">
        <f t="shared" si="33"/>
        <v/>
      </c>
      <c r="BN25" s="534" t="str">
        <f t="shared" si="34"/>
        <v/>
      </c>
      <c r="BO25" s="1201"/>
      <c r="BP25" s="596" t="s">
        <v>230</v>
      </c>
      <c r="BQ25" s="601">
        <f t="shared" si="38"/>
        <v>0.6</v>
      </c>
      <c r="BR25" s="602">
        <f t="shared" si="38"/>
        <v>0.9</v>
      </c>
      <c r="BS25" s="602">
        <f t="shared" si="38"/>
        <v>0.93330000000000002</v>
      </c>
      <c r="BT25" s="602">
        <f t="shared" si="38"/>
        <v>0.9667</v>
      </c>
      <c r="BU25" s="603">
        <f t="shared" si="38"/>
        <v>1</v>
      </c>
      <c r="BW25" s="537">
        <v>2</v>
      </c>
      <c r="BX25" s="588" t="s">
        <v>589</v>
      </c>
    </row>
    <row r="26" spans="2:93" s="536" customFormat="1" ht="12.95" customHeight="1" x14ac:dyDescent="0.25">
      <c r="B26" s="590" t="str">
        <f>IF(ISNA(Z26),"",IF(OR(Z26=1,Z26=2),"    ",MAX($B$9:B25)+1))</f>
        <v/>
      </c>
      <c r="C26" s="1195" t="str">
        <f t="shared" si="0"/>
        <v/>
      </c>
      <c r="D26" s="1195"/>
      <c r="E26" s="1195"/>
      <c r="F26" s="1196"/>
      <c r="G26" s="571" t="str">
        <f t="shared" si="1"/>
        <v/>
      </c>
      <c r="H26" s="572" t="str">
        <f t="shared" si="2"/>
        <v/>
      </c>
      <c r="I26" s="591" t="str">
        <f t="shared" si="2"/>
        <v/>
      </c>
      <c r="J26" s="594"/>
      <c r="K26" s="593"/>
      <c r="L26" s="1075"/>
      <c r="M26" s="1076"/>
      <c r="N26" s="1076"/>
      <c r="O26" s="1076"/>
      <c r="P26" s="1076"/>
      <c r="Q26" s="1076"/>
      <c r="R26" s="1077"/>
      <c r="T26" s="530">
        <v>18</v>
      </c>
      <c r="U26" s="518" t="e">
        <v>#N/A</v>
      </c>
      <c r="V26" s="576" t="e">
        <v>#N/A</v>
      </c>
      <c r="W26" s="576" t="e">
        <v>#N/A</v>
      </c>
      <c r="X26" s="576" t="e">
        <v>#N/A</v>
      </c>
      <c r="Y26" s="576" t="e">
        <v>#N/A</v>
      </c>
      <c r="Z26" s="585" t="e">
        <v>#N/A</v>
      </c>
      <c r="AA26" s="585" t="e">
        <v>#N/A</v>
      </c>
      <c r="AB26" s="585" t="e">
        <v>#N/A</v>
      </c>
      <c r="AC26" s="576" t="e">
        <v>#N/A</v>
      </c>
      <c r="AD26" s="576" t="e">
        <v>#N/A</v>
      </c>
      <c r="AE26" s="576" t="e">
        <v>#N/A</v>
      </c>
      <c r="AF26" s="576" t="e">
        <v>#N/A</v>
      </c>
      <c r="AG26" s="576" t="e">
        <f t="shared" si="36"/>
        <v>#N/A</v>
      </c>
      <c r="AH26" s="576" t="str">
        <f t="shared" si="37"/>
        <v/>
      </c>
      <c r="AI26" s="577" t="e">
        <f>IF(NOT(OR(Z26=1,Z26=2)),IF(AQ26&gt;0,$AR$45*AQ26/SUMIF($AQ$9:$AQ$40,"&gt;0"),IF(AU26&gt;0,$AV$45*AU26/SUMIF($AU$9:$AU$40,"&gt;0"),IF(AS26&gt;0,$AT$45*AS26/SUMIF($AS$9:$AS$40,"&gt;0"),""))),IF(SUMIF(AJ27:$AJ$40,"=" &amp; AJ26,AI27:$AI$40)=0,"",SUMIF(AJ27:$AJ$40,"=" &amp; AJ26,AI27:$AI$40)))</f>
        <v>#N/A</v>
      </c>
      <c r="AJ26" s="578" t="e">
        <f t="shared" si="35"/>
        <v>#N/A</v>
      </c>
      <c r="AK26" s="576" t="str">
        <f t="shared" si="5"/>
        <v/>
      </c>
      <c r="AL26" s="585" t="str">
        <f t="shared" si="6"/>
        <v/>
      </c>
      <c r="AM26" s="585" t="str">
        <f t="shared" si="7"/>
        <v/>
      </c>
      <c r="AN26" s="585" t="str">
        <f t="shared" si="8"/>
        <v/>
      </c>
      <c r="AO26" s="585" t="e">
        <f t="shared" si="9"/>
        <v>#N/A</v>
      </c>
      <c r="AP26" s="576" t="str">
        <f t="shared" si="10"/>
        <v/>
      </c>
      <c r="AQ26" s="579">
        <f t="shared" si="11"/>
        <v>0</v>
      </c>
      <c r="AR26" s="580" t="str">
        <f t="shared" si="12"/>
        <v/>
      </c>
      <c r="AS26" s="581">
        <f t="shared" si="13"/>
        <v>0</v>
      </c>
      <c r="AT26" s="580" t="str">
        <f t="shared" si="14"/>
        <v/>
      </c>
      <c r="AU26" s="582">
        <f t="shared" si="15"/>
        <v>0</v>
      </c>
      <c r="AV26" s="583" t="str">
        <f t="shared" si="16"/>
        <v/>
      </c>
      <c r="AW26" s="582" t="b">
        <f t="shared" si="17"/>
        <v>0</v>
      </c>
      <c r="AX26" s="584" t="b">
        <f t="shared" si="18"/>
        <v>0</v>
      </c>
      <c r="AY26" s="582" t="b">
        <f t="shared" si="19"/>
        <v>0</v>
      </c>
      <c r="AZ26" s="584" t="b">
        <f t="shared" si="20"/>
        <v>0</v>
      </c>
      <c r="BA26" s="576" t="b">
        <f t="shared" si="21"/>
        <v>0</v>
      </c>
      <c r="BB26" s="576" t="b">
        <f t="shared" si="22"/>
        <v>0</v>
      </c>
      <c r="BC26" s="582" t="b">
        <f t="shared" si="23"/>
        <v>0</v>
      </c>
      <c r="BD26" s="585" t="b">
        <f t="shared" si="24"/>
        <v>0</v>
      </c>
      <c r="BE26" s="584" t="b">
        <f t="shared" si="25"/>
        <v>0</v>
      </c>
      <c r="BF26" s="586" t="b">
        <f t="shared" si="26"/>
        <v>0</v>
      </c>
      <c r="BG26" s="534" t="str">
        <f t="shared" si="27"/>
        <v>NA</v>
      </c>
      <c r="BH26" s="534" t="str">
        <f t="shared" si="28"/>
        <v/>
      </c>
      <c r="BI26" s="534" t="str">
        <f t="shared" si="29"/>
        <v/>
      </c>
      <c r="BJ26" s="534" t="str">
        <f t="shared" si="30"/>
        <v/>
      </c>
      <c r="BK26" s="534" t="str">
        <f t="shared" si="31"/>
        <v/>
      </c>
      <c r="BL26" s="587" t="str">
        <f t="shared" si="32"/>
        <v/>
      </c>
      <c r="BM26" s="534" t="str">
        <f t="shared" si="33"/>
        <v/>
      </c>
      <c r="BN26" s="534" t="str">
        <f t="shared" si="34"/>
        <v/>
      </c>
      <c r="BO26" s="1201"/>
      <c r="BP26" s="596" t="s">
        <v>231</v>
      </c>
      <c r="BQ26" s="601">
        <f t="shared" si="38"/>
        <v>0.6</v>
      </c>
      <c r="BR26" s="602">
        <f t="shared" si="38"/>
        <v>0.7</v>
      </c>
      <c r="BS26" s="602">
        <f t="shared" si="38"/>
        <v>0.9</v>
      </c>
      <c r="BT26" s="602">
        <f t="shared" si="38"/>
        <v>0.95</v>
      </c>
      <c r="BU26" s="603">
        <f t="shared" si="38"/>
        <v>1</v>
      </c>
      <c r="BW26" s="537">
        <v>3</v>
      </c>
      <c r="BX26" s="588" t="s">
        <v>558</v>
      </c>
    </row>
    <row r="27" spans="2:93" s="536" customFormat="1" ht="12.95" customHeight="1" x14ac:dyDescent="0.25">
      <c r="B27" s="590" t="str">
        <f>IF(ISNA(Z27),"",IF(OR(Z27=1,Z27=2),"    ",MAX($B$9:B26)+1))</f>
        <v/>
      </c>
      <c r="C27" s="1195" t="str">
        <f t="shared" si="0"/>
        <v/>
      </c>
      <c r="D27" s="1195"/>
      <c r="E27" s="1195"/>
      <c r="F27" s="1196"/>
      <c r="G27" s="571" t="str">
        <f t="shared" si="1"/>
        <v/>
      </c>
      <c r="H27" s="572" t="str">
        <f t="shared" si="2"/>
        <v/>
      </c>
      <c r="I27" s="591" t="str">
        <f t="shared" si="2"/>
        <v/>
      </c>
      <c r="J27" s="594"/>
      <c r="K27" s="593"/>
      <c r="L27" s="1075"/>
      <c r="M27" s="1076"/>
      <c r="N27" s="1076"/>
      <c r="O27" s="1076"/>
      <c r="P27" s="1076"/>
      <c r="Q27" s="1076"/>
      <c r="R27" s="1077"/>
      <c r="T27" s="530">
        <v>19</v>
      </c>
      <c r="U27" s="518" t="e">
        <v>#N/A</v>
      </c>
      <c r="V27" s="576" t="e">
        <v>#N/A</v>
      </c>
      <c r="W27" s="576" t="e">
        <v>#N/A</v>
      </c>
      <c r="X27" s="576" t="e">
        <v>#N/A</v>
      </c>
      <c r="Y27" s="576" t="e">
        <v>#N/A</v>
      </c>
      <c r="Z27" s="585" t="e">
        <v>#N/A</v>
      </c>
      <c r="AA27" s="585" t="e">
        <v>#N/A</v>
      </c>
      <c r="AB27" s="585" t="e">
        <v>#N/A</v>
      </c>
      <c r="AC27" s="576" t="e">
        <v>#N/A</v>
      </c>
      <c r="AD27" s="576" t="e">
        <v>#N/A</v>
      </c>
      <c r="AE27" s="576" t="e">
        <v>#N/A</v>
      </c>
      <c r="AF27" s="576" t="e">
        <v>#N/A</v>
      </c>
      <c r="AG27" s="576" t="e">
        <f t="shared" si="36"/>
        <v>#N/A</v>
      </c>
      <c r="AH27" s="576" t="str">
        <f t="shared" si="37"/>
        <v/>
      </c>
      <c r="AI27" s="577" t="e">
        <f>IF(NOT(OR(Z27=1,Z27=2)),IF(AQ27&gt;0,$AR$45*AQ27/SUMIF($AQ$9:$AQ$40,"&gt;0"),IF(AU27&gt;0,$AV$45*AU27/SUMIF($AU$9:$AU$40,"&gt;0"),IF(AS27&gt;0,$AT$45*AS27/SUMIF($AS$9:$AS$40,"&gt;0"),""))),IF(SUMIF(AJ28:$AJ$40,"=" &amp; AJ27,AI28:$AI$40)=0,"",SUMIF(AJ28:$AJ$40,"=" &amp; AJ27,AI28:$AI$40)))</f>
        <v>#N/A</v>
      </c>
      <c r="AJ27" s="578" t="e">
        <f t="shared" si="35"/>
        <v>#N/A</v>
      </c>
      <c r="AK27" s="576" t="str">
        <f t="shared" si="5"/>
        <v/>
      </c>
      <c r="AL27" s="585" t="str">
        <f t="shared" si="6"/>
        <v/>
      </c>
      <c r="AM27" s="585" t="str">
        <f t="shared" si="7"/>
        <v/>
      </c>
      <c r="AN27" s="585" t="str">
        <f t="shared" si="8"/>
        <v/>
      </c>
      <c r="AO27" s="585" t="e">
        <f t="shared" si="9"/>
        <v>#N/A</v>
      </c>
      <c r="AP27" s="576" t="str">
        <f t="shared" si="10"/>
        <v/>
      </c>
      <c r="AQ27" s="579">
        <f t="shared" si="11"/>
        <v>0</v>
      </c>
      <c r="AR27" s="580" t="str">
        <f t="shared" si="12"/>
        <v/>
      </c>
      <c r="AS27" s="581">
        <f t="shared" si="13"/>
        <v>0</v>
      </c>
      <c r="AT27" s="580" t="str">
        <f t="shared" si="14"/>
        <v/>
      </c>
      <c r="AU27" s="582">
        <f t="shared" si="15"/>
        <v>0</v>
      </c>
      <c r="AV27" s="583" t="str">
        <f t="shared" si="16"/>
        <v/>
      </c>
      <c r="AW27" s="582" t="b">
        <f t="shared" si="17"/>
        <v>0</v>
      </c>
      <c r="AX27" s="584" t="b">
        <f t="shared" si="18"/>
        <v>0</v>
      </c>
      <c r="AY27" s="582" t="b">
        <f t="shared" si="19"/>
        <v>0</v>
      </c>
      <c r="AZ27" s="584" t="b">
        <f t="shared" si="20"/>
        <v>0</v>
      </c>
      <c r="BA27" s="576" t="b">
        <f t="shared" si="21"/>
        <v>0</v>
      </c>
      <c r="BB27" s="576" t="b">
        <f t="shared" si="22"/>
        <v>0</v>
      </c>
      <c r="BC27" s="582" t="b">
        <f t="shared" si="23"/>
        <v>0</v>
      </c>
      <c r="BD27" s="585" t="b">
        <f t="shared" si="24"/>
        <v>0</v>
      </c>
      <c r="BE27" s="584" t="b">
        <f t="shared" si="25"/>
        <v>0</v>
      </c>
      <c r="BF27" s="586" t="b">
        <f t="shared" si="26"/>
        <v>0</v>
      </c>
      <c r="BG27" s="534" t="str">
        <f t="shared" si="27"/>
        <v>NA</v>
      </c>
      <c r="BH27" s="534" t="str">
        <f t="shared" si="28"/>
        <v/>
      </c>
      <c r="BI27" s="534" t="str">
        <f t="shared" si="29"/>
        <v/>
      </c>
      <c r="BJ27" s="534" t="str">
        <f t="shared" si="30"/>
        <v/>
      </c>
      <c r="BK27" s="534" t="str">
        <f t="shared" si="31"/>
        <v/>
      </c>
      <c r="BL27" s="587" t="str">
        <f t="shared" si="32"/>
        <v/>
      </c>
      <c r="BM27" s="534" t="str">
        <f t="shared" si="33"/>
        <v/>
      </c>
      <c r="BN27" s="534" t="str">
        <f t="shared" si="34"/>
        <v/>
      </c>
      <c r="BO27" s="1201"/>
      <c r="BP27" s="596" t="s">
        <v>232</v>
      </c>
      <c r="BQ27" s="601">
        <f t="shared" si="38"/>
        <v>0.6</v>
      </c>
      <c r="BR27" s="602">
        <f t="shared" si="38"/>
        <v>0.7</v>
      </c>
      <c r="BS27" s="602">
        <f t="shared" si="38"/>
        <v>0.8</v>
      </c>
      <c r="BT27" s="602">
        <f t="shared" si="38"/>
        <v>0.9</v>
      </c>
      <c r="BU27" s="603">
        <f t="shared" si="38"/>
        <v>1</v>
      </c>
      <c r="BW27" s="537">
        <v>4</v>
      </c>
      <c r="BX27" s="588" t="s">
        <v>563</v>
      </c>
    </row>
    <row r="28" spans="2:93" s="536" customFormat="1" ht="12.95" customHeight="1" x14ac:dyDescent="0.25">
      <c r="B28" s="590" t="str">
        <f>IF(ISNA(Z28),"",IF(OR(Z28=1,Z28=2),"    ",MAX($B$9:B27)+1))</f>
        <v/>
      </c>
      <c r="C28" s="1195" t="str">
        <f t="shared" si="0"/>
        <v/>
      </c>
      <c r="D28" s="1195"/>
      <c r="E28" s="1195"/>
      <c r="F28" s="1196"/>
      <c r="G28" s="571" t="str">
        <f t="shared" si="1"/>
        <v/>
      </c>
      <c r="H28" s="572" t="str">
        <f t="shared" si="2"/>
        <v/>
      </c>
      <c r="I28" s="591" t="str">
        <f t="shared" si="2"/>
        <v/>
      </c>
      <c r="J28" s="594"/>
      <c r="K28" s="593"/>
      <c r="L28" s="1075"/>
      <c r="M28" s="1076"/>
      <c r="N28" s="1076"/>
      <c r="O28" s="1076"/>
      <c r="P28" s="1076"/>
      <c r="Q28" s="1076"/>
      <c r="R28" s="1077"/>
      <c r="T28" s="530">
        <v>20</v>
      </c>
      <c r="U28" s="518" t="e">
        <v>#N/A</v>
      </c>
      <c r="V28" s="576" t="e">
        <v>#N/A</v>
      </c>
      <c r="W28" s="576" t="e">
        <v>#N/A</v>
      </c>
      <c r="X28" s="576" t="e">
        <v>#N/A</v>
      </c>
      <c r="Y28" s="576" t="e">
        <v>#N/A</v>
      </c>
      <c r="Z28" s="585" t="e">
        <v>#N/A</v>
      </c>
      <c r="AA28" s="585" t="e">
        <v>#N/A</v>
      </c>
      <c r="AB28" s="585" t="e">
        <v>#N/A</v>
      </c>
      <c r="AC28" s="576" t="e">
        <v>#N/A</v>
      </c>
      <c r="AD28" s="576" t="e">
        <v>#N/A</v>
      </c>
      <c r="AE28" s="576" t="e">
        <v>#N/A</v>
      </c>
      <c r="AF28" s="576" t="e">
        <v>#N/A</v>
      </c>
      <c r="AG28" s="576" t="e">
        <f t="shared" si="36"/>
        <v>#N/A</v>
      </c>
      <c r="AH28" s="576" t="str">
        <f t="shared" si="37"/>
        <v/>
      </c>
      <c r="AI28" s="577" t="e">
        <f>IF(NOT(OR(Z28=1,Z28=2)),IF(AQ28&gt;0,$AR$45*AQ28/SUMIF($AQ$9:$AQ$40,"&gt;0"),IF(AU28&gt;0,$AV$45*AU28/SUMIF($AU$9:$AU$40,"&gt;0"),IF(AS28&gt;0,$AT$45*AS28/SUMIF($AS$9:$AS$40,"&gt;0"),""))),IF(SUMIF(AJ29:$AJ$40,"=" &amp; AJ28,AI29:$AI$40)=0,"",SUMIF(AJ29:$AJ$40,"=" &amp; AJ28,AI29:$AI$40)))</f>
        <v>#N/A</v>
      </c>
      <c r="AJ28" s="578" t="e">
        <f t="shared" si="35"/>
        <v>#N/A</v>
      </c>
      <c r="AK28" s="576" t="str">
        <f t="shared" si="5"/>
        <v/>
      </c>
      <c r="AL28" s="585" t="str">
        <f t="shared" si="6"/>
        <v/>
      </c>
      <c r="AM28" s="585" t="str">
        <f t="shared" si="7"/>
        <v/>
      </c>
      <c r="AN28" s="585" t="str">
        <f t="shared" si="8"/>
        <v/>
      </c>
      <c r="AO28" s="585" t="e">
        <f t="shared" si="9"/>
        <v>#N/A</v>
      </c>
      <c r="AP28" s="576" t="str">
        <f t="shared" si="10"/>
        <v/>
      </c>
      <c r="AQ28" s="579">
        <f t="shared" si="11"/>
        <v>0</v>
      </c>
      <c r="AR28" s="580" t="str">
        <f t="shared" si="12"/>
        <v/>
      </c>
      <c r="AS28" s="581">
        <f t="shared" si="13"/>
        <v>0</v>
      </c>
      <c r="AT28" s="580" t="str">
        <f t="shared" si="14"/>
        <v/>
      </c>
      <c r="AU28" s="582">
        <f t="shared" si="15"/>
        <v>0</v>
      </c>
      <c r="AV28" s="583" t="str">
        <f t="shared" si="16"/>
        <v/>
      </c>
      <c r="AW28" s="582" t="b">
        <f t="shared" si="17"/>
        <v>0</v>
      </c>
      <c r="AX28" s="584" t="b">
        <f t="shared" si="18"/>
        <v>0</v>
      </c>
      <c r="AY28" s="582" t="b">
        <f t="shared" si="19"/>
        <v>0</v>
      </c>
      <c r="AZ28" s="584" t="b">
        <f t="shared" si="20"/>
        <v>0</v>
      </c>
      <c r="BA28" s="576" t="b">
        <f t="shared" si="21"/>
        <v>0</v>
      </c>
      <c r="BB28" s="576" t="b">
        <f t="shared" si="22"/>
        <v>0</v>
      </c>
      <c r="BC28" s="582" t="b">
        <f t="shared" si="23"/>
        <v>0</v>
      </c>
      <c r="BD28" s="585" t="b">
        <f t="shared" si="24"/>
        <v>0</v>
      </c>
      <c r="BE28" s="584" t="b">
        <f t="shared" si="25"/>
        <v>0</v>
      </c>
      <c r="BF28" s="586" t="b">
        <f t="shared" si="26"/>
        <v>0</v>
      </c>
      <c r="BG28" s="534" t="str">
        <f t="shared" si="27"/>
        <v>NA</v>
      </c>
      <c r="BH28" s="534" t="str">
        <f t="shared" si="28"/>
        <v/>
      </c>
      <c r="BI28" s="534" t="str">
        <f t="shared" si="29"/>
        <v/>
      </c>
      <c r="BJ28" s="534" t="str">
        <f t="shared" si="30"/>
        <v/>
      </c>
      <c r="BK28" s="534" t="str">
        <f t="shared" si="31"/>
        <v/>
      </c>
      <c r="BL28" s="587" t="str">
        <f t="shared" si="32"/>
        <v/>
      </c>
      <c r="BM28" s="534" t="str">
        <f t="shared" si="33"/>
        <v/>
      </c>
      <c r="BN28" s="534" t="str">
        <f t="shared" si="34"/>
        <v/>
      </c>
      <c r="BO28" s="1201"/>
      <c r="BP28" s="596" t="s">
        <v>233</v>
      </c>
      <c r="BQ28" s="601">
        <f t="shared" si="38"/>
        <v>0.3</v>
      </c>
      <c r="BR28" s="602">
        <f t="shared" si="38"/>
        <v>0.6</v>
      </c>
      <c r="BS28" s="602">
        <f t="shared" si="38"/>
        <v>0.9</v>
      </c>
      <c r="BT28" s="602">
        <f t="shared" si="38"/>
        <v>0.95</v>
      </c>
      <c r="BU28" s="603">
        <f t="shared" si="38"/>
        <v>1</v>
      </c>
    </row>
    <row r="29" spans="2:93" s="536" customFormat="1" ht="12.95" customHeight="1" x14ac:dyDescent="0.25">
      <c r="B29" s="590" t="str">
        <f>IF(ISNA(Z29),"",IF(OR(Z29=1,Z29=2),"    ",MAX($B$9:B28)+1))</f>
        <v/>
      </c>
      <c r="C29" s="1195" t="str">
        <f t="shared" si="0"/>
        <v/>
      </c>
      <c r="D29" s="1195"/>
      <c r="E29" s="1195"/>
      <c r="F29" s="1196"/>
      <c r="G29" s="571" t="str">
        <f t="shared" si="1"/>
        <v/>
      </c>
      <c r="H29" s="572" t="str">
        <f t="shared" si="2"/>
        <v/>
      </c>
      <c r="I29" s="591" t="str">
        <f t="shared" si="2"/>
        <v/>
      </c>
      <c r="J29" s="594"/>
      <c r="K29" s="593"/>
      <c r="L29" s="1075"/>
      <c r="M29" s="1076"/>
      <c r="N29" s="1076"/>
      <c r="O29" s="1076"/>
      <c r="P29" s="1076"/>
      <c r="Q29" s="1076"/>
      <c r="R29" s="1077"/>
      <c r="T29" s="530">
        <v>21</v>
      </c>
      <c r="U29" s="518" t="e">
        <v>#N/A</v>
      </c>
      <c r="V29" s="576" t="e">
        <v>#N/A</v>
      </c>
      <c r="W29" s="576" t="e">
        <v>#N/A</v>
      </c>
      <c r="X29" s="576" t="e">
        <v>#N/A</v>
      </c>
      <c r="Y29" s="576" t="e">
        <v>#N/A</v>
      </c>
      <c r="Z29" s="585" t="e">
        <v>#N/A</v>
      </c>
      <c r="AA29" s="585" t="e">
        <v>#N/A</v>
      </c>
      <c r="AB29" s="585" t="e">
        <v>#N/A</v>
      </c>
      <c r="AC29" s="576" t="e">
        <v>#N/A</v>
      </c>
      <c r="AD29" s="576" t="e">
        <v>#N/A</v>
      </c>
      <c r="AE29" s="576" t="e">
        <v>#N/A</v>
      </c>
      <c r="AF29" s="576" t="e">
        <v>#N/A</v>
      </c>
      <c r="AG29" s="576" t="e">
        <f t="shared" si="36"/>
        <v>#N/A</v>
      </c>
      <c r="AH29" s="576" t="str">
        <f t="shared" si="37"/>
        <v/>
      </c>
      <c r="AI29" s="577" t="e">
        <f>IF(NOT(OR(Z29=1,Z29=2)),IF(AQ29&gt;0,$AR$45*AQ29/SUMIF($AQ$9:$AQ$40,"&gt;0"),IF(AU29&gt;0,$AV$45*AU29/SUMIF($AU$9:$AU$40,"&gt;0"),IF(AS29&gt;0,$AT$45*AS29/SUMIF($AS$9:$AS$40,"&gt;0"),""))),IF(SUMIF(AJ30:$AJ$40,"=" &amp; AJ29,AI30:$AI$40)=0,"",SUMIF(AJ30:$AJ$40,"=" &amp; AJ29,AI30:$AI$40)))</f>
        <v>#N/A</v>
      </c>
      <c r="AJ29" s="578" t="e">
        <f t="shared" si="35"/>
        <v>#N/A</v>
      </c>
      <c r="AK29" s="576" t="str">
        <f t="shared" si="5"/>
        <v/>
      </c>
      <c r="AL29" s="585" t="str">
        <f t="shared" si="6"/>
        <v/>
      </c>
      <c r="AM29" s="585" t="str">
        <f t="shared" si="7"/>
        <v/>
      </c>
      <c r="AN29" s="585" t="str">
        <f t="shared" si="8"/>
        <v/>
      </c>
      <c r="AO29" s="585" t="e">
        <f t="shared" si="9"/>
        <v>#N/A</v>
      </c>
      <c r="AP29" s="576" t="str">
        <f t="shared" si="10"/>
        <v/>
      </c>
      <c r="AQ29" s="579">
        <f t="shared" si="11"/>
        <v>0</v>
      </c>
      <c r="AR29" s="580" t="str">
        <f t="shared" si="12"/>
        <v/>
      </c>
      <c r="AS29" s="581">
        <f t="shared" si="13"/>
        <v>0</v>
      </c>
      <c r="AT29" s="580" t="str">
        <f t="shared" si="14"/>
        <v/>
      </c>
      <c r="AU29" s="582">
        <f t="shared" si="15"/>
        <v>0</v>
      </c>
      <c r="AV29" s="583" t="str">
        <f t="shared" si="16"/>
        <v/>
      </c>
      <c r="AW29" s="582" t="b">
        <f t="shared" si="17"/>
        <v>0</v>
      </c>
      <c r="AX29" s="584" t="b">
        <f t="shared" si="18"/>
        <v>0</v>
      </c>
      <c r="AY29" s="582" t="b">
        <f t="shared" si="19"/>
        <v>0</v>
      </c>
      <c r="AZ29" s="584" t="b">
        <f t="shared" si="20"/>
        <v>0</v>
      </c>
      <c r="BA29" s="576" t="b">
        <f t="shared" si="21"/>
        <v>0</v>
      </c>
      <c r="BB29" s="576" t="b">
        <f t="shared" si="22"/>
        <v>0</v>
      </c>
      <c r="BC29" s="582" t="b">
        <f t="shared" si="23"/>
        <v>0</v>
      </c>
      <c r="BD29" s="585" t="b">
        <f t="shared" si="24"/>
        <v>0</v>
      </c>
      <c r="BE29" s="584" t="b">
        <f t="shared" si="25"/>
        <v>0</v>
      </c>
      <c r="BF29" s="586" t="b">
        <f t="shared" si="26"/>
        <v>0</v>
      </c>
      <c r="BG29" s="534" t="str">
        <f t="shared" si="27"/>
        <v>NA</v>
      </c>
      <c r="BH29" s="534" t="str">
        <f t="shared" si="28"/>
        <v/>
      </c>
      <c r="BI29" s="534" t="str">
        <f t="shared" si="29"/>
        <v/>
      </c>
      <c r="BJ29" s="534" t="str">
        <f t="shared" si="30"/>
        <v/>
      </c>
      <c r="BK29" s="534" t="str">
        <f t="shared" si="31"/>
        <v/>
      </c>
      <c r="BL29" s="587" t="str">
        <f t="shared" si="32"/>
        <v/>
      </c>
      <c r="BM29" s="534" t="str">
        <f t="shared" si="33"/>
        <v/>
      </c>
      <c r="BN29" s="534" t="str">
        <f t="shared" si="34"/>
        <v/>
      </c>
      <c r="BO29" s="1201"/>
      <c r="BP29" s="596" t="s">
        <v>234</v>
      </c>
      <c r="BQ29" s="601">
        <f t="shared" si="38"/>
        <v>0.3</v>
      </c>
      <c r="BR29" s="602">
        <f t="shared" si="38"/>
        <v>0.6</v>
      </c>
      <c r="BS29" s="602">
        <f t="shared" si="38"/>
        <v>0.7</v>
      </c>
      <c r="BT29" s="602">
        <f t="shared" si="38"/>
        <v>0.9</v>
      </c>
      <c r="BU29" s="603">
        <f t="shared" si="38"/>
        <v>1</v>
      </c>
      <c r="BW29" s="535" t="s">
        <v>590</v>
      </c>
    </row>
    <row r="30" spans="2:93" s="536" customFormat="1" ht="12.95" customHeight="1" x14ac:dyDescent="0.25">
      <c r="B30" s="590" t="str">
        <f>IF(ISNA(Z30),"",IF(OR(Z30=1,Z30=2),"    ",MAX($B$9:B29)+1))</f>
        <v/>
      </c>
      <c r="C30" s="1195" t="str">
        <f t="shared" si="0"/>
        <v/>
      </c>
      <c r="D30" s="1195"/>
      <c r="E30" s="1195"/>
      <c r="F30" s="1196"/>
      <c r="G30" s="571" t="str">
        <f t="shared" si="1"/>
        <v/>
      </c>
      <c r="H30" s="572" t="str">
        <f t="shared" si="2"/>
        <v/>
      </c>
      <c r="I30" s="591" t="str">
        <f t="shared" si="2"/>
        <v/>
      </c>
      <c r="J30" s="594"/>
      <c r="K30" s="593"/>
      <c r="L30" s="1075"/>
      <c r="M30" s="1076"/>
      <c r="N30" s="1076"/>
      <c r="O30" s="1076"/>
      <c r="P30" s="1076"/>
      <c r="Q30" s="1076"/>
      <c r="R30" s="1077"/>
      <c r="T30" s="530">
        <v>22</v>
      </c>
      <c r="U30" s="518" t="e">
        <v>#N/A</v>
      </c>
      <c r="V30" s="576" t="e">
        <v>#N/A</v>
      </c>
      <c r="W30" s="576" t="e">
        <v>#N/A</v>
      </c>
      <c r="X30" s="576" t="e">
        <v>#N/A</v>
      </c>
      <c r="Y30" s="576" t="e">
        <v>#N/A</v>
      </c>
      <c r="Z30" s="585" t="e">
        <v>#N/A</v>
      </c>
      <c r="AA30" s="585" t="e">
        <v>#N/A</v>
      </c>
      <c r="AB30" s="585" t="e">
        <v>#N/A</v>
      </c>
      <c r="AC30" s="576" t="e">
        <v>#N/A</v>
      </c>
      <c r="AD30" s="576" t="e">
        <v>#N/A</v>
      </c>
      <c r="AE30" s="576" t="e">
        <v>#N/A</v>
      </c>
      <c r="AF30" s="576" t="e">
        <v>#N/A</v>
      </c>
      <c r="AG30" s="576" t="e">
        <f t="shared" si="36"/>
        <v>#N/A</v>
      </c>
      <c r="AH30" s="576" t="str">
        <f t="shared" si="37"/>
        <v/>
      </c>
      <c r="AI30" s="577" t="e">
        <f>IF(NOT(OR(Z30=1,Z30=2)),IF(AQ30&gt;0,$AR$45*AQ30/SUMIF($AQ$9:$AQ$40,"&gt;0"),IF(AU30&gt;0,$AV$45*AU30/SUMIF($AU$9:$AU$40,"&gt;0"),IF(AS30&gt;0,$AT$45*AS30/SUMIF($AS$9:$AS$40,"&gt;0"),""))),IF(SUMIF(AJ31:$AJ$40,"=" &amp; AJ30,AI31:$AI$40)=0,"",SUMIF(AJ31:$AJ$40,"=" &amp; AJ30,AI31:$AI$40)))</f>
        <v>#N/A</v>
      </c>
      <c r="AJ30" s="578" t="e">
        <f t="shared" si="35"/>
        <v>#N/A</v>
      </c>
      <c r="AK30" s="576" t="str">
        <f t="shared" si="5"/>
        <v/>
      </c>
      <c r="AL30" s="585" t="str">
        <f t="shared" si="6"/>
        <v/>
      </c>
      <c r="AM30" s="585" t="str">
        <f t="shared" si="7"/>
        <v/>
      </c>
      <c r="AN30" s="585" t="str">
        <f t="shared" si="8"/>
        <v/>
      </c>
      <c r="AO30" s="585" t="e">
        <f t="shared" si="9"/>
        <v>#N/A</v>
      </c>
      <c r="AP30" s="576" t="str">
        <f t="shared" si="10"/>
        <v/>
      </c>
      <c r="AQ30" s="579">
        <f t="shared" si="11"/>
        <v>0</v>
      </c>
      <c r="AR30" s="580" t="str">
        <f t="shared" si="12"/>
        <v/>
      </c>
      <c r="AS30" s="581">
        <f t="shared" si="13"/>
        <v>0</v>
      </c>
      <c r="AT30" s="580" t="str">
        <f t="shared" si="14"/>
        <v/>
      </c>
      <c r="AU30" s="582">
        <f t="shared" si="15"/>
        <v>0</v>
      </c>
      <c r="AV30" s="583" t="str">
        <f t="shared" si="16"/>
        <v/>
      </c>
      <c r="AW30" s="582" t="b">
        <f t="shared" si="17"/>
        <v>0</v>
      </c>
      <c r="AX30" s="584" t="b">
        <f t="shared" si="18"/>
        <v>0</v>
      </c>
      <c r="AY30" s="582" t="b">
        <f t="shared" si="19"/>
        <v>0</v>
      </c>
      <c r="AZ30" s="584" t="b">
        <f t="shared" si="20"/>
        <v>0</v>
      </c>
      <c r="BA30" s="576" t="b">
        <f t="shared" si="21"/>
        <v>0</v>
      </c>
      <c r="BB30" s="576" t="b">
        <f t="shared" si="22"/>
        <v>0</v>
      </c>
      <c r="BC30" s="582" t="b">
        <f t="shared" si="23"/>
        <v>0</v>
      </c>
      <c r="BD30" s="585" t="b">
        <f t="shared" si="24"/>
        <v>0</v>
      </c>
      <c r="BE30" s="584" t="b">
        <f t="shared" si="25"/>
        <v>0</v>
      </c>
      <c r="BF30" s="586" t="b">
        <f t="shared" si="26"/>
        <v>0</v>
      </c>
      <c r="BG30" s="534" t="str">
        <f t="shared" si="27"/>
        <v>NA</v>
      </c>
      <c r="BH30" s="534" t="str">
        <f t="shared" si="28"/>
        <v/>
      </c>
      <c r="BI30" s="534" t="str">
        <f t="shared" si="29"/>
        <v/>
      </c>
      <c r="BJ30" s="534" t="str">
        <f t="shared" si="30"/>
        <v/>
      </c>
      <c r="BK30" s="534" t="str">
        <f t="shared" si="31"/>
        <v/>
      </c>
      <c r="BL30" s="587" t="str">
        <f t="shared" si="32"/>
        <v/>
      </c>
      <c r="BM30" s="534" t="str">
        <f t="shared" si="33"/>
        <v/>
      </c>
      <c r="BN30" s="534" t="str">
        <f t="shared" si="34"/>
        <v/>
      </c>
      <c r="BO30" s="1201"/>
      <c r="BP30" s="596" t="s">
        <v>235</v>
      </c>
      <c r="BQ30" s="604">
        <f t="shared" si="38"/>
        <v>0</v>
      </c>
      <c r="BR30" s="605">
        <f t="shared" si="38"/>
        <v>0.3</v>
      </c>
      <c r="BS30" s="605">
        <f t="shared" si="38"/>
        <v>0.6</v>
      </c>
      <c r="BT30" s="605">
        <f t="shared" si="38"/>
        <v>0.9</v>
      </c>
      <c r="BU30" s="606">
        <f t="shared" si="38"/>
        <v>1</v>
      </c>
      <c r="BW30" s="537" t="s">
        <v>214</v>
      </c>
      <c r="BX30" s="538" t="s">
        <v>215</v>
      </c>
    </row>
    <row r="31" spans="2:93" s="536" customFormat="1" ht="12.95" customHeight="1" x14ac:dyDescent="0.25">
      <c r="B31" s="590" t="str">
        <f>IF(ISNA(Z31),"",IF(OR(Z31=1,Z31=2),"    ",MAX($B$9:B30)+1))</f>
        <v/>
      </c>
      <c r="C31" s="1195" t="str">
        <f t="shared" si="0"/>
        <v/>
      </c>
      <c r="D31" s="1195"/>
      <c r="E31" s="1195"/>
      <c r="F31" s="1196"/>
      <c r="G31" s="571" t="str">
        <f t="shared" si="1"/>
        <v/>
      </c>
      <c r="H31" s="572" t="str">
        <f t="shared" si="2"/>
        <v/>
      </c>
      <c r="I31" s="591" t="str">
        <f t="shared" si="2"/>
        <v/>
      </c>
      <c r="J31" s="594"/>
      <c r="K31" s="593"/>
      <c r="L31" s="1075"/>
      <c r="M31" s="1076"/>
      <c r="N31" s="1076"/>
      <c r="O31" s="1076"/>
      <c r="P31" s="1076"/>
      <c r="Q31" s="1076"/>
      <c r="R31" s="1077"/>
      <c r="T31" s="530">
        <v>23</v>
      </c>
      <c r="U31" s="518" t="e">
        <v>#N/A</v>
      </c>
      <c r="V31" s="576" t="e">
        <v>#N/A</v>
      </c>
      <c r="W31" s="576" t="e">
        <v>#N/A</v>
      </c>
      <c r="X31" s="576" t="e">
        <v>#N/A</v>
      </c>
      <c r="Y31" s="576" t="e">
        <v>#N/A</v>
      </c>
      <c r="Z31" s="585" t="e">
        <v>#N/A</v>
      </c>
      <c r="AA31" s="585" t="e">
        <v>#N/A</v>
      </c>
      <c r="AB31" s="585" t="e">
        <v>#N/A</v>
      </c>
      <c r="AC31" s="576" t="e">
        <v>#N/A</v>
      </c>
      <c r="AD31" s="576" t="e">
        <v>#N/A</v>
      </c>
      <c r="AE31" s="576" t="e">
        <v>#N/A</v>
      </c>
      <c r="AF31" s="576" t="e">
        <v>#N/A</v>
      </c>
      <c r="AG31" s="576" t="e">
        <f t="shared" si="36"/>
        <v>#N/A</v>
      </c>
      <c r="AH31" s="576" t="str">
        <f t="shared" si="37"/>
        <v/>
      </c>
      <c r="AI31" s="577" t="e">
        <f>IF(NOT(OR(Z31=1,Z31=2)),IF(AQ31&gt;0,$AR$45*AQ31/SUMIF($AQ$9:$AQ$40,"&gt;0"),IF(AU31&gt;0,$AV$45*AU31/SUMIF($AU$9:$AU$40,"&gt;0"),IF(AS31&gt;0,$AT$45*AS31/SUMIF($AS$9:$AS$40,"&gt;0"),""))),IF(SUMIF(AJ32:$AJ$40,"=" &amp; AJ31,AI32:$AI$40)=0,"",SUMIF(AJ32:$AJ$40,"=" &amp; AJ31,AI32:$AI$40)))</f>
        <v>#N/A</v>
      </c>
      <c r="AJ31" s="578" t="e">
        <f t="shared" si="35"/>
        <v>#N/A</v>
      </c>
      <c r="AK31" s="576" t="str">
        <f t="shared" si="5"/>
        <v/>
      </c>
      <c r="AL31" s="585" t="str">
        <f t="shared" si="6"/>
        <v/>
      </c>
      <c r="AM31" s="585" t="str">
        <f t="shared" si="7"/>
        <v/>
      </c>
      <c r="AN31" s="585" t="str">
        <f t="shared" si="8"/>
        <v/>
      </c>
      <c r="AO31" s="585" t="e">
        <f t="shared" si="9"/>
        <v>#N/A</v>
      </c>
      <c r="AP31" s="576" t="str">
        <f t="shared" si="10"/>
        <v/>
      </c>
      <c r="AQ31" s="579">
        <f t="shared" si="11"/>
        <v>0</v>
      </c>
      <c r="AR31" s="580" t="str">
        <f t="shared" si="12"/>
        <v/>
      </c>
      <c r="AS31" s="581">
        <f t="shared" si="13"/>
        <v>0</v>
      </c>
      <c r="AT31" s="580" t="str">
        <f t="shared" si="14"/>
        <v/>
      </c>
      <c r="AU31" s="582">
        <f t="shared" si="15"/>
        <v>0</v>
      </c>
      <c r="AV31" s="583" t="str">
        <f t="shared" si="16"/>
        <v/>
      </c>
      <c r="AW31" s="582" t="b">
        <f t="shared" si="17"/>
        <v>0</v>
      </c>
      <c r="AX31" s="584" t="b">
        <f t="shared" si="18"/>
        <v>0</v>
      </c>
      <c r="AY31" s="582" t="b">
        <f t="shared" si="19"/>
        <v>0</v>
      </c>
      <c r="AZ31" s="584" t="b">
        <f t="shared" si="20"/>
        <v>0</v>
      </c>
      <c r="BA31" s="576" t="b">
        <f t="shared" si="21"/>
        <v>0</v>
      </c>
      <c r="BB31" s="576" t="b">
        <f t="shared" si="22"/>
        <v>0</v>
      </c>
      <c r="BC31" s="582" t="b">
        <f t="shared" si="23"/>
        <v>0</v>
      </c>
      <c r="BD31" s="585" t="b">
        <f t="shared" si="24"/>
        <v>0</v>
      </c>
      <c r="BE31" s="584" t="b">
        <f t="shared" si="25"/>
        <v>0</v>
      </c>
      <c r="BF31" s="586" t="b">
        <f t="shared" si="26"/>
        <v>0</v>
      </c>
      <c r="BG31" s="534" t="str">
        <f t="shared" si="27"/>
        <v>NA</v>
      </c>
      <c r="BH31" s="534" t="str">
        <f t="shared" si="28"/>
        <v/>
      </c>
      <c r="BI31" s="534" t="str">
        <f t="shared" si="29"/>
        <v/>
      </c>
      <c r="BJ31" s="534" t="str">
        <f t="shared" si="30"/>
        <v/>
      </c>
      <c r="BK31" s="534" t="str">
        <f t="shared" si="31"/>
        <v/>
      </c>
      <c r="BL31" s="587" t="str">
        <f t="shared" si="32"/>
        <v/>
      </c>
      <c r="BM31" s="534" t="str">
        <f t="shared" si="33"/>
        <v/>
      </c>
      <c r="BN31" s="534" t="str">
        <f t="shared" si="34"/>
        <v/>
      </c>
      <c r="BO31" s="521"/>
      <c r="BW31" s="537">
        <v>0</v>
      </c>
      <c r="BX31" s="538" t="s">
        <v>216</v>
      </c>
    </row>
    <row r="32" spans="2:93" s="536" customFormat="1" ht="12.95" customHeight="1" x14ac:dyDescent="0.25">
      <c r="B32" s="590" t="str">
        <f>IF(ISNA(Z32),"",IF(OR(Z32=1,Z32=2),"    ",MAX($B$9:B31)+1))</f>
        <v/>
      </c>
      <c r="C32" s="1195" t="str">
        <f t="shared" si="0"/>
        <v/>
      </c>
      <c r="D32" s="1195"/>
      <c r="E32" s="1195"/>
      <c r="F32" s="1196"/>
      <c r="G32" s="571" t="str">
        <f t="shared" si="1"/>
        <v/>
      </c>
      <c r="H32" s="572" t="str">
        <f t="shared" si="2"/>
        <v/>
      </c>
      <c r="I32" s="591" t="str">
        <f t="shared" si="2"/>
        <v/>
      </c>
      <c r="J32" s="594"/>
      <c r="K32" s="593"/>
      <c r="L32" s="1075"/>
      <c r="M32" s="1076"/>
      <c r="N32" s="1076"/>
      <c r="O32" s="1076"/>
      <c r="P32" s="1076"/>
      <c r="Q32" s="1076"/>
      <c r="R32" s="1077"/>
      <c r="T32" s="530">
        <v>24</v>
      </c>
      <c r="U32" s="518" t="e">
        <v>#N/A</v>
      </c>
      <c r="V32" s="576" t="e">
        <v>#N/A</v>
      </c>
      <c r="W32" s="576" t="e">
        <v>#N/A</v>
      </c>
      <c r="X32" s="576" t="e">
        <v>#N/A</v>
      </c>
      <c r="Y32" s="576" t="e">
        <v>#N/A</v>
      </c>
      <c r="Z32" s="585" t="e">
        <v>#N/A</v>
      </c>
      <c r="AA32" s="585" t="e">
        <v>#N/A</v>
      </c>
      <c r="AB32" s="585" t="e">
        <v>#N/A</v>
      </c>
      <c r="AC32" s="576" t="e">
        <v>#N/A</v>
      </c>
      <c r="AD32" s="576" t="e">
        <v>#N/A</v>
      </c>
      <c r="AE32" s="576" t="e">
        <v>#N/A</v>
      </c>
      <c r="AF32" s="576" t="e">
        <v>#N/A</v>
      </c>
      <c r="AG32" s="576" t="e">
        <f t="shared" si="36"/>
        <v>#N/A</v>
      </c>
      <c r="AH32" s="576" t="str">
        <f t="shared" si="37"/>
        <v/>
      </c>
      <c r="AI32" s="577" t="e">
        <f>IF(NOT(OR(Z32=1,Z32=2)),IF(AQ32&gt;0,$AR$45*AQ32/SUMIF($AQ$9:$AQ$40,"&gt;0"),IF(AU32&gt;0,$AV$45*AU32/SUMIF($AU$9:$AU$40,"&gt;0"),IF(AS32&gt;0,$AT$45*AS32/SUMIF($AS$9:$AS$40,"&gt;0"),""))),IF(SUMIF(AJ33:$AJ$40,"=" &amp; AJ32,AI33:$AI$40)=0,"",SUMIF(AJ33:$AJ$40,"=" &amp; AJ32,AI33:$AI$40)))</f>
        <v>#N/A</v>
      </c>
      <c r="AJ32" s="578" t="e">
        <f t="shared" si="35"/>
        <v>#N/A</v>
      </c>
      <c r="AK32" s="576" t="str">
        <f t="shared" si="5"/>
        <v/>
      </c>
      <c r="AL32" s="585" t="str">
        <f t="shared" si="6"/>
        <v/>
      </c>
      <c r="AM32" s="585" t="str">
        <f t="shared" si="7"/>
        <v/>
      </c>
      <c r="AN32" s="585" t="str">
        <f t="shared" si="8"/>
        <v/>
      </c>
      <c r="AO32" s="585" t="e">
        <f t="shared" si="9"/>
        <v>#N/A</v>
      </c>
      <c r="AP32" s="576" t="str">
        <f t="shared" si="10"/>
        <v/>
      </c>
      <c r="AQ32" s="579">
        <f t="shared" si="11"/>
        <v>0</v>
      </c>
      <c r="AR32" s="580" t="str">
        <f t="shared" si="12"/>
        <v/>
      </c>
      <c r="AS32" s="581">
        <f t="shared" si="13"/>
        <v>0</v>
      </c>
      <c r="AT32" s="580" t="str">
        <f t="shared" si="14"/>
        <v/>
      </c>
      <c r="AU32" s="582">
        <f t="shared" si="15"/>
        <v>0</v>
      </c>
      <c r="AV32" s="583" t="str">
        <f t="shared" si="16"/>
        <v/>
      </c>
      <c r="AW32" s="582" t="b">
        <f t="shared" si="17"/>
        <v>0</v>
      </c>
      <c r="AX32" s="584" t="b">
        <f t="shared" si="18"/>
        <v>0</v>
      </c>
      <c r="AY32" s="582" t="b">
        <f t="shared" si="19"/>
        <v>0</v>
      </c>
      <c r="AZ32" s="584" t="b">
        <f t="shared" si="20"/>
        <v>0</v>
      </c>
      <c r="BA32" s="576" t="b">
        <f t="shared" si="21"/>
        <v>0</v>
      </c>
      <c r="BB32" s="576" t="b">
        <f t="shared" si="22"/>
        <v>0</v>
      </c>
      <c r="BC32" s="582" t="b">
        <f t="shared" si="23"/>
        <v>0</v>
      </c>
      <c r="BD32" s="585" t="b">
        <f t="shared" si="24"/>
        <v>0</v>
      </c>
      <c r="BE32" s="584" t="b">
        <f t="shared" si="25"/>
        <v>0</v>
      </c>
      <c r="BF32" s="586" t="b">
        <f t="shared" si="26"/>
        <v>0</v>
      </c>
      <c r="BG32" s="534" t="str">
        <f t="shared" si="27"/>
        <v>NA</v>
      </c>
      <c r="BH32" s="534" t="str">
        <f t="shared" si="28"/>
        <v/>
      </c>
      <c r="BI32" s="534" t="str">
        <f t="shared" si="29"/>
        <v/>
      </c>
      <c r="BJ32" s="534" t="str">
        <f t="shared" si="30"/>
        <v/>
      </c>
      <c r="BK32" s="534" t="str">
        <f t="shared" si="31"/>
        <v/>
      </c>
      <c r="BL32" s="587" t="str">
        <f t="shared" si="32"/>
        <v/>
      </c>
      <c r="BM32" s="534" t="str">
        <f t="shared" si="33"/>
        <v/>
      </c>
      <c r="BN32" s="534" t="str">
        <f t="shared" si="34"/>
        <v/>
      </c>
      <c r="BO32" s="537" t="s">
        <v>236</v>
      </c>
      <c r="BP32" s="568" t="s">
        <v>237</v>
      </c>
      <c r="BW32" s="537">
        <v>1</v>
      </c>
      <c r="BX32" s="588" t="s">
        <v>591</v>
      </c>
    </row>
    <row r="33" spans="2:76 1271:1271" s="536" customFormat="1" ht="12.95" customHeight="1" x14ac:dyDescent="0.25">
      <c r="B33" s="590" t="str">
        <f>IF(ISNA(Z33),"",IF(OR(Z33=1,Z33=2),"    ",MAX($B$9:B32)+1))</f>
        <v/>
      </c>
      <c r="C33" s="1195" t="str">
        <f t="shared" si="0"/>
        <v/>
      </c>
      <c r="D33" s="1195"/>
      <c r="E33" s="1195"/>
      <c r="F33" s="1196"/>
      <c r="G33" s="571" t="str">
        <f t="shared" si="1"/>
        <v/>
      </c>
      <c r="H33" s="572" t="str">
        <f t="shared" si="2"/>
        <v/>
      </c>
      <c r="I33" s="591" t="str">
        <f t="shared" si="2"/>
        <v/>
      </c>
      <c r="J33" s="594"/>
      <c r="K33" s="593"/>
      <c r="L33" s="1075"/>
      <c r="M33" s="1076"/>
      <c r="N33" s="1076"/>
      <c r="O33" s="1076"/>
      <c r="P33" s="1076"/>
      <c r="Q33" s="1076"/>
      <c r="R33" s="1077"/>
      <c r="T33" s="530">
        <v>25</v>
      </c>
      <c r="U33" s="518" t="e">
        <v>#N/A</v>
      </c>
      <c r="V33" s="576" t="e">
        <v>#N/A</v>
      </c>
      <c r="W33" s="576" t="e">
        <v>#N/A</v>
      </c>
      <c r="X33" s="576" t="e">
        <v>#N/A</v>
      </c>
      <c r="Y33" s="576" t="e">
        <v>#N/A</v>
      </c>
      <c r="Z33" s="585" t="e">
        <v>#N/A</v>
      </c>
      <c r="AA33" s="585" t="e">
        <v>#N/A</v>
      </c>
      <c r="AB33" s="585" t="e">
        <v>#N/A</v>
      </c>
      <c r="AC33" s="576" t="e">
        <v>#N/A</v>
      </c>
      <c r="AD33" s="576" t="e">
        <v>#N/A</v>
      </c>
      <c r="AE33" s="576" t="e">
        <v>#N/A</v>
      </c>
      <c r="AF33" s="576" t="e">
        <v>#N/A</v>
      </c>
      <c r="AG33" s="576" t="e">
        <f t="shared" si="36"/>
        <v>#N/A</v>
      </c>
      <c r="AH33" s="576" t="str">
        <f t="shared" si="37"/>
        <v/>
      </c>
      <c r="AI33" s="577" t="e">
        <f>IF(NOT(OR(Z33=1,Z33=2)),IF(AQ33&gt;0,$AR$45*AQ33/SUMIF($AQ$9:$AQ$40,"&gt;0"),IF(AU33&gt;0,$AV$45*AU33/SUMIF($AU$9:$AU$40,"&gt;0"),IF(AS33&gt;0,$AT$45*AS33/SUMIF($AS$9:$AS$40,"&gt;0"),""))),IF(SUMIF(AJ34:$AJ$40,"=" &amp; AJ33,AI34:$AI$40)=0,"",SUMIF(AJ34:$AJ$40,"=" &amp; AJ33,AI34:$AI$40)))</f>
        <v>#N/A</v>
      </c>
      <c r="AJ33" s="578" t="e">
        <f t="shared" si="35"/>
        <v>#N/A</v>
      </c>
      <c r="AK33" s="576" t="str">
        <f t="shared" si="5"/>
        <v/>
      </c>
      <c r="AL33" s="585" t="str">
        <f t="shared" si="6"/>
        <v/>
      </c>
      <c r="AM33" s="585" t="str">
        <f t="shared" si="7"/>
        <v/>
      </c>
      <c r="AN33" s="585" t="str">
        <f t="shared" si="8"/>
        <v/>
      </c>
      <c r="AO33" s="585" t="e">
        <f t="shared" si="9"/>
        <v>#N/A</v>
      </c>
      <c r="AP33" s="576" t="str">
        <f t="shared" si="10"/>
        <v/>
      </c>
      <c r="AQ33" s="579">
        <f t="shared" si="11"/>
        <v>0</v>
      </c>
      <c r="AR33" s="580" t="str">
        <f t="shared" si="12"/>
        <v/>
      </c>
      <c r="AS33" s="581">
        <f t="shared" si="13"/>
        <v>0</v>
      </c>
      <c r="AT33" s="580" t="str">
        <f t="shared" si="14"/>
        <v/>
      </c>
      <c r="AU33" s="582">
        <f t="shared" si="15"/>
        <v>0</v>
      </c>
      <c r="AV33" s="583" t="str">
        <f t="shared" si="16"/>
        <v/>
      </c>
      <c r="AW33" s="582" t="b">
        <f t="shared" si="17"/>
        <v>0</v>
      </c>
      <c r="AX33" s="584" t="b">
        <f t="shared" si="18"/>
        <v>0</v>
      </c>
      <c r="AY33" s="582" t="b">
        <f t="shared" si="19"/>
        <v>0</v>
      </c>
      <c r="AZ33" s="584" t="b">
        <f t="shared" si="20"/>
        <v>0</v>
      </c>
      <c r="BA33" s="576" t="b">
        <f t="shared" si="21"/>
        <v>0</v>
      </c>
      <c r="BB33" s="576" t="b">
        <f t="shared" si="22"/>
        <v>0</v>
      </c>
      <c r="BC33" s="582" t="b">
        <f t="shared" si="23"/>
        <v>0</v>
      </c>
      <c r="BD33" s="585" t="b">
        <f t="shared" si="24"/>
        <v>0</v>
      </c>
      <c r="BE33" s="584" t="b">
        <f t="shared" si="25"/>
        <v>0</v>
      </c>
      <c r="BF33" s="586" t="b">
        <f t="shared" si="26"/>
        <v>0</v>
      </c>
      <c r="BG33" s="534" t="str">
        <f t="shared" si="27"/>
        <v>NA</v>
      </c>
      <c r="BH33" s="534" t="str">
        <f t="shared" si="28"/>
        <v/>
      </c>
      <c r="BI33" s="534" t="str">
        <f t="shared" si="29"/>
        <v/>
      </c>
      <c r="BJ33" s="534" t="str">
        <f t="shared" si="30"/>
        <v/>
      </c>
      <c r="BK33" s="534" t="str">
        <f t="shared" si="31"/>
        <v/>
      </c>
      <c r="BL33" s="587" t="str">
        <f t="shared" si="32"/>
        <v/>
      </c>
      <c r="BM33" s="534" t="str">
        <f t="shared" si="33"/>
        <v/>
      </c>
      <c r="BN33" s="534" t="str">
        <f t="shared" si="34"/>
        <v/>
      </c>
      <c r="BO33" s="537" t="s">
        <v>238</v>
      </c>
      <c r="BP33" s="568" t="s">
        <v>239</v>
      </c>
      <c r="BW33" s="537">
        <v>2</v>
      </c>
      <c r="BX33" s="588" t="s">
        <v>592</v>
      </c>
    </row>
    <row r="34" spans="2:76 1271:1271" s="536" customFormat="1" ht="12.95" customHeight="1" x14ac:dyDescent="0.25">
      <c r="B34" s="590" t="str">
        <f>IF(ISNA(Z34),"",IF(OR(Z34=1,Z34=2),"    ",MAX($B$9:B33)+1))</f>
        <v/>
      </c>
      <c r="C34" s="1195" t="str">
        <f t="shared" si="0"/>
        <v/>
      </c>
      <c r="D34" s="1195"/>
      <c r="E34" s="1195"/>
      <c r="F34" s="1196"/>
      <c r="G34" s="571" t="str">
        <f t="shared" si="1"/>
        <v/>
      </c>
      <c r="H34" s="572" t="str">
        <f t="shared" si="2"/>
        <v/>
      </c>
      <c r="I34" s="591" t="str">
        <f t="shared" si="2"/>
        <v/>
      </c>
      <c r="J34" s="594"/>
      <c r="K34" s="593"/>
      <c r="L34" s="1075"/>
      <c r="M34" s="1076"/>
      <c r="N34" s="1076"/>
      <c r="O34" s="1076"/>
      <c r="P34" s="1076"/>
      <c r="Q34" s="1076"/>
      <c r="R34" s="1077"/>
      <c r="T34" s="530">
        <v>26</v>
      </c>
      <c r="U34" s="518" t="e">
        <v>#N/A</v>
      </c>
      <c r="V34" s="576" t="e">
        <v>#N/A</v>
      </c>
      <c r="W34" s="576" t="e">
        <v>#N/A</v>
      </c>
      <c r="X34" s="576" t="e">
        <v>#N/A</v>
      </c>
      <c r="Y34" s="576" t="e">
        <v>#N/A</v>
      </c>
      <c r="Z34" s="585" t="e">
        <v>#N/A</v>
      </c>
      <c r="AA34" s="585" t="e">
        <v>#N/A</v>
      </c>
      <c r="AB34" s="585" t="e">
        <v>#N/A</v>
      </c>
      <c r="AC34" s="576" t="e">
        <v>#N/A</v>
      </c>
      <c r="AD34" s="576" t="e">
        <v>#N/A</v>
      </c>
      <c r="AE34" s="576" t="e">
        <v>#N/A</v>
      </c>
      <c r="AF34" s="576" t="e">
        <v>#N/A</v>
      </c>
      <c r="AG34" s="576" t="e">
        <f t="shared" si="36"/>
        <v>#N/A</v>
      </c>
      <c r="AH34" s="576" t="str">
        <f t="shared" si="37"/>
        <v/>
      </c>
      <c r="AI34" s="577" t="e">
        <f>IF(NOT(OR(Z34=1,Z34=2)),IF(AQ34&gt;0,$AR$45*AQ34/SUMIF($AQ$9:$AQ$40,"&gt;0"),IF(AU34&gt;0,$AV$45*AU34/SUMIF($AU$9:$AU$40,"&gt;0"),IF(AS34&gt;0,$AT$45*AS34/SUMIF($AS$9:$AS$40,"&gt;0"),""))),IF(SUMIF(AJ35:$AJ$40,"=" &amp; AJ34,AI35:$AI$40)=0,"",SUMIF(AJ35:$AJ$40,"=" &amp; AJ34,AI35:$AI$40)))</f>
        <v>#N/A</v>
      </c>
      <c r="AJ34" s="578" t="e">
        <f t="shared" si="35"/>
        <v>#N/A</v>
      </c>
      <c r="AK34" s="576" t="str">
        <f t="shared" si="5"/>
        <v/>
      </c>
      <c r="AL34" s="585" t="str">
        <f t="shared" si="6"/>
        <v/>
      </c>
      <c r="AM34" s="585" t="str">
        <f t="shared" si="7"/>
        <v/>
      </c>
      <c r="AN34" s="585" t="str">
        <f t="shared" si="8"/>
        <v/>
      </c>
      <c r="AO34" s="585" t="e">
        <f t="shared" si="9"/>
        <v>#N/A</v>
      </c>
      <c r="AP34" s="576" t="str">
        <f t="shared" si="10"/>
        <v/>
      </c>
      <c r="AQ34" s="579">
        <f t="shared" si="11"/>
        <v>0</v>
      </c>
      <c r="AR34" s="580" t="str">
        <f t="shared" si="12"/>
        <v/>
      </c>
      <c r="AS34" s="581">
        <f t="shared" si="13"/>
        <v>0</v>
      </c>
      <c r="AT34" s="580" t="str">
        <f t="shared" si="14"/>
        <v/>
      </c>
      <c r="AU34" s="582">
        <f t="shared" si="15"/>
        <v>0</v>
      </c>
      <c r="AV34" s="583" t="str">
        <f t="shared" si="16"/>
        <v/>
      </c>
      <c r="AW34" s="582" t="b">
        <f t="shared" si="17"/>
        <v>0</v>
      </c>
      <c r="AX34" s="584" t="b">
        <f t="shared" si="18"/>
        <v>0</v>
      </c>
      <c r="AY34" s="582" t="b">
        <f t="shared" si="19"/>
        <v>0</v>
      </c>
      <c r="AZ34" s="584" t="b">
        <f t="shared" si="20"/>
        <v>0</v>
      </c>
      <c r="BA34" s="576" t="b">
        <f t="shared" si="21"/>
        <v>0</v>
      </c>
      <c r="BB34" s="576" t="b">
        <f t="shared" si="22"/>
        <v>0</v>
      </c>
      <c r="BC34" s="582" t="b">
        <f t="shared" si="23"/>
        <v>0</v>
      </c>
      <c r="BD34" s="585" t="b">
        <f t="shared" si="24"/>
        <v>0</v>
      </c>
      <c r="BE34" s="584" t="b">
        <f t="shared" si="25"/>
        <v>0</v>
      </c>
      <c r="BF34" s="586" t="b">
        <f t="shared" si="26"/>
        <v>0</v>
      </c>
      <c r="BG34" s="534" t="str">
        <f t="shared" si="27"/>
        <v>NA</v>
      </c>
      <c r="BH34" s="534" t="str">
        <f t="shared" si="28"/>
        <v/>
      </c>
      <c r="BI34" s="534" t="str">
        <f t="shared" si="29"/>
        <v/>
      </c>
      <c r="BJ34" s="534" t="str">
        <f t="shared" si="30"/>
        <v/>
      </c>
      <c r="BK34" s="534" t="str">
        <f t="shared" si="31"/>
        <v/>
      </c>
      <c r="BL34" s="587" t="str">
        <f t="shared" si="32"/>
        <v/>
      </c>
      <c r="BM34" s="534" t="str">
        <f t="shared" si="33"/>
        <v/>
      </c>
      <c r="BN34" s="534" t="str">
        <f t="shared" si="34"/>
        <v/>
      </c>
      <c r="BO34" s="588" t="s">
        <v>240</v>
      </c>
      <c r="BP34" s="568"/>
      <c r="BQ34" s="568"/>
      <c r="BR34" s="568"/>
      <c r="BS34" s="568"/>
      <c r="BT34" s="568"/>
      <c r="BU34" s="568"/>
      <c r="BW34" s="537">
        <v>3</v>
      </c>
      <c r="BX34" s="588" t="s">
        <v>559</v>
      </c>
    </row>
    <row r="35" spans="2:76 1271:1271" s="536" customFormat="1" ht="12.95" customHeight="1" x14ac:dyDescent="0.25">
      <c r="B35" s="590" t="str">
        <f>IF(ISNA(Z35),"",IF(OR(Z35=1,Z35=2),"    ",MAX($B$9:B34)+1))</f>
        <v/>
      </c>
      <c r="C35" s="1195" t="str">
        <f t="shared" si="0"/>
        <v/>
      </c>
      <c r="D35" s="1195"/>
      <c r="E35" s="1195"/>
      <c r="F35" s="1196"/>
      <c r="G35" s="571" t="str">
        <f t="shared" si="1"/>
        <v/>
      </c>
      <c r="H35" s="572" t="str">
        <f t="shared" si="2"/>
        <v/>
      </c>
      <c r="I35" s="591" t="str">
        <f t="shared" si="2"/>
        <v/>
      </c>
      <c r="J35" s="594"/>
      <c r="K35" s="593"/>
      <c r="L35" s="1075"/>
      <c r="M35" s="1076"/>
      <c r="N35" s="1076"/>
      <c r="O35" s="1076"/>
      <c r="P35" s="1076"/>
      <c r="Q35" s="1076"/>
      <c r="R35" s="1077"/>
      <c r="T35" s="530">
        <v>27</v>
      </c>
      <c r="U35" s="518" t="e">
        <v>#N/A</v>
      </c>
      <c r="V35" s="576" t="e">
        <v>#N/A</v>
      </c>
      <c r="W35" s="576" t="e">
        <v>#N/A</v>
      </c>
      <c r="X35" s="576" t="e">
        <v>#N/A</v>
      </c>
      <c r="Y35" s="576" t="e">
        <v>#N/A</v>
      </c>
      <c r="Z35" s="585" t="e">
        <v>#N/A</v>
      </c>
      <c r="AA35" s="585" t="e">
        <v>#N/A</v>
      </c>
      <c r="AB35" s="585" t="e">
        <v>#N/A</v>
      </c>
      <c r="AC35" s="576" t="e">
        <v>#N/A</v>
      </c>
      <c r="AD35" s="576" t="e">
        <v>#N/A</v>
      </c>
      <c r="AE35" s="576" t="e">
        <v>#N/A</v>
      </c>
      <c r="AF35" s="576" t="e">
        <v>#N/A</v>
      </c>
      <c r="AG35" s="576" t="e">
        <f t="shared" si="36"/>
        <v>#N/A</v>
      </c>
      <c r="AH35" s="576" t="str">
        <f t="shared" si="37"/>
        <v/>
      </c>
      <c r="AI35" s="577" t="e">
        <f>IF(NOT(OR(Z35=1,Z35=2)),IF(AQ35&gt;0,$AR$45*AQ35/SUMIF($AQ$9:$AQ$40,"&gt;0"),IF(AU35&gt;0,$AV$45*AU35/SUMIF($AU$9:$AU$40,"&gt;0"),IF(AS35&gt;0,$AT$45*AS35/SUMIF($AS$9:$AS$40,"&gt;0"),""))),IF(SUMIF(AJ36:$AJ$40,"=" &amp; AJ35,AI36:$AI$40)=0,"",SUMIF(AJ36:$AJ$40,"=" &amp; AJ35,AI36:$AI$40)))</f>
        <v>#N/A</v>
      </c>
      <c r="AJ35" s="578" t="e">
        <f t="shared" si="35"/>
        <v>#N/A</v>
      </c>
      <c r="AK35" s="576" t="str">
        <f t="shared" si="5"/>
        <v/>
      </c>
      <c r="AL35" s="585" t="str">
        <f t="shared" si="6"/>
        <v/>
      </c>
      <c r="AM35" s="585" t="str">
        <f t="shared" si="7"/>
        <v/>
      </c>
      <c r="AN35" s="585" t="str">
        <f t="shared" si="8"/>
        <v/>
      </c>
      <c r="AO35" s="585" t="e">
        <f t="shared" si="9"/>
        <v>#N/A</v>
      </c>
      <c r="AP35" s="576" t="str">
        <f t="shared" si="10"/>
        <v/>
      </c>
      <c r="AQ35" s="579">
        <f t="shared" si="11"/>
        <v>0</v>
      </c>
      <c r="AR35" s="580" t="str">
        <f t="shared" si="12"/>
        <v/>
      </c>
      <c r="AS35" s="581">
        <f t="shared" si="13"/>
        <v>0</v>
      </c>
      <c r="AT35" s="580" t="str">
        <f t="shared" si="14"/>
        <v/>
      </c>
      <c r="AU35" s="582">
        <f t="shared" si="15"/>
        <v>0</v>
      </c>
      <c r="AV35" s="583" t="str">
        <f t="shared" si="16"/>
        <v/>
      </c>
      <c r="AW35" s="582" t="b">
        <f t="shared" si="17"/>
        <v>0</v>
      </c>
      <c r="AX35" s="584" t="b">
        <f t="shared" si="18"/>
        <v>0</v>
      </c>
      <c r="AY35" s="582" t="b">
        <f t="shared" si="19"/>
        <v>0</v>
      </c>
      <c r="AZ35" s="584" t="b">
        <f t="shared" si="20"/>
        <v>0</v>
      </c>
      <c r="BA35" s="576" t="b">
        <f t="shared" si="21"/>
        <v>0</v>
      </c>
      <c r="BB35" s="576" t="b">
        <f t="shared" si="22"/>
        <v>0</v>
      </c>
      <c r="BC35" s="582" t="b">
        <f t="shared" si="23"/>
        <v>0</v>
      </c>
      <c r="BD35" s="585" t="b">
        <f t="shared" si="24"/>
        <v>0</v>
      </c>
      <c r="BE35" s="584" t="b">
        <f t="shared" si="25"/>
        <v>0</v>
      </c>
      <c r="BF35" s="586" t="b">
        <f t="shared" si="26"/>
        <v>0</v>
      </c>
      <c r="BG35" s="534" t="str">
        <f t="shared" si="27"/>
        <v>NA</v>
      </c>
      <c r="BH35" s="534" t="str">
        <f t="shared" si="28"/>
        <v/>
      </c>
      <c r="BI35" s="534" t="str">
        <f t="shared" si="29"/>
        <v/>
      </c>
      <c r="BJ35" s="534" t="str">
        <f t="shared" si="30"/>
        <v/>
      </c>
      <c r="BK35" s="534" t="str">
        <f t="shared" si="31"/>
        <v/>
      </c>
      <c r="BL35" s="587" t="str">
        <f t="shared" si="32"/>
        <v/>
      </c>
      <c r="BM35" s="534" t="str">
        <f t="shared" si="33"/>
        <v/>
      </c>
      <c r="BN35" s="534" t="str">
        <f t="shared" si="34"/>
        <v/>
      </c>
      <c r="BO35" s="1202" t="str">
        <f>IF(U45,"","N/A")</f>
        <v>N/A</v>
      </c>
      <c r="BP35" s="1203"/>
      <c r="BQ35" s="1203"/>
      <c r="BR35" s="1203"/>
      <c r="BS35" s="1203"/>
      <c r="BT35" s="1203"/>
      <c r="BU35" s="1204"/>
      <c r="BW35" s="537">
        <v>4</v>
      </c>
      <c r="BX35" s="588" t="s">
        <v>564</v>
      </c>
    </row>
    <row r="36" spans="2:76 1271:1271" s="536" customFormat="1" ht="12.95" customHeight="1" x14ac:dyDescent="0.25">
      <c r="B36" s="590" t="str">
        <f>IF(ISNA(Z36),"",IF(OR(Z36=1,Z36=2),"    ",MAX($B$9:B35)+1))</f>
        <v/>
      </c>
      <c r="C36" s="1195" t="str">
        <f t="shared" si="0"/>
        <v/>
      </c>
      <c r="D36" s="1195"/>
      <c r="E36" s="1195"/>
      <c r="F36" s="1196"/>
      <c r="G36" s="571" t="str">
        <f t="shared" si="1"/>
        <v/>
      </c>
      <c r="H36" s="572" t="str">
        <f t="shared" si="2"/>
        <v/>
      </c>
      <c r="I36" s="591" t="str">
        <f t="shared" si="2"/>
        <v/>
      </c>
      <c r="J36" s="594"/>
      <c r="K36" s="593"/>
      <c r="L36" s="1075"/>
      <c r="M36" s="1076"/>
      <c r="N36" s="1076"/>
      <c r="O36" s="1076"/>
      <c r="P36" s="1076"/>
      <c r="Q36" s="1076"/>
      <c r="R36" s="1077"/>
      <c r="T36" s="530">
        <v>28</v>
      </c>
      <c r="U36" s="518" t="e">
        <v>#N/A</v>
      </c>
      <c r="V36" s="576" t="e">
        <v>#N/A</v>
      </c>
      <c r="W36" s="576" t="e">
        <v>#N/A</v>
      </c>
      <c r="X36" s="576" t="e">
        <v>#N/A</v>
      </c>
      <c r="Y36" s="576" t="e">
        <v>#N/A</v>
      </c>
      <c r="Z36" s="585" t="e">
        <v>#N/A</v>
      </c>
      <c r="AA36" s="585" t="e">
        <v>#N/A</v>
      </c>
      <c r="AB36" s="585" t="e">
        <v>#N/A</v>
      </c>
      <c r="AC36" s="576" t="e">
        <v>#N/A</v>
      </c>
      <c r="AD36" s="576" t="e">
        <v>#N/A</v>
      </c>
      <c r="AE36" s="576" t="e">
        <v>#N/A</v>
      </c>
      <c r="AF36" s="576" t="e">
        <v>#N/A</v>
      </c>
      <c r="AG36" s="576" t="e">
        <f t="shared" si="36"/>
        <v>#N/A</v>
      </c>
      <c r="AH36" s="576" t="str">
        <f t="shared" si="37"/>
        <v/>
      </c>
      <c r="AI36" s="577" t="e">
        <f>IF(NOT(OR(Z36=1,Z36=2)),IF(AQ36&gt;0,$AR$45*AQ36/SUMIF($AQ$9:$AQ$40,"&gt;0"),IF(AU36&gt;0,$AV$45*AU36/SUMIF($AU$9:$AU$40,"&gt;0"),IF(AS36&gt;0,$AT$45*AS36/SUMIF($AS$9:$AS$40,"&gt;0"),""))),IF(SUMIF(AJ37:$AJ$40,"=" &amp; AJ36,AI37:$AI$40)=0,"",SUMIF(AJ37:$AJ$40,"=" &amp; AJ36,AI37:$AI$40)))</f>
        <v>#N/A</v>
      </c>
      <c r="AJ36" s="578" t="e">
        <f t="shared" si="35"/>
        <v>#N/A</v>
      </c>
      <c r="AK36" s="576" t="str">
        <f t="shared" si="5"/>
        <v/>
      </c>
      <c r="AL36" s="585" t="str">
        <f t="shared" si="6"/>
        <v/>
      </c>
      <c r="AM36" s="585" t="str">
        <f t="shared" si="7"/>
        <v/>
      </c>
      <c r="AN36" s="585" t="str">
        <f t="shared" si="8"/>
        <v/>
      </c>
      <c r="AO36" s="585" t="e">
        <f t="shared" si="9"/>
        <v>#N/A</v>
      </c>
      <c r="AP36" s="576" t="str">
        <f t="shared" si="10"/>
        <v/>
      </c>
      <c r="AQ36" s="579">
        <f t="shared" si="11"/>
        <v>0</v>
      </c>
      <c r="AR36" s="580" t="str">
        <f t="shared" si="12"/>
        <v/>
      </c>
      <c r="AS36" s="581">
        <f t="shared" si="13"/>
        <v>0</v>
      </c>
      <c r="AT36" s="580" t="str">
        <f t="shared" si="14"/>
        <v/>
      </c>
      <c r="AU36" s="582">
        <f t="shared" si="15"/>
        <v>0</v>
      </c>
      <c r="AV36" s="583" t="str">
        <f t="shared" si="16"/>
        <v/>
      </c>
      <c r="AW36" s="582" t="b">
        <f t="shared" si="17"/>
        <v>0</v>
      </c>
      <c r="AX36" s="584" t="b">
        <f t="shared" si="18"/>
        <v>0</v>
      </c>
      <c r="AY36" s="582" t="b">
        <f t="shared" si="19"/>
        <v>0</v>
      </c>
      <c r="AZ36" s="584" t="b">
        <f t="shared" si="20"/>
        <v>0</v>
      </c>
      <c r="BA36" s="576" t="b">
        <f t="shared" si="21"/>
        <v>0</v>
      </c>
      <c r="BB36" s="576" t="b">
        <f t="shared" si="22"/>
        <v>0</v>
      </c>
      <c r="BC36" s="582" t="b">
        <f t="shared" si="23"/>
        <v>0</v>
      </c>
      <c r="BD36" s="585" t="b">
        <f t="shared" si="24"/>
        <v>0</v>
      </c>
      <c r="BE36" s="584" t="b">
        <f t="shared" si="25"/>
        <v>0</v>
      </c>
      <c r="BF36" s="586" t="b">
        <f t="shared" si="26"/>
        <v>0</v>
      </c>
      <c r="BG36" s="534" t="str">
        <f t="shared" si="27"/>
        <v>NA</v>
      </c>
      <c r="BH36" s="534" t="str">
        <f t="shared" si="28"/>
        <v/>
      </c>
      <c r="BI36" s="534" t="str">
        <f t="shared" si="29"/>
        <v/>
      </c>
      <c r="BJ36" s="534" t="str">
        <f t="shared" si="30"/>
        <v/>
      </c>
      <c r="BK36" s="534" t="str">
        <f t="shared" si="31"/>
        <v/>
      </c>
      <c r="BL36" s="587" t="str">
        <f t="shared" si="32"/>
        <v/>
      </c>
      <c r="BM36" s="534" t="str">
        <f t="shared" si="33"/>
        <v/>
      </c>
      <c r="BN36" s="534" t="str">
        <f t="shared" si="34"/>
        <v/>
      </c>
      <c r="BO36" s="1205"/>
      <c r="BP36" s="1206"/>
      <c r="BQ36" s="1206"/>
      <c r="BR36" s="1206"/>
      <c r="BS36" s="1206"/>
      <c r="BT36" s="1206"/>
      <c r="BU36" s="1207"/>
    </row>
    <row r="37" spans="2:76 1271:1271" s="536" customFormat="1" ht="12.95" customHeight="1" x14ac:dyDescent="0.25">
      <c r="B37" s="590" t="str">
        <f>IF(ISNA(Z37),"",IF(OR(Z37=1,Z37=2),"    ",MAX($B$9:B36)+1))</f>
        <v/>
      </c>
      <c r="C37" s="1195" t="str">
        <f t="shared" si="0"/>
        <v/>
      </c>
      <c r="D37" s="1195"/>
      <c r="E37" s="1195"/>
      <c r="F37" s="1196"/>
      <c r="G37" s="571" t="str">
        <f t="shared" si="1"/>
        <v/>
      </c>
      <c r="H37" s="572" t="str">
        <f t="shared" si="2"/>
        <v/>
      </c>
      <c r="I37" s="591" t="str">
        <f t="shared" si="2"/>
        <v/>
      </c>
      <c r="J37" s="594"/>
      <c r="K37" s="593"/>
      <c r="L37" s="1075"/>
      <c r="M37" s="1076"/>
      <c r="N37" s="1076"/>
      <c r="O37" s="1076"/>
      <c r="P37" s="1076"/>
      <c r="Q37" s="1076"/>
      <c r="R37" s="1077"/>
      <c r="T37" s="530">
        <v>29</v>
      </c>
      <c r="U37" s="518" t="e">
        <v>#N/A</v>
      </c>
      <c r="V37" s="576" t="e">
        <v>#N/A</v>
      </c>
      <c r="W37" s="576" t="e">
        <v>#N/A</v>
      </c>
      <c r="X37" s="576" t="e">
        <v>#N/A</v>
      </c>
      <c r="Y37" s="576" t="e">
        <v>#N/A</v>
      </c>
      <c r="Z37" s="585" t="e">
        <v>#N/A</v>
      </c>
      <c r="AA37" s="585" t="e">
        <v>#N/A</v>
      </c>
      <c r="AB37" s="585" t="e">
        <v>#N/A</v>
      </c>
      <c r="AC37" s="576" t="e">
        <v>#N/A</v>
      </c>
      <c r="AD37" s="576" t="e">
        <v>#N/A</v>
      </c>
      <c r="AE37" s="576" t="e">
        <v>#N/A</v>
      </c>
      <c r="AF37" s="576" t="e">
        <v>#N/A</v>
      </c>
      <c r="AG37" s="576" t="e">
        <f t="shared" si="36"/>
        <v>#N/A</v>
      </c>
      <c r="AH37" s="576" t="str">
        <f t="shared" si="37"/>
        <v/>
      </c>
      <c r="AI37" s="577" t="e">
        <f>IF(NOT(OR(Z37=1,Z37=2)),IF(AQ37&gt;0,$AR$45*AQ37/SUMIF($AQ$9:$AQ$40,"&gt;0"),IF(AU37&gt;0,$AV$45*AU37/SUMIF($AU$9:$AU$40,"&gt;0"),IF(AS37&gt;0,$AT$45*AS37/SUMIF($AS$9:$AS$40,"&gt;0"),""))),IF(SUMIF(AJ38:$AJ$40,"=" &amp; AJ37,AI38:$AI$40)=0,"",SUMIF(AJ38:$AJ$40,"=" &amp; AJ37,AI38:$AI$40)))</f>
        <v>#N/A</v>
      </c>
      <c r="AJ37" s="578" t="e">
        <f t="shared" si="35"/>
        <v>#N/A</v>
      </c>
      <c r="AK37" s="576" t="str">
        <f t="shared" si="5"/>
        <v/>
      </c>
      <c r="AL37" s="585" t="str">
        <f t="shared" si="6"/>
        <v/>
      </c>
      <c r="AM37" s="585" t="str">
        <f t="shared" si="7"/>
        <v/>
      </c>
      <c r="AN37" s="585" t="str">
        <f t="shared" si="8"/>
        <v/>
      </c>
      <c r="AO37" s="585" t="e">
        <f t="shared" si="9"/>
        <v>#N/A</v>
      </c>
      <c r="AP37" s="576" t="str">
        <f t="shared" si="10"/>
        <v/>
      </c>
      <c r="AQ37" s="579">
        <f t="shared" si="11"/>
        <v>0</v>
      </c>
      <c r="AR37" s="580" t="str">
        <f t="shared" si="12"/>
        <v/>
      </c>
      <c r="AS37" s="581">
        <f t="shared" si="13"/>
        <v>0</v>
      </c>
      <c r="AT37" s="580" t="str">
        <f t="shared" si="14"/>
        <v/>
      </c>
      <c r="AU37" s="582">
        <f t="shared" si="15"/>
        <v>0</v>
      </c>
      <c r="AV37" s="583" t="str">
        <f t="shared" si="16"/>
        <v/>
      </c>
      <c r="AW37" s="582" t="b">
        <f t="shared" si="17"/>
        <v>0</v>
      </c>
      <c r="AX37" s="584" t="b">
        <f t="shared" si="18"/>
        <v>0</v>
      </c>
      <c r="AY37" s="582" t="b">
        <f t="shared" si="19"/>
        <v>0</v>
      </c>
      <c r="AZ37" s="584" t="b">
        <f t="shared" si="20"/>
        <v>0</v>
      </c>
      <c r="BA37" s="576" t="b">
        <f t="shared" si="21"/>
        <v>0</v>
      </c>
      <c r="BB37" s="576" t="b">
        <f t="shared" si="22"/>
        <v>0</v>
      </c>
      <c r="BC37" s="582" t="b">
        <f t="shared" si="23"/>
        <v>0</v>
      </c>
      <c r="BD37" s="585" t="b">
        <f t="shared" si="24"/>
        <v>0</v>
      </c>
      <c r="BE37" s="584" t="b">
        <f t="shared" si="25"/>
        <v>0</v>
      </c>
      <c r="BF37" s="586" t="b">
        <f t="shared" si="26"/>
        <v>0</v>
      </c>
      <c r="BG37" s="534" t="str">
        <f t="shared" si="27"/>
        <v>NA</v>
      </c>
      <c r="BH37" s="534" t="str">
        <f t="shared" si="28"/>
        <v/>
      </c>
      <c r="BI37" s="534" t="str">
        <f t="shared" si="29"/>
        <v/>
      </c>
      <c r="BJ37" s="534" t="str">
        <f t="shared" si="30"/>
        <v/>
      </c>
      <c r="BK37" s="534" t="str">
        <f t="shared" si="31"/>
        <v/>
      </c>
      <c r="BL37" s="587" t="str">
        <f t="shared" si="32"/>
        <v/>
      </c>
      <c r="BM37" s="534" t="str">
        <f t="shared" si="33"/>
        <v/>
      </c>
      <c r="BN37" s="534" t="str">
        <f t="shared" si="34"/>
        <v/>
      </c>
      <c r="BO37" s="1205"/>
      <c r="BP37" s="1206"/>
      <c r="BQ37" s="1206"/>
      <c r="BR37" s="1206"/>
      <c r="BS37" s="1206"/>
      <c r="BT37" s="1206"/>
      <c r="BU37" s="1207"/>
      <c r="BW37" s="535" t="s">
        <v>593</v>
      </c>
    </row>
    <row r="38" spans="2:76 1271:1271" s="536" customFormat="1" ht="12.95" customHeight="1" x14ac:dyDescent="0.25">
      <c r="B38" s="590" t="str">
        <f>IF(ISNA(Z38),"",IF(OR(Z38=1,Z38=2),"    ",MAX($B$9:B37)+1))</f>
        <v/>
      </c>
      <c r="C38" s="1195" t="str">
        <f t="shared" si="0"/>
        <v/>
      </c>
      <c r="D38" s="1195"/>
      <c r="E38" s="1195"/>
      <c r="F38" s="1196"/>
      <c r="G38" s="571" t="str">
        <f t="shared" si="1"/>
        <v/>
      </c>
      <c r="H38" s="572" t="str">
        <f t="shared" si="2"/>
        <v/>
      </c>
      <c r="I38" s="591" t="str">
        <f t="shared" si="2"/>
        <v/>
      </c>
      <c r="J38" s="594"/>
      <c r="K38" s="593"/>
      <c r="L38" s="1075"/>
      <c r="M38" s="1076"/>
      <c r="N38" s="1076"/>
      <c r="O38" s="1076"/>
      <c r="P38" s="1076"/>
      <c r="Q38" s="1076"/>
      <c r="R38" s="1077"/>
      <c r="T38" s="530">
        <v>30</v>
      </c>
      <c r="U38" s="518" t="e">
        <v>#N/A</v>
      </c>
      <c r="V38" s="576" t="e">
        <v>#N/A</v>
      </c>
      <c r="W38" s="576" t="e">
        <v>#N/A</v>
      </c>
      <c r="X38" s="576" t="e">
        <v>#N/A</v>
      </c>
      <c r="Y38" s="576" t="e">
        <v>#N/A</v>
      </c>
      <c r="Z38" s="585" t="e">
        <v>#N/A</v>
      </c>
      <c r="AA38" s="585" t="e">
        <v>#N/A</v>
      </c>
      <c r="AB38" s="585" t="e">
        <v>#N/A</v>
      </c>
      <c r="AC38" s="576" t="e">
        <v>#N/A</v>
      </c>
      <c r="AD38" s="576" t="e">
        <v>#N/A</v>
      </c>
      <c r="AE38" s="576" t="e">
        <v>#N/A</v>
      </c>
      <c r="AF38" s="576" t="e">
        <v>#N/A</v>
      </c>
      <c r="AG38" s="576" t="e">
        <f t="shared" si="36"/>
        <v>#N/A</v>
      </c>
      <c r="AH38" s="576" t="str">
        <f t="shared" si="37"/>
        <v/>
      </c>
      <c r="AI38" s="577" t="e">
        <f>IF(NOT(OR(Z38=1,Z38=2)),IF(AQ38&gt;0,$AR$45*AQ38/SUMIF($AQ$9:$AQ$40,"&gt;0"),IF(AU38&gt;0,$AV$45*AU38/SUMIF($AU$9:$AU$40,"&gt;0"),IF(AS38&gt;0,$AT$45*AS38/SUMIF($AS$9:$AS$40,"&gt;0"),""))),IF(SUMIF(AJ39:$AJ$40,"=" &amp; AJ38,AI39:$AI$40)=0,"",SUMIF(AJ39:$AJ$40,"=" &amp; AJ38,AI39:$AI$40)))</f>
        <v>#N/A</v>
      </c>
      <c r="AJ38" s="578" t="e">
        <f t="shared" si="35"/>
        <v>#N/A</v>
      </c>
      <c r="AK38" s="576" t="str">
        <f t="shared" si="5"/>
        <v/>
      </c>
      <c r="AL38" s="585" t="str">
        <f t="shared" si="6"/>
        <v/>
      </c>
      <c r="AM38" s="585" t="str">
        <f t="shared" si="7"/>
        <v/>
      </c>
      <c r="AN38" s="585" t="str">
        <f t="shared" si="8"/>
        <v/>
      </c>
      <c r="AO38" s="585" t="e">
        <f t="shared" si="9"/>
        <v>#N/A</v>
      </c>
      <c r="AP38" s="576" t="str">
        <f t="shared" si="10"/>
        <v/>
      </c>
      <c r="AQ38" s="579">
        <f t="shared" si="11"/>
        <v>0</v>
      </c>
      <c r="AR38" s="580" t="str">
        <f t="shared" si="12"/>
        <v/>
      </c>
      <c r="AS38" s="581">
        <f t="shared" si="13"/>
        <v>0</v>
      </c>
      <c r="AT38" s="580" t="str">
        <f t="shared" si="14"/>
        <v/>
      </c>
      <c r="AU38" s="582">
        <f t="shared" si="15"/>
        <v>0</v>
      </c>
      <c r="AV38" s="583" t="str">
        <f t="shared" si="16"/>
        <v/>
      </c>
      <c r="AW38" s="582" t="b">
        <f t="shared" si="17"/>
        <v>0</v>
      </c>
      <c r="AX38" s="584" t="b">
        <f t="shared" si="18"/>
        <v>0</v>
      </c>
      <c r="AY38" s="582" t="b">
        <f t="shared" si="19"/>
        <v>0</v>
      </c>
      <c r="AZ38" s="584" t="b">
        <f t="shared" si="20"/>
        <v>0</v>
      </c>
      <c r="BA38" s="576" t="b">
        <f t="shared" si="21"/>
        <v>0</v>
      </c>
      <c r="BB38" s="576" t="b">
        <f t="shared" si="22"/>
        <v>0</v>
      </c>
      <c r="BC38" s="582" t="b">
        <f t="shared" si="23"/>
        <v>0</v>
      </c>
      <c r="BD38" s="585" t="b">
        <f t="shared" si="24"/>
        <v>0</v>
      </c>
      <c r="BE38" s="584" t="b">
        <f t="shared" si="25"/>
        <v>0</v>
      </c>
      <c r="BF38" s="586" t="b">
        <f t="shared" si="26"/>
        <v>0</v>
      </c>
      <c r="BG38" s="534" t="str">
        <f t="shared" si="27"/>
        <v>NA</v>
      </c>
      <c r="BH38" s="534" t="str">
        <f t="shared" si="28"/>
        <v/>
      </c>
      <c r="BI38" s="534" t="str">
        <f t="shared" si="29"/>
        <v/>
      </c>
      <c r="BJ38" s="534" t="str">
        <f t="shared" si="30"/>
        <v/>
      </c>
      <c r="BK38" s="534" t="str">
        <f t="shared" si="31"/>
        <v/>
      </c>
      <c r="BL38" s="587" t="str">
        <f t="shared" si="32"/>
        <v/>
      </c>
      <c r="BM38" s="534" t="str">
        <f t="shared" si="33"/>
        <v/>
      </c>
      <c r="BN38" s="534" t="str">
        <f t="shared" si="34"/>
        <v/>
      </c>
      <c r="BO38" s="1208"/>
      <c r="BP38" s="1209"/>
      <c r="BQ38" s="1209"/>
      <c r="BR38" s="1209"/>
      <c r="BS38" s="1209"/>
      <c r="BT38" s="1209"/>
      <c r="BU38" s="1210"/>
      <c r="BW38" s="537" t="s">
        <v>214</v>
      </c>
      <c r="BX38" s="538" t="s">
        <v>215</v>
      </c>
    </row>
    <row r="39" spans="2:76 1271:1271" s="536" customFormat="1" ht="12.95" customHeight="1" x14ac:dyDescent="0.25">
      <c r="B39" s="590" t="str">
        <f>IF(ISNA(Z39),"",IF(OR(Z39=1,Z39=2),"    ",MAX($B$9:B38)+1))</f>
        <v/>
      </c>
      <c r="C39" s="1195" t="str">
        <f t="shared" si="0"/>
        <v/>
      </c>
      <c r="D39" s="1195"/>
      <c r="E39" s="1195"/>
      <c r="F39" s="1196"/>
      <c r="G39" s="571" t="str">
        <f t="shared" si="1"/>
        <v/>
      </c>
      <c r="H39" s="572" t="str">
        <f t="shared" si="2"/>
        <v/>
      </c>
      <c r="I39" s="591" t="str">
        <f t="shared" si="2"/>
        <v/>
      </c>
      <c r="J39" s="594"/>
      <c r="K39" s="593"/>
      <c r="L39" s="1075"/>
      <c r="M39" s="1076"/>
      <c r="N39" s="1076"/>
      <c r="O39" s="1076"/>
      <c r="P39" s="1076"/>
      <c r="Q39" s="1076"/>
      <c r="R39" s="1077"/>
      <c r="T39" s="530">
        <v>31</v>
      </c>
      <c r="U39" s="518" t="e">
        <v>#N/A</v>
      </c>
      <c r="V39" s="576" t="e">
        <v>#N/A</v>
      </c>
      <c r="W39" s="576" t="e">
        <v>#N/A</v>
      </c>
      <c r="X39" s="576" t="e">
        <v>#N/A</v>
      </c>
      <c r="Y39" s="576" t="e">
        <v>#N/A</v>
      </c>
      <c r="Z39" s="585" t="e">
        <v>#N/A</v>
      </c>
      <c r="AA39" s="585" t="e">
        <v>#N/A</v>
      </c>
      <c r="AB39" s="585" t="e">
        <v>#N/A</v>
      </c>
      <c r="AC39" s="576" t="e">
        <v>#N/A</v>
      </c>
      <c r="AD39" s="576" t="e">
        <v>#N/A</v>
      </c>
      <c r="AE39" s="576" t="e">
        <v>#N/A</v>
      </c>
      <c r="AF39" s="576" t="e">
        <v>#N/A</v>
      </c>
      <c r="AG39" s="576" t="e">
        <f t="shared" si="36"/>
        <v>#N/A</v>
      </c>
      <c r="AH39" s="576" t="str">
        <f t="shared" si="37"/>
        <v/>
      </c>
      <c r="AI39" s="577" t="e">
        <f>IF(NOT(OR(Z39=1,Z39=2)),IF(AQ39&gt;0,$AR$45*AQ39/SUMIF($AQ$9:$AQ$40,"&gt;0"),IF(AU39&gt;0,$AV$45*AU39/SUMIF($AU$9:$AU$40,"&gt;0"),IF(AS39&gt;0,$AT$45*AS39/SUMIF($AS$9:$AS$40,"&gt;0"),""))),IF(SUMIF(AJ40:$AJ$40,"=" &amp; AJ39,AI40:$AI$40)=0,"",SUMIF(AJ40:$AJ$40,"=" &amp; AJ39,AI40:$AI$40)))</f>
        <v>#N/A</v>
      </c>
      <c r="AJ39" s="578" t="e">
        <f t="shared" si="35"/>
        <v>#N/A</v>
      </c>
      <c r="AK39" s="576" t="str">
        <f t="shared" si="5"/>
        <v/>
      </c>
      <c r="AL39" s="585" t="str">
        <f t="shared" si="6"/>
        <v/>
      </c>
      <c r="AM39" s="585" t="str">
        <f t="shared" si="7"/>
        <v/>
      </c>
      <c r="AN39" s="585" t="str">
        <f t="shared" si="8"/>
        <v/>
      </c>
      <c r="AO39" s="585" t="e">
        <f t="shared" si="9"/>
        <v>#N/A</v>
      </c>
      <c r="AP39" s="576" t="str">
        <f t="shared" si="10"/>
        <v/>
      </c>
      <c r="AQ39" s="579">
        <f t="shared" si="11"/>
        <v>0</v>
      </c>
      <c r="AR39" s="580" t="str">
        <f t="shared" si="12"/>
        <v/>
      </c>
      <c r="AS39" s="581">
        <f t="shared" si="13"/>
        <v>0</v>
      </c>
      <c r="AT39" s="580" t="str">
        <f t="shared" si="14"/>
        <v/>
      </c>
      <c r="AU39" s="582">
        <f t="shared" si="15"/>
        <v>0</v>
      </c>
      <c r="AV39" s="583" t="str">
        <f t="shared" si="16"/>
        <v/>
      </c>
      <c r="AW39" s="582" t="b">
        <f t="shared" si="17"/>
        <v>0</v>
      </c>
      <c r="AX39" s="584" t="b">
        <f t="shared" si="18"/>
        <v>0</v>
      </c>
      <c r="AY39" s="582" t="b">
        <f t="shared" si="19"/>
        <v>0</v>
      </c>
      <c r="AZ39" s="584" t="b">
        <f t="shared" si="20"/>
        <v>0</v>
      </c>
      <c r="BA39" s="576" t="b">
        <f t="shared" si="21"/>
        <v>0</v>
      </c>
      <c r="BB39" s="576" t="b">
        <f t="shared" si="22"/>
        <v>0</v>
      </c>
      <c r="BC39" s="582" t="b">
        <f t="shared" si="23"/>
        <v>0</v>
      </c>
      <c r="BD39" s="585" t="b">
        <f t="shared" si="24"/>
        <v>0</v>
      </c>
      <c r="BE39" s="584" t="b">
        <f t="shared" si="25"/>
        <v>0</v>
      </c>
      <c r="BF39" s="586" t="b">
        <f t="shared" si="26"/>
        <v>0</v>
      </c>
      <c r="BG39" s="534" t="str">
        <f t="shared" si="27"/>
        <v>NA</v>
      </c>
      <c r="BH39" s="534" t="str">
        <f t="shared" si="28"/>
        <v/>
      </c>
      <c r="BI39" s="534" t="str">
        <f t="shared" si="29"/>
        <v/>
      </c>
      <c r="BJ39" s="534" t="str">
        <f t="shared" si="30"/>
        <v/>
      </c>
      <c r="BK39" s="534" t="str">
        <f t="shared" si="31"/>
        <v/>
      </c>
      <c r="BL39" s="587" t="str">
        <f t="shared" si="32"/>
        <v/>
      </c>
      <c r="BM39" s="534" t="str">
        <f t="shared" si="33"/>
        <v/>
      </c>
      <c r="BN39" s="534" t="str">
        <f t="shared" si="34"/>
        <v/>
      </c>
      <c r="BO39" s="588" t="s">
        <v>241</v>
      </c>
      <c r="BP39" s="588"/>
      <c r="BQ39" s="588"/>
      <c r="BR39" s="588"/>
      <c r="BS39" s="588"/>
      <c r="BT39" s="588"/>
      <c r="BU39" s="588"/>
      <c r="BW39" s="537">
        <v>0</v>
      </c>
      <c r="BX39" s="538" t="s">
        <v>216</v>
      </c>
    </row>
    <row r="40" spans="2:76 1271:1271" s="536" customFormat="1" ht="12.95" customHeight="1" thickBot="1" x14ac:dyDescent="0.3">
      <c r="B40" s="590" t="str">
        <f>IF(ISNA(Z40),"",IF(OR(Z40=1,Z40=2),"    ",MAX($B$9:B39)+1))</f>
        <v/>
      </c>
      <c r="C40" s="1195" t="str">
        <f t="shared" si="0"/>
        <v/>
      </c>
      <c r="D40" s="1195"/>
      <c r="E40" s="1195"/>
      <c r="F40" s="1196"/>
      <c r="G40" s="607" t="str">
        <f t="shared" si="1"/>
        <v/>
      </c>
      <c r="H40" s="572" t="str">
        <f t="shared" si="2"/>
        <v/>
      </c>
      <c r="I40" s="608" t="str">
        <f t="shared" si="2"/>
        <v/>
      </c>
      <c r="J40" s="609"/>
      <c r="K40" s="610"/>
      <c r="L40" s="1078"/>
      <c r="M40" s="1079"/>
      <c r="N40" s="1079"/>
      <c r="O40" s="1079"/>
      <c r="P40" s="1079"/>
      <c r="Q40" s="1079"/>
      <c r="R40" s="1080"/>
      <c r="T40" s="530">
        <v>32</v>
      </c>
      <c r="U40" s="518" t="e">
        <v>#N/A</v>
      </c>
      <c r="V40" s="576" t="e">
        <v>#N/A</v>
      </c>
      <c r="W40" s="576" t="e">
        <v>#N/A</v>
      </c>
      <c r="X40" s="576" t="e">
        <v>#N/A</v>
      </c>
      <c r="Y40" s="576" t="e">
        <v>#N/A</v>
      </c>
      <c r="Z40" s="585" t="e">
        <v>#N/A</v>
      </c>
      <c r="AA40" s="585" t="e">
        <v>#N/A</v>
      </c>
      <c r="AB40" s="585" t="e">
        <v>#N/A</v>
      </c>
      <c r="AC40" s="576" t="e">
        <v>#N/A</v>
      </c>
      <c r="AD40" s="576" t="e">
        <v>#N/A</v>
      </c>
      <c r="AE40" s="576" t="e">
        <v>#N/A</v>
      </c>
      <c r="AF40" s="576" t="e">
        <v>#N/A</v>
      </c>
      <c r="AG40" s="576" t="e">
        <f t="shared" si="36"/>
        <v>#N/A</v>
      </c>
      <c r="AH40" s="576" t="str">
        <f t="shared" si="37"/>
        <v/>
      </c>
      <c r="AI40" s="577" t="e">
        <f>IF(NOT(OR(Z40=1,Z40=2)),IF(AQ40&gt;0,$AR$45*AQ40/SUMIF($AQ$9:$AQ$40,"&gt;0"),IF(AU40&gt;0,$AV$45*AU40/SUMIF($AU$9:$AU$40,"&gt;0"),IF(AS40&gt;0,$AT$45*AS40/SUMIF($AS$9:$AS$40,"&gt;0"),""))),IF(SUMIF(AJ$40:$AJ41,"=" &amp; AJ40,AI$40:$AI41)=0,"",SUMIF(AJ$40:$AJ41,"=" &amp; AJ40,AI$40:$AI41)))</f>
        <v>#N/A</v>
      </c>
      <c r="AJ40" s="578" t="e">
        <f t="shared" si="35"/>
        <v>#N/A</v>
      </c>
      <c r="AK40" s="576" t="str">
        <f t="shared" si="5"/>
        <v/>
      </c>
      <c r="AL40" s="585" t="str">
        <f t="shared" si="6"/>
        <v/>
      </c>
      <c r="AM40" s="585" t="str">
        <f t="shared" si="7"/>
        <v/>
      </c>
      <c r="AN40" s="585" t="str">
        <f t="shared" si="8"/>
        <v/>
      </c>
      <c r="AO40" s="585" t="e">
        <f t="shared" si="9"/>
        <v>#N/A</v>
      </c>
      <c r="AP40" s="576" t="str">
        <f t="shared" si="10"/>
        <v/>
      </c>
      <c r="AQ40" s="579">
        <f t="shared" si="11"/>
        <v>0</v>
      </c>
      <c r="AR40" s="580" t="str">
        <f t="shared" si="12"/>
        <v/>
      </c>
      <c r="AS40" s="581">
        <f t="shared" si="13"/>
        <v>0</v>
      </c>
      <c r="AT40" s="580" t="str">
        <f t="shared" si="14"/>
        <v/>
      </c>
      <c r="AU40" s="582">
        <f t="shared" si="15"/>
        <v>0</v>
      </c>
      <c r="AV40" s="583" t="str">
        <f t="shared" si="16"/>
        <v/>
      </c>
      <c r="AW40" s="582" t="b">
        <f t="shared" si="17"/>
        <v>0</v>
      </c>
      <c r="AX40" s="584" t="b">
        <f t="shared" si="18"/>
        <v>0</v>
      </c>
      <c r="AY40" s="582" t="b">
        <f t="shared" si="19"/>
        <v>0</v>
      </c>
      <c r="AZ40" s="584" t="b">
        <f t="shared" si="20"/>
        <v>0</v>
      </c>
      <c r="BA40" s="576" t="b">
        <f t="shared" si="21"/>
        <v>0</v>
      </c>
      <c r="BB40" s="576" t="b">
        <f t="shared" si="22"/>
        <v>0</v>
      </c>
      <c r="BC40" s="582" t="b">
        <f t="shared" si="23"/>
        <v>0</v>
      </c>
      <c r="BD40" s="585" t="b">
        <f t="shared" si="24"/>
        <v>0</v>
      </c>
      <c r="BE40" s="584" t="b">
        <f t="shared" si="25"/>
        <v>0</v>
      </c>
      <c r="BF40" s="586" t="b">
        <f t="shared" si="26"/>
        <v>0</v>
      </c>
      <c r="BG40" s="534" t="str">
        <f t="shared" si="27"/>
        <v>NA</v>
      </c>
      <c r="BH40" s="534" t="str">
        <f t="shared" si="28"/>
        <v/>
      </c>
      <c r="BI40" s="534" t="str">
        <f t="shared" si="29"/>
        <v/>
      </c>
      <c r="BJ40" s="534" t="str">
        <f t="shared" si="30"/>
        <v/>
      </c>
      <c r="BK40" s="534" t="str">
        <f t="shared" si="31"/>
        <v/>
      </c>
      <c r="BL40" s="534" t="str">
        <f t="shared" si="32"/>
        <v/>
      </c>
      <c r="BM40" s="534" t="str">
        <f t="shared" si="33"/>
        <v/>
      </c>
      <c r="BN40" s="534" t="str">
        <f t="shared" si="34"/>
        <v/>
      </c>
      <c r="BO40" s="1202" t="str">
        <f>IF(U46,"","N/A")</f>
        <v/>
      </c>
      <c r="BP40" s="1203"/>
      <c r="BQ40" s="1203"/>
      <c r="BR40" s="1203"/>
      <c r="BS40" s="1203"/>
      <c r="BT40" s="1203"/>
      <c r="BU40" s="1204"/>
      <c r="BW40" s="537">
        <v>1</v>
      </c>
      <c r="BX40" s="588" t="s">
        <v>594</v>
      </c>
    </row>
    <row r="41" spans="2:76 1271:1271" s="522" customFormat="1" ht="12" customHeight="1" x14ac:dyDescent="0.25">
      <c r="B41" s="1211" t="s">
        <v>242</v>
      </c>
      <c r="C41" s="1212"/>
      <c r="D41" s="1213"/>
      <c r="E41" s="611" t="s">
        <v>243</v>
      </c>
      <c r="F41" s="1214" t="s">
        <v>244</v>
      </c>
      <c r="G41" s="1215"/>
      <c r="H41" s="1215" t="s">
        <v>245</v>
      </c>
      <c r="I41" s="1215"/>
      <c r="J41" s="1216" t="s">
        <v>246</v>
      </c>
      <c r="K41" s="1217"/>
      <c r="L41" s="612" t="s">
        <v>247</v>
      </c>
      <c r="M41" s="1218" t="s">
        <v>248</v>
      </c>
      <c r="N41" s="1218"/>
      <c r="O41" s="1219" t="str">
        <f>IF(U45,"DO REVIEW","DO REV N/A")</f>
        <v>DO REV N/A</v>
      </c>
      <c r="P41" s="1220"/>
      <c r="Q41" s="613" t="str">
        <f>IF(U46,"ED REVIEW","ED REV N/A")</f>
        <v>ED REVIEW</v>
      </c>
      <c r="R41" s="614"/>
      <c r="S41" s="615">
        <v>0</v>
      </c>
      <c r="AI41" s="616"/>
      <c r="AJ41" s="523"/>
      <c r="AK41" s="523"/>
      <c r="AL41" s="523"/>
      <c r="AM41" s="523"/>
      <c r="AN41" s="523"/>
      <c r="AO41" s="520"/>
      <c r="AP41" s="523"/>
      <c r="AQ41" s="617"/>
      <c r="AR41" s="523"/>
      <c r="AS41" s="617"/>
      <c r="AT41" s="523"/>
      <c r="AU41" s="617"/>
      <c r="AV41" s="618"/>
      <c r="AW41" s="523"/>
      <c r="AX41" s="523"/>
      <c r="AY41" s="523"/>
      <c r="AZ41" s="523"/>
      <c r="BA41" s="523"/>
      <c r="BB41" s="523"/>
      <c r="BC41" s="523"/>
      <c r="BD41" s="523"/>
      <c r="BE41" s="523"/>
      <c r="BF41" s="523"/>
      <c r="BG41" s="523"/>
      <c r="BH41" s="520"/>
      <c r="BI41" s="520"/>
      <c r="BJ41" s="520"/>
      <c r="BK41" s="520"/>
      <c r="BL41" s="520"/>
      <c r="BM41" s="520"/>
      <c r="BN41" s="520"/>
      <c r="BO41" s="1205"/>
      <c r="BP41" s="1206"/>
      <c r="BQ41" s="1206"/>
      <c r="BR41" s="1206"/>
      <c r="BS41" s="1206"/>
      <c r="BT41" s="1206"/>
      <c r="BU41" s="1207"/>
      <c r="BW41" s="537">
        <v>2</v>
      </c>
      <c r="BX41" s="588" t="s">
        <v>595</v>
      </c>
    </row>
    <row r="42" spans="2:76 1271:1271" ht="18.75" customHeight="1" thickBot="1" x14ac:dyDescent="0.3">
      <c r="B42" s="1221" t="str">
        <f>IF(ISERROR(AR47),"",TEXT(AR46,"0.0%"))</f>
        <v>94.2%</v>
      </c>
      <c r="C42" s="1222"/>
      <c r="D42" s="1223"/>
      <c r="E42" s="619" t="str">
        <f>IF(AU42=0,"N/A",CONCATENATE(TEXT(AV46,"0.0%")," of ",TEXT(AV45,"0.0%")))</f>
        <v>N/A</v>
      </c>
      <c r="F42" s="1225" t="str">
        <f>IF((graded_aca_events+graded_amn_events)&lt;1,"---",IF(AND(AW5,AX5),"INCOMPLETE",IF(AND(NOT(AW5),AX5),"ACA INC",IF(AND(AW5,NOT(AX5)),"AMN INC","COMPLETE"))))</f>
        <v>ACA INC</v>
      </c>
      <c r="G42" s="1225"/>
      <c r="H42" s="1225" t="str">
        <f>IF(AU5,IF(OR(AY5="UNK",NOT(AN7)),"---",IF(AY5,"UNSAT",IF(AVERAGEIFS(AT9:AT40,AS9:AS40,"&gt;0")&lt;0.9,"MARG","SAT"))),"N/A")</f>
        <v>---</v>
      </c>
      <c r="I42" s="1225"/>
      <c r="J42" s="1226" t="str">
        <f>IF(OR(AZ5="UNK",NOT(AM7)),"---",IF(OR(AZ5,AR46&lt;0.7),"FAIL","PASS"))</f>
        <v>PASS</v>
      </c>
      <c r="K42" s="1227"/>
      <c r="L42" s="620"/>
      <c r="M42" s="1228"/>
      <c r="N42" s="1228"/>
      <c r="O42" s="1229" t="str">
        <f>IF(U45,"","N/A")</f>
        <v>N/A</v>
      </c>
      <c r="P42" s="1229"/>
      <c r="Q42" s="1229" t="str">
        <f>IF(U46,"","N/A")</f>
        <v/>
      </c>
      <c r="R42" s="1230"/>
      <c r="S42" s="621"/>
      <c r="T42" s="530" t="s">
        <v>249</v>
      </c>
      <c r="U42" s="585" t="s">
        <v>250</v>
      </c>
      <c r="V42" s="622"/>
      <c r="W42" s="622"/>
      <c r="X42" s="622"/>
      <c r="Y42" s="622"/>
      <c r="Z42" s="622"/>
      <c r="AA42" s="622"/>
      <c r="AB42" s="622"/>
      <c r="AC42" s="622"/>
      <c r="AD42" s="622"/>
      <c r="AE42" s="622"/>
      <c r="AF42" s="622"/>
      <c r="AG42" s="622"/>
      <c r="AH42" s="622"/>
      <c r="AI42" s="515"/>
      <c r="AJ42" s="514"/>
      <c r="AK42" s="622"/>
      <c r="AL42" s="622"/>
      <c r="AM42" s="622">
        <f>SUM(AM9:AM40)</f>
        <v>6</v>
      </c>
      <c r="AN42" s="622">
        <f>SUM(AN9:AN40)</f>
        <v>0</v>
      </c>
      <c r="AO42" s="530"/>
      <c r="AP42" s="514"/>
      <c r="AQ42" s="623">
        <f>SUMIF(AQ9:AQ40,"&gt;0")</f>
        <v>6</v>
      </c>
      <c r="AR42" s="624">
        <f>IF(AQ42=0,0,SUMPRODUCT($AQ$9:$AQ$40,AR9:AR40)/SUM($AQ$9:$AQ$40))</f>
        <v>0.94166666666666676</v>
      </c>
      <c r="AS42" s="625">
        <f>SUMIF(AS9:AS40,"&gt;0")</f>
        <v>0</v>
      </c>
      <c r="AT42" s="624">
        <f>IF(AS42=0,0,SUMPRODUCT($AS$9:$AS$40,AT9:AT40)/SUM($AS$9:$AS$40))</f>
        <v>0</v>
      </c>
      <c r="AU42" s="625">
        <f>SUM(AU10:AU40)</f>
        <v>0</v>
      </c>
      <c r="AV42" s="624">
        <f>IF(AU42=0,0,SUMPRODUCT($AU$9:$AU$40,AV9:AV40)/SUM($AU$9:$AU$40))</f>
        <v>0</v>
      </c>
      <c r="AW42" s="626"/>
      <c r="AX42" s="626"/>
      <c r="AY42" s="626"/>
      <c r="AZ42" s="626"/>
      <c r="BA42" s="626"/>
      <c r="BB42" s="626"/>
      <c r="BC42" s="518" t="s">
        <v>251</v>
      </c>
      <c r="BD42" s="518" t="s">
        <v>252</v>
      </c>
      <c r="BE42" s="518" t="s">
        <v>253</v>
      </c>
      <c r="BF42" s="518"/>
      <c r="BG42" s="520"/>
      <c r="BO42" s="1205"/>
      <c r="BP42" s="1206"/>
      <c r="BQ42" s="1206"/>
      <c r="BR42" s="1206"/>
      <c r="BS42" s="1206"/>
      <c r="BT42" s="1206"/>
      <c r="BU42" s="1207"/>
      <c r="BW42" s="537">
        <v>3</v>
      </c>
      <c r="BX42" s="588" t="s">
        <v>560</v>
      </c>
      <c r="AVW42" s="627"/>
    </row>
    <row r="43" spans="2:76 1271:1271" ht="12" customHeight="1" thickTop="1" x14ac:dyDescent="0.25">
      <c r="L43" s="1224" t="s">
        <v>555</v>
      </c>
      <c r="M43" s="1224"/>
      <c r="N43" s="1224"/>
      <c r="O43" s="1224"/>
      <c r="P43" s="1224"/>
      <c r="Q43" s="1224"/>
      <c r="R43" s="1224"/>
      <c r="AP43" s="622"/>
      <c r="AQ43" s="514"/>
      <c r="AR43" s="514"/>
      <c r="AT43" s="624"/>
      <c r="AU43" s="624"/>
      <c r="AV43" s="624"/>
      <c r="AW43" s="514"/>
      <c r="AX43" s="624"/>
      <c r="BE43" s="518"/>
      <c r="BF43" s="518"/>
      <c r="BO43" s="1208"/>
      <c r="BP43" s="1209"/>
      <c r="BQ43" s="1209"/>
      <c r="BR43" s="1209"/>
      <c r="BS43" s="1209"/>
      <c r="BT43" s="1209"/>
      <c r="BU43" s="1210"/>
      <c r="BW43" s="537">
        <v>4</v>
      </c>
      <c r="BX43" s="588" t="s">
        <v>565</v>
      </c>
    </row>
    <row r="44" spans="2:76 1271:1271" ht="30.75" customHeight="1" x14ac:dyDescent="0.25">
      <c r="T44" s="628" t="s">
        <v>254</v>
      </c>
      <c r="U44" s="585" t="b">
        <v>0</v>
      </c>
      <c r="AI44" s="519" t="e">
        <f ca="1">SUMIF(AJ9:$AJ$40,"=" &amp; AJ9,AI10:$AI$40)</f>
        <v>#N/A</v>
      </c>
      <c r="AK44" s="520"/>
      <c r="AL44" s="520"/>
      <c r="AM44" s="520"/>
      <c r="AN44" s="520"/>
      <c r="AO44" s="629"/>
      <c r="AQ44" s="520"/>
      <c r="AR44" s="520"/>
      <c r="AS44" s="554" t="s">
        <v>255</v>
      </c>
      <c r="AT44" s="630">
        <f>SUMIF(X9:X40,"&gt;0")/SUMIF(W9:W40,"&gt;0")</f>
        <v>0</v>
      </c>
      <c r="AU44" s="554" t="s">
        <v>256</v>
      </c>
      <c r="AV44" s="631">
        <f>SUMIF(AU9:AU40,"&gt;0")/SUMIF(AQ9:AQ40,"&gt;0")</f>
        <v>0</v>
      </c>
      <c r="AW44" s="632"/>
      <c r="AY44" s="520"/>
      <c r="AZ44" s="520"/>
      <c r="BE44" s="518" t="b">
        <f>AND(ISBLANK($K31),J31&gt;0)</f>
        <v>0</v>
      </c>
      <c r="BF44" s="518"/>
      <c r="BH44" s="518"/>
      <c r="BO44" s="520"/>
      <c r="BP44" s="520"/>
      <c r="BQ44" s="521"/>
    </row>
    <row r="45" spans="2:76 1271:1271" ht="30.75" customHeight="1" x14ac:dyDescent="0.25">
      <c r="J45" s="633"/>
      <c r="T45" s="634" t="s">
        <v>257</v>
      </c>
      <c r="U45" s="518" t="b">
        <f>IF(AND(Flight?,OR(AW5,AY5,BA5,AZ5,AR46&lt;0.7,H42="MARG")),TRUE,FALSE)</f>
        <v>0</v>
      </c>
      <c r="AK45" s="520"/>
      <c r="AL45" s="520"/>
      <c r="AM45" s="520"/>
      <c r="AN45" s="520"/>
      <c r="AO45" s="635"/>
      <c r="AP45" s="520"/>
      <c r="AQ45" s="554" t="s">
        <v>258</v>
      </c>
      <c r="AR45" s="636">
        <f>1-AT45</f>
        <v>1</v>
      </c>
      <c r="AS45" s="554" t="s">
        <v>259</v>
      </c>
      <c r="AT45" s="630">
        <f>MIN(AT44,AT7)</f>
        <v>0</v>
      </c>
      <c r="AU45" s="554" t="s">
        <v>260</v>
      </c>
      <c r="AV45" s="637">
        <f>MIN(AV44,AV7)</f>
        <v>0</v>
      </c>
      <c r="AZ45" s="520"/>
      <c r="BE45" s="518"/>
      <c r="BF45" s="518"/>
      <c r="BH45" s="518"/>
      <c r="BO45" s="520"/>
      <c r="BP45" s="520"/>
      <c r="BQ45" s="521"/>
    </row>
    <row r="46" spans="2:76 1271:1271" ht="26.25" x14ac:dyDescent="0.25">
      <c r="T46" s="634" t="s">
        <v>261</v>
      </c>
      <c r="U46" s="518" t="b">
        <f>IF(OR(AX5,AY5,AZ5,BB5,AR46&lt;0.7),TRUE,FALSE)</f>
        <v>1</v>
      </c>
      <c r="AK46" s="520"/>
      <c r="AL46" s="520"/>
      <c r="AM46" s="520"/>
      <c r="AN46" s="520"/>
      <c r="AO46" s="638"/>
      <c r="AP46" s="520"/>
      <c r="AQ46" s="554" t="s">
        <v>262</v>
      </c>
      <c r="AR46" s="519">
        <f>AR42*(1-AT45)+(AT42*AT45)</f>
        <v>0.94166666666666676</v>
      </c>
      <c r="AU46" s="520" t="s">
        <v>196</v>
      </c>
      <c r="AV46" s="637">
        <f>AV42*AV45</f>
        <v>0</v>
      </c>
      <c r="AY46" s="520"/>
      <c r="AZ46" s="520"/>
      <c r="BE46" s="518"/>
      <c r="BF46" s="518"/>
      <c r="BH46" s="518"/>
      <c r="BO46" s="520"/>
      <c r="BP46" s="520"/>
      <c r="BQ46" s="521"/>
    </row>
    <row r="47" spans="2:76 1271:1271" ht="26.25" x14ac:dyDescent="0.25">
      <c r="T47" s="634" t="s">
        <v>263</v>
      </c>
      <c r="U47" s="518" t="b">
        <v>0</v>
      </c>
      <c r="AK47" s="520"/>
      <c r="AL47" s="520"/>
      <c r="AM47" s="520"/>
      <c r="AN47" s="520"/>
      <c r="AO47" s="638"/>
      <c r="AP47" s="520"/>
      <c r="AQ47" s="554" t="s">
        <v>264</v>
      </c>
      <c r="AR47" s="637">
        <f>MIN(1,IF(NOT(OR(AY5,AZ5)),AR46+AV46,MIN(0.69,AR46+AV46)))</f>
        <v>0.94166666666666676</v>
      </c>
      <c r="AY47" s="520"/>
      <c r="BE47" s="518"/>
      <c r="BF47" s="518"/>
      <c r="BI47" s="518"/>
      <c r="BO47" s="520"/>
      <c r="BP47" s="520"/>
      <c r="BQ47" s="521"/>
    </row>
    <row r="48" spans="2:76 1271:1271" x14ac:dyDescent="0.25">
      <c r="T48" s="634" t="s">
        <v>265</v>
      </c>
      <c r="U48" s="518" t="b">
        <f>IF(NOT(Flight?),TRUE,NOT(OR(ISBLANK(comments),ISBLANK(hdr_class),ISBLANK(hdr_date),ISBLANK(hdr_stud),ISBLANK(hdr_instr),ISBLANK(hdr_acft),ISBLANK(hdr_time),F42="---")))</f>
        <v>0</v>
      </c>
      <c r="AK48" s="520"/>
      <c r="AL48" s="520"/>
      <c r="AM48" s="520"/>
      <c r="AN48" s="520"/>
      <c r="AO48" s="638"/>
      <c r="AP48" s="520"/>
      <c r="AQ48" s="520"/>
      <c r="AR48" s="639"/>
      <c r="AS48" s="637"/>
      <c r="AU48" s="520"/>
      <c r="AV48" s="520"/>
      <c r="AW48" s="520"/>
    </row>
    <row r="49" spans="20:56" x14ac:dyDescent="0.25">
      <c r="T49" s="634" t="s">
        <v>266</v>
      </c>
      <c r="U49" s="518" t="b">
        <f>IF(Flight?,TRUE,NOT(OR(ISBLANK(comments),ISBLANK(hdr_class),ISBLANK(hdr_date),ISBLANK(hdr_stud),ISBLANK(hdr_instr),F42="---")))</f>
        <v>1</v>
      </c>
      <c r="AK49" s="520"/>
      <c r="AL49" s="520"/>
      <c r="AM49" s="520"/>
      <c r="AN49" s="520"/>
      <c r="AO49" s="635"/>
      <c r="AP49" s="514" t="s">
        <v>267</v>
      </c>
      <c r="AQ49" s="514"/>
      <c r="AR49" s="514"/>
      <c r="AS49" s="514"/>
      <c r="AT49" s="514"/>
      <c r="AU49" s="520"/>
      <c r="AV49" s="520"/>
      <c r="AW49" s="520"/>
    </row>
    <row r="50" spans="20:56" x14ac:dyDescent="0.25">
      <c r="T50" s="634" t="s">
        <v>268</v>
      </c>
      <c r="U50" s="518" t="b">
        <f>AND(U48:U49)</f>
        <v>0</v>
      </c>
      <c r="AK50" s="520"/>
      <c r="AL50" s="520"/>
      <c r="AM50" s="520"/>
      <c r="AN50" s="520"/>
      <c r="AO50" s="635"/>
      <c r="AP50" s="514"/>
      <c r="AQ50" s="514"/>
      <c r="AR50" s="514">
        <v>0</v>
      </c>
      <c r="AS50" s="514">
        <v>1</v>
      </c>
      <c r="AT50" s="514">
        <v>2</v>
      </c>
      <c r="AU50" s="514">
        <v>3</v>
      </c>
      <c r="AV50" s="514">
        <v>4</v>
      </c>
      <c r="AW50" s="520"/>
    </row>
    <row r="51" spans="20:56" x14ac:dyDescent="0.25">
      <c r="AK51" s="520"/>
      <c r="AL51" s="520"/>
      <c r="AM51" s="520"/>
      <c r="AN51" s="520"/>
      <c r="AO51" s="635"/>
      <c r="AP51" s="514" t="s">
        <v>227</v>
      </c>
      <c r="AQ51" s="514">
        <v>1</v>
      </c>
      <c r="AR51" s="640">
        <v>0.7</v>
      </c>
      <c r="AS51" s="640">
        <v>0.9</v>
      </c>
      <c r="AT51" s="640">
        <v>0.93330000000000002</v>
      </c>
      <c r="AU51" s="640">
        <v>0.9667</v>
      </c>
      <c r="AV51" s="640">
        <v>1</v>
      </c>
      <c r="AW51" s="520"/>
    </row>
    <row r="52" spans="20:56" x14ac:dyDescent="0.25">
      <c r="AK52" s="520"/>
      <c r="AL52" s="520"/>
      <c r="AM52" s="520"/>
      <c r="AN52" s="520"/>
      <c r="AO52" s="635"/>
      <c r="AP52" s="514" t="s">
        <v>228</v>
      </c>
      <c r="AQ52" s="514">
        <v>2</v>
      </c>
      <c r="AR52" s="640">
        <v>0.7</v>
      </c>
      <c r="AS52" s="640">
        <v>0.8</v>
      </c>
      <c r="AT52" s="640">
        <v>0.9</v>
      </c>
      <c r="AU52" s="640">
        <v>0.95</v>
      </c>
      <c r="AV52" s="640">
        <v>1</v>
      </c>
      <c r="AW52" s="520"/>
    </row>
    <row r="53" spans="20:56" x14ac:dyDescent="0.25">
      <c r="AK53" s="520"/>
      <c r="AL53" s="520"/>
      <c r="AM53" s="520"/>
      <c r="AN53" s="520"/>
      <c r="AO53" s="635"/>
      <c r="AP53" s="514" t="s">
        <v>229</v>
      </c>
      <c r="AQ53" s="514">
        <v>3</v>
      </c>
      <c r="AR53" s="640">
        <v>0.7</v>
      </c>
      <c r="AS53" s="640">
        <v>0.76670000000000005</v>
      </c>
      <c r="AT53" s="640">
        <v>0.83330000000000004</v>
      </c>
      <c r="AU53" s="640">
        <v>0.9</v>
      </c>
      <c r="AV53" s="640">
        <v>1</v>
      </c>
      <c r="AW53" s="520"/>
    </row>
    <row r="54" spans="20:56" x14ac:dyDescent="0.25">
      <c r="AP54" s="641" t="s">
        <v>230</v>
      </c>
      <c r="AQ54" s="514">
        <v>11</v>
      </c>
      <c r="AR54" s="640">
        <v>0.6</v>
      </c>
      <c r="AS54" s="640">
        <v>0.9</v>
      </c>
      <c r="AT54" s="640">
        <v>0.93330000000000002</v>
      </c>
      <c r="AU54" s="640">
        <v>0.9667</v>
      </c>
      <c r="AV54" s="640">
        <v>1</v>
      </c>
      <c r="AW54" s="520"/>
    </row>
    <row r="55" spans="20:56" x14ac:dyDescent="0.25">
      <c r="AP55" s="641" t="s">
        <v>231</v>
      </c>
      <c r="AQ55" s="514">
        <v>12</v>
      </c>
      <c r="AR55" s="640">
        <v>0.6</v>
      </c>
      <c r="AS55" s="640">
        <v>0.7</v>
      </c>
      <c r="AT55" s="640">
        <v>0.9</v>
      </c>
      <c r="AU55" s="640">
        <v>0.95</v>
      </c>
      <c r="AV55" s="640">
        <v>1</v>
      </c>
      <c r="AW55" s="520"/>
    </row>
    <row r="56" spans="20:56" x14ac:dyDescent="0.25">
      <c r="AP56" s="641" t="s">
        <v>232</v>
      </c>
      <c r="AQ56" s="514">
        <v>13</v>
      </c>
      <c r="AR56" s="640">
        <v>0.6</v>
      </c>
      <c r="AS56" s="640">
        <v>0.7</v>
      </c>
      <c r="AT56" s="640">
        <v>0.8</v>
      </c>
      <c r="AU56" s="640">
        <v>0.9</v>
      </c>
      <c r="AV56" s="640">
        <v>1</v>
      </c>
      <c r="AW56" s="520"/>
    </row>
    <row r="57" spans="20:56" x14ac:dyDescent="0.25">
      <c r="AP57" s="641" t="s">
        <v>233</v>
      </c>
      <c r="AQ57" s="514">
        <v>22</v>
      </c>
      <c r="AR57" s="640">
        <v>0.3</v>
      </c>
      <c r="AS57" s="640">
        <v>0.6</v>
      </c>
      <c r="AT57" s="640">
        <v>0.9</v>
      </c>
      <c r="AU57" s="640">
        <v>0.95</v>
      </c>
      <c r="AV57" s="640">
        <v>1</v>
      </c>
      <c r="AW57" s="520"/>
    </row>
    <row r="58" spans="20:56" x14ac:dyDescent="0.25">
      <c r="AP58" s="641" t="s">
        <v>234</v>
      </c>
      <c r="AQ58" s="514">
        <v>23</v>
      </c>
      <c r="AR58" s="640">
        <v>0.3</v>
      </c>
      <c r="AS58" s="640">
        <v>0.6</v>
      </c>
      <c r="AT58" s="640">
        <v>0.7</v>
      </c>
      <c r="AU58" s="640">
        <v>0.9</v>
      </c>
      <c r="AV58" s="640">
        <v>1</v>
      </c>
      <c r="AW58" s="520"/>
    </row>
    <row r="59" spans="20:56" x14ac:dyDescent="0.25">
      <c r="AP59" s="641" t="s">
        <v>235</v>
      </c>
      <c r="AQ59" s="514">
        <v>33</v>
      </c>
      <c r="AR59" s="640">
        <v>0</v>
      </c>
      <c r="AS59" s="640">
        <v>0.3</v>
      </c>
      <c r="AT59" s="640">
        <v>0.6</v>
      </c>
      <c r="AU59" s="640">
        <v>0.9</v>
      </c>
      <c r="AV59" s="640">
        <v>1</v>
      </c>
      <c r="AW59" s="83"/>
      <c r="AX59" s="84"/>
      <c r="BC59" s="84"/>
      <c r="BD59" s="84"/>
    </row>
    <row r="60" spans="20:56" x14ac:dyDescent="0.25">
      <c r="AP60" s="520"/>
      <c r="AQ60" s="520"/>
      <c r="AR60" s="520"/>
      <c r="AS60" s="520"/>
      <c r="AT60" s="520"/>
      <c r="AU60" s="520"/>
      <c r="AV60" s="520"/>
      <c r="AW60" s="84"/>
      <c r="AX60" s="84"/>
      <c r="BC60" s="84"/>
      <c r="BD60" s="84"/>
    </row>
    <row r="61" spans="20:56" x14ac:dyDescent="0.25">
      <c r="AP61" s="84"/>
      <c r="AQ61" s="83"/>
      <c r="AR61" s="84"/>
      <c r="AS61" s="84"/>
      <c r="AT61" s="84"/>
      <c r="AU61" s="84"/>
      <c r="AV61" s="84"/>
      <c r="AW61" s="83"/>
      <c r="AX61" s="83"/>
      <c r="BC61" s="84"/>
      <c r="BD61" s="84"/>
    </row>
    <row r="62" spans="20:56" x14ac:dyDescent="0.25">
      <c r="AP62" s="101"/>
      <c r="AQ62" s="83"/>
      <c r="AR62" s="84"/>
      <c r="AS62" s="84"/>
      <c r="AT62" s="84"/>
      <c r="AU62" s="84"/>
      <c r="AV62" s="84"/>
      <c r="AW62" s="83"/>
      <c r="AX62" s="83"/>
      <c r="BC62" s="84"/>
      <c r="BD62" s="84"/>
    </row>
    <row r="63" spans="20:56" x14ac:dyDescent="0.25">
      <c r="AP63" s="83"/>
      <c r="AQ63" s="83"/>
      <c r="AR63" s="84"/>
      <c r="AS63" s="84"/>
      <c r="AT63" s="84"/>
      <c r="AU63" s="84"/>
      <c r="AV63" s="84"/>
      <c r="AW63" s="83"/>
      <c r="AX63" s="83"/>
      <c r="BC63" s="84"/>
      <c r="BD63" s="84"/>
    </row>
    <row r="64" spans="20:56" x14ac:dyDescent="0.25">
      <c r="AP64" s="83"/>
      <c r="AQ64" s="83"/>
      <c r="AR64" s="84"/>
      <c r="AS64" s="84"/>
      <c r="AT64" s="84"/>
      <c r="AU64" s="84"/>
      <c r="AV64" s="84"/>
      <c r="AW64" s="83"/>
      <c r="AX64" s="84"/>
      <c r="BC64" s="84"/>
      <c r="BD64" s="84"/>
    </row>
    <row r="65" spans="42:56" x14ac:dyDescent="0.25">
      <c r="AP65" s="83"/>
      <c r="AQ65" s="83"/>
      <c r="AR65" s="84"/>
      <c r="AS65" s="84"/>
      <c r="AT65" s="84"/>
      <c r="AU65" s="84"/>
      <c r="AV65" s="84"/>
      <c r="AW65" s="83"/>
      <c r="AX65" s="84"/>
      <c r="BC65" s="84"/>
      <c r="BD65" s="84"/>
    </row>
    <row r="66" spans="42:56" x14ac:dyDescent="0.25">
      <c r="AP66" s="83"/>
      <c r="AQ66" s="83"/>
      <c r="AR66" s="84"/>
      <c r="AS66" s="84"/>
      <c r="AT66" s="84"/>
      <c r="AU66" s="84"/>
      <c r="AV66" s="84"/>
    </row>
    <row r="67" spans="42:56" x14ac:dyDescent="0.25">
      <c r="AP67" s="83"/>
      <c r="AQ67" s="83"/>
      <c r="AR67" s="84"/>
      <c r="AS67" s="84"/>
      <c r="AT67" s="84"/>
      <c r="AU67" s="84"/>
      <c r="AV67" s="84"/>
    </row>
  </sheetData>
  <sheetProtection algorithmName="SHA-512" hashValue="1uuq13rjmknop7tz0iLysNKRTdo3R/jRiM4UJ1BWSCpEwr+aOdrEivwiF8nL7u2p6vDdvvThifdyxZVypq9nLw==" saltValue="x/EEagwC7KaMtqXJbXSIMA==" spinCount="100000" sheet="1" objects="1" scenarios="1"/>
  <mergeCells count="83">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25:F25"/>
    <mergeCell ref="C26:F26"/>
    <mergeCell ref="C27:F27"/>
    <mergeCell ref="C28:F28"/>
    <mergeCell ref="C29:F29"/>
    <mergeCell ref="C30:F30"/>
    <mergeCell ref="C31:F31"/>
    <mergeCell ref="C32:F32"/>
    <mergeCell ref="C33:F33"/>
    <mergeCell ref="C34:F34"/>
    <mergeCell ref="C35:F35"/>
    <mergeCell ref="CE19:CE20"/>
    <mergeCell ref="CF19:CO20"/>
    <mergeCell ref="C20:F20"/>
    <mergeCell ref="BQ20:BU20"/>
    <mergeCell ref="C21:F21"/>
    <mergeCell ref="CE21:CE22"/>
    <mergeCell ref="CF21:CO22"/>
    <mergeCell ref="C22:F22"/>
    <mergeCell ref="BO22:BO30"/>
    <mergeCell ref="C23:F23"/>
    <mergeCell ref="CE15:CE16"/>
    <mergeCell ref="CF15:CO16"/>
    <mergeCell ref="C16:F16"/>
    <mergeCell ref="C17:F17"/>
    <mergeCell ref="CE17:CE18"/>
    <mergeCell ref="CF17:CO18"/>
    <mergeCell ref="C18:F18"/>
    <mergeCell ref="B8:F8"/>
    <mergeCell ref="L8:R8"/>
    <mergeCell ref="C9:F9"/>
    <mergeCell ref="L9:R40"/>
    <mergeCell ref="C10:F10"/>
    <mergeCell ref="C11:F11"/>
    <mergeCell ref="C12:F12"/>
    <mergeCell ref="C13:F13"/>
    <mergeCell ref="C14:F14"/>
    <mergeCell ref="C15:F15"/>
    <mergeCell ref="C19:F19"/>
    <mergeCell ref="C24:F24"/>
    <mergeCell ref="C39:F39"/>
    <mergeCell ref="C40:F40"/>
    <mergeCell ref="BH5:BK7"/>
    <mergeCell ref="BL5:BN7"/>
    <mergeCell ref="B6:E6"/>
    <mergeCell ref="F6:G6"/>
    <mergeCell ref="H6:L6"/>
    <mergeCell ref="M6:N6"/>
    <mergeCell ref="O6:P6"/>
    <mergeCell ref="Q6:R6"/>
    <mergeCell ref="B7:E7"/>
    <mergeCell ref="F7:G7"/>
    <mergeCell ref="H7:L7"/>
    <mergeCell ref="M7:N7"/>
    <mergeCell ref="O7:P7"/>
    <mergeCell ref="Q7:R7"/>
    <mergeCell ref="B4:G4"/>
    <mergeCell ref="H4:N4"/>
    <mergeCell ref="O4:P4"/>
    <mergeCell ref="Q4:R4"/>
    <mergeCell ref="B5:G5"/>
    <mergeCell ref="H5:N5"/>
    <mergeCell ref="O5:P5"/>
    <mergeCell ref="Q5:R5"/>
  </mergeCells>
  <conditionalFormatting sqref="B9:F40">
    <cfRule type="expression" dxfId="311" priority="10" stopIfTrue="1">
      <formula>IF($Z9=1,TRUE,FALSE)</formula>
    </cfRule>
    <cfRule type="expression" dxfId="310" priority="11">
      <formula>IF($Z9=2,TRUE,FALSE)</formula>
    </cfRule>
  </conditionalFormatting>
  <conditionalFormatting sqref="C9:F40">
    <cfRule type="expression" dxfId="309" priority="3" stopIfTrue="1">
      <formula>IF($AF9=FALSE,TRUE,FALSE)</formula>
    </cfRule>
  </conditionalFormatting>
  <conditionalFormatting sqref="F6:G7 M6:P7">
    <cfRule type="expression" dxfId="308" priority="6" stopIfTrue="1">
      <formula>NOT($AU$5)</formula>
    </cfRule>
  </conditionalFormatting>
  <conditionalFormatting sqref="F7:G7">
    <cfRule type="cellIs" dxfId="307" priority="5" operator="equal">
      <formula>""</formula>
    </cfRule>
  </conditionalFormatting>
  <conditionalFormatting sqref="G9:K40">
    <cfRule type="expression" dxfId="306" priority="8" stopIfTrue="1">
      <formula>IF($Z9=1,TRUE,FALSE)</formula>
    </cfRule>
    <cfRule type="expression" dxfId="305" priority="9" stopIfTrue="1">
      <formula>IF($Z9=2,TRUE,FALSE)</formula>
    </cfRule>
  </conditionalFormatting>
  <conditionalFormatting sqref="H9:H40">
    <cfRule type="expression" dxfId="304" priority="12" stopIfTrue="1">
      <formula>IF($AB9=0,TRUE,FALSE)</formula>
    </cfRule>
  </conditionalFormatting>
  <conditionalFormatting sqref="H41:I42">
    <cfRule type="expression" dxfId="303" priority="4" stopIfTrue="1">
      <formula>IF($H$42="N/A",TRUE,FALSE)</formula>
    </cfRule>
  </conditionalFormatting>
  <conditionalFormatting sqref="H7:P7 O5:R5 B7">
    <cfRule type="containsBlanks" dxfId="302" priority="7">
      <formula>LEN(TRIM(B5))=0</formula>
    </cfRule>
  </conditionalFormatting>
  <conditionalFormatting sqref="J9:J40">
    <cfRule type="expression" dxfId="301" priority="16">
      <formula>IF($Z9=1,FALSE,OR($BE9,$BD9))</formula>
    </cfRule>
  </conditionalFormatting>
  <conditionalFormatting sqref="J9:K40 C9:F40">
    <cfRule type="expression" dxfId="300" priority="15">
      <formula>IF($Z9=1,FALSE,OR($AW9,$AX9,$AY9,$AZ9))</formula>
    </cfRule>
  </conditionalFormatting>
  <conditionalFormatting sqref="J9:K40">
    <cfRule type="expression" dxfId="299" priority="13" stopIfTrue="1">
      <formula>IF(ISNA($Z9),TRUE,FALSE)</formula>
    </cfRule>
  </conditionalFormatting>
  <conditionalFormatting sqref="K9:K40">
    <cfRule type="expression" dxfId="298" priority="14">
      <formula>IF(OR($Z9=1,$Z9=2),FALSE,OR($BC9,$BE9,$BF9))</formula>
    </cfRule>
  </conditionalFormatting>
  <conditionalFormatting sqref="L9">
    <cfRule type="containsBlanks" dxfId="297" priority="1">
      <formula>LEN(TRIM(L9))=0</formula>
    </cfRule>
  </conditionalFormatting>
  <conditionalFormatting sqref="L42">
    <cfRule type="expression" dxfId="296" priority="2">
      <formula>NOT($U$50)</formula>
    </cfRule>
  </conditionalFormatting>
  <dataValidations count="6">
    <dataValidation type="list" allowBlank="1" showInputMessage="1" showErrorMessage="1" sqref="F7:G7" xr:uid="{39FF68AA-5F30-4690-9E69-1441F5E442BF}">
      <formula1>"No,Yes"</formula1>
    </dataValidation>
    <dataValidation type="list" allowBlank="1" showInputMessage="1" showErrorMessage="1" sqref="J9:J40" xr:uid="{8854F980-5B53-4E5B-952E-E15A7824CFAA}">
      <formula1>"NA,0,1,2,3,4,5,6,7,8,9,10,11,12,13,14,15"</formula1>
    </dataValidation>
    <dataValidation type="list" allowBlank="1" showInputMessage="1" showErrorMessage="1" sqref="K9:K40" xr:uid="{F8B2A13A-E3E8-4AA2-8A14-280FB4D25CF5}">
      <formula1>"D,0,1,2,3,4"</formula1>
    </dataValidation>
    <dataValidation type="custom" showInputMessage="1" showErrorMessage="1" sqref="O42:R42" xr:uid="{BF318FDF-0F8F-4229-B9CC-605BE96F1968}">
      <formula1>IF(OR(O42="N/A",O42="",ISBLANK(O42)),FALSE,TRUE)</formula1>
    </dataValidation>
    <dataValidation type="decimal" allowBlank="1" showInputMessage="1" showErrorMessage="1" sqref="O7:P7" xr:uid="{EDE98D29-79B6-4B25-A47E-DB1255D64815}">
      <formula1>0</formula1>
      <formula2>10</formula2>
    </dataValidation>
    <dataValidation type="date" allowBlank="1" showInputMessage="1" showErrorMessage="1" sqref="Q5:R5" xr:uid="{30AAABEF-A895-42D5-B322-87F16B7CC69E}">
      <formula1>41151</formula1>
      <formula2>77433</formula2>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8DC42-5D52-470E-9158-036D5B387C1B}">
  <sheetPr codeName="Sheet2">
    <tabColor rgb="FF00B0F0"/>
    <pageSetUpPr fitToPage="1"/>
  </sheetPr>
  <dimension ref="B1:R40"/>
  <sheetViews>
    <sheetView topLeftCell="A26" workbookViewId="0">
      <selection activeCell="H36" sqref="H36"/>
    </sheetView>
  </sheetViews>
  <sheetFormatPr defaultRowHeight="15" x14ac:dyDescent="0.25"/>
  <cols>
    <col min="1" max="1" width="1.7109375" style="209" customWidth="1"/>
    <col min="2" max="2" width="25" style="209" customWidth="1"/>
    <col min="3" max="3" width="13.28515625" style="209" customWidth="1"/>
    <col min="4" max="4" width="12.7109375" style="209" customWidth="1"/>
    <col min="5" max="6" width="15.85546875" style="209" customWidth="1"/>
    <col min="7" max="7" width="12.7109375" style="209" customWidth="1"/>
    <col min="8" max="8" width="15.85546875" style="209" customWidth="1"/>
    <col min="9" max="9" width="11.42578125" style="209" bestFit="1" customWidth="1"/>
    <col min="10" max="10" width="10.28515625" style="209" customWidth="1"/>
    <col min="11" max="11" width="10.85546875" style="209" bestFit="1" customWidth="1"/>
    <col min="12" max="12" width="11.42578125" style="209" bestFit="1" customWidth="1"/>
    <col min="13" max="16384" width="9.140625" style="209"/>
  </cols>
  <sheetData>
    <row r="1" spans="2:18" ht="15.75" thickBot="1" x14ac:dyDescent="0.3"/>
    <row r="2" spans="2:18" ht="15.75" thickTop="1" x14ac:dyDescent="0.25">
      <c r="B2" s="1233" t="s">
        <v>141</v>
      </c>
      <c r="C2" s="1234"/>
      <c r="D2" s="1233" t="s">
        <v>315</v>
      </c>
      <c r="E2" s="1235"/>
      <c r="F2" s="1235"/>
      <c r="G2" s="1235"/>
      <c r="H2" s="1234"/>
      <c r="I2" s="210" t="s">
        <v>142</v>
      </c>
      <c r="J2" s="211"/>
      <c r="K2" s="210" t="s">
        <v>143</v>
      </c>
      <c r="L2" s="212"/>
    </row>
    <row r="3" spans="2:18" x14ac:dyDescent="0.25">
      <c r="B3" s="1236" t="s">
        <v>150</v>
      </c>
      <c r="C3" s="1237"/>
      <c r="D3" s="1236" t="s">
        <v>316</v>
      </c>
      <c r="E3" s="1238"/>
      <c r="F3" s="1238"/>
      <c r="G3" s="1238"/>
      <c r="H3" s="1237"/>
      <c r="I3" s="213"/>
      <c r="J3" s="214"/>
      <c r="K3" s="1239"/>
      <c r="L3" s="1240"/>
    </row>
    <row r="4" spans="2:18" x14ac:dyDescent="0.25">
      <c r="B4" s="1256" t="s">
        <v>154</v>
      </c>
      <c r="C4" s="1257"/>
      <c r="D4" s="215" t="s">
        <v>156</v>
      </c>
      <c r="E4" s="216"/>
      <c r="F4" s="217"/>
      <c r="G4" s="1258" t="s">
        <v>157</v>
      </c>
      <c r="H4" s="1259"/>
      <c r="I4" s="215" t="s">
        <v>158</v>
      </c>
      <c r="J4" s="218"/>
      <c r="K4" s="219" t="str">
        <f>IF(AU19=0,"GRADE","GRADE (inc. bonus)")</f>
        <v>GRADE</v>
      </c>
      <c r="L4" s="220"/>
    </row>
    <row r="5" spans="2:18" ht="18.75" x14ac:dyDescent="0.3">
      <c r="B5" s="1231"/>
      <c r="C5" s="1231"/>
      <c r="D5" s="1232"/>
      <c r="E5" s="1232"/>
      <c r="F5" s="1232"/>
      <c r="G5" s="213" t="s">
        <v>317</v>
      </c>
      <c r="H5" s="214"/>
      <c r="I5" s="221"/>
      <c r="J5" s="222"/>
      <c r="K5" s="223">
        <f>IF(H8, (SUM(C10*C$8,D10*D$8,E10*E$8,F10*F$8,G10*G$8)/H$8)/100, 0)</f>
        <v>0.89750000000000019</v>
      </c>
      <c r="L5" s="224"/>
      <c r="M5" s="1241" t="s">
        <v>318</v>
      </c>
      <c r="N5" s="1241"/>
      <c r="O5" s="1241"/>
      <c r="P5" s="1241"/>
      <c r="Q5" s="1241"/>
      <c r="R5" s="1241"/>
    </row>
    <row r="6" spans="2:18" s="230" customFormat="1" ht="15.75" x14ac:dyDescent="0.25">
      <c r="B6" s="225" t="s">
        <v>319</v>
      </c>
      <c r="C6" s="226" t="s">
        <v>320</v>
      </c>
      <c r="D6" s="226" t="s">
        <v>321</v>
      </c>
      <c r="E6" s="227" t="s">
        <v>322</v>
      </c>
      <c r="F6" s="227" t="s">
        <v>323</v>
      </c>
      <c r="G6" s="227" t="s">
        <v>324</v>
      </c>
      <c r="H6" s="228"/>
      <c r="I6" s="228"/>
      <c r="J6" s="228"/>
      <c r="K6" s="228"/>
      <c r="L6" s="229"/>
    </row>
    <row r="7" spans="2:18" s="230" customFormat="1" ht="15.75" x14ac:dyDescent="0.25">
      <c r="B7" s="231" t="s">
        <v>325</v>
      </c>
      <c r="C7" s="232">
        <v>100</v>
      </c>
      <c r="D7" s="232">
        <v>100</v>
      </c>
      <c r="E7" s="232">
        <v>100</v>
      </c>
      <c r="F7" s="232">
        <v>100</v>
      </c>
      <c r="G7" s="232">
        <v>100</v>
      </c>
      <c r="H7" s="228"/>
      <c r="I7" s="228"/>
      <c r="J7" s="228"/>
      <c r="K7" s="228"/>
      <c r="L7" s="229"/>
    </row>
    <row r="8" spans="2:18" ht="15.75" x14ac:dyDescent="0.25">
      <c r="B8" s="231"/>
      <c r="C8" s="233">
        <v>0.2</v>
      </c>
      <c r="D8" s="233">
        <v>0.2</v>
      </c>
      <c r="E8" s="233">
        <v>0.2</v>
      </c>
      <c r="F8" s="233">
        <v>0.2</v>
      </c>
      <c r="G8" s="233">
        <v>0.2</v>
      </c>
      <c r="H8" s="234">
        <f>SUMIF(C10:G10,"&gt;0",C8:G8)</f>
        <v>0.8</v>
      </c>
      <c r="I8" s="235" t="s">
        <v>326</v>
      </c>
      <c r="J8" s="1242" t="s">
        <v>269</v>
      </c>
      <c r="K8" s="1242"/>
      <c r="L8" s="1243"/>
    </row>
    <row r="9" spans="2:18" ht="16.5" thickBot="1" x14ac:dyDescent="0.3">
      <c r="B9" s="236" t="s">
        <v>327</v>
      </c>
      <c r="C9" s="237"/>
      <c r="D9" s="238"/>
      <c r="E9" s="239"/>
      <c r="F9" s="239"/>
      <c r="G9" s="239"/>
      <c r="H9" s="240"/>
      <c r="I9" s="240"/>
      <c r="J9" s="1244"/>
      <c r="K9" s="1245"/>
      <c r="L9" s="1246"/>
    </row>
    <row r="10" spans="2:18" ht="15.75" thickBot="1" x14ac:dyDescent="0.3">
      <c r="B10" s="241">
        <f>IF(H8, (SUM(C10*C$8,D10*D$8,E10*E$8,F10*F$8,G10*G$8)/H$8), 0)</f>
        <v>89.750000000000014</v>
      </c>
      <c r="C10" s="242">
        <f>L16</f>
        <v>80</v>
      </c>
      <c r="D10" s="243">
        <f>L22</f>
        <v>90</v>
      </c>
      <c r="E10" s="243">
        <f>L28</f>
        <v>92</v>
      </c>
      <c r="F10" s="243">
        <f>L34</f>
        <v>97</v>
      </c>
      <c r="G10" s="243">
        <f>L40</f>
        <v>0</v>
      </c>
      <c r="H10" s="240"/>
      <c r="I10" s="240"/>
      <c r="J10" s="1247"/>
      <c r="K10" s="1248"/>
      <c r="L10" s="1249"/>
    </row>
    <row r="11" spans="2:18" x14ac:dyDescent="0.25">
      <c r="B11" s="244"/>
      <c r="C11" s="245"/>
      <c r="D11" s="245"/>
      <c r="E11" s="240"/>
      <c r="F11" s="240"/>
      <c r="G11" s="240"/>
      <c r="H11" s="240"/>
      <c r="I11" s="240"/>
      <c r="J11" s="240"/>
      <c r="K11" s="240"/>
      <c r="L11" s="246"/>
    </row>
    <row r="12" spans="2:18" x14ac:dyDescent="0.25">
      <c r="B12" s="244"/>
      <c r="C12" s="245"/>
      <c r="D12" s="245"/>
      <c r="E12" s="240"/>
      <c r="F12" s="240"/>
      <c r="G12" s="240"/>
      <c r="H12" s="240"/>
      <c r="I12" s="215" t="s">
        <v>158</v>
      </c>
      <c r="J12" s="218"/>
      <c r="K12" s="215" t="s">
        <v>143</v>
      </c>
      <c r="L12" s="247"/>
    </row>
    <row r="13" spans="2:18" ht="18.75" x14ac:dyDescent="0.3">
      <c r="B13" s="1252" t="s">
        <v>328</v>
      </c>
      <c r="C13" s="1253"/>
      <c r="D13" s="1253"/>
      <c r="E13" s="240"/>
      <c r="F13" s="240"/>
      <c r="G13" s="240"/>
      <c r="H13" s="240"/>
      <c r="I13" s="221"/>
      <c r="J13" s="222"/>
      <c r="K13" s="1254"/>
      <c r="L13" s="1255"/>
    </row>
    <row r="14" spans="2:18" ht="42.75" x14ac:dyDescent="0.25">
      <c r="B14" s="248"/>
      <c r="C14" s="249" t="s">
        <v>547</v>
      </c>
      <c r="D14" s="249" t="s">
        <v>548</v>
      </c>
      <c r="E14" s="249" t="s">
        <v>549</v>
      </c>
      <c r="F14" s="249" t="s">
        <v>552</v>
      </c>
      <c r="G14" s="249" t="s">
        <v>550</v>
      </c>
      <c r="H14" s="249" t="s">
        <v>551</v>
      </c>
      <c r="I14" s="249" t="s">
        <v>553</v>
      </c>
      <c r="J14" s="249"/>
      <c r="K14" s="250" t="s">
        <v>329</v>
      </c>
      <c r="L14" s="251"/>
      <c r="O14" s="252"/>
    </row>
    <row r="15" spans="2:18" x14ac:dyDescent="0.25">
      <c r="B15" s="253" t="s">
        <v>330</v>
      </c>
      <c r="C15" s="249">
        <v>5</v>
      </c>
      <c r="D15" s="249">
        <v>15</v>
      </c>
      <c r="E15" s="249">
        <v>25</v>
      </c>
      <c r="F15" s="249">
        <v>25</v>
      </c>
      <c r="G15" s="249">
        <v>10</v>
      </c>
      <c r="H15" s="249">
        <v>10</v>
      </c>
      <c r="I15" s="249">
        <v>10</v>
      </c>
      <c r="J15" s="249"/>
      <c r="K15" s="254">
        <v>100</v>
      </c>
      <c r="L15" s="255" t="s">
        <v>331</v>
      </c>
    </row>
    <row r="16" spans="2:18" x14ac:dyDescent="0.25">
      <c r="B16" s="256" t="s">
        <v>332</v>
      </c>
      <c r="C16" s="257">
        <v>3</v>
      </c>
      <c r="D16" s="257">
        <v>12</v>
      </c>
      <c r="E16" s="257">
        <v>21</v>
      </c>
      <c r="F16" s="257">
        <v>19</v>
      </c>
      <c r="G16" s="257">
        <v>8</v>
      </c>
      <c r="H16" s="257">
        <v>8</v>
      </c>
      <c r="I16" s="257">
        <v>9</v>
      </c>
      <c r="J16" s="257"/>
      <c r="K16" s="258">
        <f>SUM(C16:J16)</f>
        <v>80</v>
      </c>
      <c r="L16" s="259">
        <f>(K16/K$15)*100</f>
        <v>80</v>
      </c>
    </row>
    <row r="17" spans="2:12" x14ac:dyDescent="0.25">
      <c r="B17" s="244"/>
      <c r="C17" s="245"/>
      <c r="D17" s="245"/>
      <c r="E17" s="240"/>
      <c r="F17" s="240"/>
      <c r="G17" s="240"/>
      <c r="H17" s="240"/>
      <c r="I17" s="240"/>
      <c r="J17" s="240"/>
      <c r="K17" s="240"/>
      <c r="L17" s="246"/>
    </row>
    <row r="18" spans="2:12" x14ac:dyDescent="0.25">
      <c r="B18" s="244"/>
      <c r="C18" s="240"/>
      <c r="D18" s="240"/>
      <c r="E18" s="240"/>
      <c r="F18" s="240"/>
      <c r="G18" s="240"/>
      <c r="H18" s="240"/>
      <c r="I18" s="215" t="s">
        <v>158</v>
      </c>
      <c r="J18" s="218"/>
      <c r="K18" s="215" t="s">
        <v>143</v>
      </c>
      <c r="L18" s="247"/>
    </row>
    <row r="19" spans="2:12" ht="18.75" x14ac:dyDescent="0.3">
      <c r="B19" s="1250" t="s">
        <v>333</v>
      </c>
      <c r="C19" s="1251"/>
      <c r="D19" s="1251"/>
      <c r="E19" s="240"/>
      <c r="F19" s="240"/>
      <c r="G19" s="240"/>
      <c r="H19" s="240"/>
      <c r="I19" s="221"/>
      <c r="J19" s="222"/>
      <c r="K19" s="1239"/>
      <c r="L19" s="1240"/>
    </row>
    <row r="20" spans="2:12" ht="42.75" x14ac:dyDescent="0.25">
      <c r="B20" s="248"/>
      <c r="C20" s="249" t="s">
        <v>547</v>
      </c>
      <c r="D20" s="249" t="s">
        <v>548</v>
      </c>
      <c r="E20" s="249" t="s">
        <v>549</v>
      </c>
      <c r="F20" s="249" t="s">
        <v>552</v>
      </c>
      <c r="G20" s="249" t="s">
        <v>550</v>
      </c>
      <c r="H20" s="249" t="s">
        <v>551</v>
      </c>
      <c r="I20" s="249" t="s">
        <v>553</v>
      </c>
      <c r="J20" s="249"/>
      <c r="K20" s="250" t="s">
        <v>329</v>
      </c>
      <c r="L20" s="251"/>
    </row>
    <row r="21" spans="2:12" x14ac:dyDescent="0.25">
      <c r="B21" s="253" t="s">
        <v>330</v>
      </c>
      <c r="C21" s="249">
        <v>5</v>
      </c>
      <c r="D21" s="249">
        <v>15</v>
      </c>
      <c r="E21" s="249">
        <v>25</v>
      </c>
      <c r="F21" s="249">
        <v>25</v>
      </c>
      <c r="G21" s="249">
        <v>10</v>
      </c>
      <c r="H21" s="249">
        <v>10</v>
      </c>
      <c r="I21" s="249">
        <v>10</v>
      </c>
      <c r="J21" s="249"/>
      <c r="K21" s="254">
        <v>100</v>
      </c>
      <c r="L21" s="255" t="s">
        <v>331</v>
      </c>
    </row>
    <row r="22" spans="2:12" x14ac:dyDescent="0.25">
      <c r="B22" s="256" t="s">
        <v>332</v>
      </c>
      <c r="C22" s="257">
        <v>4</v>
      </c>
      <c r="D22" s="257">
        <v>14</v>
      </c>
      <c r="E22" s="257">
        <v>23</v>
      </c>
      <c r="F22" s="257">
        <v>21</v>
      </c>
      <c r="G22" s="257">
        <v>10</v>
      </c>
      <c r="H22" s="257">
        <v>10</v>
      </c>
      <c r="I22" s="257">
        <v>8</v>
      </c>
      <c r="J22" s="249"/>
      <c r="K22" s="258">
        <f>SUM(C22:I22)</f>
        <v>90</v>
      </c>
      <c r="L22" s="259">
        <f>(K22/K$21)*100</f>
        <v>90</v>
      </c>
    </row>
    <row r="23" spans="2:12" x14ac:dyDescent="0.25">
      <c r="B23" s="244"/>
      <c r="C23" s="260"/>
      <c r="D23" s="260"/>
      <c r="E23" s="260"/>
      <c r="F23" s="260"/>
      <c r="G23" s="260"/>
      <c r="H23" s="260"/>
      <c r="I23" s="260"/>
      <c r="J23" s="260"/>
      <c r="K23" s="260"/>
      <c r="L23" s="261"/>
    </row>
    <row r="24" spans="2:12" x14ac:dyDescent="0.25">
      <c r="B24" s="244"/>
      <c r="C24" s="240"/>
      <c r="D24" s="240"/>
      <c r="E24" s="240"/>
      <c r="F24" s="240"/>
      <c r="G24" s="240"/>
      <c r="H24" s="240"/>
      <c r="I24" s="215" t="s">
        <v>158</v>
      </c>
      <c r="J24" s="218"/>
      <c r="K24" s="215" t="s">
        <v>143</v>
      </c>
      <c r="L24" s="247"/>
    </row>
    <row r="25" spans="2:12" ht="18.75" x14ac:dyDescent="0.3">
      <c r="B25" s="1250" t="s">
        <v>334</v>
      </c>
      <c r="C25" s="1251"/>
      <c r="D25" s="1251"/>
      <c r="E25" s="1251"/>
      <c r="F25" s="1251"/>
      <c r="G25" s="240"/>
      <c r="H25" s="240"/>
      <c r="I25" s="221"/>
      <c r="J25" s="222"/>
      <c r="K25" s="1239"/>
      <c r="L25" s="1240"/>
    </row>
    <row r="26" spans="2:12" ht="42.75" x14ac:dyDescent="0.25">
      <c r="B26" s="248"/>
      <c r="C26" s="249" t="s">
        <v>547</v>
      </c>
      <c r="D26" s="249" t="s">
        <v>548</v>
      </c>
      <c r="E26" s="249" t="s">
        <v>549</v>
      </c>
      <c r="F26" s="249" t="s">
        <v>552</v>
      </c>
      <c r="G26" s="249" t="s">
        <v>550</v>
      </c>
      <c r="H26" s="249" t="s">
        <v>551</v>
      </c>
      <c r="I26" s="249" t="s">
        <v>553</v>
      </c>
      <c r="J26" s="249"/>
      <c r="K26" s="250" t="s">
        <v>329</v>
      </c>
      <c r="L26" s="251"/>
    </row>
    <row r="27" spans="2:12" x14ac:dyDescent="0.25">
      <c r="B27" s="253" t="s">
        <v>330</v>
      </c>
      <c r="C27" s="249">
        <v>5</v>
      </c>
      <c r="D27" s="249">
        <v>15</v>
      </c>
      <c r="E27" s="249">
        <v>25</v>
      </c>
      <c r="F27" s="249">
        <v>25</v>
      </c>
      <c r="G27" s="249">
        <v>10</v>
      </c>
      <c r="H27" s="249">
        <v>10</v>
      </c>
      <c r="I27" s="249">
        <v>10</v>
      </c>
      <c r="J27" s="249"/>
      <c r="K27" s="254">
        <v>100</v>
      </c>
      <c r="L27" s="255" t="s">
        <v>331</v>
      </c>
    </row>
    <row r="28" spans="2:12" x14ac:dyDescent="0.25">
      <c r="B28" s="256" t="s">
        <v>332</v>
      </c>
      <c r="C28" s="257">
        <v>4</v>
      </c>
      <c r="D28" s="257">
        <v>14</v>
      </c>
      <c r="E28" s="257">
        <v>25</v>
      </c>
      <c r="F28" s="257">
        <v>21</v>
      </c>
      <c r="G28" s="257">
        <v>9</v>
      </c>
      <c r="H28" s="257">
        <v>9</v>
      </c>
      <c r="I28" s="257">
        <v>10</v>
      </c>
      <c r="J28" s="249"/>
      <c r="K28" s="258">
        <f>SUM(C28:I28)</f>
        <v>92</v>
      </c>
      <c r="L28" s="259">
        <f>(K28/K$21)*100</f>
        <v>92</v>
      </c>
    </row>
    <row r="29" spans="2:12" x14ac:dyDescent="0.25">
      <c r="B29" s="244"/>
      <c r="C29" s="240"/>
      <c r="D29" s="240"/>
      <c r="E29" s="240"/>
      <c r="F29" s="240"/>
      <c r="G29" s="240"/>
      <c r="H29" s="240"/>
      <c r="I29" s="240"/>
      <c r="J29" s="240"/>
      <c r="K29" s="240"/>
      <c r="L29" s="246"/>
    </row>
    <row r="30" spans="2:12" x14ac:dyDescent="0.25">
      <c r="B30" s="244"/>
      <c r="C30" s="262"/>
      <c r="D30" s="262"/>
      <c r="E30" s="262"/>
      <c r="F30" s="262"/>
      <c r="G30" s="262"/>
      <c r="H30" s="262"/>
      <c r="I30" s="215" t="s">
        <v>158</v>
      </c>
      <c r="J30" s="218"/>
      <c r="K30" s="215" t="s">
        <v>143</v>
      </c>
      <c r="L30" s="247"/>
    </row>
    <row r="31" spans="2:12" ht="18.75" x14ac:dyDescent="0.3">
      <c r="B31" s="1250" t="s">
        <v>335</v>
      </c>
      <c r="C31" s="1251"/>
      <c r="D31" s="1251"/>
      <c r="E31" s="1251"/>
      <c r="F31" s="1251"/>
      <c r="G31" s="240"/>
      <c r="H31" s="240"/>
      <c r="I31" s="221"/>
      <c r="J31" s="222"/>
      <c r="K31" s="1239"/>
      <c r="L31" s="1240"/>
    </row>
    <row r="32" spans="2:12" ht="42.75" x14ac:dyDescent="0.25">
      <c r="B32" s="248"/>
      <c r="C32" s="249" t="s">
        <v>547</v>
      </c>
      <c r="D32" s="249" t="s">
        <v>548</v>
      </c>
      <c r="E32" s="249" t="s">
        <v>549</v>
      </c>
      <c r="F32" s="249" t="s">
        <v>552</v>
      </c>
      <c r="G32" s="249" t="s">
        <v>550</v>
      </c>
      <c r="H32" s="249" t="s">
        <v>551</v>
      </c>
      <c r="I32" s="249" t="s">
        <v>553</v>
      </c>
      <c r="J32" s="249"/>
      <c r="K32" s="250" t="s">
        <v>329</v>
      </c>
      <c r="L32" s="251"/>
    </row>
    <row r="33" spans="2:12" x14ac:dyDescent="0.25">
      <c r="B33" s="253" t="s">
        <v>330</v>
      </c>
      <c r="C33" s="249">
        <v>5</v>
      </c>
      <c r="D33" s="249">
        <v>15</v>
      </c>
      <c r="E33" s="249">
        <v>25</v>
      </c>
      <c r="F33" s="249">
        <v>25</v>
      </c>
      <c r="G33" s="249">
        <v>10</v>
      </c>
      <c r="H33" s="249">
        <v>10</v>
      </c>
      <c r="I33" s="249">
        <v>10</v>
      </c>
      <c r="J33" s="249"/>
      <c r="K33" s="254">
        <v>100</v>
      </c>
      <c r="L33" s="255" t="s">
        <v>331</v>
      </c>
    </row>
    <row r="34" spans="2:12" x14ac:dyDescent="0.25">
      <c r="B34" s="256" t="s">
        <v>332</v>
      </c>
      <c r="C34" s="257">
        <v>4</v>
      </c>
      <c r="D34" s="257">
        <v>13</v>
      </c>
      <c r="E34" s="257">
        <v>25</v>
      </c>
      <c r="F34" s="257">
        <v>25</v>
      </c>
      <c r="G34" s="257">
        <v>10</v>
      </c>
      <c r="H34" s="257">
        <v>10</v>
      </c>
      <c r="I34" s="257">
        <v>10</v>
      </c>
      <c r="J34" s="249"/>
      <c r="K34" s="258">
        <f>SUM(C34:I34)</f>
        <v>97</v>
      </c>
      <c r="L34" s="259">
        <f>(K34/K$21)*100</f>
        <v>97</v>
      </c>
    </row>
    <row r="35" spans="2:12" x14ac:dyDescent="0.25">
      <c r="B35" s="244"/>
      <c r="C35" s="240"/>
      <c r="D35" s="240"/>
      <c r="E35" s="240"/>
      <c r="F35" s="240"/>
      <c r="G35" s="240"/>
      <c r="H35" s="240"/>
      <c r="I35" s="240"/>
      <c r="J35" s="240"/>
      <c r="K35" s="240"/>
      <c r="L35" s="246"/>
    </row>
    <row r="36" spans="2:12" x14ac:dyDescent="0.25">
      <c r="B36" s="244"/>
      <c r="C36" s="262"/>
      <c r="D36" s="262"/>
      <c r="E36" s="262"/>
      <c r="F36" s="262"/>
      <c r="G36" s="262"/>
      <c r="H36" s="262"/>
      <c r="I36" s="215" t="s">
        <v>158</v>
      </c>
      <c r="J36" s="218"/>
      <c r="K36" s="215" t="s">
        <v>143</v>
      </c>
      <c r="L36" s="247"/>
    </row>
    <row r="37" spans="2:12" ht="18.75" x14ac:dyDescent="0.3">
      <c r="B37" s="1250" t="s">
        <v>336</v>
      </c>
      <c r="C37" s="1251"/>
      <c r="D37" s="1251"/>
      <c r="E37" s="1251"/>
      <c r="F37" s="1251"/>
      <c r="G37" s="240"/>
      <c r="H37" s="240"/>
      <c r="I37" s="221"/>
      <c r="J37" s="222"/>
      <c r="K37" s="1239"/>
      <c r="L37" s="1240"/>
    </row>
    <row r="38" spans="2:12" ht="42.75" x14ac:dyDescent="0.25">
      <c r="B38" s="248"/>
      <c r="C38" s="249" t="s">
        <v>547</v>
      </c>
      <c r="D38" s="249" t="s">
        <v>548</v>
      </c>
      <c r="E38" s="249" t="s">
        <v>549</v>
      </c>
      <c r="F38" s="249" t="s">
        <v>552</v>
      </c>
      <c r="G38" s="249" t="s">
        <v>550</v>
      </c>
      <c r="H38" s="249" t="s">
        <v>551</v>
      </c>
      <c r="I38" s="249" t="s">
        <v>553</v>
      </c>
      <c r="J38" s="249"/>
      <c r="K38" s="250" t="s">
        <v>329</v>
      </c>
      <c r="L38" s="251"/>
    </row>
    <row r="39" spans="2:12" x14ac:dyDescent="0.25">
      <c r="B39" s="253" t="s">
        <v>330</v>
      </c>
      <c r="C39" s="249">
        <v>5</v>
      </c>
      <c r="D39" s="249">
        <v>15</v>
      </c>
      <c r="E39" s="249">
        <v>25</v>
      </c>
      <c r="F39" s="249">
        <v>25</v>
      </c>
      <c r="G39" s="249">
        <v>10</v>
      </c>
      <c r="H39" s="249">
        <v>10</v>
      </c>
      <c r="I39" s="249">
        <v>10</v>
      </c>
      <c r="J39" s="249"/>
      <c r="K39" s="254">
        <v>100</v>
      </c>
      <c r="L39" s="255" t="s">
        <v>331</v>
      </c>
    </row>
    <row r="40" spans="2:12" x14ac:dyDescent="0.25">
      <c r="B40" s="256" t="s">
        <v>332</v>
      </c>
      <c r="C40" s="257"/>
      <c r="D40" s="257"/>
      <c r="E40" s="257"/>
      <c r="F40" s="257"/>
      <c r="G40" s="257"/>
      <c r="H40" s="257"/>
      <c r="I40" s="257"/>
      <c r="J40" s="249"/>
      <c r="K40" s="258">
        <f>SUM(C40:I40)</f>
        <v>0</v>
      </c>
      <c r="L40" s="259">
        <f>(K40/K$21)*100</f>
        <v>0</v>
      </c>
    </row>
  </sheetData>
  <mergeCells count="22">
    <mergeCell ref="K3:L3"/>
    <mergeCell ref="M5:R5"/>
    <mergeCell ref="J8:L8"/>
    <mergeCell ref="J9:L10"/>
    <mergeCell ref="B37:F37"/>
    <mergeCell ref="K37:L37"/>
    <mergeCell ref="B19:D19"/>
    <mergeCell ref="K19:L19"/>
    <mergeCell ref="B25:F25"/>
    <mergeCell ref="K25:L25"/>
    <mergeCell ref="B31:F31"/>
    <mergeCell ref="K31:L31"/>
    <mergeCell ref="B13:D13"/>
    <mergeCell ref="K13:L13"/>
    <mergeCell ref="B4:C4"/>
    <mergeCell ref="G4:H4"/>
    <mergeCell ref="B5:C5"/>
    <mergeCell ref="D5:F5"/>
    <mergeCell ref="B2:C2"/>
    <mergeCell ref="D2:H2"/>
    <mergeCell ref="B3:C3"/>
    <mergeCell ref="D3:H3"/>
  </mergeCells>
  <conditionalFormatting sqref="I3 K3 I5 G5 D5 B5 I13 K13 K19 I19 I25 K25 K31 I31 I37 K37 C22:I22 C16:J16 J9 C28:I28 C34:I34 C40:I40">
    <cfRule type="containsBlanks" dxfId="295" priority="1">
      <formula>LEN(TRIM(B3))=0</formula>
    </cfRule>
  </conditionalFormatting>
  <dataValidations count="2">
    <dataValidation type="date" allowBlank="1" showInputMessage="1" showErrorMessage="1" sqref="K31 K3 K13 K25 K19 K37" xr:uid="{D07E4223-2417-4ADD-A699-0AF77C09147E}">
      <formula1>41151</formula1>
      <formula2>77433</formula2>
    </dataValidation>
    <dataValidation type="decimal" allowBlank="1" showInputMessage="1" showErrorMessage="1" sqref="I31:J31 I25:J25 I5:J5 I19:J19 I13:J13 I37:J37" xr:uid="{35F465B6-D233-45DD-A6AC-098527733051}">
      <formula1>0</formula1>
      <formula2>10</formula2>
    </dataValidation>
  </dataValidations>
  <hyperlinks>
    <hyperlink ref="M5" location="PF!A1" display="PF phase Summary Page" xr:uid="{49408C6C-D843-402A-AECF-50EED3A1FE7B}"/>
    <hyperlink ref="M5:R5" location="AS!A1" display="AS Summary Page" xr:uid="{53329662-7C27-4B1C-8468-D744D0FA848E}"/>
  </hyperlinks>
  <pageMargins left="0.25" right="0.25" top="0.75" bottom="0.75" header="0.3" footer="0.3"/>
  <pageSetup scale="9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IP_Signature">
              <controlPr defaultSize="0" print="0" autoFill="0" autoPict="0" macro="[0]!IP_signature">
                <anchor moveWithCells="1" sizeWithCells="1">
                  <from>
                    <xdr:col>9</xdr:col>
                    <xdr:colOff>0</xdr:colOff>
                    <xdr:row>8</xdr:row>
                    <xdr:rowOff>0</xdr:rowOff>
                  </from>
                  <to>
                    <xdr:col>12</xdr:col>
                    <xdr:colOff>0</xdr:colOff>
                    <xdr:row>10</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0F1E1-BF61-4CDB-BAF8-FDDFB34A8C88}">
  <sheetPr codeName="Sheet9">
    <tabColor rgb="FF00B0F0"/>
    <pageSetUpPr autoPageBreaks="0"/>
  </sheetPr>
  <dimension ref="A1:AVW67"/>
  <sheetViews>
    <sheetView topLeftCell="A3" workbookViewId="0">
      <selection activeCell="L9" sqref="L9:R40"/>
    </sheetView>
  </sheetViews>
  <sheetFormatPr defaultColWidth="9.140625" defaultRowHeight="15" x14ac:dyDescent="0.25"/>
  <cols>
    <col min="1" max="1" width="1.5703125" style="645" customWidth="1"/>
    <col min="2" max="2" width="3.5703125" style="645" customWidth="1"/>
    <col min="3" max="3" width="5.5703125" style="646" customWidth="1"/>
    <col min="4" max="4" width="9.140625" style="646"/>
    <col min="5" max="5" width="14" style="646" customWidth="1"/>
    <col min="6" max="6" width="7.85546875" style="646" customWidth="1"/>
    <col min="7" max="11" width="5.140625" style="646" customWidth="1"/>
    <col min="12" max="12" width="21.5703125" style="646" customWidth="1"/>
    <col min="13" max="13" width="6.5703125" style="646" customWidth="1"/>
    <col min="14" max="14" width="12.5703125" style="646" customWidth="1"/>
    <col min="15" max="15" width="7.85546875" style="646" customWidth="1"/>
    <col min="16" max="16" width="2.7109375" style="646" customWidth="1"/>
    <col min="17" max="17" width="4.85546875" style="646" customWidth="1"/>
    <col min="18" max="18" width="7.28515625" style="646" customWidth="1"/>
    <col min="19" max="19" width="1.7109375" style="646" customWidth="1"/>
    <col min="20" max="20" width="19.140625" style="647" hidden="1" customWidth="1"/>
    <col min="21" max="21" width="31.140625" style="647" hidden="1" customWidth="1"/>
    <col min="22" max="22" width="5.140625" style="647" hidden="1" customWidth="1"/>
    <col min="23" max="24" width="6.28515625" style="647" hidden="1" customWidth="1"/>
    <col min="25" max="25" width="8.42578125" style="647" hidden="1" customWidth="1"/>
    <col min="26" max="26" width="7.85546875" style="647" hidden="1" customWidth="1"/>
    <col min="27" max="27" width="10.7109375" style="647" hidden="1" customWidth="1"/>
    <col min="28" max="28" width="8" style="647" hidden="1" customWidth="1"/>
    <col min="29" max="31" width="5.140625" style="647" hidden="1" customWidth="1"/>
    <col min="32" max="34" width="5.85546875" style="647" hidden="1" customWidth="1"/>
    <col min="35" max="35" width="8.5703125" style="648" hidden="1" customWidth="1"/>
    <col min="36" max="36" width="7" style="647" hidden="1" customWidth="1"/>
    <col min="37" max="38" width="5.28515625" style="647" hidden="1" customWidth="1"/>
    <col min="39" max="40" width="7" style="647" hidden="1" customWidth="1"/>
    <col min="41" max="41" width="5.140625" style="647" hidden="1" customWidth="1"/>
    <col min="42" max="42" width="11.28515625" style="647" hidden="1" customWidth="1"/>
    <col min="43" max="43" width="6.42578125" style="647" hidden="1" customWidth="1"/>
    <col min="44" max="44" width="8.28515625" style="647" hidden="1" customWidth="1"/>
    <col min="45" max="45" width="8.85546875" style="647" hidden="1" customWidth="1"/>
    <col min="46" max="46" width="10.7109375" style="647" hidden="1" customWidth="1"/>
    <col min="47" max="47" width="8.85546875" style="647" hidden="1" customWidth="1"/>
    <col min="48" max="48" width="6.28515625" style="647" hidden="1" customWidth="1"/>
    <col min="49" max="49" width="10" style="647" hidden="1" customWidth="1"/>
    <col min="50" max="50" width="7.5703125" style="647" hidden="1" customWidth="1"/>
    <col min="51" max="51" width="7" style="647" hidden="1" customWidth="1"/>
    <col min="52" max="52" width="8.140625" style="647" hidden="1" customWidth="1"/>
    <col min="53" max="53" width="12.5703125" style="647" hidden="1" customWidth="1"/>
    <col min="54" max="54" width="7.7109375" style="647" hidden="1" customWidth="1"/>
    <col min="55" max="55" width="12.7109375" style="647" hidden="1" customWidth="1"/>
    <col min="56" max="56" width="7" style="647" hidden="1" customWidth="1"/>
    <col min="57" max="57" width="15.5703125" style="649" hidden="1" customWidth="1"/>
    <col min="58" max="58" width="9.140625" style="649" hidden="1" customWidth="1"/>
    <col min="59" max="59" width="10" style="647" hidden="1" customWidth="1"/>
    <col min="60" max="60" width="5.28515625" style="649" hidden="1" customWidth="1"/>
    <col min="61" max="61" width="4" style="649" hidden="1" customWidth="1"/>
    <col min="62" max="62" width="4.7109375" style="649" hidden="1" customWidth="1"/>
    <col min="63" max="63" width="5.5703125" style="649" hidden="1" customWidth="1"/>
    <col min="64" max="64" width="5.28515625" style="649" hidden="1" customWidth="1"/>
    <col min="65" max="65" width="4" style="649" hidden="1" customWidth="1"/>
    <col min="66" max="66" width="5.5703125" style="649" hidden="1" customWidth="1"/>
    <col min="67" max="67" width="5.140625" style="650" customWidth="1"/>
    <col min="68" max="73" width="5.140625" style="646" customWidth="1"/>
    <col min="74" max="79" width="9.140625" style="646"/>
    <col min="80" max="82" width="9.140625" style="646" customWidth="1"/>
    <col min="83" max="83" width="5.140625" style="646" customWidth="1"/>
    <col min="84" max="16384" width="9.140625" style="646"/>
  </cols>
  <sheetData>
    <row r="1" spans="2:93" s="642" customFormat="1" ht="12" hidden="1" x14ac:dyDescent="0.2">
      <c r="C1" s="642">
        <v>3</v>
      </c>
      <c r="D1" s="642" t="s">
        <v>556</v>
      </c>
      <c r="E1" s="642" t="s">
        <v>557</v>
      </c>
      <c r="F1" s="642" t="s">
        <v>558</v>
      </c>
      <c r="G1" s="642" t="s">
        <v>559</v>
      </c>
      <c r="H1" s="642" t="s">
        <v>560</v>
      </c>
      <c r="T1" s="643"/>
      <c r="U1" s="643"/>
      <c r="V1" s="643"/>
      <c r="W1" s="643"/>
      <c r="X1" s="643"/>
      <c r="Y1" s="643"/>
      <c r="Z1" s="643"/>
      <c r="AA1" s="643"/>
      <c r="AB1" s="643"/>
      <c r="AC1" s="643"/>
      <c r="AD1" s="643"/>
      <c r="AE1" s="643"/>
      <c r="AF1" s="643"/>
      <c r="AG1" s="643"/>
      <c r="AH1" s="643"/>
      <c r="AI1" s="644"/>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row>
    <row r="2" spans="2:93" s="642" customFormat="1" ht="12" hidden="1" x14ac:dyDescent="0.2">
      <c r="C2" s="642">
        <v>4</v>
      </c>
      <c r="D2" s="642" t="s">
        <v>561</v>
      </c>
      <c r="E2" s="642" t="s">
        <v>562</v>
      </c>
      <c r="F2" s="642" t="s">
        <v>563</v>
      </c>
      <c r="G2" s="642" t="s">
        <v>564</v>
      </c>
      <c r="H2" s="642" t="s">
        <v>565</v>
      </c>
      <c r="T2" s="643"/>
      <c r="U2" s="643"/>
      <c r="V2" s="643"/>
      <c r="W2" s="643"/>
      <c r="X2" s="643"/>
      <c r="Y2" s="643"/>
      <c r="Z2" s="643"/>
      <c r="AA2" s="643"/>
      <c r="AB2" s="643"/>
      <c r="AC2" s="643"/>
      <c r="AD2" s="643"/>
      <c r="AE2" s="643"/>
      <c r="AF2" s="643"/>
      <c r="AG2" s="643"/>
      <c r="AH2" s="643"/>
      <c r="AI2" s="644"/>
      <c r="AJ2" s="643"/>
      <c r="AK2" s="643"/>
      <c r="AL2" s="643"/>
      <c r="AM2" s="643"/>
      <c r="AN2" s="643"/>
      <c r="AO2" s="643"/>
      <c r="AP2" s="643"/>
      <c r="AQ2" s="643"/>
      <c r="AR2" s="643"/>
      <c r="AS2" s="643"/>
      <c r="AT2" s="643"/>
      <c r="AU2" s="643"/>
      <c r="AV2" s="643"/>
      <c r="AW2" s="643"/>
      <c r="AX2" s="643"/>
      <c r="AY2" s="643"/>
      <c r="AZ2" s="643"/>
      <c r="BA2" s="643"/>
      <c r="BB2" s="643"/>
      <c r="BC2" s="643"/>
      <c r="BD2" s="643"/>
      <c r="BE2" s="643"/>
      <c r="BF2" s="643"/>
      <c r="BG2" s="643"/>
      <c r="BH2" s="643"/>
      <c r="BI2" s="643"/>
      <c r="BJ2" s="643"/>
      <c r="BK2" s="643"/>
      <c r="BL2" s="643"/>
      <c r="BM2" s="643"/>
      <c r="BN2" s="643"/>
    </row>
    <row r="3" spans="2:93" ht="15.75" thickBot="1" x14ac:dyDescent="0.3">
      <c r="BE3" s="647"/>
      <c r="BF3" s="647"/>
      <c r="BG3" s="649"/>
    </row>
    <row r="4" spans="2:93" ht="13.5" customHeight="1" thickTop="1" x14ac:dyDescent="0.25">
      <c r="B4" s="1105" t="s">
        <v>141</v>
      </c>
      <c r="C4" s="1106"/>
      <c r="D4" s="1106"/>
      <c r="E4" s="1106"/>
      <c r="F4" s="1106"/>
      <c r="G4" s="1107"/>
      <c r="H4" s="1108" t="s">
        <v>566</v>
      </c>
      <c r="I4" s="1109"/>
      <c r="J4" s="1109"/>
      <c r="K4" s="1109"/>
      <c r="L4" s="1109"/>
      <c r="M4" s="1109"/>
      <c r="N4" s="1110"/>
      <c r="O4" s="1111" t="s">
        <v>142</v>
      </c>
      <c r="P4" s="1112"/>
      <c r="Q4" s="1111" t="s">
        <v>143</v>
      </c>
      <c r="R4" s="1113"/>
      <c r="S4" s="651"/>
      <c r="T4" s="652"/>
      <c r="U4" s="652"/>
      <c r="V4" s="652"/>
      <c r="W4" s="652"/>
      <c r="X4" s="652"/>
      <c r="Y4" s="652"/>
      <c r="Z4" s="652"/>
      <c r="AA4" s="652"/>
      <c r="AB4" s="652"/>
      <c r="AC4" s="652"/>
      <c r="AD4" s="652"/>
      <c r="AE4" s="652"/>
      <c r="AF4" s="652"/>
      <c r="AG4" s="652"/>
      <c r="AH4" s="652"/>
      <c r="AI4" s="653"/>
      <c r="AJ4" s="652"/>
      <c r="AK4" s="652"/>
      <c r="AL4" s="652"/>
      <c r="AM4" s="652"/>
      <c r="AN4" s="652"/>
      <c r="AO4" s="652"/>
      <c r="AP4" s="652"/>
      <c r="AQ4" s="643"/>
      <c r="AR4" s="643"/>
      <c r="AW4" s="647" t="s">
        <v>144</v>
      </c>
      <c r="AX4" s="647" t="s">
        <v>145</v>
      </c>
      <c r="AY4" s="647" t="s">
        <v>146</v>
      </c>
      <c r="AZ4" s="647" t="s">
        <v>147</v>
      </c>
      <c r="BA4" s="647" t="s">
        <v>148</v>
      </c>
      <c r="BB4" s="647" t="s">
        <v>149</v>
      </c>
      <c r="BE4" s="647"/>
      <c r="BF4" s="647"/>
      <c r="BG4" s="649"/>
      <c r="BO4" s="654" t="s">
        <v>213</v>
      </c>
    </row>
    <row r="5" spans="2:93" s="665" customFormat="1" ht="15.75" customHeight="1" x14ac:dyDescent="0.2">
      <c r="B5" s="1114" t="s">
        <v>442</v>
      </c>
      <c r="C5" s="1115"/>
      <c r="D5" s="1115"/>
      <c r="E5" s="1115"/>
      <c r="F5" s="1115"/>
      <c r="G5" s="1116"/>
      <c r="H5" s="1117" t="s">
        <v>567</v>
      </c>
      <c r="I5" s="1118"/>
      <c r="J5" s="1118"/>
      <c r="K5" s="1118"/>
      <c r="L5" s="1118"/>
      <c r="M5" s="1118"/>
      <c r="N5" s="1119"/>
      <c r="O5" s="1120"/>
      <c r="P5" s="1121"/>
      <c r="Q5" s="1122">
        <v>46156</v>
      </c>
      <c r="R5" s="1123"/>
      <c r="S5" s="655"/>
      <c r="T5" s="656"/>
      <c r="U5" s="656"/>
      <c r="V5" s="656"/>
      <c r="W5" s="656"/>
      <c r="X5" s="656"/>
      <c r="Y5" s="656"/>
      <c r="Z5" s="656"/>
      <c r="AA5" s="656"/>
      <c r="AB5" s="656"/>
      <c r="AC5" s="656"/>
      <c r="AD5" s="656"/>
      <c r="AE5" s="656"/>
      <c r="AF5" s="656"/>
      <c r="AG5" s="656"/>
      <c r="AH5" s="656"/>
      <c r="AI5" s="657"/>
      <c r="AJ5" s="656"/>
      <c r="AK5" s="656"/>
      <c r="AL5" s="656"/>
      <c r="AM5" s="656"/>
      <c r="AN5" s="656"/>
      <c r="AO5" s="656"/>
      <c r="AP5" s="656"/>
      <c r="AQ5" s="658"/>
      <c r="AR5" s="658"/>
      <c r="AS5" s="659"/>
      <c r="AT5" s="660" t="s">
        <v>151</v>
      </c>
      <c r="AU5" s="661" t="b">
        <v>1</v>
      </c>
      <c r="AV5" s="659">
        <v>5</v>
      </c>
      <c r="AW5" s="659" t="b">
        <f>IF(ISERR(OR(AW9:AW40)),"UNK",IF(AND(graded_aca_events&gt;=1,input_test),FALSE,OR(AW9:AW40)))</f>
        <v>0</v>
      </c>
      <c r="AX5" s="659" t="b">
        <f>IF(ISERR(OR(AX9:AX40)),"UNK",IF(AND(graded_aca_events&gt;=1,input_test),FALSE,OR(AX9:AX40)))</f>
        <v>1</v>
      </c>
      <c r="AY5" s="659" t="b">
        <f>IF(ISERR(OR(AY9:AY40)),"UNK",OR(AY9:AY40))</f>
        <v>0</v>
      </c>
      <c r="AZ5" s="659" t="b">
        <f>IF(ISERR(OR(AZ9:AZ40)),"UNK",OR(AZ9:AZ40))</f>
        <v>0</v>
      </c>
      <c r="BA5" s="659" t="b">
        <f>IF(ISERR(OR(BA9:BA40)),"UNK",OR(BA9:BA40))</f>
        <v>0</v>
      </c>
      <c r="BB5" s="659" t="b">
        <f>IF(ISERR(OR(BB9:BB40)),"UNK",OR(BB9:BB40))</f>
        <v>0</v>
      </c>
      <c r="BC5" s="662" t="b">
        <f>OR(BC9:BC40)</f>
        <v>0</v>
      </c>
      <c r="BD5" s="662" t="b">
        <f>OR(BD9:BD40)</f>
        <v>1</v>
      </c>
      <c r="BE5" s="662" t="b">
        <f>OR(BE9:BE40)</f>
        <v>0</v>
      </c>
      <c r="BF5" s="662"/>
      <c r="BG5" s="659"/>
      <c r="BH5" s="1081" t="s">
        <v>152</v>
      </c>
      <c r="BI5" s="1081"/>
      <c r="BJ5" s="1081"/>
      <c r="BK5" s="1081"/>
      <c r="BL5" s="1082" t="s">
        <v>153</v>
      </c>
      <c r="BM5" s="1082"/>
      <c r="BN5" s="1082"/>
      <c r="BO5" s="664" t="s">
        <v>568</v>
      </c>
    </row>
    <row r="6" spans="2:93" s="651" customFormat="1" ht="11.25" customHeight="1" x14ac:dyDescent="0.25">
      <c r="B6" s="1083" t="s">
        <v>154</v>
      </c>
      <c r="C6" s="1084"/>
      <c r="D6" s="1084"/>
      <c r="E6" s="1085"/>
      <c r="F6" s="1086" t="s">
        <v>155</v>
      </c>
      <c r="G6" s="1085"/>
      <c r="H6" s="1086" t="s">
        <v>156</v>
      </c>
      <c r="I6" s="1084"/>
      <c r="J6" s="1084"/>
      <c r="K6" s="1084"/>
      <c r="L6" s="1085"/>
      <c r="M6" s="1087" t="s">
        <v>157</v>
      </c>
      <c r="N6" s="1088"/>
      <c r="O6" s="1089" t="s">
        <v>158</v>
      </c>
      <c r="P6" s="1090"/>
      <c r="Q6" s="1086" t="str">
        <f>IF(AU42=0,"GRADE","GRADE (inc. bonus)")</f>
        <v>GRADE</v>
      </c>
      <c r="R6" s="1091"/>
      <c r="T6" s="652"/>
      <c r="U6" s="652"/>
      <c r="V6" s="652"/>
      <c r="W6" s="652"/>
      <c r="X6" s="652"/>
      <c r="Y6" s="652"/>
      <c r="Z6" s="652"/>
      <c r="AA6" s="652"/>
      <c r="AB6" s="652"/>
      <c r="AC6" s="652"/>
      <c r="AD6" s="652"/>
      <c r="AE6" s="652"/>
      <c r="AF6" s="652"/>
      <c r="AG6" s="652"/>
      <c r="AH6" s="652"/>
      <c r="AI6" s="653"/>
      <c r="AJ6" s="652"/>
      <c r="AK6" s="652"/>
      <c r="AL6" s="652"/>
      <c r="AM6" s="652"/>
      <c r="AN6" s="652"/>
      <c r="AO6" s="652"/>
      <c r="AP6" s="652"/>
      <c r="AQ6" s="652"/>
      <c r="AR6" s="652"/>
      <c r="AS6" s="652"/>
      <c r="AT6" s="652"/>
      <c r="AU6" s="652"/>
      <c r="AV6" s="652"/>
      <c r="AW6" s="652"/>
      <c r="AX6" s="652"/>
      <c r="AY6" s="652"/>
      <c r="AZ6" s="652"/>
      <c r="BA6" s="652"/>
      <c r="BB6" s="652"/>
      <c r="BC6" s="652"/>
      <c r="BD6" s="652"/>
      <c r="BE6" s="652"/>
      <c r="BF6" s="652"/>
      <c r="BG6" s="652"/>
      <c r="BH6" s="1081"/>
      <c r="BI6" s="1081"/>
      <c r="BJ6" s="1081"/>
      <c r="BK6" s="1081"/>
      <c r="BL6" s="1082"/>
      <c r="BM6" s="1082"/>
      <c r="BN6" s="1082"/>
      <c r="BO6" s="666" t="s">
        <v>214</v>
      </c>
      <c r="BP6" s="667" t="s">
        <v>215</v>
      </c>
    </row>
    <row r="7" spans="2:93" s="665" customFormat="1" ht="15.75" customHeight="1" thickBot="1" x14ac:dyDescent="0.25">
      <c r="B7" s="1092" t="s">
        <v>682</v>
      </c>
      <c r="C7" s="1093"/>
      <c r="D7" s="1093"/>
      <c r="E7" s="1094"/>
      <c r="F7" s="1095" t="s">
        <v>270</v>
      </c>
      <c r="G7" s="1096"/>
      <c r="H7" s="1097" t="s">
        <v>691</v>
      </c>
      <c r="I7" s="1098"/>
      <c r="J7" s="1098"/>
      <c r="K7" s="1098"/>
      <c r="L7" s="1096"/>
      <c r="M7" s="1099"/>
      <c r="N7" s="1100"/>
      <c r="O7" s="1101"/>
      <c r="P7" s="1102"/>
      <c r="Q7" s="1103" t="str">
        <f>IF((graded_aca_events+graded_amn_events)&lt;1,"---",IF(ISERROR(AR47),"",IF(F42&lt;&gt;"COMPLETE","INCOMPLETE",AR47)))</f>
        <v>INCOMPLETE</v>
      </c>
      <c r="R7" s="1104"/>
      <c r="S7" s="646"/>
      <c r="T7" s="659"/>
      <c r="U7" s="659">
        <v>2</v>
      </c>
      <c r="V7" s="659">
        <v>3</v>
      </c>
      <c r="W7" s="659">
        <v>6</v>
      </c>
      <c r="X7" s="659">
        <v>7</v>
      </c>
      <c r="Y7" s="659">
        <v>11</v>
      </c>
      <c r="Z7" s="659">
        <v>8</v>
      </c>
      <c r="AA7" s="668">
        <v>9</v>
      </c>
      <c r="AB7" s="668">
        <v>10</v>
      </c>
      <c r="AC7" s="668">
        <v>5</v>
      </c>
      <c r="AD7" s="668">
        <v>4</v>
      </c>
      <c r="AE7" s="668">
        <v>12</v>
      </c>
      <c r="AF7" s="668">
        <v>13</v>
      </c>
      <c r="AG7" s="668"/>
      <c r="AH7" s="668"/>
      <c r="AI7" s="669"/>
      <c r="AJ7" s="670"/>
      <c r="AK7" s="670"/>
      <c r="AL7" s="670"/>
      <c r="AM7" s="670" t="b">
        <f>IF(COUNT(AM9:AM40)&gt;0,TRUE,FALSE)</f>
        <v>1</v>
      </c>
      <c r="AN7" s="670" t="b">
        <f>IF(COUNT(AN9:AN40)&gt;0,TRUE,FALSE)</f>
        <v>0</v>
      </c>
      <c r="AO7" s="659"/>
      <c r="AP7" s="659"/>
      <c r="AQ7" s="658"/>
      <c r="AR7" s="658"/>
      <c r="AS7" s="659"/>
      <c r="AT7" s="671">
        <v>0.5</v>
      </c>
      <c r="AU7" s="659"/>
      <c r="AV7" s="672">
        <f>0.01*input_maxb</f>
        <v>0.05</v>
      </c>
      <c r="AW7" s="673" t="s">
        <v>159</v>
      </c>
      <c r="AX7" s="674"/>
      <c r="AY7" s="673" t="s">
        <v>160</v>
      </c>
      <c r="AZ7" s="674"/>
      <c r="BA7" s="675" t="s">
        <v>161</v>
      </c>
      <c r="BB7" s="675"/>
      <c r="BC7" s="673" t="s">
        <v>162</v>
      </c>
      <c r="BD7" s="675"/>
      <c r="BE7" s="676"/>
      <c r="BF7" s="677"/>
      <c r="BG7" s="659" t="s">
        <v>163</v>
      </c>
      <c r="BH7" s="1081"/>
      <c r="BI7" s="1081"/>
      <c r="BJ7" s="1081"/>
      <c r="BK7" s="1081"/>
      <c r="BL7" s="1082"/>
      <c r="BM7" s="1082"/>
      <c r="BN7" s="1082"/>
      <c r="BO7" s="666">
        <v>0</v>
      </c>
      <c r="BP7" s="667" t="s">
        <v>216</v>
      </c>
    </row>
    <row r="8" spans="2:93" ht="27" customHeight="1" thickBot="1" x14ac:dyDescent="0.3">
      <c r="B8" s="1065" t="s">
        <v>164</v>
      </c>
      <c r="C8" s="1066"/>
      <c r="D8" s="1066"/>
      <c r="E8" s="1066"/>
      <c r="F8" s="1067"/>
      <c r="G8" s="678" t="s">
        <v>165</v>
      </c>
      <c r="H8" s="679" t="s">
        <v>166</v>
      </c>
      <c r="I8" s="680" t="s">
        <v>167</v>
      </c>
      <c r="J8" s="681" t="s">
        <v>168</v>
      </c>
      <c r="K8" s="682" t="s">
        <v>169</v>
      </c>
      <c r="L8" s="1068" t="s">
        <v>170</v>
      </c>
      <c r="M8" s="1066"/>
      <c r="N8" s="1066"/>
      <c r="O8" s="1066"/>
      <c r="P8" s="1066"/>
      <c r="Q8" s="1066"/>
      <c r="R8" s="1069"/>
      <c r="S8" s="645"/>
      <c r="T8" s="683" t="s">
        <v>171</v>
      </c>
      <c r="U8" s="683"/>
      <c r="V8" s="683" t="s">
        <v>172</v>
      </c>
      <c r="W8" s="683" t="s">
        <v>173</v>
      </c>
      <c r="X8" s="683" t="s">
        <v>174</v>
      </c>
      <c r="Y8" s="683" t="s">
        <v>175</v>
      </c>
      <c r="Z8" s="683" t="s">
        <v>176</v>
      </c>
      <c r="AA8" s="683" t="s">
        <v>177</v>
      </c>
      <c r="AB8" s="683" t="s">
        <v>178</v>
      </c>
      <c r="AC8" s="683" t="s">
        <v>179</v>
      </c>
      <c r="AD8" s="683" t="s">
        <v>180</v>
      </c>
      <c r="AE8" s="683" t="s">
        <v>181</v>
      </c>
      <c r="AF8" s="683" t="s">
        <v>182</v>
      </c>
      <c r="AG8" s="683" t="s">
        <v>183</v>
      </c>
      <c r="AH8" s="683" t="s">
        <v>184</v>
      </c>
      <c r="AI8" s="684" t="s">
        <v>185</v>
      </c>
      <c r="AJ8" s="685" t="s">
        <v>186</v>
      </c>
      <c r="AK8" s="686" t="s">
        <v>187</v>
      </c>
      <c r="AL8" s="686" t="s">
        <v>188</v>
      </c>
      <c r="AM8" s="686" t="s">
        <v>189</v>
      </c>
      <c r="AN8" s="686" t="s">
        <v>190</v>
      </c>
      <c r="AO8" s="685" t="s">
        <v>191</v>
      </c>
      <c r="AP8" s="685" t="s">
        <v>192</v>
      </c>
      <c r="AQ8" s="687" t="s">
        <v>193</v>
      </c>
      <c r="AR8" s="688" t="s">
        <v>1</v>
      </c>
      <c r="AS8" s="687" t="s">
        <v>194</v>
      </c>
      <c r="AT8" s="688" t="s">
        <v>1</v>
      </c>
      <c r="AU8" s="687" t="s">
        <v>195</v>
      </c>
      <c r="AV8" s="689" t="s">
        <v>196</v>
      </c>
      <c r="AW8" s="690" t="s">
        <v>197</v>
      </c>
      <c r="AX8" s="691" t="s">
        <v>198</v>
      </c>
      <c r="AY8" s="690" t="s">
        <v>199</v>
      </c>
      <c r="AZ8" s="691" t="s">
        <v>200</v>
      </c>
      <c r="BA8" s="692" t="s">
        <v>201</v>
      </c>
      <c r="BB8" s="692" t="s">
        <v>202</v>
      </c>
      <c r="BC8" s="693" t="s">
        <v>203</v>
      </c>
      <c r="BD8" s="694" t="s">
        <v>204</v>
      </c>
      <c r="BE8" s="695" t="s">
        <v>205</v>
      </c>
      <c r="BF8" s="696" t="s">
        <v>206</v>
      </c>
      <c r="BG8" s="649"/>
      <c r="BH8" s="649" t="s">
        <v>207</v>
      </c>
      <c r="BI8" s="649" t="s">
        <v>208</v>
      </c>
      <c r="BJ8" s="683" t="s">
        <v>209</v>
      </c>
      <c r="BK8" s="649" t="s">
        <v>210</v>
      </c>
      <c r="BL8" s="649" t="s">
        <v>207</v>
      </c>
      <c r="BM8" s="649" t="s">
        <v>208</v>
      </c>
      <c r="BN8" s="649" t="s">
        <v>210</v>
      </c>
      <c r="BO8" s="666">
        <v>1</v>
      </c>
      <c r="BP8" s="697" t="s">
        <v>569</v>
      </c>
      <c r="BX8" s="698"/>
      <c r="BY8" s="642"/>
      <c r="BZ8" s="642"/>
      <c r="CA8" s="642"/>
      <c r="CB8" s="642"/>
      <c r="CC8" s="642"/>
    </row>
    <row r="9" spans="2:93" ht="12.95" customHeight="1" x14ac:dyDescent="0.25">
      <c r="B9" s="699">
        <f>IF(ISNA(Z9),"",IF(OR(Z9=1,Z9=2),"",1))</f>
        <v>1</v>
      </c>
      <c r="C9" s="1070" t="str">
        <f>IF(ISNA(Z9),"",CONCATENATE($U9,IF(ISNUMBER(AI9),TEXT(ROUND($AI9,3)," (0.0%)"),""),IF(AU9&gt;0," Bonus","")))</f>
        <v xml:space="preserve">      - Test Planning and Methodology (16.7%)</v>
      </c>
      <c r="D9" s="1070"/>
      <c r="E9" s="1070"/>
      <c r="F9" s="1071"/>
      <c r="G9" s="700">
        <f t="shared" ref="G9:G40" si="0">BH9</f>
        <v>1</v>
      </c>
      <c r="H9" s="701" t="str">
        <f t="shared" ref="H9:I40" si="1">BJ9</f>
        <v>1*</v>
      </c>
      <c r="I9" s="702">
        <f t="shared" si="1"/>
        <v>2</v>
      </c>
      <c r="J9" s="703"/>
      <c r="K9" s="704">
        <v>3</v>
      </c>
      <c r="L9" s="1072" t="s">
        <v>692</v>
      </c>
      <c r="M9" s="1073"/>
      <c r="N9" s="1073"/>
      <c r="O9" s="1073"/>
      <c r="P9" s="1073"/>
      <c r="Q9" s="1073"/>
      <c r="R9" s="1074"/>
      <c r="T9" s="647">
        <v>1</v>
      </c>
      <c r="U9" s="647" t="s">
        <v>570</v>
      </c>
      <c r="V9" s="705">
        <v>1</v>
      </c>
      <c r="W9" s="705">
        <v>1</v>
      </c>
      <c r="X9" s="705" t="s">
        <v>212</v>
      </c>
      <c r="Y9" s="705" t="s">
        <v>212</v>
      </c>
      <c r="Z9" s="705" t="s">
        <v>212</v>
      </c>
      <c r="AA9" s="705">
        <v>2</v>
      </c>
      <c r="AB9" s="705">
        <v>1</v>
      </c>
      <c r="AC9" s="705">
        <v>2</v>
      </c>
      <c r="AD9" s="705">
        <v>1</v>
      </c>
      <c r="AE9" s="705">
        <v>1</v>
      </c>
      <c r="AF9" s="705" t="b">
        <v>1</v>
      </c>
      <c r="AG9" s="705">
        <v>1</v>
      </c>
      <c r="AH9" s="705">
        <v>0</v>
      </c>
      <c r="AI9" s="706">
        <f>IF(NOT(OR(Z9=1,Z9=2)),IF(AQ9&gt;0,$AR$45*AQ9/SUMIF($AQ$9:$AQ$40,"&gt;0"),IF(AU9&gt;0,$AV$45*AU9/SUMIF($AU$9:$AU$40,"&gt;0"),IF(AS9&gt;0,$AT$45*AS9/SUMIF($AS$9:$AS$40,"&gt;0"),""))),IF(SUMIF(AJ10:$AJ$40,"=" &amp; AJ9,AI10:$AI$40)=0,"",SUMIF(AJ10:$AJ$40,"=" &amp; AJ9,AI10:$AI$40)))</f>
        <v>0.16666666666666666</v>
      </c>
      <c r="AJ9" s="707">
        <f>0</f>
        <v>0</v>
      </c>
      <c r="AK9" s="705">
        <f>BI9</f>
        <v>1</v>
      </c>
      <c r="AL9" s="705">
        <f>IF(ISBLANK(K9),"",K9)</f>
        <v>3</v>
      </c>
      <c r="AM9" s="705">
        <f>IF(ISNUMBER(AK9),IF(ISNUMBER(AL9),1,""),"")</f>
        <v>1</v>
      </c>
      <c r="AN9" s="705" t="str">
        <f t="shared" ref="AN9:AN37" si="2">IF(ISNUMBER(AH9),IF(AND(AB9=0,ISNUMBER(AC9),ISNUMBER(AL9)),1,""),"")</f>
        <v/>
      </c>
      <c r="AO9" s="705" t="str">
        <f t="shared" ref="AO9:AO40" si="3">IF(AB9=0,IF(CrewSoloQual="No",BI9,BK9),"")</f>
        <v/>
      </c>
      <c r="AP9" s="705" t="b">
        <f t="shared" ref="AP9:AP40" si="4">IF(ISNA(Z9),"",IF(AND(ISNUMBER(B9),G9&gt;=1,H9&lt;&gt;"NG"),IF(K9&lt;BK9,TRUE,FALSE),IF(AND(G9&gt;=1,J9="NA"),TRUE,IF(AND(AM9=1,G9=0,AL9&lt;BI9),TRUE,""))))</f>
        <v>0</v>
      </c>
      <c r="AQ9" s="708">
        <f>IF(ISNA(Z9),0,IF(OR(J9="NA",W9="",AB9=0),0,W9))</f>
        <v>1</v>
      </c>
      <c r="AR9" s="709">
        <f t="shared" ref="AR9:AR40" si="5">IF(ISNA(Z9),"",IF(AND(NOT(OR(Z9=1,Z9=2,AK9="NG",AB9=0)),IF(ISNUMBER(AL9),AL9&gt;=0,FALSE)),VLOOKUP((10*AD9+AC9),$AQ$51:$AV$59,2+AL9,FALSE),IF(AND(input_test=TRUE,ISNUMBER(AD9),V9&lt;&gt;0),VLOOKUP((10*AD9+AC9),$AQ$51:$AV$59,2,FALSE),"")))</f>
        <v>0.95</v>
      </c>
      <c r="AS9" s="710">
        <f>IF(ISNA(Z9),0,IF(OR(J9="NA",X9="",AB9=1),0,X9))</f>
        <v>0</v>
      </c>
      <c r="AT9" s="709" t="str">
        <f t="shared" ref="AT9:AT40" si="6">IF(ISNA(Z9),"",IF(AND(NOT(OR(Z9=1,Z9=2,AK9="NG",AB9=1)),IF(ISNUMBER(AL9),AL9&gt;=0,FALSE)),VLOOKUP((10*AH9+AG9),$AQ$51:$AV$59,2+AL9,FALSE),IF(AND(input_test=TRUE,ISNUMBER(AD9),V9&lt;&gt;0),VLOOKUP((10*AH9+AG9),$AQ$51:$AV$59,2,FALSE),"")))</f>
        <v/>
      </c>
      <c r="AU9" s="711">
        <f t="shared" ref="AU9:AU40" si="7">IF(ISNA(Z9),0,IF(OR(J9="NA",Y9=""),0,Y9))</f>
        <v>0</v>
      </c>
      <c r="AV9" s="712">
        <f t="shared" ref="AV9:AV40" si="8">AR9</f>
        <v>0.95</v>
      </c>
      <c r="AW9" s="711" t="b">
        <f t="shared" ref="AW9:AW40" si="9">IF(ISNA(Z9),FALSE,IF(OR(AB9=1,G9=0,Z9=1,Z9=2),FALSE,IF(OR(J9="NA",J9&gt;=G9),FALSE,TRUE)))</f>
        <v>0</v>
      </c>
      <c r="AX9" s="713" t="b">
        <f t="shared" ref="AX9:AX40" si="10">IF(ISNA(Z9),FALSE,IF(OR(AB9=0,G9=0,Z9=1,Z9=2,J9="NA"),FALSE,IF(AK9="NG",IF(NOT(ISBLANK(K9)),FALSE,TRUE),IF(J9&gt;=G9,FALSE,TRUE))))</f>
        <v>1</v>
      </c>
      <c r="AY9" s="711" t="b">
        <f t="shared" ref="AY9:AY40" si="11">IF(ISNA(Z9),FALSE,IF(OR(AB9=1,G9&lt;1,Z9=1,Z9=2,AE9=0,ISBLANK(K9)),FALSE,IF(OR(J9="NA",K9&gt;=BI9),FALSE,TRUE)))</f>
        <v>0</v>
      </c>
      <c r="AZ9" s="713" t="b">
        <f t="shared" ref="AZ9:AZ40" si="12">IF(ISNA(Z9),FALSE,IF(OR(AB9=0,G9=0,Z9=1,Z9=2,AE9=0,BI9="NG",K9="",ISBLANK(K9)),FALSE,IF(OR(J9="NA",K9&gt;=AK9),FALSE,TRUE)))</f>
        <v>0</v>
      </c>
      <c r="BA9" s="705" t="b">
        <f t="shared" ref="BA9:BA40" si="13">IF(ISNA(Z9),FALSE,IF(OR(AB9=1,G9&lt;1,Z9=1,Z9=2,AE9=0),FALSE,IF(J9="NA",TRUE,FALSE)))</f>
        <v>0</v>
      </c>
      <c r="BB9" s="705" t="b">
        <f t="shared" ref="BB9:BB40" si="14">IF(ISNA(Z9),FALSE,IF(OR(AB9=0,G9=0,Z9=1,Z9=2),FALSE,IF(J9="NA",TRUE,FALSE)))</f>
        <v>0</v>
      </c>
      <c r="BC9" s="711" t="b">
        <f t="shared" ref="BC9:BC40" si="15">IF(OR(ISNA($Z9),ISNUMBER($Z9),NOT(ISNUMBER($J9)),K9="D"),FALSE,IF(AND(NOT(ISNUMBER($K9)),J9&gt;0),TRUE,FALSE))</f>
        <v>0</v>
      </c>
      <c r="BD9" s="714" t="b">
        <f>IF(OR(ISNA($Z9),ISNUMBER($Z9),NOT(ISNUMBER(K9))),FALSE,OR(NOT(ISNUMBER(J9)),J9=0,AND(J9=0,K9&lt;&gt;0)))</f>
        <v>1</v>
      </c>
      <c r="BE9" s="713" t="b">
        <f t="shared" ref="BE9:BE22" si="16">IF(OR(ISNA($Z9),K9&lt;&gt;"D"),FALSE,IF(OR(AND(H9="NG",J9=0),AND(H9&lt;&gt;"NG",NOT(OR(J9="NA",J9=0)))),TRUE,FALSE))</f>
        <v>0</v>
      </c>
      <c r="BF9" s="715" t="b">
        <f t="shared" ref="BF9:BF31" si="17">IF(OR(ISNA($Z9),H9&lt;&gt;"NG"),FALSE,IF(AND(J9="NA",K9&lt;&gt;""),TRUE,FALSE))</f>
        <v>0</v>
      </c>
      <c r="BG9" s="663" t="b">
        <f t="shared" ref="BG9:BG22" si="18">IF(ISNA($Z9),"NA",IF(OR(AZ9,AY9,AX9,AW9,AP9,BA9,BB9),TRUE,FALSE))</f>
        <v>1</v>
      </c>
      <c r="BH9" s="716">
        <f>IF(ISNA($Z9),"",IF(OR($Z9=1,$Z9=2),"",$V9))</f>
        <v>1</v>
      </c>
      <c r="BI9" s="663">
        <f t="shared" ref="BI9:BI40" si="19">IF(ISNA($Z9),"",IF(OR($Z9=1,$Z9=2,$G9=""),"",IF(AB9=0,AH9,$AD9)))</f>
        <v>1</v>
      </c>
      <c r="BJ9" s="663" t="str">
        <f t="shared" ref="BJ9:BJ40" si="20">IF(ISNA(AE9),"",IF(OR(Z9=1,Z9=2),"",IF(OR(AE9=0,AD9="NG"),TEXT(BI9,"0"),CONCATENATE(TEXT(BI9,"0"),"*"))))</f>
        <v>1*</v>
      </c>
      <c r="BK9" s="663">
        <f t="shared" ref="BK9:BK40" si="21">IF(ISNA($Z9),"",IF(OR($Z9=1,$Z9=2,$G9=""),"",IF(AB9=0,AG9,$AC9)))</f>
        <v>2</v>
      </c>
      <c r="BL9" s="716">
        <f>IF(ISBLANK(BH9),"",IF(BH9=0,"",BH9))</f>
        <v>1</v>
      </c>
      <c r="BM9" s="663">
        <f t="shared" ref="BM9:BM40" si="22">IF($BH9=0,"",IF($BI9="NG","D",$BI9))</f>
        <v>1</v>
      </c>
      <c r="BN9" s="663">
        <f t="shared" ref="BN9:BN40" si="23">IF(ISNA(U9),"",IF($BH9=0,"",IF($BI9="NG","D",BK9)))</f>
        <v>2</v>
      </c>
      <c r="BO9" s="666">
        <v>2</v>
      </c>
      <c r="BP9" s="717" t="s">
        <v>571</v>
      </c>
      <c r="BX9" s="718"/>
      <c r="BY9" s="642"/>
      <c r="BZ9" s="642"/>
      <c r="CA9" s="642"/>
      <c r="CB9" s="642"/>
      <c r="CC9" s="642"/>
    </row>
    <row r="10" spans="2:93" s="665" customFormat="1" ht="12.95" customHeight="1" x14ac:dyDescent="0.25">
      <c r="B10" s="719">
        <f>IF(ISNA(Z10),"",IF(OR(Z10=1,Z10=2),"    ",MAX($B$9:B9)+1))</f>
        <v>2</v>
      </c>
      <c r="C10" s="1058" t="str">
        <f t="shared" ref="C10:C37" si="24">IF(ISNA(Z10),"",CONCATENATE($U10,IF(ISNUMBER(AI10),TEXT(ROUND($AI10,3)," (0.0%)"),""),IF(AU10&gt;0," Bonus","")))</f>
        <v xml:space="preserve">      - Test Conduct (16.7%)</v>
      </c>
      <c r="D10" s="1058"/>
      <c r="E10" s="1058"/>
      <c r="F10" s="1059"/>
      <c r="G10" s="700">
        <f t="shared" si="0"/>
        <v>1</v>
      </c>
      <c r="H10" s="701" t="str">
        <f t="shared" si="1"/>
        <v>2*</v>
      </c>
      <c r="I10" s="720">
        <f t="shared" si="1"/>
        <v>2</v>
      </c>
      <c r="J10" s="721"/>
      <c r="K10" s="722">
        <v>4</v>
      </c>
      <c r="L10" s="1075"/>
      <c r="M10" s="1076"/>
      <c r="N10" s="1076"/>
      <c r="O10" s="1076"/>
      <c r="P10" s="1076"/>
      <c r="Q10" s="1076"/>
      <c r="R10" s="1077"/>
      <c r="T10" s="659">
        <v>2</v>
      </c>
      <c r="U10" s="647" t="s">
        <v>572</v>
      </c>
      <c r="V10" s="705">
        <v>1</v>
      </c>
      <c r="W10" s="705">
        <v>1</v>
      </c>
      <c r="X10" s="705" t="s">
        <v>212</v>
      </c>
      <c r="Y10" s="705" t="s">
        <v>212</v>
      </c>
      <c r="Z10" s="714" t="s">
        <v>212</v>
      </c>
      <c r="AA10" s="714">
        <v>2</v>
      </c>
      <c r="AB10" s="714">
        <v>1</v>
      </c>
      <c r="AC10" s="705">
        <v>2</v>
      </c>
      <c r="AD10" s="705">
        <v>2</v>
      </c>
      <c r="AE10" s="705">
        <v>1</v>
      </c>
      <c r="AF10" s="705" t="b">
        <v>1</v>
      </c>
      <c r="AG10" s="705">
        <f t="shared" ref="AG10:AG40" si="25">IF(CrewSoloQual="Yes",$AC10,$AD10)</f>
        <v>2</v>
      </c>
      <c r="AH10" s="705">
        <v>1</v>
      </c>
      <c r="AI10" s="706">
        <f>IF(NOT(OR(Z10=1,Z10=2)),IF(AQ10&gt;0,$AR$45*AQ10/SUMIF($AQ$9:$AQ$40,"&gt;0"),IF(AU10&gt;0,$AV$45*AU10/SUMIF($AU$9:$AU$40,"&gt;0"),IF(AS10&gt;0,$AT$45*AS10/SUMIF($AS$9:$AS$40,"&gt;0"),""))),IF(SUMIF(AJ11:$AJ$40,"=" &amp; AJ10,AI11:$AI$40)=0,"",SUMIF(AJ11:$AJ$40,"=" &amp; AJ10,AI11:$AI$40)))</f>
        <v>0.16666666666666666</v>
      </c>
      <c r="AJ10" s="707">
        <f>IF(OR(Z10=1,Z10=2,AA10&lt;AA9),AJ9+1,AJ9)</f>
        <v>0</v>
      </c>
      <c r="AK10" s="705">
        <f t="shared" ref="AK10:AK40" si="26">BI10</f>
        <v>2</v>
      </c>
      <c r="AL10" s="714">
        <f t="shared" ref="AL10:AL40" si="27">IF(ISBLANK(K10),"",K10)</f>
        <v>4</v>
      </c>
      <c r="AM10" s="714">
        <f>IF(ISNUMBER(AK10),IF(ISNUMBER(AL10),1,""),"")</f>
        <v>1</v>
      </c>
      <c r="AN10" s="714" t="str">
        <f t="shared" si="2"/>
        <v/>
      </c>
      <c r="AO10" s="714" t="str">
        <f t="shared" si="3"/>
        <v/>
      </c>
      <c r="AP10" s="705" t="b">
        <f>IF(ISNA(Z10),"",IF(AND(ISNUMBER(B10),G10&gt;=1,H10&lt;&gt;"NG"),IF(K10&lt;BK10,TRUE,FALSE),IF(AND(G10&gt;=1,J10="NA"),TRUE,IF(AND(AM10=1,G10=0,AL10&lt;BI10),TRUE,""))))</f>
        <v>0</v>
      </c>
      <c r="AQ10" s="708">
        <f t="shared" ref="AQ10:AQ40" si="28">IF(ISNA(Z10),0,IF(OR(J10="NA",W10="",AB10=0),0,W10))</f>
        <v>1</v>
      </c>
      <c r="AR10" s="709">
        <f>IF(ISNA(Z10),"",IF(AND(NOT(OR(Z10=1,Z10=2,AK10="NG",AB10=0)),IF(ISNUMBER(AL10),AL10&gt;=0,FALSE)),VLOOKUP((10*AD10+AC10),$AQ$51:$AV$59,2+AL10,FALSE),IF(AND(input_test=TRUE,ISNUMBER(AD10),V10&lt;&gt;0),VLOOKUP((10*AD10+AC10),$AQ$51:$AV$59,2,FALSE),"")))</f>
        <v>1</v>
      </c>
      <c r="AS10" s="710">
        <f t="shared" ref="AS10:AS40" si="29">IF(ISNA(Z10),0,IF(OR(J10="NA",X10="",AB10=1),0,X10))</f>
        <v>0</v>
      </c>
      <c r="AT10" s="709" t="str">
        <f>IF(ISNA(Z10),"",IF(AND(NOT(OR(Z10=1,Z10=2,AK10="NG",AB10=1)),IF(ISNUMBER(AL10),AL10&gt;=0,FALSE)),VLOOKUP((10*AH10+AG10),$AQ$51:$AV$59,2+AL10,FALSE),IF(AND(input_test=TRUE,ISNUMBER(AD10),V10&lt;&gt;0),VLOOKUP((10*AH10+AG10),$AQ$51:$AV$59,2,FALSE),"")))</f>
        <v/>
      </c>
      <c r="AU10" s="711">
        <f t="shared" si="7"/>
        <v>0</v>
      </c>
      <c r="AV10" s="712">
        <f t="shared" si="8"/>
        <v>1</v>
      </c>
      <c r="AW10" s="711" t="b">
        <f t="shared" si="9"/>
        <v>0</v>
      </c>
      <c r="AX10" s="713" t="b">
        <f t="shared" si="10"/>
        <v>1</v>
      </c>
      <c r="AY10" s="711" t="b">
        <f t="shared" si="11"/>
        <v>0</v>
      </c>
      <c r="AZ10" s="713" t="b">
        <f t="shared" si="12"/>
        <v>0</v>
      </c>
      <c r="BA10" s="705" t="b">
        <f t="shared" si="13"/>
        <v>0</v>
      </c>
      <c r="BB10" s="705" t="b">
        <f t="shared" si="14"/>
        <v>0</v>
      </c>
      <c r="BC10" s="711" t="b">
        <f t="shared" si="15"/>
        <v>0</v>
      </c>
      <c r="BD10" s="714" t="b">
        <f t="shared" ref="BD10:BD40" si="30">IF(OR(ISNA($Z10),ISNUMBER($Z10),NOT(ISNUMBER(K10))),FALSE,OR(NOT(ISNUMBER(J10)),J10=0,AND(J10=0,K10&lt;&gt;0)))</f>
        <v>1</v>
      </c>
      <c r="BE10" s="713" t="b">
        <f t="shared" si="16"/>
        <v>0</v>
      </c>
      <c r="BF10" s="715" t="b">
        <f t="shared" si="17"/>
        <v>0</v>
      </c>
      <c r="BG10" s="663" t="b">
        <f t="shared" si="18"/>
        <v>1</v>
      </c>
      <c r="BH10" s="663">
        <f t="shared" ref="BH10:BH40" si="31">IF(ISNA($Z10),"",IF(OR($Z10=1,$Z10=2),"",$V10))</f>
        <v>1</v>
      </c>
      <c r="BI10" s="663">
        <f t="shared" si="19"/>
        <v>2</v>
      </c>
      <c r="BJ10" s="663" t="str">
        <f t="shared" si="20"/>
        <v>2*</v>
      </c>
      <c r="BK10" s="663">
        <f t="shared" si="21"/>
        <v>2</v>
      </c>
      <c r="BL10" s="716">
        <f t="shared" ref="BL10:BL40" si="32">IF(ISBLANK(BH10),"",IF(BH10=0,"",BH10))</f>
        <v>1</v>
      </c>
      <c r="BM10" s="663">
        <f t="shared" si="22"/>
        <v>2</v>
      </c>
      <c r="BN10" s="663">
        <f t="shared" si="23"/>
        <v>2</v>
      </c>
      <c r="BO10" s="666">
        <v>3</v>
      </c>
      <c r="BP10" s="717" t="s">
        <v>556</v>
      </c>
      <c r="BX10" s="642"/>
      <c r="BY10" s="642"/>
      <c r="BZ10" s="642"/>
      <c r="CA10" s="642"/>
      <c r="CB10" s="642"/>
      <c r="CC10" s="642"/>
    </row>
    <row r="11" spans="2:93" s="665" customFormat="1" ht="12.95" customHeight="1" x14ac:dyDescent="0.25">
      <c r="B11" s="719">
        <f>IF(ISNA(Z11),"",IF(OR(Z11=1,Z11=2),"    ",MAX($B$9:B10)+1))</f>
        <v>3</v>
      </c>
      <c r="C11" s="1058" t="str">
        <f t="shared" si="24"/>
        <v xml:space="preserve">      -  Data Collection (16.7%)</v>
      </c>
      <c r="D11" s="1058"/>
      <c r="E11" s="1058"/>
      <c r="F11" s="1059"/>
      <c r="G11" s="700">
        <f t="shared" si="0"/>
        <v>1</v>
      </c>
      <c r="H11" s="701" t="str">
        <f t="shared" si="1"/>
        <v>1*</v>
      </c>
      <c r="I11" s="720">
        <f t="shared" si="1"/>
        <v>3</v>
      </c>
      <c r="J11" s="723"/>
      <c r="K11" s="722">
        <v>4</v>
      </c>
      <c r="L11" s="1075"/>
      <c r="M11" s="1076"/>
      <c r="N11" s="1076"/>
      <c r="O11" s="1076"/>
      <c r="P11" s="1076"/>
      <c r="Q11" s="1076"/>
      <c r="R11" s="1077"/>
      <c r="T11" s="659">
        <v>3</v>
      </c>
      <c r="U11" s="647" t="s">
        <v>573</v>
      </c>
      <c r="V11" s="705">
        <v>1</v>
      </c>
      <c r="W11" s="705">
        <v>1</v>
      </c>
      <c r="X11" s="705" t="s">
        <v>212</v>
      </c>
      <c r="Y11" s="705" t="s">
        <v>212</v>
      </c>
      <c r="Z11" s="714" t="s">
        <v>212</v>
      </c>
      <c r="AA11" s="714">
        <v>2</v>
      </c>
      <c r="AB11" s="714">
        <v>1</v>
      </c>
      <c r="AC11" s="705">
        <v>3</v>
      </c>
      <c r="AD11" s="705">
        <v>1</v>
      </c>
      <c r="AE11" s="705">
        <v>1</v>
      </c>
      <c r="AF11" s="705" t="b">
        <v>1</v>
      </c>
      <c r="AG11" s="705">
        <v>1</v>
      </c>
      <c r="AH11" s="705">
        <v>0</v>
      </c>
      <c r="AI11" s="706">
        <f>IF(NOT(OR(Z11=1,Z11=2)),IF(AQ11&gt;0,$AR$45*AQ11/SUMIF($AQ$9:$AQ$40,"&gt;0"),IF(AU11&gt;0,$AV$45*AU11/SUMIF($AU$9:$AU$40,"&gt;0"),IF(AS11&gt;0,$AT$45*AS11/SUMIF($AS$9:$AS$40,"&gt;0"),""))),IF(SUMIF(AJ12:$AJ$40,"=" &amp; AJ11,AI12:$AI$40)=0,"",SUMIF(AJ12:$AJ$40,"=" &amp; AJ11,AI12:$AI$40)))</f>
        <v>0.16666666666666666</v>
      </c>
      <c r="AJ11" s="707">
        <f t="shared" ref="AJ11:AJ40" si="33">IF(OR(Z11=1,Z11=2,AA11&lt;AA10),AJ10+1,AJ10)</f>
        <v>0</v>
      </c>
      <c r="AK11" s="705">
        <f t="shared" si="26"/>
        <v>1</v>
      </c>
      <c r="AL11" s="714">
        <f t="shared" si="27"/>
        <v>4</v>
      </c>
      <c r="AM11" s="714">
        <f t="shared" ref="AM11:AM40" si="34">IF(ISNUMBER(AK11),IF(ISNUMBER(AL11),1,""),"")</f>
        <v>1</v>
      </c>
      <c r="AN11" s="714" t="str">
        <f t="shared" si="2"/>
        <v/>
      </c>
      <c r="AO11" s="714" t="str">
        <f t="shared" si="3"/>
        <v/>
      </c>
      <c r="AP11" s="705" t="b">
        <f t="shared" si="4"/>
        <v>0</v>
      </c>
      <c r="AQ11" s="708">
        <f t="shared" si="28"/>
        <v>1</v>
      </c>
      <c r="AR11" s="709">
        <f t="shared" si="5"/>
        <v>1</v>
      </c>
      <c r="AS11" s="710">
        <f t="shared" si="29"/>
        <v>0</v>
      </c>
      <c r="AT11" s="709" t="str">
        <f t="shared" si="6"/>
        <v/>
      </c>
      <c r="AU11" s="711">
        <f t="shared" si="7"/>
        <v>0</v>
      </c>
      <c r="AV11" s="712">
        <f t="shared" si="8"/>
        <v>1</v>
      </c>
      <c r="AW11" s="711" t="b">
        <f t="shared" si="9"/>
        <v>0</v>
      </c>
      <c r="AX11" s="713" t="b">
        <f t="shared" si="10"/>
        <v>1</v>
      </c>
      <c r="AY11" s="711" t="b">
        <f t="shared" si="11"/>
        <v>0</v>
      </c>
      <c r="AZ11" s="713" t="b">
        <f t="shared" si="12"/>
        <v>0</v>
      </c>
      <c r="BA11" s="705" t="b">
        <f t="shared" si="13"/>
        <v>0</v>
      </c>
      <c r="BB11" s="705" t="b">
        <f t="shared" si="14"/>
        <v>0</v>
      </c>
      <c r="BC11" s="711" t="b">
        <f t="shared" si="15"/>
        <v>0</v>
      </c>
      <c r="BD11" s="714" t="b">
        <f t="shared" si="30"/>
        <v>1</v>
      </c>
      <c r="BE11" s="713" t="b">
        <f t="shared" si="16"/>
        <v>0</v>
      </c>
      <c r="BF11" s="715" t="b">
        <f t="shared" si="17"/>
        <v>0</v>
      </c>
      <c r="BG11" s="663" t="b">
        <f t="shared" si="18"/>
        <v>1</v>
      </c>
      <c r="BH11" s="663">
        <f t="shared" si="31"/>
        <v>1</v>
      </c>
      <c r="BI11" s="663">
        <f t="shared" si="19"/>
        <v>1</v>
      </c>
      <c r="BJ11" s="663" t="str">
        <f t="shared" si="20"/>
        <v>1*</v>
      </c>
      <c r="BK11" s="663">
        <f t="shared" si="21"/>
        <v>3</v>
      </c>
      <c r="BL11" s="716">
        <f t="shared" si="32"/>
        <v>1</v>
      </c>
      <c r="BM11" s="663">
        <f t="shared" si="22"/>
        <v>1</v>
      </c>
      <c r="BN11" s="663">
        <f t="shared" si="23"/>
        <v>3</v>
      </c>
      <c r="BO11" s="666">
        <v>4</v>
      </c>
      <c r="BP11" s="717" t="s">
        <v>561</v>
      </c>
      <c r="BX11" s="724"/>
      <c r="BY11" s="717"/>
      <c r="BZ11" s="717"/>
      <c r="CB11" s="717"/>
    </row>
    <row r="12" spans="2:93" s="665" customFormat="1" ht="12.95" customHeight="1" x14ac:dyDescent="0.25">
      <c r="B12" s="719">
        <f>IF(ISNA(Z12),"",IF(OR(Z12=1,Z12=2),"    ",MAX($B$9:B11)+1))</f>
        <v>4</v>
      </c>
      <c r="C12" s="1058" t="str">
        <f t="shared" si="24"/>
        <v xml:space="preserve">      - Critical Thinking (16.7%)</v>
      </c>
      <c r="D12" s="1058"/>
      <c r="E12" s="1058"/>
      <c r="F12" s="1059"/>
      <c r="G12" s="700">
        <f t="shared" si="0"/>
        <v>1</v>
      </c>
      <c r="H12" s="701" t="str">
        <f t="shared" si="1"/>
        <v>2*</v>
      </c>
      <c r="I12" s="720">
        <f t="shared" si="1"/>
        <v>2</v>
      </c>
      <c r="J12" s="723"/>
      <c r="K12" s="722">
        <v>4</v>
      </c>
      <c r="L12" s="1075"/>
      <c r="M12" s="1076"/>
      <c r="N12" s="1076"/>
      <c r="O12" s="1076"/>
      <c r="P12" s="1076"/>
      <c r="Q12" s="1076"/>
      <c r="R12" s="1077"/>
      <c r="T12" s="659">
        <v>4</v>
      </c>
      <c r="U12" s="647" t="s">
        <v>574</v>
      </c>
      <c r="V12" s="705">
        <v>1</v>
      </c>
      <c r="W12" s="705">
        <v>1</v>
      </c>
      <c r="X12" s="705" t="s">
        <v>212</v>
      </c>
      <c r="Y12" s="705" t="s">
        <v>212</v>
      </c>
      <c r="Z12" s="714" t="s">
        <v>212</v>
      </c>
      <c r="AA12" s="714">
        <v>2</v>
      </c>
      <c r="AB12" s="714">
        <v>1</v>
      </c>
      <c r="AC12" s="705">
        <v>2</v>
      </c>
      <c r="AD12" s="705">
        <v>2</v>
      </c>
      <c r="AE12" s="705">
        <v>1</v>
      </c>
      <c r="AF12" s="705" t="b">
        <v>1</v>
      </c>
      <c r="AG12" s="705">
        <f t="shared" si="25"/>
        <v>2</v>
      </c>
      <c r="AH12" s="705">
        <v>1</v>
      </c>
      <c r="AI12" s="706">
        <f>IF(NOT(OR(Z12=1,Z12=2)),IF(AQ12&gt;0,$AR$45*AQ12/SUMIF($AQ$9:$AQ$40,"&gt;0"),IF(AU12&gt;0,$AV$45*AU12/SUMIF($AU$9:$AU$40,"&gt;0"),IF(AS12&gt;0,$AT$45*AS12/SUMIF($AS$9:$AS$40,"&gt;0"),""))),IF(SUMIF(AJ13:$AJ$40,"=" &amp; AJ12,AI13:$AI$40)=0,"",SUMIF(AJ13:$AJ$40,"=" &amp; AJ12,AI13:$AI$40)))</f>
        <v>0.16666666666666666</v>
      </c>
      <c r="AJ12" s="707">
        <f t="shared" si="33"/>
        <v>0</v>
      </c>
      <c r="AK12" s="705">
        <f t="shared" si="26"/>
        <v>2</v>
      </c>
      <c r="AL12" s="714">
        <f t="shared" si="27"/>
        <v>4</v>
      </c>
      <c r="AM12" s="714">
        <f t="shared" si="34"/>
        <v>1</v>
      </c>
      <c r="AN12" s="714" t="str">
        <f t="shared" si="2"/>
        <v/>
      </c>
      <c r="AO12" s="714" t="str">
        <f t="shared" si="3"/>
        <v/>
      </c>
      <c r="AP12" s="705" t="b">
        <f t="shared" si="4"/>
        <v>0</v>
      </c>
      <c r="AQ12" s="708">
        <f t="shared" si="28"/>
        <v>1</v>
      </c>
      <c r="AR12" s="709">
        <f t="shared" si="5"/>
        <v>1</v>
      </c>
      <c r="AS12" s="710">
        <f t="shared" si="29"/>
        <v>0</v>
      </c>
      <c r="AT12" s="709" t="str">
        <f t="shared" si="6"/>
        <v/>
      </c>
      <c r="AU12" s="711">
        <f t="shared" si="7"/>
        <v>0</v>
      </c>
      <c r="AV12" s="712">
        <f t="shared" si="8"/>
        <v>1</v>
      </c>
      <c r="AW12" s="711" t="b">
        <f t="shared" si="9"/>
        <v>0</v>
      </c>
      <c r="AX12" s="713" t="b">
        <f t="shared" si="10"/>
        <v>1</v>
      </c>
      <c r="AY12" s="711" t="b">
        <f t="shared" si="11"/>
        <v>0</v>
      </c>
      <c r="AZ12" s="713" t="b">
        <f t="shared" si="12"/>
        <v>0</v>
      </c>
      <c r="BA12" s="705" t="b">
        <f t="shared" si="13"/>
        <v>0</v>
      </c>
      <c r="BB12" s="705" t="b">
        <f t="shared" si="14"/>
        <v>0</v>
      </c>
      <c r="BC12" s="711" t="b">
        <f t="shared" si="15"/>
        <v>0</v>
      </c>
      <c r="BD12" s="714" t="b">
        <f t="shared" si="30"/>
        <v>1</v>
      </c>
      <c r="BE12" s="713" t="b">
        <f t="shared" si="16"/>
        <v>0</v>
      </c>
      <c r="BF12" s="715" t="b">
        <f t="shared" si="17"/>
        <v>0</v>
      </c>
      <c r="BG12" s="663" t="b">
        <f t="shared" si="18"/>
        <v>1</v>
      </c>
      <c r="BH12" s="663">
        <f t="shared" si="31"/>
        <v>1</v>
      </c>
      <c r="BI12" s="663">
        <f t="shared" si="19"/>
        <v>2</v>
      </c>
      <c r="BJ12" s="663" t="str">
        <f t="shared" si="20"/>
        <v>2*</v>
      </c>
      <c r="BK12" s="663">
        <f t="shared" si="21"/>
        <v>2</v>
      </c>
      <c r="BL12" s="716">
        <f t="shared" si="32"/>
        <v>1</v>
      </c>
      <c r="BM12" s="663">
        <f t="shared" si="22"/>
        <v>2</v>
      </c>
      <c r="BN12" s="663">
        <f t="shared" si="23"/>
        <v>2</v>
      </c>
      <c r="BO12" s="664" t="s">
        <v>221</v>
      </c>
      <c r="BP12" s="667"/>
      <c r="CE12" s="664" t="s">
        <v>575</v>
      </c>
      <c r="CF12" s="667"/>
    </row>
    <row r="13" spans="2:93" s="665" customFormat="1" ht="12.95" customHeight="1" x14ac:dyDescent="0.25">
      <c r="B13" s="719">
        <f>IF(ISNA(Z13),"",IF(OR(Z13=1,Z13=2),"    ",MAX($B$9:B12)+1))</f>
        <v>5</v>
      </c>
      <c r="C13" s="1058" t="str">
        <f t="shared" si="24"/>
        <v xml:space="preserve">      - Risk Management, Statutory Requirments, and Sustainability (16.7%)</v>
      </c>
      <c r="D13" s="1058"/>
      <c r="E13" s="1058"/>
      <c r="F13" s="1059"/>
      <c r="G13" s="700">
        <f t="shared" si="0"/>
        <v>1</v>
      </c>
      <c r="H13" s="701" t="str">
        <f t="shared" si="1"/>
        <v>2*</v>
      </c>
      <c r="I13" s="720">
        <f t="shared" si="1"/>
        <v>2</v>
      </c>
      <c r="J13" s="723"/>
      <c r="K13" s="722">
        <v>3</v>
      </c>
      <c r="L13" s="1075"/>
      <c r="M13" s="1076"/>
      <c r="N13" s="1076"/>
      <c r="O13" s="1076"/>
      <c r="P13" s="1076"/>
      <c r="Q13" s="1076"/>
      <c r="R13" s="1077"/>
      <c r="T13" s="659">
        <v>5</v>
      </c>
      <c r="U13" s="647" t="s">
        <v>576</v>
      </c>
      <c r="V13" s="705">
        <v>1</v>
      </c>
      <c r="W13" s="705">
        <v>1</v>
      </c>
      <c r="X13" s="705" t="s">
        <v>212</v>
      </c>
      <c r="Y13" s="705" t="s">
        <v>212</v>
      </c>
      <c r="Z13" s="714" t="s">
        <v>212</v>
      </c>
      <c r="AA13" s="714">
        <v>2</v>
      </c>
      <c r="AB13" s="714">
        <v>1</v>
      </c>
      <c r="AC13" s="705">
        <v>2</v>
      </c>
      <c r="AD13" s="705">
        <v>2</v>
      </c>
      <c r="AE13" s="705">
        <v>1</v>
      </c>
      <c r="AF13" s="705" t="b">
        <v>1</v>
      </c>
      <c r="AG13" s="705">
        <f t="shared" si="25"/>
        <v>2</v>
      </c>
      <c r="AH13" s="705">
        <v>1</v>
      </c>
      <c r="AI13" s="706">
        <f>IF(NOT(OR(Z13=1,Z13=2)),IF(AQ13&gt;0,$AR$45*AQ13/SUMIF($AQ$9:$AQ$40,"&gt;0"),IF(AU13&gt;0,$AV$45*AU13/SUMIF($AU$9:$AU$40,"&gt;0"),IF(AS13&gt;0,$AT$45*AS13/SUMIF($AS$9:$AS$40,"&gt;0"),""))),IF(SUMIF(AJ14:$AJ$40,"=" &amp; AJ13,AI14:$AI$40)=0,"",SUMIF(AJ14:$AJ$40,"=" &amp; AJ13,AI14:$AI$40)))</f>
        <v>0.16666666666666666</v>
      </c>
      <c r="AJ13" s="707">
        <f t="shared" si="33"/>
        <v>0</v>
      </c>
      <c r="AK13" s="705">
        <f t="shared" si="26"/>
        <v>2</v>
      </c>
      <c r="AL13" s="714">
        <f t="shared" si="27"/>
        <v>3</v>
      </c>
      <c r="AM13" s="714">
        <f t="shared" si="34"/>
        <v>1</v>
      </c>
      <c r="AN13" s="714" t="str">
        <f t="shared" si="2"/>
        <v/>
      </c>
      <c r="AO13" s="714" t="str">
        <f t="shared" si="3"/>
        <v/>
      </c>
      <c r="AP13" s="705" t="b">
        <f t="shared" si="4"/>
        <v>0</v>
      </c>
      <c r="AQ13" s="708">
        <f t="shared" si="28"/>
        <v>1</v>
      </c>
      <c r="AR13" s="709">
        <f t="shared" si="5"/>
        <v>0.95</v>
      </c>
      <c r="AS13" s="710">
        <f t="shared" si="29"/>
        <v>0</v>
      </c>
      <c r="AT13" s="709" t="str">
        <f t="shared" si="6"/>
        <v/>
      </c>
      <c r="AU13" s="711">
        <f t="shared" si="7"/>
        <v>0</v>
      </c>
      <c r="AV13" s="712">
        <f t="shared" si="8"/>
        <v>0.95</v>
      </c>
      <c r="AW13" s="711" t="b">
        <f t="shared" si="9"/>
        <v>0</v>
      </c>
      <c r="AX13" s="713" t="b">
        <f t="shared" si="10"/>
        <v>1</v>
      </c>
      <c r="AY13" s="711" t="b">
        <f t="shared" si="11"/>
        <v>0</v>
      </c>
      <c r="AZ13" s="713" t="b">
        <f t="shared" si="12"/>
        <v>0</v>
      </c>
      <c r="BA13" s="705" t="b">
        <f t="shared" si="13"/>
        <v>0</v>
      </c>
      <c r="BB13" s="705" t="b">
        <f t="shared" si="14"/>
        <v>0</v>
      </c>
      <c r="BC13" s="711" t="b">
        <f t="shared" si="15"/>
        <v>0</v>
      </c>
      <c r="BD13" s="714" t="b">
        <f t="shared" si="30"/>
        <v>1</v>
      </c>
      <c r="BE13" s="713" t="b">
        <f t="shared" si="16"/>
        <v>0</v>
      </c>
      <c r="BF13" s="715" t="b">
        <f t="shared" si="17"/>
        <v>0</v>
      </c>
      <c r="BG13" s="663" t="b">
        <f t="shared" si="18"/>
        <v>1</v>
      </c>
      <c r="BH13" s="663">
        <f t="shared" si="31"/>
        <v>1</v>
      </c>
      <c r="BI13" s="663">
        <f t="shared" si="19"/>
        <v>2</v>
      </c>
      <c r="BJ13" s="663" t="str">
        <f t="shared" si="20"/>
        <v>2*</v>
      </c>
      <c r="BK13" s="663">
        <f t="shared" si="21"/>
        <v>2</v>
      </c>
      <c r="BL13" s="716">
        <f t="shared" si="32"/>
        <v>1</v>
      </c>
      <c r="BM13" s="663">
        <f t="shared" si="22"/>
        <v>2</v>
      </c>
      <c r="BN13" s="663">
        <f t="shared" si="23"/>
        <v>2</v>
      </c>
      <c r="BO13" s="666" t="s">
        <v>214</v>
      </c>
      <c r="BP13" s="667" t="s">
        <v>215</v>
      </c>
      <c r="CE13" s="666" t="s">
        <v>214</v>
      </c>
      <c r="CF13" s="667" t="s">
        <v>215</v>
      </c>
    </row>
    <row r="14" spans="2:93" s="665" customFormat="1" ht="12.95" customHeight="1" x14ac:dyDescent="0.25">
      <c r="B14" s="719">
        <f>IF(ISNA(Z14),"",IF(OR(Z14=1,Z14=2),"    ",MAX($B$9:B13)+1))</f>
        <v>6</v>
      </c>
      <c r="C14" s="1058" t="str">
        <f t="shared" si="24"/>
        <v xml:space="preserve">      - Communication (16.7%)</v>
      </c>
      <c r="D14" s="1058"/>
      <c r="E14" s="1058"/>
      <c r="F14" s="1059"/>
      <c r="G14" s="700">
        <f t="shared" si="0"/>
        <v>1</v>
      </c>
      <c r="H14" s="701" t="str">
        <f t="shared" si="1"/>
        <v>2*</v>
      </c>
      <c r="I14" s="720">
        <f t="shared" si="1"/>
        <v>3</v>
      </c>
      <c r="J14" s="723"/>
      <c r="K14" s="722">
        <v>4</v>
      </c>
      <c r="L14" s="1075"/>
      <c r="M14" s="1076"/>
      <c r="N14" s="1076"/>
      <c r="O14" s="1076"/>
      <c r="P14" s="1076"/>
      <c r="Q14" s="1076"/>
      <c r="R14" s="1077"/>
      <c r="T14" s="659">
        <v>6</v>
      </c>
      <c r="U14" s="647" t="s">
        <v>447</v>
      </c>
      <c r="V14" s="705">
        <v>1</v>
      </c>
      <c r="W14" s="705">
        <v>1</v>
      </c>
      <c r="X14" s="705" t="s">
        <v>212</v>
      </c>
      <c r="Y14" s="705" t="s">
        <v>212</v>
      </c>
      <c r="Z14" s="714" t="s">
        <v>212</v>
      </c>
      <c r="AA14" s="714">
        <v>2</v>
      </c>
      <c r="AB14" s="714">
        <v>1</v>
      </c>
      <c r="AC14" s="705">
        <v>3</v>
      </c>
      <c r="AD14" s="705">
        <v>2</v>
      </c>
      <c r="AE14" s="705">
        <v>1</v>
      </c>
      <c r="AF14" s="705" t="b">
        <v>1</v>
      </c>
      <c r="AG14" s="705">
        <f t="shared" si="25"/>
        <v>2</v>
      </c>
      <c r="AH14" s="705">
        <f>IF(ISNUMBER(AC14),IF(CrewSoloQual="Yes",$AC14-1,$AD14-1),"")</f>
        <v>1</v>
      </c>
      <c r="AI14" s="706">
        <f>IF(NOT(OR(Z14=1,Z14=2)),IF(AQ14&gt;0,$AR$45*AQ14/SUMIF($AQ$9:$AQ$40,"&gt;0"),IF(AU14&gt;0,$AV$45*AU14/SUMIF($AU$9:$AU$40,"&gt;0"),IF(AS14&gt;0,$AT$45*AS14/SUMIF($AS$9:$AS$40,"&gt;0"),""))),IF(SUMIF(AJ15:$AJ$40,"=" &amp; AJ14,AI15:$AI$40)=0,"",SUMIF(AJ15:$AJ$40,"=" &amp; AJ14,AI15:$AI$40)))</f>
        <v>0.16666666666666666</v>
      </c>
      <c r="AJ14" s="707">
        <f t="shared" si="33"/>
        <v>0</v>
      </c>
      <c r="AK14" s="705">
        <f t="shared" si="26"/>
        <v>2</v>
      </c>
      <c r="AL14" s="714">
        <f t="shared" si="27"/>
        <v>4</v>
      </c>
      <c r="AM14" s="714">
        <f t="shared" si="34"/>
        <v>1</v>
      </c>
      <c r="AN14" s="714" t="str">
        <f t="shared" si="2"/>
        <v/>
      </c>
      <c r="AO14" s="714" t="str">
        <f t="shared" si="3"/>
        <v/>
      </c>
      <c r="AP14" s="705" t="b">
        <f t="shared" si="4"/>
        <v>0</v>
      </c>
      <c r="AQ14" s="708">
        <f t="shared" si="28"/>
        <v>1</v>
      </c>
      <c r="AR14" s="709">
        <f t="shared" si="5"/>
        <v>1</v>
      </c>
      <c r="AS14" s="710">
        <f t="shared" si="29"/>
        <v>0</v>
      </c>
      <c r="AT14" s="709" t="str">
        <f t="shared" si="6"/>
        <v/>
      </c>
      <c r="AU14" s="711">
        <f t="shared" si="7"/>
        <v>0</v>
      </c>
      <c r="AV14" s="712">
        <f t="shared" si="8"/>
        <v>1</v>
      </c>
      <c r="AW14" s="711" t="b">
        <f t="shared" si="9"/>
        <v>0</v>
      </c>
      <c r="AX14" s="713" t="b">
        <f t="shared" si="10"/>
        <v>1</v>
      </c>
      <c r="AY14" s="711" t="b">
        <f t="shared" si="11"/>
        <v>0</v>
      </c>
      <c r="AZ14" s="713" t="b">
        <f t="shared" si="12"/>
        <v>0</v>
      </c>
      <c r="BA14" s="705" t="b">
        <f t="shared" si="13"/>
        <v>0</v>
      </c>
      <c r="BB14" s="705" t="b">
        <f t="shared" si="14"/>
        <v>0</v>
      </c>
      <c r="BC14" s="711" t="b">
        <f t="shared" si="15"/>
        <v>0</v>
      </c>
      <c r="BD14" s="714" t="b">
        <f t="shared" si="30"/>
        <v>1</v>
      </c>
      <c r="BE14" s="713" t="b">
        <f t="shared" si="16"/>
        <v>0</v>
      </c>
      <c r="BF14" s="715" t="b">
        <f t="shared" si="17"/>
        <v>0</v>
      </c>
      <c r="BG14" s="663" t="b">
        <f t="shared" si="18"/>
        <v>1</v>
      </c>
      <c r="BH14" s="663">
        <f t="shared" si="31"/>
        <v>1</v>
      </c>
      <c r="BI14" s="663">
        <f t="shared" si="19"/>
        <v>2</v>
      </c>
      <c r="BJ14" s="663" t="str">
        <f t="shared" si="20"/>
        <v>2*</v>
      </c>
      <c r="BK14" s="663">
        <f t="shared" si="21"/>
        <v>3</v>
      </c>
      <c r="BL14" s="716">
        <f t="shared" si="32"/>
        <v>1</v>
      </c>
      <c r="BM14" s="663">
        <f t="shared" si="22"/>
        <v>2</v>
      </c>
      <c r="BN14" s="663">
        <f t="shared" si="23"/>
        <v>3</v>
      </c>
      <c r="BO14" s="666">
        <v>0</v>
      </c>
      <c r="BP14" s="667" t="s">
        <v>577</v>
      </c>
      <c r="CE14" s="666">
        <v>0</v>
      </c>
      <c r="CF14" s="667" t="s">
        <v>578</v>
      </c>
    </row>
    <row r="15" spans="2:93" s="665" customFormat="1" ht="12.95" customHeight="1" x14ac:dyDescent="0.25">
      <c r="B15" s="719" t="str">
        <f>IF(ISNA(Z15),"",IF(OR(Z15=1,Z15=2),"    ",MAX($B$9:B14)+1))</f>
        <v/>
      </c>
      <c r="C15" s="1058" t="str">
        <f t="shared" si="24"/>
        <v/>
      </c>
      <c r="D15" s="1058"/>
      <c r="E15" s="1058"/>
      <c r="F15" s="1059"/>
      <c r="G15" s="700" t="str">
        <f t="shared" si="0"/>
        <v/>
      </c>
      <c r="H15" s="701" t="str">
        <f t="shared" si="1"/>
        <v/>
      </c>
      <c r="I15" s="720" t="str">
        <f t="shared" si="1"/>
        <v/>
      </c>
      <c r="J15" s="723"/>
      <c r="K15" s="722"/>
      <c r="L15" s="1075"/>
      <c r="M15" s="1076"/>
      <c r="N15" s="1076"/>
      <c r="O15" s="1076"/>
      <c r="P15" s="1076"/>
      <c r="Q15" s="1076"/>
      <c r="R15" s="1077"/>
      <c r="T15" s="659">
        <v>7</v>
      </c>
      <c r="U15" s="647" t="e">
        <v>#N/A</v>
      </c>
      <c r="V15" s="705" t="e">
        <v>#N/A</v>
      </c>
      <c r="W15" s="705" t="e">
        <v>#N/A</v>
      </c>
      <c r="X15" s="705" t="e">
        <v>#N/A</v>
      </c>
      <c r="Y15" s="705" t="e">
        <v>#N/A</v>
      </c>
      <c r="Z15" s="714" t="e">
        <v>#N/A</v>
      </c>
      <c r="AA15" s="714" t="e">
        <v>#N/A</v>
      </c>
      <c r="AB15" s="714" t="e">
        <v>#N/A</v>
      </c>
      <c r="AC15" s="705" t="e">
        <v>#N/A</v>
      </c>
      <c r="AD15" s="705" t="e">
        <v>#N/A</v>
      </c>
      <c r="AE15" s="705" t="e">
        <v>#N/A</v>
      </c>
      <c r="AF15" s="705" t="e">
        <v>#N/A</v>
      </c>
      <c r="AG15" s="705" t="e">
        <f t="shared" si="25"/>
        <v>#N/A</v>
      </c>
      <c r="AH15" s="705" t="str">
        <f t="shared" ref="AH15:AH40" si="35">IF(ISNUMBER(AC15),IF(CrewSoloQual="Yes",$AC15-1,$AD15-1),"")</f>
        <v/>
      </c>
      <c r="AI15" s="706" t="e">
        <f>IF(NOT(OR(Z15=1,Z15=2)),IF(AQ15&gt;0,$AR$45*AQ15/SUMIF($AQ$9:$AQ$40,"&gt;0"),IF(AU15&gt;0,$AV$45*AU15/SUMIF($AU$9:$AU$40,"&gt;0"),IF(AS15&gt;0,$AT$45*AS15/SUMIF($AS$9:$AS$40,"&gt;0"),""))),IF(SUMIF(AJ16:$AJ$40,"=" &amp; AJ15,AI16:$AI$40)=0,"",SUMIF(AJ16:$AJ$40,"=" &amp; AJ15,AI16:$AI$40)))</f>
        <v>#N/A</v>
      </c>
      <c r="AJ15" s="707" t="e">
        <f t="shared" si="33"/>
        <v>#N/A</v>
      </c>
      <c r="AK15" s="705" t="str">
        <f t="shared" si="26"/>
        <v/>
      </c>
      <c r="AL15" s="714" t="str">
        <f t="shared" si="27"/>
        <v/>
      </c>
      <c r="AM15" s="714" t="str">
        <f t="shared" si="34"/>
        <v/>
      </c>
      <c r="AN15" s="714" t="str">
        <f t="shared" si="2"/>
        <v/>
      </c>
      <c r="AO15" s="714" t="e">
        <f t="shared" si="3"/>
        <v>#N/A</v>
      </c>
      <c r="AP15" s="705" t="str">
        <f t="shared" si="4"/>
        <v/>
      </c>
      <c r="AQ15" s="708">
        <f t="shared" si="28"/>
        <v>0</v>
      </c>
      <c r="AR15" s="709" t="str">
        <f t="shared" si="5"/>
        <v/>
      </c>
      <c r="AS15" s="710">
        <f t="shared" si="29"/>
        <v>0</v>
      </c>
      <c r="AT15" s="709" t="str">
        <f t="shared" si="6"/>
        <v/>
      </c>
      <c r="AU15" s="711">
        <f t="shared" si="7"/>
        <v>0</v>
      </c>
      <c r="AV15" s="712" t="str">
        <f t="shared" si="8"/>
        <v/>
      </c>
      <c r="AW15" s="711" t="b">
        <f t="shared" si="9"/>
        <v>0</v>
      </c>
      <c r="AX15" s="713" t="b">
        <f t="shared" si="10"/>
        <v>0</v>
      </c>
      <c r="AY15" s="711" t="b">
        <f t="shared" si="11"/>
        <v>0</v>
      </c>
      <c r="AZ15" s="713" t="b">
        <f t="shared" si="12"/>
        <v>0</v>
      </c>
      <c r="BA15" s="705" t="b">
        <f t="shared" si="13"/>
        <v>0</v>
      </c>
      <c r="BB15" s="705" t="b">
        <f t="shared" si="14"/>
        <v>0</v>
      </c>
      <c r="BC15" s="711" t="b">
        <f t="shared" si="15"/>
        <v>0</v>
      </c>
      <c r="BD15" s="714" t="b">
        <f t="shared" si="30"/>
        <v>0</v>
      </c>
      <c r="BE15" s="713" t="b">
        <f t="shared" si="16"/>
        <v>0</v>
      </c>
      <c r="BF15" s="715" t="b">
        <f t="shared" si="17"/>
        <v>0</v>
      </c>
      <c r="BG15" s="663" t="str">
        <f t="shared" si="18"/>
        <v>NA</v>
      </c>
      <c r="BH15" s="663" t="str">
        <f t="shared" si="31"/>
        <v/>
      </c>
      <c r="BI15" s="663" t="str">
        <f t="shared" si="19"/>
        <v/>
      </c>
      <c r="BJ15" s="663" t="str">
        <f t="shared" si="20"/>
        <v/>
      </c>
      <c r="BK15" s="663" t="str">
        <f t="shared" si="21"/>
        <v/>
      </c>
      <c r="BL15" s="716" t="str">
        <f t="shared" si="32"/>
        <v/>
      </c>
      <c r="BM15" s="663" t="str">
        <f t="shared" si="22"/>
        <v/>
      </c>
      <c r="BN15" s="663" t="str">
        <f t="shared" si="23"/>
        <v/>
      </c>
      <c r="BO15" s="666">
        <v>1</v>
      </c>
      <c r="BP15" s="717" t="s">
        <v>579</v>
      </c>
      <c r="CE15" s="1060">
        <v>1</v>
      </c>
      <c r="CF15" s="1061" t="s">
        <v>580</v>
      </c>
      <c r="CG15" s="1061"/>
      <c r="CH15" s="1061"/>
      <c r="CI15" s="1061"/>
      <c r="CJ15" s="1061"/>
      <c r="CK15" s="1061"/>
      <c r="CL15" s="1061"/>
      <c r="CM15" s="1061"/>
      <c r="CN15" s="1061"/>
      <c r="CO15" s="1061"/>
    </row>
    <row r="16" spans="2:93" s="665" customFormat="1" ht="12.95" customHeight="1" x14ac:dyDescent="0.25">
      <c r="B16" s="719" t="str">
        <f>IF(ISNA(Z16),"",IF(OR(Z16=1,Z16=2),"    ",MAX($B$9:B15)+1))</f>
        <v/>
      </c>
      <c r="C16" s="1058" t="str">
        <f t="shared" si="24"/>
        <v/>
      </c>
      <c r="D16" s="1058"/>
      <c r="E16" s="1058"/>
      <c r="F16" s="1059"/>
      <c r="G16" s="700" t="str">
        <f t="shared" si="0"/>
        <v/>
      </c>
      <c r="H16" s="701" t="str">
        <f t="shared" si="1"/>
        <v/>
      </c>
      <c r="I16" s="720" t="str">
        <f t="shared" si="1"/>
        <v/>
      </c>
      <c r="J16" s="723"/>
      <c r="K16" s="722"/>
      <c r="L16" s="1075"/>
      <c r="M16" s="1076"/>
      <c r="N16" s="1076"/>
      <c r="O16" s="1076"/>
      <c r="P16" s="1076"/>
      <c r="Q16" s="1076"/>
      <c r="R16" s="1077"/>
      <c r="T16" s="659">
        <v>8</v>
      </c>
      <c r="U16" s="647" t="e">
        <v>#N/A</v>
      </c>
      <c r="V16" s="705" t="e">
        <v>#N/A</v>
      </c>
      <c r="W16" s="705" t="e">
        <v>#N/A</v>
      </c>
      <c r="X16" s="705" t="e">
        <v>#N/A</v>
      </c>
      <c r="Y16" s="705" t="e">
        <v>#N/A</v>
      </c>
      <c r="Z16" s="714" t="e">
        <v>#N/A</v>
      </c>
      <c r="AA16" s="714" t="e">
        <v>#N/A</v>
      </c>
      <c r="AB16" s="714" t="e">
        <v>#N/A</v>
      </c>
      <c r="AC16" s="705" t="e">
        <v>#N/A</v>
      </c>
      <c r="AD16" s="705" t="e">
        <v>#N/A</v>
      </c>
      <c r="AE16" s="705" t="e">
        <v>#N/A</v>
      </c>
      <c r="AF16" s="705" t="e">
        <v>#N/A</v>
      </c>
      <c r="AG16" s="705" t="e">
        <f t="shared" si="25"/>
        <v>#N/A</v>
      </c>
      <c r="AH16" s="705" t="str">
        <f t="shared" si="35"/>
        <v/>
      </c>
      <c r="AI16" s="706" t="e">
        <f>IF(NOT(OR(Z16=1,Z16=2)),IF(AQ16&gt;0,$AR$45*AQ16/SUMIF($AQ$9:$AQ$40,"&gt;0"),IF(AU16&gt;0,$AV$45*AU16/SUMIF($AU$9:$AU$40,"&gt;0"),IF(AS16&gt;0,$AT$45*AS16/SUMIF($AS$9:$AS$40,"&gt;0"),""))),IF(SUMIF(AJ17:$AJ$40,"=" &amp; AJ16,AI17:$AI$40)=0,"",SUMIF(AJ17:$AJ$40,"=" &amp; AJ16,AI17:$AI$40)))</f>
        <v>#N/A</v>
      </c>
      <c r="AJ16" s="707" t="e">
        <f t="shared" si="33"/>
        <v>#N/A</v>
      </c>
      <c r="AK16" s="705" t="str">
        <f t="shared" si="26"/>
        <v/>
      </c>
      <c r="AL16" s="714" t="str">
        <f t="shared" si="27"/>
        <v/>
      </c>
      <c r="AM16" s="714" t="str">
        <f t="shared" si="34"/>
        <v/>
      </c>
      <c r="AN16" s="714" t="str">
        <f t="shared" si="2"/>
        <v/>
      </c>
      <c r="AO16" s="714" t="e">
        <f t="shared" si="3"/>
        <v>#N/A</v>
      </c>
      <c r="AP16" s="705" t="str">
        <f t="shared" si="4"/>
        <v/>
      </c>
      <c r="AQ16" s="708">
        <f t="shared" si="28"/>
        <v>0</v>
      </c>
      <c r="AR16" s="709" t="str">
        <f t="shared" si="5"/>
        <v/>
      </c>
      <c r="AS16" s="710">
        <f t="shared" si="29"/>
        <v>0</v>
      </c>
      <c r="AT16" s="709" t="str">
        <f t="shared" si="6"/>
        <v/>
      </c>
      <c r="AU16" s="711">
        <f t="shared" si="7"/>
        <v>0</v>
      </c>
      <c r="AV16" s="712" t="str">
        <f t="shared" si="8"/>
        <v/>
      </c>
      <c r="AW16" s="711" t="b">
        <f t="shared" si="9"/>
        <v>0</v>
      </c>
      <c r="AX16" s="713" t="b">
        <f t="shared" si="10"/>
        <v>0</v>
      </c>
      <c r="AY16" s="711" t="b">
        <f t="shared" si="11"/>
        <v>0</v>
      </c>
      <c r="AZ16" s="713" t="b">
        <f t="shared" si="12"/>
        <v>0</v>
      </c>
      <c r="BA16" s="705" t="b">
        <f t="shared" si="13"/>
        <v>0</v>
      </c>
      <c r="BB16" s="705" t="b">
        <f t="shared" si="14"/>
        <v>0</v>
      </c>
      <c r="BC16" s="711" t="b">
        <f t="shared" si="15"/>
        <v>0</v>
      </c>
      <c r="BD16" s="714" t="b">
        <f t="shared" si="30"/>
        <v>0</v>
      </c>
      <c r="BE16" s="713" t="b">
        <f t="shared" si="16"/>
        <v>0</v>
      </c>
      <c r="BF16" s="715" t="b">
        <f t="shared" si="17"/>
        <v>0</v>
      </c>
      <c r="BG16" s="663" t="str">
        <f t="shared" si="18"/>
        <v>NA</v>
      </c>
      <c r="BH16" s="663" t="str">
        <f t="shared" si="31"/>
        <v/>
      </c>
      <c r="BI16" s="663" t="str">
        <f t="shared" si="19"/>
        <v/>
      </c>
      <c r="BJ16" s="663" t="str">
        <f t="shared" si="20"/>
        <v/>
      </c>
      <c r="BK16" s="663" t="str">
        <f t="shared" si="21"/>
        <v/>
      </c>
      <c r="BL16" s="716" t="str">
        <f t="shared" si="32"/>
        <v/>
      </c>
      <c r="BM16" s="663" t="str">
        <f t="shared" si="22"/>
        <v/>
      </c>
      <c r="BN16" s="663" t="str">
        <f t="shared" si="23"/>
        <v/>
      </c>
      <c r="BO16" s="666">
        <v>2</v>
      </c>
      <c r="BP16" s="717" t="s">
        <v>581</v>
      </c>
      <c r="CE16" s="1060"/>
      <c r="CF16" s="1061"/>
      <c r="CG16" s="1061"/>
      <c r="CH16" s="1061"/>
      <c r="CI16" s="1061"/>
      <c r="CJ16" s="1061"/>
      <c r="CK16" s="1061"/>
      <c r="CL16" s="1061"/>
      <c r="CM16" s="1061"/>
      <c r="CN16" s="1061"/>
      <c r="CO16" s="1061"/>
    </row>
    <row r="17" spans="2:93" s="665" customFormat="1" ht="12.95" customHeight="1" x14ac:dyDescent="0.25">
      <c r="B17" s="719" t="str">
        <f>IF(ISNA(Z17),"",IF(OR(Z17=1,Z17=2),"    ",MAX($B$9:B16)+1))</f>
        <v/>
      </c>
      <c r="C17" s="1058" t="str">
        <f t="shared" si="24"/>
        <v/>
      </c>
      <c r="D17" s="1058"/>
      <c r="E17" s="1058"/>
      <c r="F17" s="1059"/>
      <c r="G17" s="700" t="str">
        <f t="shared" si="0"/>
        <v/>
      </c>
      <c r="H17" s="701" t="str">
        <f t="shared" si="1"/>
        <v/>
      </c>
      <c r="I17" s="720" t="str">
        <f t="shared" si="1"/>
        <v/>
      </c>
      <c r="J17" s="723"/>
      <c r="K17" s="722"/>
      <c r="L17" s="1075"/>
      <c r="M17" s="1076"/>
      <c r="N17" s="1076"/>
      <c r="O17" s="1076"/>
      <c r="P17" s="1076"/>
      <c r="Q17" s="1076"/>
      <c r="R17" s="1077"/>
      <c r="T17" s="659">
        <v>9</v>
      </c>
      <c r="U17" s="647" t="e">
        <v>#N/A</v>
      </c>
      <c r="V17" s="705" t="e">
        <v>#N/A</v>
      </c>
      <c r="W17" s="705" t="e">
        <v>#N/A</v>
      </c>
      <c r="X17" s="705" t="e">
        <v>#N/A</v>
      </c>
      <c r="Y17" s="705" t="e">
        <v>#N/A</v>
      </c>
      <c r="Z17" s="714" t="e">
        <v>#N/A</v>
      </c>
      <c r="AA17" s="714" t="e">
        <v>#N/A</v>
      </c>
      <c r="AB17" s="714" t="e">
        <v>#N/A</v>
      </c>
      <c r="AC17" s="705" t="e">
        <v>#N/A</v>
      </c>
      <c r="AD17" s="705" t="e">
        <v>#N/A</v>
      </c>
      <c r="AE17" s="705" t="e">
        <v>#N/A</v>
      </c>
      <c r="AF17" s="705" t="e">
        <v>#N/A</v>
      </c>
      <c r="AG17" s="705" t="e">
        <f t="shared" si="25"/>
        <v>#N/A</v>
      </c>
      <c r="AH17" s="705" t="str">
        <f t="shared" si="35"/>
        <v/>
      </c>
      <c r="AI17" s="706" t="e">
        <f>IF(NOT(OR(Z17=1,Z17=2)),IF(AQ17&gt;0,$AR$45*AQ17/SUMIF($AQ$9:$AQ$40,"&gt;0"),IF(AU17&gt;0,$AV$45*AU17/SUMIF($AU$9:$AU$40,"&gt;0"),IF(AS17&gt;0,$AT$45*AS17/SUMIF($AS$9:$AS$40,"&gt;0"),""))),IF(SUMIF(AJ18:$AJ$40,"=" &amp; AJ17,AI18:$AI$40)=0,"",SUMIF(AJ18:$AJ$40,"=" &amp; AJ17,AI18:$AI$40)))</f>
        <v>#N/A</v>
      </c>
      <c r="AJ17" s="707" t="e">
        <f t="shared" si="33"/>
        <v>#N/A</v>
      </c>
      <c r="AK17" s="705" t="str">
        <f t="shared" si="26"/>
        <v/>
      </c>
      <c r="AL17" s="714" t="str">
        <f t="shared" si="27"/>
        <v/>
      </c>
      <c r="AM17" s="714" t="str">
        <f t="shared" si="34"/>
        <v/>
      </c>
      <c r="AN17" s="714" t="str">
        <f t="shared" si="2"/>
        <v/>
      </c>
      <c r="AO17" s="714" t="e">
        <f t="shared" si="3"/>
        <v>#N/A</v>
      </c>
      <c r="AP17" s="705" t="str">
        <f t="shared" si="4"/>
        <v/>
      </c>
      <c r="AQ17" s="708">
        <f t="shared" si="28"/>
        <v>0</v>
      </c>
      <c r="AR17" s="709" t="str">
        <f t="shared" si="5"/>
        <v/>
      </c>
      <c r="AS17" s="710">
        <f t="shared" si="29"/>
        <v>0</v>
      </c>
      <c r="AT17" s="709" t="str">
        <f t="shared" si="6"/>
        <v/>
      </c>
      <c r="AU17" s="711">
        <f t="shared" si="7"/>
        <v>0</v>
      </c>
      <c r="AV17" s="712" t="str">
        <f t="shared" si="8"/>
        <v/>
      </c>
      <c r="AW17" s="711" t="b">
        <f t="shared" si="9"/>
        <v>0</v>
      </c>
      <c r="AX17" s="713" t="b">
        <f t="shared" si="10"/>
        <v>0</v>
      </c>
      <c r="AY17" s="711" t="b">
        <f t="shared" si="11"/>
        <v>0</v>
      </c>
      <c r="AZ17" s="713" t="b">
        <f t="shared" si="12"/>
        <v>0</v>
      </c>
      <c r="BA17" s="705" t="b">
        <f t="shared" si="13"/>
        <v>0</v>
      </c>
      <c r="BB17" s="705" t="b">
        <f t="shared" si="14"/>
        <v>0</v>
      </c>
      <c r="BC17" s="711" t="b">
        <f t="shared" si="15"/>
        <v>0</v>
      </c>
      <c r="BD17" s="714" t="b">
        <f t="shared" si="30"/>
        <v>0</v>
      </c>
      <c r="BE17" s="713" t="b">
        <f t="shared" si="16"/>
        <v>0</v>
      </c>
      <c r="BF17" s="715" t="b">
        <f t="shared" si="17"/>
        <v>0</v>
      </c>
      <c r="BG17" s="663" t="str">
        <f t="shared" si="18"/>
        <v>NA</v>
      </c>
      <c r="BH17" s="663" t="str">
        <f t="shared" si="31"/>
        <v/>
      </c>
      <c r="BI17" s="663" t="str">
        <f t="shared" si="19"/>
        <v/>
      </c>
      <c r="BJ17" s="663" t="str">
        <f t="shared" si="20"/>
        <v/>
      </c>
      <c r="BK17" s="663" t="str">
        <f t="shared" si="21"/>
        <v/>
      </c>
      <c r="BL17" s="716" t="str">
        <f t="shared" si="32"/>
        <v/>
      </c>
      <c r="BM17" s="663" t="str">
        <f t="shared" si="22"/>
        <v/>
      </c>
      <c r="BN17" s="663" t="str">
        <f t="shared" si="23"/>
        <v/>
      </c>
      <c r="BO17" s="666">
        <v>3</v>
      </c>
      <c r="BP17" s="717" t="s">
        <v>582</v>
      </c>
      <c r="CE17" s="1060">
        <v>2</v>
      </c>
      <c r="CF17" s="1061" t="s">
        <v>583</v>
      </c>
      <c r="CG17" s="1061"/>
      <c r="CH17" s="1061"/>
      <c r="CI17" s="1061"/>
      <c r="CJ17" s="1061"/>
      <c r="CK17" s="1061"/>
      <c r="CL17" s="1061"/>
      <c r="CM17" s="1061"/>
      <c r="CN17" s="1061"/>
      <c r="CO17" s="1061"/>
    </row>
    <row r="18" spans="2:93" s="665" customFormat="1" ht="12.95" customHeight="1" x14ac:dyDescent="0.25">
      <c r="B18" s="719" t="str">
        <f>IF(ISNA(Z18),"",IF(OR(Z18=1,Z18=2),"    ",MAX($B$9:B17)+1))</f>
        <v/>
      </c>
      <c r="C18" s="1058" t="str">
        <f t="shared" si="24"/>
        <v/>
      </c>
      <c r="D18" s="1058"/>
      <c r="E18" s="1058"/>
      <c r="F18" s="1059"/>
      <c r="G18" s="700" t="str">
        <f t="shared" si="0"/>
        <v/>
      </c>
      <c r="H18" s="701" t="str">
        <f t="shared" si="1"/>
        <v/>
      </c>
      <c r="I18" s="720" t="str">
        <f t="shared" si="1"/>
        <v/>
      </c>
      <c r="J18" s="723"/>
      <c r="K18" s="722"/>
      <c r="L18" s="1075"/>
      <c r="M18" s="1076"/>
      <c r="N18" s="1076"/>
      <c r="O18" s="1076"/>
      <c r="P18" s="1076"/>
      <c r="Q18" s="1076"/>
      <c r="R18" s="1077"/>
      <c r="T18" s="659">
        <v>10</v>
      </c>
      <c r="U18" s="647" t="e">
        <v>#N/A</v>
      </c>
      <c r="V18" s="705" t="e">
        <v>#N/A</v>
      </c>
      <c r="W18" s="705" t="e">
        <v>#N/A</v>
      </c>
      <c r="X18" s="705" t="e">
        <v>#N/A</v>
      </c>
      <c r="Y18" s="705" t="e">
        <v>#N/A</v>
      </c>
      <c r="Z18" s="714" t="e">
        <v>#N/A</v>
      </c>
      <c r="AA18" s="714" t="e">
        <v>#N/A</v>
      </c>
      <c r="AB18" s="714" t="e">
        <v>#N/A</v>
      </c>
      <c r="AC18" s="705" t="e">
        <v>#N/A</v>
      </c>
      <c r="AD18" s="705" t="e">
        <v>#N/A</v>
      </c>
      <c r="AE18" s="705" t="e">
        <v>#N/A</v>
      </c>
      <c r="AF18" s="705" t="e">
        <v>#N/A</v>
      </c>
      <c r="AG18" s="705" t="e">
        <f t="shared" si="25"/>
        <v>#N/A</v>
      </c>
      <c r="AH18" s="705" t="str">
        <f t="shared" si="35"/>
        <v/>
      </c>
      <c r="AI18" s="706" t="e">
        <f>IF(NOT(OR(Z18=1,Z18=2)),IF(AQ18&gt;0,$AR$45*AQ18/SUMIF($AQ$9:$AQ$40,"&gt;0"),IF(AU18&gt;0,$AV$45*AU18/SUMIF($AU$9:$AU$40,"&gt;0"),IF(AS18&gt;0,$AT$45*AS18/SUMIF($AS$9:$AS$40,"&gt;0"),""))),IF(SUMIF(AJ19:$AJ$40,"=" &amp; AJ18,AI19:$AI$40)=0,"",SUMIF(AJ19:$AJ$40,"=" &amp; AJ18,AI19:$AI$40)))</f>
        <v>#N/A</v>
      </c>
      <c r="AJ18" s="707" t="e">
        <f t="shared" si="33"/>
        <v>#N/A</v>
      </c>
      <c r="AK18" s="705" t="str">
        <f t="shared" si="26"/>
        <v/>
      </c>
      <c r="AL18" s="714" t="str">
        <f t="shared" si="27"/>
        <v/>
      </c>
      <c r="AM18" s="714" t="str">
        <f t="shared" si="34"/>
        <v/>
      </c>
      <c r="AN18" s="714" t="str">
        <f t="shared" si="2"/>
        <v/>
      </c>
      <c r="AO18" s="714" t="e">
        <f t="shared" si="3"/>
        <v>#N/A</v>
      </c>
      <c r="AP18" s="705" t="str">
        <f t="shared" si="4"/>
        <v/>
      </c>
      <c r="AQ18" s="708">
        <f t="shared" si="28"/>
        <v>0</v>
      </c>
      <c r="AR18" s="709" t="str">
        <f t="shared" si="5"/>
        <v/>
      </c>
      <c r="AS18" s="710">
        <f t="shared" si="29"/>
        <v>0</v>
      </c>
      <c r="AT18" s="709" t="str">
        <f t="shared" si="6"/>
        <v/>
      </c>
      <c r="AU18" s="711">
        <f t="shared" si="7"/>
        <v>0</v>
      </c>
      <c r="AV18" s="712" t="str">
        <f t="shared" si="8"/>
        <v/>
      </c>
      <c r="AW18" s="711" t="b">
        <f t="shared" si="9"/>
        <v>0</v>
      </c>
      <c r="AX18" s="713" t="b">
        <f t="shared" si="10"/>
        <v>0</v>
      </c>
      <c r="AY18" s="711" t="b">
        <f t="shared" si="11"/>
        <v>0</v>
      </c>
      <c r="AZ18" s="713" t="b">
        <f t="shared" si="12"/>
        <v>0</v>
      </c>
      <c r="BA18" s="705" t="b">
        <f t="shared" si="13"/>
        <v>0</v>
      </c>
      <c r="BB18" s="705" t="b">
        <f t="shared" si="14"/>
        <v>0</v>
      </c>
      <c r="BC18" s="711" t="b">
        <f t="shared" si="15"/>
        <v>0</v>
      </c>
      <c r="BD18" s="714" t="b">
        <f t="shared" si="30"/>
        <v>0</v>
      </c>
      <c r="BE18" s="713" t="b">
        <f t="shared" si="16"/>
        <v>0</v>
      </c>
      <c r="BF18" s="715" t="b">
        <f t="shared" si="17"/>
        <v>0</v>
      </c>
      <c r="BG18" s="663" t="str">
        <f t="shared" si="18"/>
        <v>NA</v>
      </c>
      <c r="BH18" s="663" t="str">
        <f t="shared" si="31"/>
        <v/>
      </c>
      <c r="BI18" s="663" t="str">
        <f t="shared" si="19"/>
        <v/>
      </c>
      <c r="BJ18" s="663" t="str">
        <f t="shared" si="20"/>
        <v/>
      </c>
      <c r="BK18" s="663" t="str">
        <f t="shared" si="21"/>
        <v/>
      </c>
      <c r="BL18" s="716" t="str">
        <f t="shared" si="32"/>
        <v/>
      </c>
      <c r="BM18" s="663" t="str">
        <f t="shared" si="22"/>
        <v/>
      </c>
      <c r="BN18" s="663" t="str">
        <f t="shared" si="23"/>
        <v/>
      </c>
      <c r="BO18" s="666">
        <v>4</v>
      </c>
      <c r="BP18" s="717" t="s">
        <v>584</v>
      </c>
      <c r="CE18" s="1060"/>
      <c r="CF18" s="1061"/>
      <c r="CG18" s="1061"/>
      <c r="CH18" s="1061"/>
      <c r="CI18" s="1061"/>
      <c r="CJ18" s="1061"/>
      <c r="CK18" s="1061"/>
      <c r="CL18" s="1061"/>
      <c r="CM18" s="1061"/>
      <c r="CN18" s="1061"/>
      <c r="CO18" s="1061"/>
    </row>
    <row r="19" spans="2:93" s="665" customFormat="1" ht="12.95" customHeight="1" x14ac:dyDescent="0.25">
      <c r="B19" s="719" t="str">
        <f>IF(ISNA(Z19),"",IF(OR(Z19=1,Z19=2),"    ",MAX($B$9:B18)+1))</f>
        <v/>
      </c>
      <c r="C19" s="1058" t="str">
        <f t="shared" si="24"/>
        <v/>
      </c>
      <c r="D19" s="1058"/>
      <c r="E19" s="1058"/>
      <c r="F19" s="1059"/>
      <c r="G19" s="700" t="str">
        <f t="shared" si="0"/>
        <v/>
      </c>
      <c r="H19" s="701" t="str">
        <f t="shared" si="1"/>
        <v/>
      </c>
      <c r="I19" s="720" t="str">
        <f t="shared" si="1"/>
        <v/>
      </c>
      <c r="J19" s="723"/>
      <c r="K19" s="722"/>
      <c r="L19" s="1075"/>
      <c r="M19" s="1076"/>
      <c r="N19" s="1076"/>
      <c r="O19" s="1076"/>
      <c r="P19" s="1076"/>
      <c r="Q19" s="1076"/>
      <c r="R19" s="1077"/>
      <c r="T19" s="659">
        <v>11</v>
      </c>
      <c r="U19" s="647" t="e">
        <v>#N/A</v>
      </c>
      <c r="V19" s="705" t="e">
        <v>#N/A</v>
      </c>
      <c r="W19" s="705" t="e">
        <v>#N/A</v>
      </c>
      <c r="X19" s="705" t="e">
        <v>#N/A</v>
      </c>
      <c r="Y19" s="705" t="e">
        <v>#N/A</v>
      </c>
      <c r="Z19" s="714" t="e">
        <v>#N/A</v>
      </c>
      <c r="AA19" s="714" t="e">
        <v>#N/A</v>
      </c>
      <c r="AB19" s="714" t="e">
        <v>#N/A</v>
      </c>
      <c r="AC19" s="705" t="e">
        <v>#N/A</v>
      </c>
      <c r="AD19" s="705" t="e">
        <v>#N/A</v>
      </c>
      <c r="AE19" s="705" t="e">
        <v>#N/A</v>
      </c>
      <c r="AF19" s="705" t="e">
        <v>#N/A</v>
      </c>
      <c r="AG19" s="705" t="e">
        <f t="shared" si="25"/>
        <v>#N/A</v>
      </c>
      <c r="AH19" s="705" t="str">
        <f t="shared" si="35"/>
        <v/>
      </c>
      <c r="AI19" s="706" t="e">
        <f>IF(NOT(OR(Z19=1,Z19=2)),IF(AQ19&gt;0,$AR$45*AQ19/SUMIF($AQ$9:$AQ$40,"&gt;0"),IF(AU19&gt;0,$AV$45*AU19/SUMIF($AU$9:$AU$40,"&gt;0"),IF(AS19&gt;0,$AT$45*AS19/SUMIF($AS$9:$AS$40,"&gt;0"),""))),IF(SUMIF(AJ20:$AJ$40,"=" &amp; AJ19,AI20:$AI$40)=0,"",SUMIF(AJ20:$AJ$40,"=" &amp; AJ19,AI20:$AI$40)))</f>
        <v>#N/A</v>
      </c>
      <c r="AJ19" s="707" t="e">
        <f t="shared" si="33"/>
        <v>#N/A</v>
      </c>
      <c r="AK19" s="705" t="str">
        <f t="shared" si="26"/>
        <v/>
      </c>
      <c r="AL19" s="714" t="str">
        <f t="shared" si="27"/>
        <v/>
      </c>
      <c r="AM19" s="714" t="str">
        <f t="shared" si="34"/>
        <v/>
      </c>
      <c r="AN19" s="714" t="str">
        <f t="shared" si="2"/>
        <v/>
      </c>
      <c r="AO19" s="714" t="e">
        <f t="shared" si="3"/>
        <v>#N/A</v>
      </c>
      <c r="AP19" s="705" t="str">
        <f t="shared" si="4"/>
        <v/>
      </c>
      <c r="AQ19" s="708">
        <f t="shared" si="28"/>
        <v>0</v>
      </c>
      <c r="AR19" s="709" t="str">
        <f t="shared" si="5"/>
        <v/>
      </c>
      <c r="AS19" s="710">
        <f t="shared" si="29"/>
        <v>0</v>
      </c>
      <c r="AT19" s="709" t="str">
        <f t="shared" si="6"/>
        <v/>
      </c>
      <c r="AU19" s="711">
        <f t="shared" si="7"/>
        <v>0</v>
      </c>
      <c r="AV19" s="712" t="str">
        <f t="shared" si="8"/>
        <v/>
      </c>
      <c r="AW19" s="711" t="b">
        <f t="shared" si="9"/>
        <v>0</v>
      </c>
      <c r="AX19" s="713" t="b">
        <f t="shared" si="10"/>
        <v>0</v>
      </c>
      <c r="AY19" s="711" t="b">
        <f t="shared" si="11"/>
        <v>0</v>
      </c>
      <c r="AZ19" s="713" t="b">
        <f t="shared" si="12"/>
        <v>0</v>
      </c>
      <c r="BA19" s="705" t="b">
        <f t="shared" si="13"/>
        <v>0</v>
      </c>
      <c r="BB19" s="705" t="b">
        <f t="shared" si="14"/>
        <v>0</v>
      </c>
      <c r="BC19" s="711" t="b">
        <f t="shared" si="15"/>
        <v>0</v>
      </c>
      <c r="BD19" s="714" t="b">
        <f t="shared" si="30"/>
        <v>0</v>
      </c>
      <c r="BE19" s="713" t="b">
        <f t="shared" si="16"/>
        <v>0</v>
      </c>
      <c r="BF19" s="715" t="b">
        <f t="shared" si="17"/>
        <v>0</v>
      </c>
      <c r="BG19" s="663" t="str">
        <f t="shared" si="18"/>
        <v>NA</v>
      </c>
      <c r="BH19" s="663" t="str">
        <f t="shared" si="31"/>
        <v/>
      </c>
      <c r="BI19" s="663" t="str">
        <f t="shared" si="19"/>
        <v/>
      </c>
      <c r="BJ19" s="663" t="str">
        <f t="shared" si="20"/>
        <v/>
      </c>
      <c r="BK19" s="663" t="str">
        <f t="shared" si="21"/>
        <v/>
      </c>
      <c r="BL19" s="716" t="str">
        <f t="shared" si="32"/>
        <v/>
      </c>
      <c r="BM19" s="663" t="str">
        <f t="shared" si="22"/>
        <v/>
      </c>
      <c r="BN19" s="663" t="str">
        <f t="shared" si="23"/>
        <v/>
      </c>
      <c r="BO19" s="725"/>
      <c r="BP19" s="726" t="s">
        <v>223</v>
      </c>
      <c r="BQ19" s="697"/>
      <c r="BR19" s="697"/>
      <c r="BS19" s="697"/>
      <c r="BT19" s="697"/>
      <c r="BU19" s="697"/>
      <c r="CE19" s="1060">
        <v>3</v>
      </c>
      <c r="CF19" s="1061" t="s">
        <v>585</v>
      </c>
      <c r="CG19" s="1061"/>
      <c r="CH19" s="1061"/>
      <c r="CI19" s="1061"/>
      <c r="CJ19" s="1061"/>
      <c r="CK19" s="1061"/>
      <c r="CL19" s="1061"/>
      <c r="CM19" s="1061"/>
      <c r="CN19" s="1061"/>
      <c r="CO19" s="1061"/>
    </row>
    <row r="20" spans="2:93" s="665" customFormat="1" ht="12.95" customHeight="1" x14ac:dyDescent="0.25">
      <c r="B20" s="719" t="str">
        <f>IF(ISNA(Z20),"",IF(OR(Z20=1,Z20=2),"    ",MAX($B$9:B19)+1))</f>
        <v/>
      </c>
      <c r="C20" s="1058" t="str">
        <f t="shared" si="24"/>
        <v/>
      </c>
      <c r="D20" s="1058"/>
      <c r="E20" s="1058"/>
      <c r="F20" s="1059"/>
      <c r="G20" s="700" t="str">
        <f t="shared" si="0"/>
        <v/>
      </c>
      <c r="H20" s="701" t="str">
        <f t="shared" si="1"/>
        <v/>
      </c>
      <c r="I20" s="720" t="str">
        <f t="shared" si="1"/>
        <v/>
      </c>
      <c r="J20" s="723"/>
      <c r="K20" s="722"/>
      <c r="L20" s="1075"/>
      <c r="M20" s="1076"/>
      <c r="N20" s="1076"/>
      <c r="O20" s="1076"/>
      <c r="P20" s="1076"/>
      <c r="Q20" s="1076"/>
      <c r="R20" s="1077"/>
      <c r="T20" s="659">
        <v>12</v>
      </c>
      <c r="U20" s="647" t="e">
        <v>#N/A</v>
      </c>
      <c r="V20" s="705" t="e">
        <v>#N/A</v>
      </c>
      <c r="W20" s="705" t="e">
        <v>#N/A</v>
      </c>
      <c r="X20" s="705" t="e">
        <v>#N/A</v>
      </c>
      <c r="Y20" s="705" t="e">
        <v>#N/A</v>
      </c>
      <c r="Z20" s="714" t="e">
        <v>#N/A</v>
      </c>
      <c r="AA20" s="714" t="e">
        <v>#N/A</v>
      </c>
      <c r="AB20" s="714" t="e">
        <v>#N/A</v>
      </c>
      <c r="AC20" s="705" t="e">
        <v>#N/A</v>
      </c>
      <c r="AD20" s="705" t="e">
        <v>#N/A</v>
      </c>
      <c r="AE20" s="705" t="e">
        <v>#N/A</v>
      </c>
      <c r="AF20" s="705" t="e">
        <v>#N/A</v>
      </c>
      <c r="AG20" s="705" t="e">
        <f t="shared" si="25"/>
        <v>#N/A</v>
      </c>
      <c r="AH20" s="705" t="str">
        <f t="shared" si="35"/>
        <v/>
      </c>
      <c r="AI20" s="706" t="e">
        <f>IF(NOT(OR(Z20=1,Z20=2)),IF(AQ20&gt;0,$AR$45*AQ20/SUMIF($AQ$9:$AQ$40,"&gt;0"),IF(AU20&gt;0,$AV$45*AU20/SUMIF($AU$9:$AU$40,"&gt;0"),IF(AS20&gt;0,$AT$45*AS20/SUMIF($AS$9:$AS$40,"&gt;0"),""))),IF(SUMIF(AJ21:$AJ$40,"=" &amp; AJ20,AI21:$AI$40)=0,"",SUMIF(AJ21:$AJ$40,"=" &amp; AJ20,AI21:$AI$40)))</f>
        <v>#N/A</v>
      </c>
      <c r="AJ20" s="707" t="e">
        <f t="shared" si="33"/>
        <v>#N/A</v>
      </c>
      <c r="AK20" s="705" t="str">
        <f t="shared" si="26"/>
        <v/>
      </c>
      <c r="AL20" s="714" t="str">
        <f t="shared" si="27"/>
        <v/>
      </c>
      <c r="AM20" s="714" t="str">
        <f t="shared" si="34"/>
        <v/>
      </c>
      <c r="AN20" s="714" t="str">
        <f t="shared" si="2"/>
        <v/>
      </c>
      <c r="AO20" s="714" t="e">
        <f t="shared" si="3"/>
        <v>#N/A</v>
      </c>
      <c r="AP20" s="705" t="str">
        <f t="shared" si="4"/>
        <v/>
      </c>
      <c r="AQ20" s="708">
        <f t="shared" si="28"/>
        <v>0</v>
      </c>
      <c r="AR20" s="709" t="str">
        <f t="shared" si="5"/>
        <v/>
      </c>
      <c r="AS20" s="710">
        <f t="shared" si="29"/>
        <v>0</v>
      </c>
      <c r="AT20" s="709" t="str">
        <f t="shared" si="6"/>
        <v/>
      </c>
      <c r="AU20" s="711">
        <f t="shared" si="7"/>
        <v>0</v>
      </c>
      <c r="AV20" s="712" t="str">
        <f t="shared" si="8"/>
        <v/>
      </c>
      <c r="AW20" s="711" t="b">
        <f t="shared" si="9"/>
        <v>0</v>
      </c>
      <c r="AX20" s="713" t="b">
        <f t="shared" si="10"/>
        <v>0</v>
      </c>
      <c r="AY20" s="711" t="b">
        <f t="shared" si="11"/>
        <v>0</v>
      </c>
      <c r="AZ20" s="713" t="b">
        <f t="shared" si="12"/>
        <v>0</v>
      </c>
      <c r="BA20" s="705" t="b">
        <f t="shared" si="13"/>
        <v>0</v>
      </c>
      <c r="BB20" s="705" t="b">
        <f t="shared" si="14"/>
        <v>0</v>
      </c>
      <c r="BC20" s="711" t="b">
        <f t="shared" si="15"/>
        <v>0</v>
      </c>
      <c r="BD20" s="714" t="b">
        <f t="shared" si="30"/>
        <v>0</v>
      </c>
      <c r="BE20" s="713" t="b">
        <f t="shared" si="16"/>
        <v>0</v>
      </c>
      <c r="BF20" s="715" t="b">
        <f t="shared" si="17"/>
        <v>0</v>
      </c>
      <c r="BG20" s="663" t="str">
        <f t="shared" si="18"/>
        <v>NA</v>
      </c>
      <c r="BH20" s="663" t="str">
        <f t="shared" si="31"/>
        <v/>
      </c>
      <c r="BI20" s="663" t="str">
        <f t="shared" si="19"/>
        <v/>
      </c>
      <c r="BJ20" s="663" t="str">
        <f t="shared" si="20"/>
        <v/>
      </c>
      <c r="BK20" s="663" t="str">
        <f t="shared" si="21"/>
        <v/>
      </c>
      <c r="BL20" s="716" t="str">
        <f t="shared" si="32"/>
        <v/>
      </c>
      <c r="BM20" s="663" t="str">
        <f t="shared" si="22"/>
        <v/>
      </c>
      <c r="BN20" s="663" t="str">
        <f t="shared" si="23"/>
        <v/>
      </c>
      <c r="BO20" s="725"/>
      <c r="BP20" s="717"/>
      <c r="BQ20" s="1062" t="s">
        <v>224</v>
      </c>
      <c r="BR20" s="1062"/>
      <c r="BS20" s="1062"/>
      <c r="BT20" s="1062"/>
      <c r="BU20" s="1062"/>
      <c r="CE20" s="1060"/>
      <c r="CF20" s="1061"/>
      <c r="CG20" s="1061"/>
      <c r="CH20" s="1061"/>
      <c r="CI20" s="1061"/>
      <c r="CJ20" s="1061"/>
      <c r="CK20" s="1061"/>
      <c r="CL20" s="1061"/>
      <c r="CM20" s="1061"/>
      <c r="CN20" s="1061"/>
      <c r="CO20" s="1061"/>
    </row>
    <row r="21" spans="2:93" s="665" customFormat="1" ht="12.95" customHeight="1" x14ac:dyDescent="0.25">
      <c r="B21" s="719" t="str">
        <f>IF(ISNA(Z21),"",IF(OR(Z21=1,Z21=2),"    ",MAX($B$9:B20)+1))</f>
        <v/>
      </c>
      <c r="C21" s="1058" t="str">
        <f t="shared" si="24"/>
        <v/>
      </c>
      <c r="D21" s="1058"/>
      <c r="E21" s="1058"/>
      <c r="F21" s="1059"/>
      <c r="G21" s="700" t="str">
        <f t="shared" si="0"/>
        <v/>
      </c>
      <c r="H21" s="701" t="str">
        <f t="shared" si="1"/>
        <v/>
      </c>
      <c r="I21" s="720" t="str">
        <f t="shared" si="1"/>
        <v/>
      </c>
      <c r="J21" s="723"/>
      <c r="K21" s="722"/>
      <c r="L21" s="1075"/>
      <c r="M21" s="1076"/>
      <c r="N21" s="1076"/>
      <c r="O21" s="1076"/>
      <c r="P21" s="1076"/>
      <c r="Q21" s="1076"/>
      <c r="R21" s="1077"/>
      <c r="T21" s="659">
        <v>13</v>
      </c>
      <c r="U21" s="647" t="e">
        <v>#N/A</v>
      </c>
      <c r="V21" s="705" t="e">
        <v>#N/A</v>
      </c>
      <c r="W21" s="705" t="e">
        <v>#N/A</v>
      </c>
      <c r="X21" s="705" t="e">
        <v>#N/A</v>
      </c>
      <c r="Y21" s="705" t="e">
        <v>#N/A</v>
      </c>
      <c r="Z21" s="714" t="e">
        <v>#N/A</v>
      </c>
      <c r="AA21" s="714" t="e">
        <v>#N/A</v>
      </c>
      <c r="AB21" s="714" t="e">
        <v>#N/A</v>
      </c>
      <c r="AC21" s="705" t="e">
        <v>#N/A</v>
      </c>
      <c r="AD21" s="705" t="e">
        <v>#N/A</v>
      </c>
      <c r="AE21" s="705" t="e">
        <v>#N/A</v>
      </c>
      <c r="AF21" s="705" t="e">
        <v>#N/A</v>
      </c>
      <c r="AG21" s="705" t="e">
        <f t="shared" si="25"/>
        <v>#N/A</v>
      </c>
      <c r="AH21" s="705" t="str">
        <f t="shared" si="35"/>
        <v/>
      </c>
      <c r="AI21" s="706" t="e">
        <f>IF(NOT(OR(Z21=1,Z21=2)),IF(AQ21&gt;0,$AR$45*AQ21/SUMIF($AQ$9:$AQ$40,"&gt;0"),IF(AU21&gt;0,$AV$45*AU21/SUMIF($AU$9:$AU$40,"&gt;0"),IF(AS21&gt;0,$AT$45*AS21/SUMIF($AS$9:$AS$40,"&gt;0"),""))),IF(SUMIF(AJ22:$AJ$40,"=" &amp; AJ21,AI22:$AI$40)=0,"",SUMIF(AJ22:$AJ$40,"=" &amp; AJ21,AI22:$AI$40)))</f>
        <v>#N/A</v>
      </c>
      <c r="AJ21" s="707" t="e">
        <f t="shared" si="33"/>
        <v>#N/A</v>
      </c>
      <c r="AK21" s="705" t="str">
        <f t="shared" si="26"/>
        <v/>
      </c>
      <c r="AL21" s="714" t="str">
        <f t="shared" si="27"/>
        <v/>
      </c>
      <c r="AM21" s="714" t="str">
        <f t="shared" si="34"/>
        <v/>
      </c>
      <c r="AN21" s="714" t="str">
        <f t="shared" si="2"/>
        <v/>
      </c>
      <c r="AO21" s="714" t="e">
        <f t="shared" si="3"/>
        <v>#N/A</v>
      </c>
      <c r="AP21" s="705" t="str">
        <f t="shared" si="4"/>
        <v/>
      </c>
      <c r="AQ21" s="708">
        <f t="shared" si="28"/>
        <v>0</v>
      </c>
      <c r="AR21" s="709" t="str">
        <f t="shared" si="5"/>
        <v/>
      </c>
      <c r="AS21" s="710">
        <f t="shared" si="29"/>
        <v>0</v>
      </c>
      <c r="AT21" s="709" t="str">
        <f t="shared" si="6"/>
        <v/>
      </c>
      <c r="AU21" s="711">
        <f t="shared" si="7"/>
        <v>0</v>
      </c>
      <c r="AV21" s="712" t="str">
        <f t="shared" si="8"/>
        <v/>
      </c>
      <c r="AW21" s="711" t="b">
        <f t="shared" si="9"/>
        <v>0</v>
      </c>
      <c r="AX21" s="713" t="b">
        <f t="shared" si="10"/>
        <v>0</v>
      </c>
      <c r="AY21" s="711" t="b">
        <f t="shared" si="11"/>
        <v>0</v>
      </c>
      <c r="AZ21" s="713" t="b">
        <f t="shared" si="12"/>
        <v>0</v>
      </c>
      <c r="BA21" s="705" t="b">
        <f t="shared" si="13"/>
        <v>0</v>
      </c>
      <c r="BB21" s="705" t="b">
        <f t="shared" si="14"/>
        <v>0</v>
      </c>
      <c r="BC21" s="711" t="b">
        <f t="shared" si="15"/>
        <v>0</v>
      </c>
      <c r="BD21" s="714" t="b">
        <f t="shared" si="30"/>
        <v>0</v>
      </c>
      <c r="BE21" s="713" t="b">
        <f t="shared" si="16"/>
        <v>0</v>
      </c>
      <c r="BF21" s="715" t="b">
        <f t="shared" si="17"/>
        <v>0</v>
      </c>
      <c r="BG21" s="663" t="str">
        <f t="shared" si="18"/>
        <v>NA</v>
      </c>
      <c r="BH21" s="663" t="str">
        <f t="shared" si="31"/>
        <v/>
      </c>
      <c r="BI21" s="663" t="str">
        <f t="shared" si="19"/>
        <v/>
      </c>
      <c r="BJ21" s="663" t="str">
        <f t="shared" si="20"/>
        <v/>
      </c>
      <c r="BK21" s="663" t="str">
        <f t="shared" si="21"/>
        <v/>
      </c>
      <c r="BL21" s="716" t="str">
        <f t="shared" si="32"/>
        <v/>
      </c>
      <c r="BM21" s="663" t="str">
        <f t="shared" si="22"/>
        <v/>
      </c>
      <c r="BN21" s="663" t="str">
        <f t="shared" si="23"/>
        <v/>
      </c>
      <c r="BO21" s="725"/>
      <c r="BP21" s="725"/>
      <c r="BQ21" s="725">
        <v>0</v>
      </c>
      <c r="BR21" s="725">
        <v>1</v>
      </c>
      <c r="BS21" s="725">
        <v>2</v>
      </c>
      <c r="BT21" s="725">
        <v>3</v>
      </c>
      <c r="BU21" s="725">
        <v>4</v>
      </c>
      <c r="BW21" s="664" t="s">
        <v>586</v>
      </c>
      <c r="CE21" s="1060">
        <v>4</v>
      </c>
      <c r="CF21" s="1063" t="s">
        <v>587</v>
      </c>
      <c r="CG21" s="1063"/>
      <c r="CH21" s="1063"/>
      <c r="CI21" s="1063"/>
      <c r="CJ21" s="1063"/>
      <c r="CK21" s="1063"/>
      <c r="CL21" s="1063"/>
      <c r="CM21" s="1063"/>
      <c r="CN21" s="1063"/>
      <c r="CO21" s="1063"/>
    </row>
    <row r="22" spans="2:93" s="665" customFormat="1" ht="12.95" customHeight="1" x14ac:dyDescent="0.25">
      <c r="B22" s="719" t="str">
        <f>IF(ISNA(Z22),"",IF(OR(Z22=1,Z22=2),"    ",MAX($B$9:B21)+1))</f>
        <v/>
      </c>
      <c r="C22" s="1058" t="str">
        <f t="shared" si="24"/>
        <v/>
      </c>
      <c r="D22" s="1058"/>
      <c r="E22" s="1058"/>
      <c r="F22" s="1059"/>
      <c r="G22" s="700" t="str">
        <f t="shared" si="0"/>
        <v/>
      </c>
      <c r="H22" s="701" t="str">
        <f t="shared" si="1"/>
        <v/>
      </c>
      <c r="I22" s="720" t="str">
        <f t="shared" si="1"/>
        <v/>
      </c>
      <c r="J22" s="723"/>
      <c r="K22" s="722"/>
      <c r="L22" s="1075"/>
      <c r="M22" s="1076"/>
      <c r="N22" s="1076"/>
      <c r="O22" s="1076"/>
      <c r="P22" s="1076"/>
      <c r="Q22" s="1076"/>
      <c r="R22" s="1077"/>
      <c r="T22" s="659">
        <v>14</v>
      </c>
      <c r="U22" s="647" t="e">
        <v>#N/A</v>
      </c>
      <c r="V22" s="705" t="e">
        <v>#N/A</v>
      </c>
      <c r="W22" s="705" t="e">
        <v>#N/A</v>
      </c>
      <c r="X22" s="705" t="e">
        <v>#N/A</v>
      </c>
      <c r="Y22" s="705" t="e">
        <v>#N/A</v>
      </c>
      <c r="Z22" s="714" t="e">
        <v>#N/A</v>
      </c>
      <c r="AA22" s="714" t="e">
        <v>#N/A</v>
      </c>
      <c r="AB22" s="714" t="e">
        <v>#N/A</v>
      </c>
      <c r="AC22" s="705" t="e">
        <v>#N/A</v>
      </c>
      <c r="AD22" s="705" t="e">
        <v>#N/A</v>
      </c>
      <c r="AE22" s="705" t="e">
        <v>#N/A</v>
      </c>
      <c r="AF22" s="705" t="e">
        <v>#N/A</v>
      </c>
      <c r="AG22" s="705" t="e">
        <f t="shared" si="25"/>
        <v>#N/A</v>
      </c>
      <c r="AH22" s="705" t="str">
        <f t="shared" si="35"/>
        <v/>
      </c>
      <c r="AI22" s="706" t="e">
        <f>IF(NOT(OR(Z22=1,Z22=2)),IF(AQ22&gt;0,$AR$45*AQ22/SUMIF($AQ$9:$AQ$40,"&gt;0"),IF(AU22&gt;0,$AV$45*AU22/SUMIF($AU$9:$AU$40,"&gt;0"),IF(AS22&gt;0,$AT$45*AS22/SUMIF($AS$9:$AS$40,"&gt;0"),""))),IF(SUMIF(AJ23:$AJ$40,"=" &amp; AJ22,AI23:$AI$40)=0,"",SUMIF(AJ23:$AJ$40,"=" &amp; AJ22,AI23:$AI$40)))</f>
        <v>#N/A</v>
      </c>
      <c r="AJ22" s="707" t="e">
        <f t="shared" si="33"/>
        <v>#N/A</v>
      </c>
      <c r="AK22" s="705" t="str">
        <f t="shared" si="26"/>
        <v/>
      </c>
      <c r="AL22" s="714" t="str">
        <f t="shared" si="27"/>
        <v/>
      </c>
      <c r="AM22" s="714" t="str">
        <f t="shared" si="34"/>
        <v/>
      </c>
      <c r="AN22" s="714" t="str">
        <f t="shared" si="2"/>
        <v/>
      </c>
      <c r="AO22" s="714" t="e">
        <f t="shared" si="3"/>
        <v>#N/A</v>
      </c>
      <c r="AP22" s="705" t="str">
        <f t="shared" si="4"/>
        <v/>
      </c>
      <c r="AQ22" s="708">
        <f t="shared" si="28"/>
        <v>0</v>
      </c>
      <c r="AR22" s="709" t="str">
        <f t="shared" si="5"/>
        <v/>
      </c>
      <c r="AS22" s="710">
        <f t="shared" si="29"/>
        <v>0</v>
      </c>
      <c r="AT22" s="709" t="str">
        <f t="shared" si="6"/>
        <v/>
      </c>
      <c r="AU22" s="711">
        <f t="shared" si="7"/>
        <v>0</v>
      </c>
      <c r="AV22" s="712" t="str">
        <f t="shared" si="8"/>
        <v/>
      </c>
      <c r="AW22" s="711" t="b">
        <f t="shared" si="9"/>
        <v>0</v>
      </c>
      <c r="AX22" s="713" t="b">
        <f t="shared" si="10"/>
        <v>0</v>
      </c>
      <c r="AY22" s="711" t="b">
        <f t="shared" si="11"/>
        <v>0</v>
      </c>
      <c r="AZ22" s="713" t="b">
        <f t="shared" si="12"/>
        <v>0</v>
      </c>
      <c r="BA22" s="705" t="b">
        <f t="shared" si="13"/>
        <v>0</v>
      </c>
      <c r="BB22" s="705" t="b">
        <f t="shared" si="14"/>
        <v>0</v>
      </c>
      <c r="BC22" s="711" t="b">
        <f t="shared" si="15"/>
        <v>0</v>
      </c>
      <c r="BD22" s="714" t="b">
        <f t="shared" si="30"/>
        <v>0</v>
      </c>
      <c r="BE22" s="713" t="b">
        <f t="shared" si="16"/>
        <v>0</v>
      </c>
      <c r="BF22" s="715" t="b">
        <f t="shared" si="17"/>
        <v>0</v>
      </c>
      <c r="BG22" s="663" t="str">
        <f t="shared" si="18"/>
        <v>NA</v>
      </c>
      <c r="BH22" s="663" t="str">
        <f t="shared" si="31"/>
        <v/>
      </c>
      <c r="BI22" s="663" t="str">
        <f t="shared" si="19"/>
        <v/>
      </c>
      <c r="BJ22" s="663" t="str">
        <f t="shared" si="20"/>
        <v/>
      </c>
      <c r="BK22" s="663" t="str">
        <f t="shared" si="21"/>
        <v/>
      </c>
      <c r="BL22" s="716" t="str">
        <f t="shared" si="32"/>
        <v/>
      </c>
      <c r="BM22" s="663" t="str">
        <f t="shared" si="22"/>
        <v/>
      </c>
      <c r="BN22" s="663" t="str">
        <f t="shared" si="23"/>
        <v/>
      </c>
      <c r="BO22" s="1064" t="s">
        <v>226</v>
      </c>
      <c r="BP22" s="725" t="s">
        <v>227</v>
      </c>
      <c r="BQ22" s="727">
        <f t="shared" ref="BQ22:BU30" si="36">AR51</f>
        <v>0.7</v>
      </c>
      <c r="BR22" s="728">
        <f t="shared" si="36"/>
        <v>0.9</v>
      </c>
      <c r="BS22" s="728">
        <f t="shared" si="36"/>
        <v>0.93330000000000002</v>
      </c>
      <c r="BT22" s="728">
        <f t="shared" si="36"/>
        <v>0.9667</v>
      </c>
      <c r="BU22" s="729">
        <f t="shared" si="36"/>
        <v>1</v>
      </c>
      <c r="BW22" s="666" t="s">
        <v>214</v>
      </c>
      <c r="BX22" s="667" t="s">
        <v>215</v>
      </c>
      <c r="CE22" s="1060"/>
      <c r="CF22" s="1063"/>
      <c r="CG22" s="1063"/>
      <c r="CH22" s="1063"/>
      <c r="CI22" s="1063"/>
      <c r="CJ22" s="1063"/>
      <c r="CK22" s="1063"/>
      <c r="CL22" s="1063"/>
      <c r="CM22" s="1063"/>
      <c r="CN22" s="1063"/>
      <c r="CO22" s="1063"/>
    </row>
    <row r="23" spans="2:93" s="665" customFormat="1" ht="12.95" customHeight="1" x14ac:dyDescent="0.25">
      <c r="B23" s="719" t="str">
        <f>IF(ISNA(Z23),"",IF(OR(Z23=1,Z23=2),"    ",MAX($B$9:B22)+1))</f>
        <v/>
      </c>
      <c r="C23" s="1058" t="str">
        <f t="shared" si="24"/>
        <v/>
      </c>
      <c r="D23" s="1058"/>
      <c r="E23" s="1058"/>
      <c r="F23" s="1059"/>
      <c r="G23" s="700" t="str">
        <f t="shared" si="0"/>
        <v/>
      </c>
      <c r="H23" s="701" t="str">
        <f t="shared" si="1"/>
        <v/>
      </c>
      <c r="I23" s="720" t="str">
        <f t="shared" si="1"/>
        <v/>
      </c>
      <c r="J23" s="723"/>
      <c r="K23" s="722"/>
      <c r="L23" s="1075"/>
      <c r="M23" s="1076"/>
      <c r="N23" s="1076"/>
      <c r="O23" s="1076"/>
      <c r="P23" s="1076"/>
      <c r="Q23" s="1076"/>
      <c r="R23" s="1077"/>
      <c r="T23" s="659">
        <v>15</v>
      </c>
      <c r="U23" s="647" t="e">
        <v>#N/A</v>
      </c>
      <c r="V23" s="705" t="e">
        <v>#N/A</v>
      </c>
      <c r="W23" s="705" t="e">
        <v>#N/A</v>
      </c>
      <c r="X23" s="705" t="e">
        <v>#N/A</v>
      </c>
      <c r="Y23" s="705" t="e">
        <v>#N/A</v>
      </c>
      <c r="Z23" s="714" t="e">
        <v>#N/A</v>
      </c>
      <c r="AA23" s="714" t="e">
        <v>#N/A</v>
      </c>
      <c r="AB23" s="714" t="e">
        <v>#N/A</v>
      </c>
      <c r="AC23" s="705" t="e">
        <v>#N/A</v>
      </c>
      <c r="AD23" s="705" t="e">
        <v>#N/A</v>
      </c>
      <c r="AE23" s="705" t="e">
        <v>#N/A</v>
      </c>
      <c r="AF23" s="705" t="e">
        <v>#N/A</v>
      </c>
      <c r="AG23" s="705" t="e">
        <f t="shared" si="25"/>
        <v>#N/A</v>
      </c>
      <c r="AH23" s="705" t="str">
        <f t="shared" si="35"/>
        <v/>
      </c>
      <c r="AI23" s="706" t="e">
        <f>IF(NOT(OR(Z23=1,Z23=2)),IF(AQ23&gt;0,$AR$45*AQ23/SUMIF($AQ$9:$AQ$40,"&gt;0"),IF(AU23&gt;0,$AV$45*AU23/SUMIF($AU$9:$AU$40,"&gt;0"),IF(AS23&gt;0,$AT$45*AS23/SUMIF($AS$9:$AS$40,"&gt;0"),""))),IF(SUMIF(AJ24:$AJ$40,"=" &amp; AJ23,AI24:$AI$40)=0,"",SUMIF(AJ24:$AJ$40,"=" &amp; AJ23,AI24:$AI$40)))</f>
        <v>#N/A</v>
      </c>
      <c r="AJ23" s="707" t="e">
        <f t="shared" si="33"/>
        <v>#N/A</v>
      </c>
      <c r="AK23" s="705" t="str">
        <f t="shared" si="26"/>
        <v/>
      </c>
      <c r="AL23" s="714" t="str">
        <f t="shared" si="27"/>
        <v/>
      </c>
      <c r="AM23" s="714" t="str">
        <f t="shared" si="34"/>
        <v/>
      </c>
      <c r="AN23" s="714" t="str">
        <f t="shared" si="2"/>
        <v/>
      </c>
      <c r="AO23" s="714" t="e">
        <f t="shared" si="3"/>
        <v>#N/A</v>
      </c>
      <c r="AP23" s="705" t="str">
        <f t="shared" si="4"/>
        <v/>
      </c>
      <c r="AQ23" s="708">
        <f t="shared" si="28"/>
        <v>0</v>
      </c>
      <c r="AR23" s="709" t="str">
        <f t="shared" si="5"/>
        <v/>
      </c>
      <c r="AS23" s="710">
        <f t="shared" si="29"/>
        <v>0</v>
      </c>
      <c r="AT23" s="709" t="str">
        <f t="shared" si="6"/>
        <v/>
      </c>
      <c r="AU23" s="711">
        <f t="shared" si="7"/>
        <v>0</v>
      </c>
      <c r="AV23" s="712" t="str">
        <f t="shared" si="8"/>
        <v/>
      </c>
      <c r="AW23" s="711" t="b">
        <f t="shared" si="9"/>
        <v>0</v>
      </c>
      <c r="AX23" s="713" t="b">
        <f t="shared" si="10"/>
        <v>0</v>
      </c>
      <c r="AY23" s="711" t="b">
        <f t="shared" si="11"/>
        <v>0</v>
      </c>
      <c r="AZ23" s="713" t="b">
        <f t="shared" si="12"/>
        <v>0</v>
      </c>
      <c r="BA23" s="705" t="b">
        <f t="shared" si="13"/>
        <v>0</v>
      </c>
      <c r="BB23" s="705" t="b">
        <f t="shared" si="14"/>
        <v>0</v>
      </c>
      <c r="BC23" s="711" t="b">
        <f t="shared" si="15"/>
        <v>0</v>
      </c>
      <c r="BD23" s="714" t="b">
        <f t="shared" si="30"/>
        <v>0</v>
      </c>
      <c r="BE23" s="713" t="b">
        <f>IF(OR(ISNA($Z23),K23&lt;&gt;"D"),FALSE,IF(OR(AND(H23="NG",J23=0),AND(H23&lt;&gt;"NG",NOT(OR(J23="NA",J23=0)))),TRUE,FALSE))</f>
        <v>0</v>
      </c>
      <c r="BF23" s="715" t="b">
        <f t="shared" si="17"/>
        <v>0</v>
      </c>
      <c r="BG23" s="663" t="str">
        <f>IF(ISNA($Z23),"NA",IF(OR(AZ23,AY23,AX23,AW23,AP23,BA23,BB23),TRUE,FALSE))</f>
        <v>NA</v>
      </c>
      <c r="BH23" s="663" t="str">
        <f t="shared" si="31"/>
        <v/>
      </c>
      <c r="BI23" s="663" t="str">
        <f t="shared" si="19"/>
        <v/>
      </c>
      <c r="BJ23" s="663" t="str">
        <f t="shared" si="20"/>
        <v/>
      </c>
      <c r="BK23" s="663" t="str">
        <f t="shared" si="21"/>
        <v/>
      </c>
      <c r="BL23" s="716" t="str">
        <f t="shared" si="32"/>
        <v/>
      </c>
      <c r="BM23" s="663" t="str">
        <f t="shared" si="22"/>
        <v/>
      </c>
      <c r="BN23" s="663" t="str">
        <f t="shared" si="23"/>
        <v/>
      </c>
      <c r="BO23" s="1064"/>
      <c r="BP23" s="725" t="s">
        <v>228</v>
      </c>
      <c r="BQ23" s="730">
        <f t="shared" si="36"/>
        <v>0.7</v>
      </c>
      <c r="BR23" s="731">
        <f t="shared" si="36"/>
        <v>0.8</v>
      </c>
      <c r="BS23" s="731">
        <f t="shared" si="36"/>
        <v>0.9</v>
      </c>
      <c r="BT23" s="731">
        <f t="shared" si="36"/>
        <v>0.95</v>
      </c>
      <c r="BU23" s="732">
        <f t="shared" si="36"/>
        <v>1</v>
      </c>
      <c r="BW23" s="666">
        <v>0</v>
      </c>
      <c r="BX23" s="667" t="s">
        <v>216</v>
      </c>
    </row>
    <row r="24" spans="2:93" s="665" customFormat="1" ht="12.95" customHeight="1" x14ac:dyDescent="0.25">
      <c r="B24" s="719" t="str">
        <f>IF(ISNA(Z24),"",IF(OR(Z24=1,Z24=2),"    ",MAX($B$9:B23)+1))</f>
        <v/>
      </c>
      <c r="C24" s="1058" t="str">
        <f t="shared" si="24"/>
        <v/>
      </c>
      <c r="D24" s="1058"/>
      <c r="E24" s="1058"/>
      <c r="F24" s="1059"/>
      <c r="G24" s="700" t="str">
        <f t="shared" si="0"/>
        <v/>
      </c>
      <c r="H24" s="701" t="str">
        <f t="shared" si="1"/>
        <v/>
      </c>
      <c r="I24" s="720" t="str">
        <f t="shared" si="1"/>
        <v/>
      </c>
      <c r="J24" s="723"/>
      <c r="K24" s="722"/>
      <c r="L24" s="1075"/>
      <c r="M24" s="1076"/>
      <c r="N24" s="1076"/>
      <c r="O24" s="1076"/>
      <c r="P24" s="1076"/>
      <c r="Q24" s="1076"/>
      <c r="R24" s="1077"/>
      <c r="T24" s="659">
        <v>16</v>
      </c>
      <c r="U24" s="647" t="e">
        <v>#N/A</v>
      </c>
      <c r="V24" s="705" t="e">
        <v>#N/A</v>
      </c>
      <c r="W24" s="705" t="e">
        <v>#N/A</v>
      </c>
      <c r="X24" s="705" t="e">
        <v>#N/A</v>
      </c>
      <c r="Y24" s="705" t="e">
        <v>#N/A</v>
      </c>
      <c r="Z24" s="714" t="e">
        <v>#N/A</v>
      </c>
      <c r="AA24" s="714" t="e">
        <v>#N/A</v>
      </c>
      <c r="AB24" s="714" t="e">
        <v>#N/A</v>
      </c>
      <c r="AC24" s="705" t="e">
        <v>#N/A</v>
      </c>
      <c r="AD24" s="705" t="e">
        <v>#N/A</v>
      </c>
      <c r="AE24" s="705" t="e">
        <v>#N/A</v>
      </c>
      <c r="AF24" s="705" t="e">
        <v>#N/A</v>
      </c>
      <c r="AG24" s="705" t="e">
        <f t="shared" si="25"/>
        <v>#N/A</v>
      </c>
      <c r="AH24" s="705" t="str">
        <f t="shared" si="35"/>
        <v/>
      </c>
      <c r="AI24" s="706" t="e">
        <f>IF(NOT(OR(Z24=1,Z24=2)),IF(AQ24&gt;0,$AR$45*AQ24/SUMIF($AQ$9:$AQ$40,"&gt;0"),IF(AU24&gt;0,$AV$45*AU24/SUMIF($AU$9:$AU$40,"&gt;0"),IF(AS24&gt;0,$AT$45*AS24/SUMIF($AS$9:$AS$40,"&gt;0"),""))),IF(SUMIF(AJ25:$AJ$40,"=" &amp; AJ24,AI25:$AI$40)=0,"",SUMIF(AJ25:$AJ$40,"=" &amp; AJ24,AI25:$AI$40)))</f>
        <v>#N/A</v>
      </c>
      <c r="AJ24" s="707" t="e">
        <f t="shared" si="33"/>
        <v>#N/A</v>
      </c>
      <c r="AK24" s="705" t="str">
        <f t="shared" si="26"/>
        <v/>
      </c>
      <c r="AL24" s="714" t="str">
        <f t="shared" si="27"/>
        <v/>
      </c>
      <c r="AM24" s="714" t="str">
        <f t="shared" si="34"/>
        <v/>
      </c>
      <c r="AN24" s="714" t="str">
        <f t="shared" si="2"/>
        <v/>
      </c>
      <c r="AO24" s="714" t="e">
        <f t="shared" si="3"/>
        <v>#N/A</v>
      </c>
      <c r="AP24" s="705" t="str">
        <f t="shared" si="4"/>
        <v/>
      </c>
      <c r="AQ24" s="708">
        <f t="shared" si="28"/>
        <v>0</v>
      </c>
      <c r="AR24" s="709" t="str">
        <f t="shared" si="5"/>
        <v/>
      </c>
      <c r="AS24" s="710">
        <f t="shared" si="29"/>
        <v>0</v>
      </c>
      <c r="AT24" s="709" t="str">
        <f t="shared" si="6"/>
        <v/>
      </c>
      <c r="AU24" s="711">
        <f t="shared" si="7"/>
        <v>0</v>
      </c>
      <c r="AV24" s="712" t="str">
        <f t="shared" si="8"/>
        <v/>
      </c>
      <c r="AW24" s="711" t="b">
        <f t="shared" si="9"/>
        <v>0</v>
      </c>
      <c r="AX24" s="713" t="b">
        <f t="shared" si="10"/>
        <v>0</v>
      </c>
      <c r="AY24" s="711" t="b">
        <f t="shared" si="11"/>
        <v>0</v>
      </c>
      <c r="AZ24" s="713" t="b">
        <f t="shared" si="12"/>
        <v>0</v>
      </c>
      <c r="BA24" s="705" t="b">
        <f t="shared" si="13"/>
        <v>0</v>
      </c>
      <c r="BB24" s="705" t="b">
        <f t="shared" si="14"/>
        <v>0</v>
      </c>
      <c r="BC24" s="711" t="b">
        <f t="shared" si="15"/>
        <v>0</v>
      </c>
      <c r="BD24" s="714" t="b">
        <f t="shared" si="30"/>
        <v>0</v>
      </c>
      <c r="BE24" s="713" t="b">
        <f t="shared" ref="BE24:BE40" si="37">IF(OR(ISNA($Z24),K24&lt;&gt;"D"),FALSE,IF(OR(AND(H24="NG",J24=0),AND(H24&lt;&gt;"NG",NOT(OR(J24="NA",J24=0)))),TRUE,FALSE))</f>
        <v>0</v>
      </c>
      <c r="BF24" s="715" t="b">
        <f t="shared" si="17"/>
        <v>0</v>
      </c>
      <c r="BG24" s="663" t="str">
        <f t="shared" ref="BG24:BG40" si="38">IF(ISNA($Z24),"NA",IF(OR(AZ24,AY24,AX24,AW24,AP24,BA24,BB24),TRUE,FALSE))</f>
        <v>NA</v>
      </c>
      <c r="BH24" s="663" t="str">
        <f t="shared" si="31"/>
        <v/>
      </c>
      <c r="BI24" s="663" t="str">
        <f t="shared" si="19"/>
        <v/>
      </c>
      <c r="BJ24" s="663" t="str">
        <f t="shared" si="20"/>
        <v/>
      </c>
      <c r="BK24" s="663" t="str">
        <f t="shared" si="21"/>
        <v/>
      </c>
      <c r="BL24" s="716" t="str">
        <f t="shared" si="32"/>
        <v/>
      </c>
      <c r="BM24" s="663" t="str">
        <f t="shared" si="22"/>
        <v/>
      </c>
      <c r="BN24" s="663" t="str">
        <f t="shared" si="23"/>
        <v/>
      </c>
      <c r="BO24" s="1064"/>
      <c r="BP24" s="725" t="s">
        <v>229</v>
      </c>
      <c r="BQ24" s="730">
        <f t="shared" si="36"/>
        <v>0.7</v>
      </c>
      <c r="BR24" s="731">
        <f t="shared" si="36"/>
        <v>0.76670000000000005</v>
      </c>
      <c r="BS24" s="731">
        <f t="shared" si="36"/>
        <v>0.83330000000000004</v>
      </c>
      <c r="BT24" s="731">
        <f t="shared" si="36"/>
        <v>0.9</v>
      </c>
      <c r="BU24" s="732">
        <f t="shared" si="36"/>
        <v>1</v>
      </c>
      <c r="BW24" s="666">
        <v>1</v>
      </c>
      <c r="BX24" s="717" t="s">
        <v>588</v>
      </c>
    </row>
    <row r="25" spans="2:93" s="665" customFormat="1" ht="12.95" customHeight="1" x14ac:dyDescent="0.25">
      <c r="B25" s="719" t="str">
        <f>IF(ISNA(Z25),"",IF(OR(Z25=1,Z25=2),"    ",MAX($B$9:B24)+1))</f>
        <v/>
      </c>
      <c r="C25" s="1058" t="str">
        <f t="shared" si="24"/>
        <v/>
      </c>
      <c r="D25" s="1058"/>
      <c r="E25" s="1058"/>
      <c r="F25" s="1059"/>
      <c r="G25" s="700" t="str">
        <f t="shared" si="0"/>
        <v/>
      </c>
      <c r="H25" s="701" t="str">
        <f t="shared" si="1"/>
        <v/>
      </c>
      <c r="I25" s="720" t="str">
        <f t="shared" si="1"/>
        <v/>
      </c>
      <c r="J25" s="723"/>
      <c r="K25" s="722"/>
      <c r="L25" s="1075"/>
      <c r="M25" s="1076"/>
      <c r="N25" s="1076"/>
      <c r="O25" s="1076"/>
      <c r="P25" s="1076"/>
      <c r="Q25" s="1076"/>
      <c r="R25" s="1077"/>
      <c r="T25" s="659">
        <v>17</v>
      </c>
      <c r="U25" s="647" t="e">
        <v>#N/A</v>
      </c>
      <c r="V25" s="705" t="e">
        <v>#N/A</v>
      </c>
      <c r="W25" s="705" t="e">
        <v>#N/A</v>
      </c>
      <c r="X25" s="705" t="e">
        <v>#N/A</v>
      </c>
      <c r="Y25" s="705" t="e">
        <v>#N/A</v>
      </c>
      <c r="Z25" s="714" t="e">
        <v>#N/A</v>
      </c>
      <c r="AA25" s="714" t="e">
        <v>#N/A</v>
      </c>
      <c r="AB25" s="714" t="e">
        <v>#N/A</v>
      </c>
      <c r="AC25" s="705" t="e">
        <v>#N/A</v>
      </c>
      <c r="AD25" s="705" t="e">
        <v>#N/A</v>
      </c>
      <c r="AE25" s="705" t="e">
        <v>#N/A</v>
      </c>
      <c r="AF25" s="705" t="e">
        <v>#N/A</v>
      </c>
      <c r="AG25" s="705" t="e">
        <f t="shared" si="25"/>
        <v>#N/A</v>
      </c>
      <c r="AH25" s="705" t="str">
        <f t="shared" si="35"/>
        <v/>
      </c>
      <c r="AI25" s="706" t="e">
        <f>IF(NOT(OR(Z25=1,Z25=2)),IF(AQ25&gt;0,$AR$45*AQ25/SUMIF($AQ$9:$AQ$40,"&gt;0"),IF(AU25&gt;0,$AV$45*AU25/SUMIF($AU$9:$AU$40,"&gt;0"),IF(AS25&gt;0,$AT$45*AS25/SUMIF($AS$9:$AS$40,"&gt;0"),""))),IF(SUMIF(AJ26:$AJ$40,"=" &amp; AJ25,AI26:$AI$40)=0,"",SUMIF(AJ26:$AJ$40,"=" &amp; AJ25,AI26:$AI$40)))</f>
        <v>#N/A</v>
      </c>
      <c r="AJ25" s="707" t="e">
        <f t="shared" si="33"/>
        <v>#N/A</v>
      </c>
      <c r="AK25" s="705" t="str">
        <f t="shared" si="26"/>
        <v/>
      </c>
      <c r="AL25" s="714" t="str">
        <f t="shared" si="27"/>
        <v/>
      </c>
      <c r="AM25" s="714" t="str">
        <f t="shared" si="34"/>
        <v/>
      </c>
      <c r="AN25" s="714" t="str">
        <f t="shared" si="2"/>
        <v/>
      </c>
      <c r="AO25" s="714" t="e">
        <f t="shared" si="3"/>
        <v>#N/A</v>
      </c>
      <c r="AP25" s="705" t="str">
        <f t="shared" si="4"/>
        <v/>
      </c>
      <c r="AQ25" s="708">
        <f t="shared" si="28"/>
        <v>0</v>
      </c>
      <c r="AR25" s="709" t="str">
        <f t="shared" si="5"/>
        <v/>
      </c>
      <c r="AS25" s="710">
        <f t="shared" si="29"/>
        <v>0</v>
      </c>
      <c r="AT25" s="709" t="str">
        <f t="shared" si="6"/>
        <v/>
      </c>
      <c r="AU25" s="711">
        <f t="shared" si="7"/>
        <v>0</v>
      </c>
      <c r="AV25" s="712" t="str">
        <f t="shared" si="8"/>
        <v/>
      </c>
      <c r="AW25" s="711" t="b">
        <f t="shared" si="9"/>
        <v>0</v>
      </c>
      <c r="AX25" s="713" t="b">
        <f t="shared" si="10"/>
        <v>0</v>
      </c>
      <c r="AY25" s="711" t="b">
        <f t="shared" si="11"/>
        <v>0</v>
      </c>
      <c r="AZ25" s="713" t="b">
        <f t="shared" si="12"/>
        <v>0</v>
      </c>
      <c r="BA25" s="705" t="b">
        <f t="shared" si="13"/>
        <v>0</v>
      </c>
      <c r="BB25" s="705" t="b">
        <f t="shared" si="14"/>
        <v>0</v>
      </c>
      <c r="BC25" s="711" t="b">
        <f t="shared" si="15"/>
        <v>0</v>
      </c>
      <c r="BD25" s="714" t="b">
        <f t="shared" si="30"/>
        <v>0</v>
      </c>
      <c r="BE25" s="713" t="b">
        <f t="shared" si="37"/>
        <v>0</v>
      </c>
      <c r="BF25" s="715" t="b">
        <f t="shared" si="17"/>
        <v>0</v>
      </c>
      <c r="BG25" s="663" t="str">
        <f t="shared" si="38"/>
        <v>NA</v>
      </c>
      <c r="BH25" s="663" t="str">
        <f t="shared" si="31"/>
        <v/>
      </c>
      <c r="BI25" s="663" t="str">
        <f t="shared" si="19"/>
        <v/>
      </c>
      <c r="BJ25" s="663" t="str">
        <f t="shared" si="20"/>
        <v/>
      </c>
      <c r="BK25" s="663" t="str">
        <f t="shared" si="21"/>
        <v/>
      </c>
      <c r="BL25" s="716" t="str">
        <f t="shared" si="32"/>
        <v/>
      </c>
      <c r="BM25" s="663" t="str">
        <f t="shared" si="22"/>
        <v/>
      </c>
      <c r="BN25" s="663" t="str">
        <f t="shared" si="23"/>
        <v/>
      </c>
      <c r="BO25" s="1064"/>
      <c r="BP25" s="725" t="s">
        <v>230</v>
      </c>
      <c r="BQ25" s="730">
        <f t="shared" si="36"/>
        <v>0.6</v>
      </c>
      <c r="BR25" s="731">
        <f t="shared" si="36"/>
        <v>0.9</v>
      </c>
      <c r="BS25" s="731">
        <f t="shared" si="36"/>
        <v>0.93330000000000002</v>
      </c>
      <c r="BT25" s="731">
        <f t="shared" si="36"/>
        <v>0.9667</v>
      </c>
      <c r="BU25" s="732">
        <f t="shared" si="36"/>
        <v>1</v>
      </c>
      <c r="BW25" s="666">
        <v>2</v>
      </c>
      <c r="BX25" s="717" t="s">
        <v>589</v>
      </c>
    </row>
    <row r="26" spans="2:93" s="665" customFormat="1" ht="12.95" customHeight="1" x14ac:dyDescent="0.25">
      <c r="B26" s="719" t="str">
        <f>IF(ISNA(Z26),"",IF(OR(Z26=1,Z26=2),"    ",MAX($B$9:B25)+1))</f>
        <v/>
      </c>
      <c r="C26" s="1058" t="str">
        <f t="shared" si="24"/>
        <v/>
      </c>
      <c r="D26" s="1058"/>
      <c r="E26" s="1058"/>
      <c r="F26" s="1059"/>
      <c r="G26" s="700" t="str">
        <f t="shared" si="0"/>
        <v/>
      </c>
      <c r="H26" s="701" t="str">
        <f t="shared" si="1"/>
        <v/>
      </c>
      <c r="I26" s="720" t="str">
        <f t="shared" si="1"/>
        <v/>
      </c>
      <c r="J26" s="723"/>
      <c r="K26" s="722"/>
      <c r="L26" s="1075"/>
      <c r="M26" s="1076"/>
      <c r="N26" s="1076"/>
      <c r="O26" s="1076"/>
      <c r="P26" s="1076"/>
      <c r="Q26" s="1076"/>
      <c r="R26" s="1077"/>
      <c r="T26" s="659">
        <v>18</v>
      </c>
      <c r="U26" s="647" t="e">
        <v>#N/A</v>
      </c>
      <c r="V26" s="705" t="e">
        <v>#N/A</v>
      </c>
      <c r="W26" s="705" t="e">
        <v>#N/A</v>
      </c>
      <c r="X26" s="705" t="e">
        <v>#N/A</v>
      </c>
      <c r="Y26" s="705" t="e">
        <v>#N/A</v>
      </c>
      <c r="Z26" s="714" t="e">
        <v>#N/A</v>
      </c>
      <c r="AA26" s="714" t="e">
        <v>#N/A</v>
      </c>
      <c r="AB26" s="714" t="e">
        <v>#N/A</v>
      </c>
      <c r="AC26" s="705" t="e">
        <v>#N/A</v>
      </c>
      <c r="AD26" s="705" t="e">
        <v>#N/A</v>
      </c>
      <c r="AE26" s="705" t="e">
        <v>#N/A</v>
      </c>
      <c r="AF26" s="705" t="e">
        <v>#N/A</v>
      </c>
      <c r="AG26" s="705" t="e">
        <f t="shared" si="25"/>
        <v>#N/A</v>
      </c>
      <c r="AH26" s="705" t="str">
        <f t="shared" si="35"/>
        <v/>
      </c>
      <c r="AI26" s="706" t="e">
        <f>IF(NOT(OR(Z26=1,Z26=2)),IF(AQ26&gt;0,$AR$45*AQ26/SUMIF($AQ$9:$AQ$40,"&gt;0"),IF(AU26&gt;0,$AV$45*AU26/SUMIF($AU$9:$AU$40,"&gt;0"),IF(AS26&gt;0,$AT$45*AS26/SUMIF($AS$9:$AS$40,"&gt;0"),""))),IF(SUMIF(AJ27:$AJ$40,"=" &amp; AJ26,AI27:$AI$40)=0,"",SUMIF(AJ27:$AJ$40,"=" &amp; AJ26,AI27:$AI$40)))</f>
        <v>#N/A</v>
      </c>
      <c r="AJ26" s="707" t="e">
        <f t="shared" si="33"/>
        <v>#N/A</v>
      </c>
      <c r="AK26" s="705" t="str">
        <f t="shared" si="26"/>
        <v/>
      </c>
      <c r="AL26" s="714" t="str">
        <f t="shared" si="27"/>
        <v/>
      </c>
      <c r="AM26" s="714" t="str">
        <f t="shared" si="34"/>
        <v/>
      </c>
      <c r="AN26" s="714" t="str">
        <f t="shared" si="2"/>
        <v/>
      </c>
      <c r="AO26" s="714" t="e">
        <f t="shared" si="3"/>
        <v>#N/A</v>
      </c>
      <c r="AP26" s="705" t="str">
        <f t="shared" si="4"/>
        <v/>
      </c>
      <c r="AQ26" s="708">
        <f t="shared" si="28"/>
        <v>0</v>
      </c>
      <c r="AR26" s="709" t="str">
        <f t="shared" si="5"/>
        <v/>
      </c>
      <c r="AS26" s="710">
        <f t="shared" si="29"/>
        <v>0</v>
      </c>
      <c r="AT26" s="709" t="str">
        <f t="shared" si="6"/>
        <v/>
      </c>
      <c r="AU26" s="711">
        <f t="shared" si="7"/>
        <v>0</v>
      </c>
      <c r="AV26" s="712" t="str">
        <f t="shared" si="8"/>
        <v/>
      </c>
      <c r="AW26" s="711" t="b">
        <f t="shared" si="9"/>
        <v>0</v>
      </c>
      <c r="AX26" s="713" t="b">
        <f t="shared" si="10"/>
        <v>0</v>
      </c>
      <c r="AY26" s="711" t="b">
        <f t="shared" si="11"/>
        <v>0</v>
      </c>
      <c r="AZ26" s="713" t="b">
        <f t="shared" si="12"/>
        <v>0</v>
      </c>
      <c r="BA26" s="705" t="b">
        <f t="shared" si="13"/>
        <v>0</v>
      </c>
      <c r="BB26" s="705" t="b">
        <f t="shared" si="14"/>
        <v>0</v>
      </c>
      <c r="BC26" s="711" t="b">
        <f t="shared" si="15"/>
        <v>0</v>
      </c>
      <c r="BD26" s="714" t="b">
        <f t="shared" si="30"/>
        <v>0</v>
      </c>
      <c r="BE26" s="713" t="b">
        <f t="shared" si="37"/>
        <v>0</v>
      </c>
      <c r="BF26" s="715" t="b">
        <f t="shared" si="17"/>
        <v>0</v>
      </c>
      <c r="BG26" s="663" t="str">
        <f t="shared" si="38"/>
        <v>NA</v>
      </c>
      <c r="BH26" s="663" t="str">
        <f t="shared" si="31"/>
        <v/>
      </c>
      <c r="BI26" s="663" t="str">
        <f t="shared" si="19"/>
        <v/>
      </c>
      <c r="BJ26" s="663" t="str">
        <f t="shared" si="20"/>
        <v/>
      </c>
      <c r="BK26" s="663" t="str">
        <f t="shared" si="21"/>
        <v/>
      </c>
      <c r="BL26" s="716" t="str">
        <f t="shared" si="32"/>
        <v/>
      </c>
      <c r="BM26" s="663" t="str">
        <f t="shared" si="22"/>
        <v/>
      </c>
      <c r="BN26" s="663" t="str">
        <f t="shared" si="23"/>
        <v/>
      </c>
      <c r="BO26" s="1064"/>
      <c r="BP26" s="725" t="s">
        <v>231</v>
      </c>
      <c r="BQ26" s="730">
        <f t="shared" si="36"/>
        <v>0.6</v>
      </c>
      <c r="BR26" s="731">
        <f t="shared" si="36"/>
        <v>0.7</v>
      </c>
      <c r="BS26" s="731">
        <f t="shared" si="36"/>
        <v>0.9</v>
      </c>
      <c r="BT26" s="731">
        <f t="shared" si="36"/>
        <v>0.95</v>
      </c>
      <c r="BU26" s="732">
        <f t="shared" si="36"/>
        <v>1</v>
      </c>
      <c r="BW26" s="666">
        <v>3</v>
      </c>
      <c r="BX26" s="717" t="s">
        <v>558</v>
      </c>
    </row>
    <row r="27" spans="2:93" s="665" customFormat="1" ht="12.95" customHeight="1" x14ac:dyDescent="0.25">
      <c r="B27" s="719" t="str">
        <f>IF(ISNA(Z27),"",IF(OR(Z27=1,Z27=2),"    ",MAX($B$9:B26)+1))</f>
        <v/>
      </c>
      <c r="C27" s="1058" t="str">
        <f t="shared" si="24"/>
        <v/>
      </c>
      <c r="D27" s="1058"/>
      <c r="E27" s="1058"/>
      <c r="F27" s="1059"/>
      <c r="G27" s="700" t="str">
        <f t="shared" si="0"/>
        <v/>
      </c>
      <c r="H27" s="701" t="str">
        <f t="shared" si="1"/>
        <v/>
      </c>
      <c r="I27" s="720" t="str">
        <f t="shared" si="1"/>
        <v/>
      </c>
      <c r="J27" s="723"/>
      <c r="K27" s="722"/>
      <c r="L27" s="1075"/>
      <c r="M27" s="1076"/>
      <c r="N27" s="1076"/>
      <c r="O27" s="1076"/>
      <c r="P27" s="1076"/>
      <c r="Q27" s="1076"/>
      <c r="R27" s="1077"/>
      <c r="T27" s="659">
        <v>19</v>
      </c>
      <c r="U27" s="647" t="e">
        <v>#N/A</v>
      </c>
      <c r="V27" s="705" t="e">
        <v>#N/A</v>
      </c>
      <c r="W27" s="705" t="e">
        <v>#N/A</v>
      </c>
      <c r="X27" s="705" t="e">
        <v>#N/A</v>
      </c>
      <c r="Y27" s="705" t="e">
        <v>#N/A</v>
      </c>
      <c r="Z27" s="714" t="e">
        <v>#N/A</v>
      </c>
      <c r="AA27" s="714" t="e">
        <v>#N/A</v>
      </c>
      <c r="AB27" s="714" t="e">
        <v>#N/A</v>
      </c>
      <c r="AC27" s="705" t="e">
        <v>#N/A</v>
      </c>
      <c r="AD27" s="705" t="e">
        <v>#N/A</v>
      </c>
      <c r="AE27" s="705" t="e">
        <v>#N/A</v>
      </c>
      <c r="AF27" s="705" t="e">
        <v>#N/A</v>
      </c>
      <c r="AG27" s="705" t="e">
        <f t="shared" si="25"/>
        <v>#N/A</v>
      </c>
      <c r="AH27" s="705" t="str">
        <f t="shared" si="35"/>
        <v/>
      </c>
      <c r="AI27" s="706" t="e">
        <f>IF(NOT(OR(Z27=1,Z27=2)),IF(AQ27&gt;0,$AR$45*AQ27/SUMIF($AQ$9:$AQ$40,"&gt;0"),IF(AU27&gt;0,$AV$45*AU27/SUMIF($AU$9:$AU$40,"&gt;0"),IF(AS27&gt;0,$AT$45*AS27/SUMIF($AS$9:$AS$40,"&gt;0"),""))),IF(SUMIF(AJ28:$AJ$40,"=" &amp; AJ27,AI28:$AI$40)=0,"",SUMIF(AJ28:$AJ$40,"=" &amp; AJ27,AI28:$AI$40)))</f>
        <v>#N/A</v>
      </c>
      <c r="AJ27" s="707" t="e">
        <f t="shared" si="33"/>
        <v>#N/A</v>
      </c>
      <c r="AK27" s="705" t="str">
        <f t="shared" si="26"/>
        <v/>
      </c>
      <c r="AL27" s="714" t="str">
        <f t="shared" si="27"/>
        <v/>
      </c>
      <c r="AM27" s="714" t="str">
        <f t="shared" si="34"/>
        <v/>
      </c>
      <c r="AN27" s="714" t="str">
        <f t="shared" si="2"/>
        <v/>
      </c>
      <c r="AO27" s="714" t="e">
        <f t="shared" si="3"/>
        <v>#N/A</v>
      </c>
      <c r="AP27" s="705" t="str">
        <f t="shared" si="4"/>
        <v/>
      </c>
      <c r="AQ27" s="708">
        <f t="shared" si="28"/>
        <v>0</v>
      </c>
      <c r="AR27" s="709" t="str">
        <f t="shared" si="5"/>
        <v/>
      </c>
      <c r="AS27" s="710">
        <f t="shared" si="29"/>
        <v>0</v>
      </c>
      <c r="AT27" s="709" t="str">
        <f t="shared" si="6"/>
        <v/>
      </c>
      <c r="AU27" s="711">
        <f t="shared" si="7"/>
        <v>0</v>
      </c>
      <c r="AV27" s="712" t="str">
        <f t="shared" si="8"/>
        <v/>
      </c>
      <c r="AW27" s="711" t="b">
        <f t="shared" si="9"/>
        <v>0</v>
      </c>
      <c r="AX27" s="713" t="b">
        <f t="shared" si="10"/>
        <v>0</v>
      </c>
      <c r="AY27" s="711" t="b">
        <f t="shared" si="11"/>
        <v>0</v>
      </c>
      <c r="AZ27" s="713" t="b">
        <f t="shared" si="12"/>
        <v>0</v>
      </c>
      <c r="BA27" s="705" t="b">
        <f t="shared" si="13"/>
        <v>0</v>
      </c>
      <c r="BB27" s="705" t="b">
        <f t="shared" si="14"/>
        <v>0</v>
      </c>
      <c r="BC27" s="711" t="b">
        <f t="shared" si="15"/>
        <v>0</v>
      </c>
      <c r="BD27" s="714" t="b">
        <f t="shared" si="30"/>
        <v>0</v>
      </c>
      <c r="BE27" s="713" t="b">
        <f t="shared" si="37"/>
        <v>0</v>
      </c>
      <c r="BF27" s="715" t="b">
        <f t="shared" si="17"/>
        <v>0</v>
      </c>
      <c r="BG27" s="663" t="str">
        <f t="shared" si="38"/>
        <v>NA</v>
      </c>
      <c r="BH27" s="663" t="str">
        <f t="shared" si="31"/>
        <v/>
      </c>
      <c r="BI27" s="663" t="str">
        <f t="shared" si="19"/>
        <v/>
      </c>
      <c r="BJ27" s="663" t="str">
        <f t="shared" si="20"/>
        <v/>
      </c>
      <c r="BK27" s="663" t="str">
        <f t="shared" si="21"/>
        <v/>
      </c>
      <c r="BL27" s="716" t="str">
        <f t="shared" si="32"/>
        <v/>
      </c>
      <c r="BM27" s="663" t="str">
        <f t="shared" si="22"/>
        <v/>
      </c>
      <c r="BN27" s="663" t="str">
        <f t="shared" si="23"/>
        <v/>
      </c>
      <c r="BO27" s="1064"/>
      <c r="BP27" s="725" t="s">
        <v>232</v>
      </c>
      <c r="BQ27" s="730">
        <f t="shared" si="36"/>
        <v>0.6</v>
      </c>
      <c r="BR27" s="731">
        <f t="shared" si="36"/>
        <v>0.7</v>
      </c>
      <c r="BS27" s="731">
        <f t="shared" si="36"/>
        <v>0.8</v>
      </c>
      <c r="BT27" s="731">
        <f t="shared" si="36"/>
        <v>0.9</v>
      </c>
      <c r="BU27" s="732">
        <f t="shared" si="36"/>
        <v>1</v>
      </c>
      <c r="BW27" s="666">
        <v>4</v>
      </c>
      <c r="BX27" s="717" t="s">
        <v>563</v>
      </c>
    </row>
    <row r="28" spans="2:93" s="665" customFormat="1" ht="12.95" customHeight="1" x14ac:dyDescent="0.25">
      <c r="B28" s="719" t="str">
        <f>IF(ISNA(Z28),"",IF(OR(Z28=1,Z28=2),"    ",MAX($B$9:B27)+1))</f>
        <v/>
      </c>
      <c r="C28" s="1058" t="str">
        <f t="shared" si="24"/>
        <v/>
      </c>
      <c r="D28" s="1058"/>
      <c r="E28" s="1058"/>
      <c r="F28" s="1059"/>
      <c r="G28" s="700" t="str">
        <f t="shared" si="0"/>
        <v/>
      </c>
      <c r="H28" s="701" t="str">
        <f t="shared" si="1"/>
        <v/>
      </c>
      <c r="I28" s="720" t="str">
        <f t="shared" si="1"/>
        <v/>
      </c>
      <c r="J28" s="723"/>
      <c r="K28" s="722"/>
      <c r="L28" s="1075"/>
      <c r="M28" s="1076"/>
      <c r="N28" s="1076"/>
      <c r="O28" s="1076"/>
      <c r="P28" s="1076"/>
      <c r="Q28" s="1076"/>
      <c r="R28" s="1077"/>
      <c r="T28" s="659">
        <v>20</v>
      </c>
      <c r="U28" s="647" t="e">
        <v>#N/A</v>
      </c>
      <c r="V28" s="705" t="e">
        <v>#N/A</v>
      </c>
      <c r="W28" s="705" t="e">
        <v>#N/A</v>
      </c>
      <c r="X28" s="705" t="e">
        <v>#N/A</v>
      </c>
      <c r="Y28" s="705" t="e">
        <v>#N/A</v>
      </c>
      <c r="Z28" s="714" t="e">
        <v>#N/A</v>
      </c>
      <c r="AA28" s="714" t="e">
        <v>#N/A</v>
      </c>
      <c r="AB28" s="714" t="e">
        <v>#N/A</v>
      </c>
      <c r="AC28" s="705" t="e">
        <v>#N/A</v>
      </c>
      <c r="AD28" s="705" t="e">
        <v>#N/A</v>
      </c>
      <c r="AE28" s="705" t="e">
        <v>#N/A</v>
      </c>
      <c r="AF28" s="705" t="e">
        <v>#N/A</v>
      </c>
      <c r="AG28" s="705" t="e">
        <f t="shared" si="25"/>
        <v>#N/A</v>
      </c>
      <c r="AH28" s="705" t="str">
        <f t="shared" si="35"/>
        <v/>
      </c>
      <c r="AI28" s="706" t="e">
        <f>IF(NOT(OR(Z28=1,Z28=2)),IF(AQ28&gt;0,$AR$45*AQ28/SUMIF($AQ$9:$AQ$40,"&gt;0"),IF(AU28&gt;0,$AV$45*AU28/SUMIF($AU$9:$AU$40,"&gt;0"),IF(AS28&gt;0,$AT$45*AS28/SUMIF($AS$9:$AS$40,"&gt;0"),""))),IF(SUMIF(AJ29:$AJ$40,"=" &amp; AJ28,AI29:$AI$40)=0,"",SUMIF(AJ29:$AJ$40,"=" &amp; AJ28,AI29:$AI$40)))</f>
        <v>#N/A</v>
      </c>
      <c r="AJ28" s="707" t="e">
        <f t="shared" si="33"/>
        <v>#N/A</v>
      </c>
      <c r="AK28" s="705" t="str">
        <f t="shared" si="26"/>
        <v/>
      </c>
      <c r="AL28" s="714" t="str">
        <f t="shared" si="27"/>
        <v/>
      </c>
      <c r="AM28" s="714" t="str">
        <f t="shared" si="34"/>
        <v/>
      </c>
      <c r="AN28" s="714" t="str">
        <f t="shared" si="2"/>
        <v/>
      </c>
      <c r="AO28" s="714" t="e">
        <f t="shared" si="3"/>
        <v>#N/A</v>
      </c>
      <c r="AP28" s="705" t="str">
        <f t="shared" si="4"/>
        <v/>
      </c>
      <c r="AQ28" s="708">
        <f t="shared" si="28"/>
        <v>0</v>
      </c>
      <c r="AR28" s="709" t="str">
        <f t="shared" si="5"/>
        <v/>
      </c>
      <c r="AS28" s="710">
        <f t="shared" si="29"/>
        <v>0</v>
      </c>
      <c r="AT28" s="709" t="str">
        <f t="shared" si="6"/>
        <v/>
      </c>
      <c r="AU28" s="711">
        <f t="shared" si="7"/>
        <v>0</v>
      </c>
      <c r="AV28" s="712" t="str">
        <f t="shared" si="8"/>
        <v/>
      </c>
      <c r="AW28" s="711" t="b">
        <f t="shared" si="9"/>
        <v>0</v>
      </c>
      <c r="AX28" s="713" t="b">
        <f t="shared" si="10"/>
        <v>0</v>
      </c>
      <c r="AY28" s="711" t="b">
        <f t="shared" si="11"/>
        <v>0</v>
      </c>
      <c r="AZ28" s="713" t="b">
        <f t="shared" si="12"/>
        <v>0</v>
      </c>
      <c r="BA28" s="705" t="b">
        <f t="shared" si="13"/>
        <v>0</v>
      </c>
      <c r="BB28" s="705" t="b">
        <f t="shared" si="14"/>
        <v>0</v>
      </c>
      <c r="BC28" s="711" t="b">
        <f t="shared" si="15"/>
        <v>0</v>
      </c>
      <c r="BD28" s="714" t="b">
        <f t="shared" si="30"/>
        <v>0</v>
      </c>
      <c r="BE28" s="713" t="b">
        <f t="shared" si="37"/>
        <v>0</v>
      </c>
      <c r="BF28" s="715" t="b">
        <f t="shared" si="17"/>
        <v>0</v>
      </c>
      <c r="BG28" s="663" t="str">
        <f t="shared" si="38"/>
        <v>NA</v>
      </c>
      <c r="BH28" s="663" t="str">
        <f t="shared" si="31"/>
        <v/>
      </c>
      <c r="BI28" s="663" t="str">
        <f t="shared" si="19"/>
        <v/>
      </c>
      <c r="BJ28" s="663" t="str">
        <f t="shared" si="20"/>
        <v/>
      </c>
      <c r="BK28" s="663" t="str">
        <f t="shared" si="21"/>
        <v/>
      </c>
      <c r="BL28" s="716" t="str">
        <f t="shared" si="32"/>
        <v/>
      </c>
      <c r="BM28" s="663" t="str">
        <f t="shared" si="22"/>
        <v/>
      </c>
      <c r="BN28" s="663" t="str">
        <f t="shared" si="23"/>
        <v/>
      </c>
      <c r="BO28" s="1064"/>
      <c r="BP28" s="725" t="s">
        <v>233</v>
      </c>
      <c r="BQ28" s="730">
        <f t="shared" si="36"/>
        <v>0.3</v>
      </c>
      <c r="BR28" s="731">
        <f t="shared" si="36"/>
        <v>0.6</v>
      </c>
      <c r="BS28" s="731">
        <f t="shared" si="36"/>
        <v>0.9</v>
      </c>
      <c r="BT28" s="731">
        <f t="shared" si="36"/>
        <v>0.95</v>
      </c>
      <c r="BU28" s="732">
        <f t="shared" si="36"/>
        <v>1</v>
      </c>
    </row>
    <row r="29" spans="2:93" s="665" customFormat="1" ht="12.95" customHeight="1" x14ac:dyDescent="0.25">
      <c r="B29" s="719" t="str">
        <f>IF(ISNA(Z29),"",IF(OR(Z29=1,Z29=2),"    ",MAX($B$9:B28)+1))</f>
        <v/>
      </c>
      <c r="C29" s="1058" t="str">
        <f t="shared" si="24"/>
        <v/>
      </c>
      <c r="D29" s="1058"/>
      <c r="E29" s="1058"/>
      <c r="F29" s="1059"/>
      <c r="G29" s="700" t="str">
        <f t="shared" si="0"/>
        <v/>
      </c>
      <c r="H29" s="701" t="str">
        <f t="shared" si="1"/>
        <v/>
      </c>
      <c r="I29" s="720" t="str">
        <f t="shared" si="1"/>
        <v/>
      </c>
      <c r="J29" s="723"/>
      <c r="K29" s="722"/>
      <c r="L29" s="1075"/>
      <c r="M29" s="1076"/>
      <c r="N29" s="1076"/>
      <c r="O29" s="1076"/>
      <c r="P29" s="1076"/>
      <c r="Q29" s="1076"/>
      <c r="R29" s="1077"/>
      <c r="T29" s="659">
        <v>21</v>
      </c>
      <c r="U29" s="647" t="e">
        <v>#N/A</v>
      </c>
      <c r="V29" s="705" t="e">
        <v>#N/A</v>
      </c>
      <c r="W29" s="705" t="e">
        <v>#N/A</v>
      </c>
      <c r="X29" s="705" t="e">
        <v>#N/A</v>
      </c>
      <c r="Y29" s="705" t="e">
        <v>#N/A</v>
      </c>
      <c r="Z29" s="714" t="e">
        <v>#N/A</v>
      </c>
      <c r="AA29" s="714" t="e">
        <v>#N/A</v>
      </c>
      <c r="AB29" s="714" t="e">
        <v>#N/A</v>
      </c>
      <c r="AC29" s="705" t="e">
        <v>#N/A</v>
      </c>
      <c r="AD29" s="705" t="e">
        <v>#N/A</v>
      </c>
      <c r="AE29" s="705" t="e">
        <v>#N/A</v>
      </c>
      <c r="AF29" s="705" t="e">
        <v>#N/A</v>
      </c>
      <c r="AG29" s="705" t="e">
        <f t="shared" si="25"/>
        <v>#N/A</v>
      </c>
      <c r="AH29" s="705" t="str">
        <f t="shared" si="35"/>
        <v/>
      </c>
      <c r="AI29" s="706" t="e">
        <f>IF(NOT(OR(Z29=1,Z29=2)),IF(AQ29&gt;0,$AR$45*AQ29/SUMIF($AQ$9:$AQ$40,"&gt;0"),IF(AU29&gt;0,$AV$45*AU29/SUMIF($AU$9:$AU$40,"&gt;0"),IF(AS29&gt;0,$AT$45*AS29/SUMIF($AS$9:$AS$40,"&gt;0"),""))),IF(SUMIF(AJ30:$AJ$40,"=" &amp; AJ29,AI30:$AI$40)=0,"",SUMIF(AJ30:$AJ$40,"=" &amp; AJ29,AI30:$AI$40)))</f>
        <v>#N/A</v>
      </c>
      <c r="AJ29" s="707" t="e">
        <f t="shared" si="33"/>
        <v>#N/A</v>
      </c>
      <c r="AK29" s="705" t="str">
        <f t="shared" si="26"/>
        <v/>
      </c>
      <c r="AL29" s="714" t="str">
        <f t="shared" si="27"/>
        <v/>
      </c>
      <c r="AM29" s="714" t="str">
        <f t="shared" si="34"/>
        <v/>
      </c>
      <c r="AN29" s="714" t="str">
        <f t="shared" si="2"/>
        <v/>
      </c>
      <c r="AO29" s="714" t="e">
        <f t="shared" si="3"/>
        <v>#N/A</v>
      </c>
      <c r="AP29" s="705" t="str">
        <f t="shared" si="4"/>
        <v/>
      </c>
      <c r="AQ29" s="708">
        <f t="shared" si="28"/>
        <v>0</v>
      </c>
      <c r="AR29" s="709" t="str">
        <f t="shared" si="5"/>
        <v/>
      </c>
      <c r="AS29" s="710">
        <f t="shared" si="29"/>
        <v>0</v>
      </c>
      <c r="AT29" s="709" t="str">
        <f t="shared" si="6"/>
        <v/>
      </c>
      <c r="AU29" s="711">
        <f t="shared" si="7"/>
        <v>0</v>
      </c>
      <c r="AV29" s="712" t="str">
        <f t="shared" si="8"/>
        <v/>
      </c>
      <c r="AW29" s="711" t="b">
        <f t="shared" si="9"/>
        <v>0</v>
      </c>
      <c r="AX29" s="713" t="b">
        <f t="shared" si="10"/>
        <v>0</v>
      </c>
      <c r="AY29" s="711" t="b">
        <f t="shared" si="11"/>
        <v>0</v>
      </c>
      <c r="AZ29" s="713" t="b">
        <f t="shared" si="12"/>
        <v>0</v>
      </c>
      <c r="BA29" s="705" t="b">
        <f t="shared" si="13"/>
        <v>0</v>
      </c>
      <c r="BB29" s="705" t="b">
        <f t="shared" si="14"/>
        <v>0</v>
      </c>
      <c r="BC29" s="711" t="b">
        <f t="shared" si="15"/>
        <v>0</v>
      </c>
      <c r="BD29" s="714" t="b">
        <f t="shared" si="30"/>
        <v>0</v>
      </c>
      <c r="BE29" s="713" t="b">
        <f t="shared" si="37"/>
        <v>0</v>
      </c>
      <c r="BF29" s="715" t="b">
        <f t="shared" si="17"/>
        <v>0</v>
      </c>
      <c r="BG29" s="663" t="str">
        <f t="shared" si="38"/>
        <v>NA</v>
      </c>
      <c r="BH29" s="663" t="str">
        <f t="shared" si="31"/>
        <v/>
      </c>
      <c r="BI29" s="663" t="str">
        <f t="shared" si="19"/>
        <v/>
      </c>
      <c r="BJ29" s="663" t="str">
        <f t="shared" si="20"/>
        <v/>
      </c>
      <c r="BK29" s="663" t="str">
        <f t="shared" si="21"/>
        <v/>
      </c>
      <c r="BL29" s="716" t="str">
        <f t="shared" si="32"/>
        <v/>
      </c>
      <c r="BM29" s="663" t="str">
        <f t="shared" si="22"/>
        <v/>
      </c>
      <c r="BN29" s="663" t="str">
        <f t="shared" si="23"/>
        <v/>
      </c>
      <c r="BO29" s="1064"/>
      <c r="BP29" s="725" t="s">
        <v>234</v>
      </c>
      <c r="BQ29" s="730">
        <f t="shared" si="36"/>
        <v>0.3</v>
      </c>
      <c r="BR29" s="731">
        <f t="shared" si="36"/>
        <v>0.6</v>
      </c>
      <c r="BS29" s="731">
        <f t="shared" si="36"/>
        <v>0.7</v>
      </c>
      <c r="BT29" s="731">
        <f t="shared" si="36"/>
        <v>0.9</v>
      </c>
      <c r="BU29" s="732">
        <f t="shared" si="36"/>
        <v>1</v>
      </c>
      <c r="BW29" s="664" t="s">
        <v>590</v>
      </c>
    </row>
    <row r="30" spans="2:93" s="665" customFormat="1" ht="12.95" customHeight="1" x14ac:dyDescent="0.25">
      <c r="B30" s="719" t="str">
        <f>IF(ISNA(Z30),"",IF(OR(Z30=1,Z30=2),"    ",MAX($B$9:B29)+1))</f>
        <v/>
      </c>
      <c r="C30" s="1058" t="str">
        <f t="shared" si="24"/>
        <v/>
      </c>
      <c r="D30" s="1058"/>
      <c r="E30" s="1058"/>
      <c r="F30" s="1059"/>
      <c r="G30" s="700" t="str">
        <f t="shared" si="0"/>
        <v/>
      </c>
      <c r="H30" s="701" t="str">
        <f t="shared" si="1"/>
        <v/>
      </c>
      <c r="I30" s="720" t="str">
        <f t="shared" si="1"/>
        <v/>
      </c>
      <c r="J30" s="723"/>
      <c r="K30" s="722"/>
      <c r="L30" s="1075"/>
      <c r="M30" s="1076"/>
      <c r="N30" s="1076"/>
      <c r="O30" s="1076"/>
      <c r="P30" s="1076"/>
      <c r="Q30" s="1076"/>
      <c r="R30" s="1077"/>
      <c r="T30" s="659">
        <v>22</v>
      </c>
      <c r="U30" s="647" t="e">
        <v>#N/A</v>
      </c>
      <c r="V30" s="705" t="e">
        <v>#N/A</v>
      </c>
      <c r="W30" s="705" t="e">
        <v>#N/A</v>
      </c>
      <c r="X30" s="705" t="e">
        <v>#N/A</v>
      </c>
      <c r="Y30" s="705" t="e">
        <v>#N/A</v>
      </c>
      <c r="Z30" s="714" t="e">
        <v>#N/A</v>
      </c>
      <c r="AA30" s="714" t="e">
        <v>#N/A</v>
      </c>
      <c r="AB30" s="714" t="e">
        <v>#N/A</v>
      </c>
      <c r="AC30" s="705" t="e">
        <v>#N/A</v>
      </c>
      <c r="AD30" s="705" t="e">
        <v>#N/A</v>
      </c>
      <c r="AE30" s="705" t="e">
        <v>#N/A</v>
      </c>
      <c r="AF30" s="705" t="e">
        <v>#N/A</v>
      </c>
      <c r="AG30" s="705" t="e">
        <f t="shared" si="25"/>
        <v>#N/A</v>
      </c>
      <c r="AH30" s="705" t="str">
        <f t="shared" si="35"/>
        <v/>
      </c>
      <c r="AI30" s="706" t="e">
        <f>IF(NOT(OR(Z30=1,Z30=2)),IF(AQ30&gt;0,$AR$45*AQ30/SUMIF($AQ$9:$AQ$40,"&gt;0"),IF(AU30&gt;0,$AV$45*AU30/SUMIF($AU$9:$AU$40,"&gt;0"),IF(AS30&gt;0,$AT$45*AS30/SUMIF($AS$9:$AS$40,"&gt;0"),""))),IF(SUMIF(AJ31:$AJ$40,"=" &amp; AJ30,AI31:$AI$40)=0,"",SUMIF(AJ31:$AJ$40,"=" &amp; AJ30,AI31:$AI$40)))</f>
        <v>#N/A</v>
      </c>
      <c r="AJ30" s="707" t="e">
        <f t="shared" si="33"/>
        <v>#N/A</v>
      </c>
      <c r="AK30" s="705" t="str">
        <f t="shared" si="26"/>
        <v/>
      </c>
      <c r="AL30" s="714" t="str">
        <f t="shared" si="27"/>
        <v/>
      </c>
      <c r="AM30" s="714" t="str">
        <f t="shared" si="34"/>
        <v/>
      </c>
      <c r="AN30" s="714" t="str">
        <f t="shared" si="2"/>
        <v/>
      </c>
      <c r="AO30" s="714" t="e">
        <f t="shared" si="3"/>
        <v>#N/A</v>
      </c>
      <c r="AP30" s="705" t="str">
        <f t="shared" si="4"/>
        <v/>
      </c>
      <c r="AQ30" s="708">
        <f t="shared" si="28"/>
        <v>0</v>
      </c>
      <c r="AR30" s="709" t="str">
        <f t="shared" si="5"/>
        <v/>
      </c>
      <c r="AS30" s="710">
        <f t="shared" si="29"/>
        <v>0</v>
      </c>
      <c r="AT30" s="709" t="str">
        <f t="shared" si="6"/>
        <v/>
      </c>
      <c r="AU30" s="711">
        <f t="shared" si="7"/>
        <v>0</v>
      </c>
      <c r="AV30" s="712" t="str">
        <f t="shared" si="8"/>
        <v/>
      </c>
      <c r="AW30" s="711" t="b">
        <f t="shared" si="9"/>
        <v>0</v>
      </c>
      <c r="AX30" s="713" t="b">
        <f t="shared" si="10"/>
        <v>0</v>
      </c>
      <c r="AY30" s="711" t="b">
        <f t="shared" si="11"/>
        <v>0</v>
      </c>
      <c r="AZ30" s="713" t="b">
        <f t="shared" si="12"/>
        <v>0</v>
      </c>
      <c r="BA30" s="705" t="b">
        <f t="shared" si="13"/>
        <v>0</v>
      </c>
      <c r="BB30" s="705" t="b">
        <f t="shared" si="14"/>
        <v>0</v>
      </c>
      <c r="BC30" s="711" t="b">
        <f t="shared" si="15"/>
        <v>0</v>
      </c>
      <c r="BD30" s="714" t="b">
        <f t="shared" si="30"/>
        <v>0</v>
      </c>
      <c r="BE30" s="713" t="b">
        <f t="shared" si="37"/>
        <v>0</v>
      </c>
      <c r="BF30" s="715" t="b">
        <f t="shared" si="17"/>
        <v>0</v>
      </c>
      <c r="BG30" s="663" t="str">
        <f t="shared" si="38"/>
        <v>NA</v>
      </c>
      <c r="BH30" s="663" t="str">
        <f t="shared" si="31"/>
        <v/>
      </c>
      <c r="BI30" s="663" t="str">
        <f t="shared" si="19"/>
        <v/>
      </c>
      <c r="BJ30" s="663" t="str">
        <f t="shared" si="20"/>
        <v/>
      </c>
      <c r="BK30" s="663" t="str">
        <f t="shared" si="21"/>
        <v/>
      </c>
      <c r="BL30" s="716" t="str">
        <f t="shared" si="32"/>
        <v/>
      </c>
      <c r="BM30" s="663" t="str">
        <f t="shared" si="22"/>
        <v/>
      </c>
      <c r="BN30" s="663" t="str">
        <f t="shared" si="23"/>
        <v/>
      </c>
      <c r="BO30" s="1064"/>
      <c r="BP30" s="725" t="s">
        <v>235</v>
      </c>
      <c r="BQ30" s="733">
        <f t="shared" si="36"/>
        <v>0</v>
      </c>
      <c r="BR30" s="734">
        <f t="shared" si="36"/>
        <v>0.3</v>
      </c>
      <c r="BS30" s="734">
        <f t="shared" si="36"/>
        <v>0.6</v>
      </c>
      <c r="BT30" s="734">
        <f t="shared" si="36"/>
        <v>0.9</v>
      </c>
      <c r="BU30" s="735">
        <f t="shared" si="36"/>
        <v>1</v>
      </c>
      <c r="BW30" s="666" t="s">
        <v>214</v>
      </c>
      <c r="BX30" s="667" t="s">
        <v>215</v>
      </c>
    </row>
    <row r="31" spans="2:93" s="665" customFormat="1" ht="12.95" customHeight="1" x14ac:dyDescent="0.25">
      <c r="B31" s="719" t="str">
        <f>IF(ISNA(Z31),"",IF(OR(Z31=1,Z31=2),"    ",MAX($B$9:B30)+1))</f>
        <v/>
      </c>
      <c r="C31" s="1058" t="str">
        <f t="shared" si="24"/>
        <v/>
      </c>
      <c r="D31" s="1058"/>
      <c r="E31" s="1058"/>
      <c r="F31" s="1059"/>
      <c r="G31" s="700" t="str">
        <f t="shared" si="0"/>
        <v/>
      </c>
      <c r="H31" s="701" t="str">
        <f t="shared" si="1"/>
        <v/>
      </c>
      <c r="I31" s="720" t="str">
        <f t="shared" si="1"/>
        <v/>
      </c>
      <c r="J31" s="723"/>
      <c r="K31" s="722"/>
      <c r="L31" s="1075"/>
      <c r="M31" s="1076"/>
      <c r="N31" s="1076"/>
      <c r="O31" s="1076"/>
      <c r="P31" s="1076"/>
      <c r="Q31" s="1076"/>
      <c r="R31" s="1077"/>
      <c r="T31" s="659">
        <v>23</v>
      </c>
      <c r="U31" s="647" t="e">
        <v>#N/A</v>
      </c>
      <c r="V31" s="705" t="e">
        <v>#N/A</v>
      </c>
      <c r="W31" s="705" t="e">
        <v>#N/A</v>
      </c>
      <c r="X31" s="705" t="e">
        <v>#N/A</v>
      </c>
      <c r="Y31" s="705" t="e">
        <v>#N/A</v>
      </c>
      <c r="Z31" s="714" t="e">
        <v>#N/A</v>
      </c>
      <c r="AA31" s="714" t="e">
        <v>#N/A</v>
      </c>
      <c r="AB31" s="714" t="e">
        <v>#N/A</v>
      </c>
      <c r="AC31" s="705" t="e">
        <v>#N/A</v>
      </c>
      <c r="AD31" s="705" t="e">
        <v>#N/A</v>
      </c>
      <c r="AE31" s="705" t="e">
        <v>#N/A</v>
      </c>
      <c r="AF31" s="705" t="e">
        <v>#N/A</v>
      </c>
      <c r="AG31" s="705" t="e">
        <f t="shared" si="25"/>
        <v>#N/A</v>
      </c>
      <c r="AH31" s="705" t="str">
        <f t="shared" si="35"/>
        <v/>
      </c>
      <c r="AI31" s="706" t="e">
        <f>IF(NOT(OR(Z31=1,Z31=2)),IF(AQ31&gt;0,$AR$45*AQ31/SUMIF($AQ$9:$AQ$40,"&gt;0"),IF(AU31&gt;0,$AV$45*AU31/SUMIF($AU$9:$AU$40,"&gt;0"),IF(AS31&gt;0,$AT$45*AS31/SUMIF($AS$9:$AS$40,"&gt;0"),""))),IF(SUMIF(AJ32:$AJ$40,"=" &amp; AJ31,AI32:$AI$40)=0,"",SUMIF(AJ32:$AJ$40,"=" &amp; AJ31,AI32:$AI$40)))</f>
        <v>#N/A</v>
      </c>
      <c r="AJ31" s="707" t="e">
        <f t="shared" si="33"/>
        <v>#N/A</v>
      </c>
      <c r="AK31" s="705" t="str">
        <f t="shared" si="26"/>
        <v/>
      </c>
      <c r="AL31" s="714" t="str">
        <f t="shared" si="27"/>
        <v/>
      </c>
      <c r="AM31" s="714" t="str">
        <f t="shared" si="34"/>
        <v/>
      </c>
      <c r="AN31" s="714" t="str">
        <f t="shared" si="2"/>
        <v/>
      </c>
      <c r="AO31" s="714" t="e">
        <f t="shared" si="3"/>
        <v>#N/A</v>
      </c>
      <c r="AP31" s="705" t="str">
        <f t="shared" si="4"/>
        <v/>
      </c>
      <c r="AQ31" s="708">
        <f t="shared" si="28"/>
        <v>0</v>
      </c>
      <c r="AR31" s="709" t="str">
        <f t="shared" si="5"/>
        <v/>
      </c>
      <c r="AS31" s="710">
        <f t="shared" si="29"/>
        <v>0</v>
      </c>
      <c r="AT31" s="709" t="str">
        <f t="shared" si="6"/>
        <v/>
      </c>
      <c r="AU31" s="711">
        <f t="shared" si="7"/>
        <v>0</v>
      </c>
      <c r="AV31" s="712" t="str">
        <f t="shared" si="8"/>
        <v/>
      </c>
      <c r="AW31" s="711" t="b">
        <f t="shared" si="9"/>
        <v>0</v>
      </c>
      <c r="AX31" s="713" t="b">
        <f t="shared" si="10"/>
        <v>0</v>
      </c>
      <c r="AY31" s="711" t="b">
        <f t="shared" si="11"/>
        <v>0</v>
      </c>
      <c r="AZ31" s="713" t="b">
        <f t="shared" si="12"/>
        <v>0</v>
      </c>
      <c r="BA31" s="705" t="b">
        <f t="shared" si="13"/>
        <v>0</v>
      </c>
      <c r="BB31" s="705" t="b">
        <f t="shared" si="14"/>
        <v>0</v>
      </c>
      <c r="BC31" s="711" t="b">
        <f t="shared" si="15"/>
        <v>0</v>
      </c>
      <c r="BD31" s="714" t="b">
        <f t="shared" si="30"/>
        <v>0</v>
      </c>
      <c r="BE31" s="713" t="b">
        <f t="shared" si="37"/>
        <v>0</v>
      </c>
      <c r="BF31" s="715" t="b">
        <f t="shared" si="17"/>
        <v>0</v>
      </c>
      <c r="BG31" s="663" t="str">
        <f t="shared" si="38"/>
        <v>NA</v>
      </c>
      <c r="BH31" s="663" t="str">
        <f t="shared" si="31"/>
        <v/>
      </c>
      <c r="BI31" s="663" t="str">
        <f t="shared" si="19"/>
        <v/>
      </c>
      <c r="BJ31" s="663" t="str">
        <f t="shared" si="20"/>
        <v/>
      </c>
      <c r="BK31" s="663" t="str">
        <f t="shared" si="21"/>
        <v/>
      </c>
      <c r="BL31" s="716" t="str">
        <f t="shared" si="32"/>
        <v/>
      </c>
      <c r="BM31" s="663" t="str">
        <f t="shared" si="22"/>
        <v/>
      </c>
      <c r="BN31" s="663" t="str">
        <f t="shared" si="23"/>
        <v/>
      </c>
      <c r="BO31" s="650"/>
      <c r="BW31" s="666">
        <v>0</v>
      </c>
      <c r="BX31" s="667" t="s">
        <v>216</v>
      </c>
    </row>
    <row r="32" spans="2:93" s="665" customFormat="1" ht="12.95" customHeight="1" x14ac:dyDescent="0.25">
      <c r="B32" s="719" t="str">
        <f>IF(ISNA(Z32),"",IF(OR(Z32=1,Z32=2),"    ",MAX($B$9:B31)+1))</f>
        <v/>
      </c>
      <c r="C32" s="1058" t="str">
        <f t="shared" si="24"/>
        <v/>
      </c>
      <c r="D32" s="1058"/>
      <c r="E32" s="1058"/>
      <c r="F32" s="1059"/>
      <c r="G32" s="700" t="str">
        <f t="shared" si="0"/>
        <v/>
      </c>
      <c r="H32" s="701" t="str">
        <f t="shared" si="1"/>
        <v/>
      </c>
      <c r="I32" s="720" t="str">
        <f t="shared" si="1"/>
        <v/>
      </c>
      <c r="J32" s="723"/>
      <c r="K32" s="722"/>
      <c r="L32" s="1075"/>
      <c r="M32" s="1076"/>
      <c r="N32" s="1076"/>
      <c r="O32" s="1076"/>
      <c r="P32" s="1076"/>
      <c r="Q32" s="1076"/>
      <c r="R32" s="1077"/>
      <c r="T32" s="659">
        <v>24</v>
      </c>
      <c r="U32" s="647" t="e">
        <v>#N/A</v>
      </c>
      <c r="V32" s="705" t="e">
        <v>#N/A</v>
      </c>
      <c r="W32" s="705" t="e">
        <v>#N/A</v>
      </c>
      <c r="X32" s="705" t="e">
        <v>#N/A</v>
      </c>
      <c r="Y32" s="705" t="e">
        <v>#N/A</v>
      </c>
      <c r="Z32" s="714" t="e">
        <v>#N/A</v>
      </c>
      <c r="AA32" s="714" t="e">
        <v>#N/A</v>
      </c>
      <c r="AB32" s="714" t="e">
        <v>#N/A</v>
      </c>
      <c r="AC32" s="705" t="e">
        <v>#N/A</v>
      </c>
      <c r="AD32" s="705" t="e">
        <v>#N/A</v>
      </c>
      <c r="AE32" s="705" t="e">
        <v>#N/A</v>
      </c>
      <c r="AF32" s="705" t="e">
        <v>#N/A</v>
      </c>
      <c r="AG32" s="705" t="e">
        <f t="shared" si="25"/>
        <v>#N/A</v>
      </c>
      <c r="AH32" s="705" t="str">
        <f t="shared" si="35"/>
        <v/>
      </c>
      <c r="AI32" s="706" t="e">
        <f>IF(NOT(OR(Z32=1,Z32=2)),IF(AQ32&gt;0,$AR$45*AQ32/SUMIF($AQ$9:$AQ$40,"&gt;0"),IF(AU32&gt;0,$AV$45*AU32/SUMIF($AU$9:$AU$40,"&gt;0"),IF(AS32&gt;0,$AT$45*AS32/SUMIF($AS$9:$AS$40,"&gt;0"),""))),IF(SUMIF(AJ33:$AJ$40,"=" &amp; AJ32,AI33:$AI$40)=0,"",SUMIF(AJ33:$AJ$40,"=" &amp; AJ32,AI33:$AI$40)))</f>
        <v>#N/A</v>
      </c>
      <c r="AJ32" s="707" t="e">
        <f t="shared" si="33"/>
        <v>#N/A</v>
      </c>
      <c r="AK32" s="705" t="str">
        <f t="shared" si="26"/>
        <v/>
      </c>
      <c r="AL32" s="714" t="str">
        <f t="shared" si="27"/>
        <v/>
      </c>
      <c r="AM32" s="714" t="str">
        <f t="shared" si="34"/>
        <v/>
      </c>
      <c r="AN32" s="714" t="str">
        <f t="shared" si="2"/>
        <v/>
      </c>
      <c r="AO32" s="714" t="e">
        <f t="shared" si="3"/>
        <v>#N/A</v>
      </c>
      <c r="AP32" s="705" t="str">
        <f t="shared" si="4"/>
        <v/>
      </c>
      <c r="AQ32" s="708">
        <f t="shared" si="28"/>
        <v>0</v>
      </c>
      <c r="AR32" s="709" t="str">
        <f t="shared" si="5"/>
        <v/>
      </c>
      <c r="AS32" s="710">
        <f t="shared" si="29"/>
        <v>0</v>
      </c>
      <c r="AT32" s="709" t="str">
        <f t="shared" si="6"/>
        <v/>
      </c>
      <c r="AU32" s="711">
        <f t="shared" si="7"/>
        <v>0</v>
      </c>
      <c r="AV32" s="712" t="str">
        <f t="shared" si="8"/>
        <v/>
      </c>
      <c r="AW32" s="711" t="b">
        <f t="shared" si="9"/>
        <v>0</v>
      </c>
      <c r="AX32" s="713" t="b">
        <f t="shared" si="10"/>
        <v>0</v>
      </c>
      <c r="AY32" s="711" t="b">
        <f t="shared" si="11"/>
        <v>0</v>
      </c>
      <c r="AZ32" s="713" t="b">
        <f t="shared" si="12"/>
        <v>0</v>
      </c>
      <c r="BA32" s="705" t="b">
        <f t="shared" si="13"/>
        <v>0</v>
      </c>
      <c r="BB32" s="705" t="b">
        <f t="shared" si="14"/>
        <v>0</v>
      </c>
      <c r="BC32" s="711" t="b">
        <f t="shared" si="15"/>
        <v>0</v>
      </c>
      <c r="BD32" s="714" t="b">
        <f>IF(OR(ISNA($Z32),ISNUMBER($Z32),NOT(ISNUMBER(K32))),FALSE,OR(NOT(ISNUMBER(J32)),J32=0,AND(J32=0,K32&lt;&gt;0)))</f>
        <v>0</v>
      </c>
      <c r="BE32" s="713" t="b">
        <f t="shared" si="37"/>
        <v>0</v>
      </c>
      <c r="BF32" s="715" t="b">
        <f>IF(OR(ISNA($Z32),H32&lt;&gt;"NG"),FALSE,IF(AND(J32="NA",K32&lt;&gt;""),TRUE,FALSE))</f>
        <v>0</v>
      </c>
      <c r="BG32" s="663" t="str">
        <f t="shared" si="38"/>
        <v>NA</v>
      </c>
      <c r="BH32" s="663" t="str">
        <f t="shared" si="31"/>
        <v/>
      </c>
      <c r="BI32" s="663" t="str">
        <f t="shared" si="19"/>
        <v/>
      </c>
      <c r="BJ32" s="663" t="str">
        <f t="shared" si="20"/>
        <v/>
      </c>
      <c r="BK32" s="663" t="str">
        <f t="shared" si="21"/>
        <v/>
      </c>
      <c r="BL32" s="716" t="str">
        <f t="shared" si="32"/>
        <v/>
      </c>
      <c r="BM32" s="663" t="str">
        <f t="shared" si="22"/>
        <v/>
      </c>
      <c r="BN32" s="663" t="str">
        <f t="shared" si="23"/>
        <v/>
      </c>
      <c r="BO32" s="666" t="s">
        <v>236</v>
      </c>
      <c r="BP32" s="697" t="s">
        <v>237</v>
      </c>
      <c r="BW32" s="666">
        <v>1</v>
      </c>
      <c r="BX32" s="717" t="s">
        <v>591</v>
      </c>
    </row>
    <row r="33" spans="2:76 1271:1271" s="665" customFormat="1" ht="12.95" customHeight="1" x14ac:dyDescent="0.25">
      <c r="B33" s="719" t="str">
        <f>IF(ISNA(Z33),"",IF(OR(Z33=1,Z33=2),"    ",MAX($B$9:B32)+1))</f>
        <v/>
      </c>
      <c r="C33" s="1058" t="str">
        <f t="shared" si="24"/>
        <v/>
      </c>
      <c r="D33" s="1058"/>
      <c r="E33" s="1058"/>
      <c r="F33" s="1059"/>
      <c r="G33" s="700" t="str">
        <f t="shared" si="0"/>
        <v/>
      </c>
      <c r="H33" s="701" t="str">
        <f t="shared" si="1"/>
        <v/>
      </c>
      <c r="I33" s="720" t="str">
        <f t="shared" si="1"/>
        <v/>
      </c>
      <c r="J33" s="723"/>
      <c r="K33" s="722"/>
      <c r="L33" s="1075"/>
      <c r="M33" s="1076"/>
      <c r="N33" s="1076"/>
      <c r="O33" s="1076"/>
      <c r="P33" s="1076"/>
      <c r="Q33" s="1076"/>
      <c r="R33" s="1077"/>
      <c r="T33" s="659">
        <v>25</v>
      </c>
      <c r="U33" s="647" t="e">
        <v>#N/A</v>
      </c>
      <c r="V33" s="705" t="e">
        <v>#N/A</v>
      </c>
      <c r="W33" s="705" t="e">
        <v>#N/A</v>
      </c>
      <c r="X33" s="705" t="e">
        <v>#N/A</v>
      </c>
      <c r="Y33" s="705" t="e">
        <v>#N/A</v>
      </c>
      <c r="Z33" s="714" t="e">
        <v>#N/A</v>
      </c>
      <c r="AA33" s="714" t="e">
        <v>#N/A</v>
      </c>
      <c r="AB33" s="714" t="e">
        <v>#N/A</v>
      </c>
      <c r="AC33" s="705" t="e">
        <v>#N/A</v>
      </c>
      <c r="AD33" s="705" t="e">
        <v>#N/A</v>
      </c>
      <c r="AE33" s="705" t="e">
        <v>#N/A</v>
      </c>
      <c r="AF33" s="705" t="e">
        <v>#N/A</v>
      </c>
      <c r="AG33" s="705" t="e">
        <f t="shared" si="25"/>
        <v>#N/A</v>
      </c>
      <c r="AH33" s="705" t="str">
        <f t="shared" si="35"/>
        <v/>
      </c>
      <c r="AI33" s="706" t="e">
        <f>IF(NOT(OR(Z33=1,Z33=2)),IF(AQ33&gt;0,$AR$45*AQ33/SUMIF($AQ$9:$AQ$40,"&gt;0"),IF(AU33&gt;0,$AV$45*AU33/SUMIF($AU$9:$AU$40,"&gt;0"),IF(AS33&gt;0,$AT$45*AS33/SUMIF($AS$9:$AS$40,"&gt;0"),""))),IF(SUMIF(AJ34:$AJ$40,"=" &amp; AJ33,AI34:$AI$40)=0,"",SUMIF(AJ34:$AJ$40,"=" &amp; AJ33,AI34:$AI$40)))</f>
        <v>#N/A</v>
      </c>
      <c r="AJ33" s="707" t="e">
        <f t="shared" si="33"/>
        <v>#N/A</v>
      </c>
      <c r="AK33" s="705" t="str">
        <f t="shared" si="26"/>
        <v/>
      </c>
      <c r="AL33" s="714" t="str">
        <f t="shared" si="27"/>
        <v/>
      </c>
      <c r="AM33" s="714" t="str">
        <f t="shared" si="34"/>
        <v/>
      </c>
      <c r="AN33" s="714" t="str">
        <f t="shared" si="2"/>
        <v/>
      </c>
      <c r="AO33" s="714" t="e">
        <f t="shared" si="3"/>
        <v>#N/A</v>
      </c>
      <c r="AP33" s="705" t="str">
        <f t="shared" si="4"/>
        <v/>
      </c>
      <c r="AQ33" s="708">
        <f t="shared" si="28"/>
        <v>0</v>
      </c>
      <c r="AR33" s="709" t="str">
        <f t="shared" si="5"/>
        <v/>
      </c>
      <c r="AS33" s="710">
        <f t="shared" si="29"/>
        <v>0</v>
      </c>
      <c r="AT33" s="709" t="str">
        <f t="shared" si="6"/>
        <v/>
      </c>
      <c r="AU33" s="711">
        <f t="shared" si="7"/>
        <v>0</v>
      </c>
      <c r="AV33" s="712" t="str">
        <f t="shared" si="8"/>
        <v/>
      </c>
      <c r="AW33" s="711" t="b">
        <f t="shared" si="9"/>
        <v>0</v>
      </c>
      <c r="AX33" s="713" t="b">
        <f t="shared" si="10"/>
        <v>0</v>
      </c>
      <c r="AY33" s="711" t="b">
        <f t="shared" si="11"/>
        <v>0</v>
      </c>
      <c r="AZ33" s="713" t="b">
        <f t="shared" si="12"/>
        <v>0</v>
      </c>
      <c r="BA33" s="705" t="b">
        <f t="shared" si="13"/>
        <v>0</v>
      </c>
      <c r="BB33" s="705" t="b">
        <f t="shared" si="14"/>
        <v>0</v>
      </c>
      <c r="BC33" s="711" t="b">
        <f t="shared" si="15"/>
        <v>0</v>
      </c>
      <c r="BD33" s="714" t="b">
        <f t="shared" si="30"/>
        <v>0</v>
      </c>
      <c r="BE33" s="713" t="b">
        <f t="shared" si="37"/>
        <v>0</v>
      </c>
      <c r="BF33" s="715" t="b">
        <f t="shared" ref="BF33:BF40" si="39">IF(OR(ISNA($Z33),H33&lt;&gt;"NG"),FALSE,IF(AND(J33="NA",K33&lt;&gt;""),TRUE,FALSE))</f>
        <v>0</v>
      </c>
      <c r="BG33" s="663" t="str">
        <f t="shared" si="38"/>
        <v>NA</v>
      </c>
      <c r="BH33" s="663" t="str">
        <f t="shared" si="31"/>
        <v/>
      </c>
      <c r="BI33" s="663" t="str">
        <f t="shared" si="19"/>
        <v/>
      </c>
      <c r="BJ33" s="663" t="str">
        <f t="shared" si="20"/>
        <v/>
      </c>
      <c r="BK33" s="663" t="str">
        <f t="shared" si="21"/>
        <v/>
      </c>
      <c r="BL33" s="716" t="str">
        <f t="shared" si="32"/>
        <v/>
      </c>
      <c r="BM33" s="663" t="str">
        <f t="shared" si="22"/>
        <v/>
      </c>
      <c r="BN33" s="663" t="str">
        <f t="shared" si="23"/>
        <v/>
      </c>
      <c r="BO33" s="666" t="s">
        <v>238</v>
      </c>
      <c r="BP33" s="697" t="s">
        <v>239</v>
      </c>
      <c r="BW33" s="666">
        <v>2</v>
      </c>
      <c r="BX33" s="717" t="s">
        <v>592</v>
      </c>
    </row>
    <row r="34" spans="2:76 1271:1271" s="665" customFormat="1" ht="12.95" customHeight="1" x14ac:dyDescent="0.25">
      <c r="B34" s="719" t="str">
        <f>IF(ISNA(Z34),"",IF(OR(Z34=1,Z34=2),"    ",MAX($B$9:B33)+1))</f>
        <v/>
      </c>
      <c r="C34" s="1058" t="str">
        <f t="shared" si="24"/>
        <v/>
      </c>
      <c r="D34" s="1058"/>
      <c r="E34" s="1058"/>
      <c r="F34" s="1059"/>
      <c r="G34" s="700" t="str">
        <f t="shared" si="0"/>
        <v/>
      </c>
      <c r="H34" s="701" t="str">
        <f t="shared" si="1"/>
        <v/>
      </c>
      <c r="I34" s="720" t="str">
        <f t="shared" si="1"/>
        <v/>
      </c>
      <c r="J34" s="723"/>
      <c r="K34" s="722"/>
      <c r="L34" s="1075"/>
      <c r="M34" s="1076"/>
      <c r="N34" s="1076"/>
      <c r="O34" s="1076"/>
      <c r="P34" s="1076"/>
      <c r="Q34" s="1076"/>
      <c r="R34" s="1077"/>
      <c r="T34" s="659">
        <v>26</v>
      </c>
      <c r="U34" s="647" t="e">
        <v>#N/A</v>
      </c>
      <c r="V34" s="705" t="e">
        <v>#N/A</v>
      </c>
      <c r="W34" s="705" t="e">
        <v>#N/A</v>
      </c>
      <c r="X34" s="705" t="e">
        <v>#N/A</v>
      </c>
      <c r="Y34" s="705" t="e">
        <v>#N/A</v>
      </c>
      <c r="Z34" s="714" t="e">
        <v>#N/A</v>
      </c>
      <c r="AA34" s="714" t="e">
        <v>#N/A</v>
      </c>
      <c r="AB34" s="714" t="e">
        <v>#N/A</v>
      </c>
      <c r="AC34" s="705" t="e">
        <v>#N/A</v>
      </c>
      <c r="AD34" s="705" t="e">
        <v>#N/A</v>
      </c>
      <c r="AE34" s="705" t="e">
        <v>#N/A</v>
      </c>
      <c r="AF34" s="705" t="e">
        <v>#N/A</v>
      </c>
      <c r="AG34" s="705" t="e">
        <f t="shared" si="25"/>
        <v>#N/A</v>
      </c>
      <c r="AH34" s="705" t="str">
        <f t="shared" si="35"/>
        <v/>
      </c>
      <c r="AI34" s="706" t="e">
        <f>IF(NOT(OR(Z34=1,Z34=2)),IF(AQ34&gt;0,$AR$45*AQ34/SUMIF($AQ$9:$AQ$40,"&gt;0"),IF(AU34&gt;0,$AV$45*AU34/SUMIF($AU$9:$AU$40,"&gt;0"),IF(AS34&gt;0,$AT$45*AS34/SUMIF($AS$9:$AS$40,"&gt;0"),""))),IF(SUMIF(AJ35:$AJ$40,"=" &amp; AJ34,AI35:$AI$40)=0,"",SUMIF(AJ35:$AJ$40,"=" &amp; AJ34,AI35:$AI$40)))</f>
        <v>#N/A</v>
      </c>
      <c r="AJ34" s="707" t="e">
        <f t="shared" si="33"/>
        <v>#N/A</v>
      </c>
      <c r="AK34" s="705" t="str">
        <f t="shared" si="26"/>
        <v/>
      </c>
      <c r="AL34" s="714" t="str">
        <f t="shared" si="27"/>
        <v/>
      </c>
      <c r="AM34" s="714" t="str">
        <f t="shared" si="34"/>
        <v/>
      </c>
      <c r="AN34" s="714" t="str">
        <f t="shared" si="2"/>
        <v/>
      </c>
      <c r="AO34" s="714" t="e">
        <f t="shared" si="3"/>
        <v>#N/A</v>
      </c>
      <c r="AP34" s="705" t="str">
        <f t="shared" si="4"/>
        <v/>
      </c>
      <c r="AQ34" s="708">
        <f t="shared" si="28"/>
        <v>0</v>
      </c>
      <c r="AR34" s="709" t="str">
        <f t="shared" si="5"/>
        <v/>
      </c>
      <c r="AS34" s="710">
        <f t="shared" si="29"/>
        <v>0</v>
      </c>
      <c r="AT34" s="709" t="str">
        <f t="shared" si="6"/>
        <v/>
      </c>
      <c r="AU34" s="711">
        <f t="shared" si="7"/>
        <v>0</v>
      </c>
      <c r="AV34" s="712" t="str">
        <f t="shared" si="8"/>
        <v/>
      </c>
      <c r="AW34" s="711" t="b">
        <f t="shared" si="9"/>
        <v>0</v>
      </c>
      <c r="AX34" s="713" t="b">
        <f t="shared" si="10"/>
        <v>0</v>
      </c>
      <c r="AY34" s="711" t="b">
        <f t="shared" si="11"/>
        <v>0</v>
      </c>
      <c r="AZ34" s="713" t="b">
        <f t="shared" si="12"/>
        <v>0</v>
      </c>
      <c r="BA34" s="705" t="b">
        <f t="shared" si="13"/>
        <v>0</v>
      </c>
      <c r="BB34" s="705" t="b">
        <f t="shared" si="14"/>
        <v>0</v>
      </c>
      <c r="BC34" s="711" t="b">
        <f t="shared" si="15"/>
        <v>0</v>
      </c>
      <c r="BD34" s="714" t="b">
        <f t="shared" si="30"/>
        <v>0</v>
      </c>
      <c r="BE34" s="713" t="b">
        <f t="shared" si="37"/>
        <v>0</v>
      </c>
      <c r="BF34" s="715" t="b">
        <f t="shared" si="39"/>
        <v>0</v>
      </c>
      <c r="BG34" s="663" t="str">
        <f t="shared" si="38"/>
        <v>NA</v>
      </c>
      <c r="BH34" s="663" t="str">
        <f t="shared" si="31"/>
        <v/>
      </c>
      <c r="BI34" s="663" t="str">
        <f t="shared" si="19"/>
        <v/>
      </c>
      <c r="BJ34" s="663" t="str">
        <f t="shared" si="20"/>
        <v/>
      </c>
      <c r="BK34" s="663" t="str">
        <f t="shared" si="21"/>
        <v/>
      </c>
      <c r="BL34" s="716" t="str">
        <f t="shared" si="32"/>
        <v/>
      </c>
      <c r="BM34" s="663" t="str">
        <f t="shared" si="22"/>
        <v/>
      </c>
      <c r="BN34" s="663" t="str">
        <f t="shared" si="23"/>
        <v/>
      </c>
      <c r="BO34" s="717" t="s">
        <v>240</v>
      </c>
      <c r="BP34" s="697"/>
      <c r="BQ34" s="697"/>
      <c r="BR34" s="697"/>
      <c r="BS34" s="697"/>
      <c r="BT34" s="697"/>
      <c r="BU34" s="697"/>
      <c r="BW34" s="666">
        <v>3</v>
      </c>
      <c r="BX34" s="717" t="s">
        <v>559</v>
      </c>
    </row>
    <row r="35" spans="2:76 1271:1271" s="665" customFormat="1" ht="12.95" customHeight="1" x14ac:dyDescent="0.25">
      <c r="B35" s="719" t="str">
        <f>IF(ISNA(Z35),"",IF(OR(Z35=1,Z35=2),"    ",MAX($B$9:B34)+1))</f>
        <v/>
      </c>
      <c r="C35" s="1058" t="str">
        <f t="shared" si="24"/>
        <v/>
      </c>
      <c r="D35" s="1058"/>
      <c r="E35" s="1058"/>
      <c r="F35" s="1059"/>
      <c r="G35" s="700" t="str">
        <f t="shared" si="0"/>
        <v/>
      </c>
      <c r="H35" s="701" t="str">
        <f t="shared" si="1"/>
        <v/>
      </c>
      <c r="I35" s="720" t="str">
        <f t="shared" si="1"/>
        <v/>
      </c>
      <c r="J35" s="723"/>
      <c r="K35" s="722"/>
      <c r="L35" s="1075"/>
      <c r="M35" s="1076"/>
      <c r="N35" s="1076"/>
      <c r="O35" s="1076"/>
      <c r="P35" s="1076"/>
      <c r="Q35" s="1076"/>
      <c r="R35" s="1077"/>
      <c r="T35" s="659">
        <v>27</v>
      </c>
      <c r="U35" s="647" t="e">
        <v>#N/A</v>
      </c>
      <c r="V35" s="705" t="e">
        <v>#N/A</v>
      </c>
      <c r="W35" s="705" t="e">
        <v>#N/A</v>
      </c>
      <c r="X35" s="705" t="e">
        <v>#N/A</v>
      </c>
      <c r="Y35" s="705" t="e">
        <v>#N/A</v>
      </c>
      <c r="Z35" s="714" t="e">
        <v>#N/A</v>
      </c>
      <c r="AA35" s="714" t="e">
        <v>#N/A</v>
      </c>
      <c r="AB35" s="714" t="e">
        <v>#N/A</v>
      </c>
      <c r="AC35" s="705" t="e">
        <v>#N/A</v>
      </c>
      <c r="AD35" s="705" t="e">
        <v>#N/A</v>
      </c>
      <c r="AE35" s="705" t="e">
        <v>#N/A</v>
      </c>
      <c r="AF35" s="705" t="e">
        <v>#N/A</v>
      </c>
      <c r="AG35" s="705" t="e">
        <f t="shared" si="25"/>
        <v>#N/A</v>
      </c>
      <c r="AH35" s="705" t="str">
        <f t="shared" si="35"/>
        <v/>
      </c>
      <c r="AI35" s="706" t="e">
        <f>IF(NOT(OR(Z35=1,Z35=2)),IF(AQ35&gt;0,$AR$45*AQ35/SUMIF($AQ$9:$AQ$40,"&gt;0"),IF(AU35&gt;0,$AV$45*AU35/SUMIF($AU$9:$AU$40,"&gt;0"),IF(AS35&gt;0,$AT$45*AS35/SUMIF($AS$9:$AS$40,"&gt;0"),""))),IF(SUMIF(AJ36:$AJ$40,"=" &amp; AJ35,AI36:$AI$40)=0,"",SUMIF(AJ36:$AJ$40,"=" &amp; AJ35,AI36:$AI$40)))</f>
        <v>#N/A</v>
      </c>
      <c r="AJ35" s="707" t="e">
        <f t="shared" si="33"/>
        <v>#N/A</v>
      </c>
      <c r="AK35" s="705" t="str">
        <f t="shared" si="26"/>
        <v/>
      </c>
      <c r="AL35" s="714" t="str">
        <f t="shared" si="27"/>
        <v/>
      </c>
      <c r="AM35" s="714" t="str">
        <f t="shared" si="34"/>
        <v/>
      </c>
      <c r="AN35" s="714" t="str">
        <f t="shared" si="2"/>
        <v/>
      </c>
      <c r="AO35" s="714" t="e">
        <f t="shared" si="3"/>
        <v>#N/A</v>
      </c>
      <c r="AP35" s="705" t="str">
        <f t="shared" si="4"/>
        <v/>
      </c>
      <c r="AQ35" s="708">
        <f t="shared" si="28"/>
        <v>0</v>
      </c>
      <c r="AR35" s="709" t="str">
        <f t="shared" si="5"/>
        <v/>
      </c>
      <c r="AS35" s="710">
        <f t="shared" si="29"/>
        <v>0</v>
      </c>
      <c r="AT35" s="709" t="str">
        <f t="shared" si="6"/>
        <v/>
      </c>
      <c r="AU35" s="711">
        <f t="shared" si="7"/>
        <v>0</v>
      </c>
      <c r="AV35" s="712" t="str">
        <f t="shared" si="8"/>
        <v/>
      </c>
      <c r="AW35" s="711" t="b">
        <f t="shared" si="9"/>
        <v>0</v>
      </c>
      <c r="AX35" s="713" t="b">
        <f t="shared" si="10"/>
        <v>0</v>
      </c>
      <c r="AY35" s="711" t="b">
        <f t="shared" si="11"/>
        <v>0</v>
      </c>
      <c r="AZ35" s="713" t="b">
        <f t="shared" si="12"/>
        <v>0</v>
      </c>
      <c r="BA35" s="705" t="b">
        <f t="shared" si="13"/>
        <v>0</v>
      </c>
      <c r="BB35" s="705" t="b">
        <f t="shared" si="14"/>
        <v>0</v>
      </c>
      <c r="BC35" s="711" t="b">
        <f t="shared" si="15"/>
        <v>0</v>
      </c>
      <c r="BD35" s="714" t="b">
        <f t="shared" si="30"/>
        <v>0</v>
      </c>
      <c r="BE35" s="713" t="b">
        <f t="shared" si="37"/>
        <v>0</v>
      </c>
      <c r="BF35" s="715" t="b">
        <f t="shared" si="39"/>
        <v>0</v>
      </c>
      <c r="BG35" s="663" t="str">
        <f t="shared" si="38"/>
        <v>NA</v>
      </c>
      <c r="BH35" s="663" t="str">
        <f t="shared" si="31"/>
        <v/>
      </c>
      <c r="BI35" s="663" t="str">
        <f t="shared" si="19"/>
        <v/>
      </c>
      <c r="BJ35" s="663" t="str">
        <f t="shared" si="20"/>
        <v/>
      </c>
      <c r="BK35" s="663" t="str">
        <f t="shared" si="21"/>
        <v/>
      </c>
      <c r="BL35" s="716" t="str">
        <f t="shared" si="32"/>
        <v/>
      </c>
      <c r="BM35" s="663" t="str">
        <f t="shared" si="22"/>
        <v/>
      </c>
      <c r="BN35" s="663" t="str">
        <f t="shared" si="23"/>
        <v/>
      </c>
      <c r="BO35" s="1029" t="str">
        <f>IF(U45,"","N/A")</f>
        <v>N/A</v>
      </c>
      <c r="BP35" s="1030"/>
      <c r="BQ35" s="1030"/>
      <c r="BR35" s="1030"/>
      <c r="BS35" s="1030"/>
      <c r="BT35" s="1030"/>
      <c r="BU35" s="1031"/>
      <c r="BW35" s="666">
        <v>4</v>
      </c>
      <c r="BX35" s="717" t="s">
        <v>564</v>
      </c>
    </row>
    <row r="36" spans="2:76 1271:1271" s="665" customFormat="1" ht="12.95" customHeight="1" x14ac:dyDescent="0.25">
      <c r="B36" s="719" t="str">
        <f>IF(ISNA(Z36),"",IF(OR(Z36=1,Z36=2),"    ",MAX($B$9:B35)+1))</f>
        <v/>
      </c>
      <c r="C36" s="1058" t="str">
        <f t="shared" si="24"/>
        <v/>
      </c>
      <c r="D36" s="1058"/>
      <c r="E36" s="1058"/>
      <c r="F36" s="1059"/>
      <c r="G36" s="700" t="str">
        <f t="shared" si="0"/>
        <v/>
      </c>
      <c r="H36" s="701" t="str">
        <f t="shared" si="1"/>
        <v/>
      </c>
      <c r="I36" s="720" t="str">
        <f t="shared" si="1"/>
        <v/>
      </c>
      <c r="J36" s="723"/>
      <c r="K36" s="722"/>
      <c r="L36" s="1075"/>
      <c r="M36" s="1076"/>
      <c r="N36" s="1076"/>
      <c r="O36" s="1076"/>
      <c r="P36" s="1076"/>
      <c r="Q36" s="1076"/>
      <c r="R36" s="1077"/>
      <c r="T36" s="659">
        <v>28</v>
      </c>
      <c r="U36" s="647" t="e">
        <v>#N/A</v>
      </c>
      <c r="V36" s="705" t="e">
        <v>#N/A</v>
      </c>
      <c r="W36" s="705" t="e">
        <v>#N/A</v>
      </c>
      <c r="X36" s="705" t="e">
        <v>#N/A</v>
      </c>
      <c r="Y36" s="705" t="e">
        <v>#N/A</v>
      </c>
      <c r="Z36" s="714" t="e">
        <v>#N/A</v>
      </c>
      <c r="AA36" s="714" t="e">
        <v>#N/A</v>
      </c>
      <c r="AB36" s="714" t="e">
        <v>#N/A</v>
      </c>
      <c r="AC36" s="705" t="e">
        <v>#N/A</v>
      </c>
      <c r="AD36" s="705" t="e">
        <v>#N/A</v>
      </c>
      <c r="AE36" s="705" t="e">
        <v>#N/A</v>
      </c>
      <c r="AF36" s="705" t="e">
        <v>#N/A</v>
      </c>
      <c r="AG36" s="705" t="e">
        <f t="shared" si="25"/>
        <v>#N/A</v>
      </c>
      <c r="AH36" s="705" t="str">
        <f t="shared" si="35"/>
        <v/>
      </c>
      <c r="AI36" s="706" t="e">
        <f>IF(NOT(OR(Z36=1,Z36=2)),IF(AQ36&gt;0,$AR$45*AQ36/SUMIF($AQ$9:$AQ$40,"&gt;0"),IF(AU36&gt;0,$AV$45*AU36/SUMIF($AU$9:$AU$40,"&gt;0"),IF(AS36&gt;0,$AT$45*AS36/SUMIF($AS$9:$AS$40,"&gt;0"),""))),IF(SUMIF(AJ37:$AJ$40,"=" &amp; AJ36,AI37:$AI$40)=0,"",SUMIF(AJ37:$AJ$40,"=" &amp; AJ36,AI37:$AI$40)))</f>
        <v>#N/A</v>
      </c>
      <c r="AJ36" s="707" t="e">
        <f t="shared" si="33"/>
        <v>#N/A</v>
      </c>
      <c r="AK36" s="705" t="str">
        <f t="shared" si="26"/>
        <v/>
      </c>
      <c r="AL36" s="714" t="str">
        <f t="shared" si="27"/>
        <v/>
      </c>
      <c r="AM36" s="714" t="str">
        <f t="shared" si="34"/>
        <v/>
      </c>
      <c r="AN36" s="714" t="str">
        <f t="shared" si="2"/>
        <v/>
      </c>
      <c r="AO36" s="714" t="e">
        <f t="shared" si="3"/>
        <v>#N/A</v>
      </c>
      <c r="AP36" s="705" t="str">
        <f t="shared" si="4"/>
        <v/>
      </c>
      <c r="AQ36" s="708">
        <f t="shared" si="28"/>
        <v>0</v>
      </c>
      <c r="AR36" s="709" t="str">
        <f t="shared" si="5"/>
        <v/>
      </c>
      <c r="AS36" s="710">
        <f t="shared" si="29"/>
        <v>0</v>
      </c>
      <c r="AT36" s="709" t="str">
        <f t="shared" si="6"/>
        <v/>
      </c>
      <c r="AU36" s="711">
        <f t="shared" si="7"/>
        <v>0</v>
      </c>
      <c r="AV36" s="712" t="str">
        <f t="shared" si="8"/>
        <v/>
      </c>
      <c r="AW36" s="711" t="b">
        <f t="shared" si="9"/>
        <v>0</v>
      </c>
      <c r="AX36" s="713" t="b">
        <f t="shared" si="10"/>
        <v>0</v>
      </c>
      <c r="AY36" s="711" t="b">
        <f t="shared" si="11"/>
        <v>0</v>
      </c>
      <c r="AZ36" s="713" t="b">
        <f t="shared" si="12"/>
        <v>0</v>
      </c>
      <c r="BA36" s="705" t="b">
        <f t="shared" si="13"/>
        <v>0</v>
      </c>
      <c r="BB36" s="705" t="b">
        <f t="shared" si="14"/>
        <v>0</v>
      </c>
      <c r="BC36" s="711" t="b">
        <f t="shared" si="15"/>
        <v>0</v>
      </c>
      <c r="BD36" s="714" t="b">
        <f t="shared" si="30"/>
        <v>0</v>
      </c>
      <c r="BE36" s="713" t="b">
        <f t="shared" si="37"/>
        <v>0</v>
      </c>
      <c r="BF36" s="715" t="b">
        <f t="shared" si="39"/>
        <v>0</v>
      </c>
      <c r="BG36" s="663" t="str">
        <f t="shared" si="38"/>
        <v>NA</v>
      </c>
      <c r="BH36" s="663" t="str">
        <f t="shared" si="31"/>
        <v/>
      </c>
      <c r="BI36" s="663" t="str">
        <f t="shared" si="19"/>
        <v/>
      </c>
      <c r="BJ36" s="663" t="str">
        <f t="shared" si="20"/>
        <v/>
      </c>
      <c r="BK36" s="663" t="str">
        <f t="shared" si="21"/>
        <v/>
      </c>
      <c r="BL36" s="716" t="str">
        <f t="shared" si="32"/>
        <v/>
      </c>
      <c r="BM36" s="663" t="str">
        <f t="shared" si="22"/>
        <v/>
      </c>
      <c r="BN36" s="663" t="str">
        <f t="shared" si="23"/>
        <v/>
      </c>
      <c r="BO36" s="1032"/>
      <c r="BP36" s="1033"/>
      <c r="BQ36" s="1033"/>
      <c r="BR36" s="1033"/>
      <c r="BS36" s="1033"/>
      <c r="BT36" s="1033"/>
      <c r="BU36" s="1034"/>
    </row>
    <row r="37" spans="2:76 1271:1271" s="665" customFormat="1" ht="12.95" customHeight="1" x14ac:dyDescent="0.25">
      <c r="B37" s="719" t="str">
        <f>IF(ISNA(Z37),"",IF(OR(Z37=1,Z37=2),"    ",MAX($B$9:B36)+1))</f>
        <v/>
      </c>
      <c r="C37" s="1058" t="str">
        <f t="shared" si="24"/>
        <v/>
      </c>
      <c r="D37" s="1058"/>
      <c r="E37" s="1058"/>
      <c r="F37" s="1059"/>
      <c r="G37" s="700" t="str">
        <f t="shared" si="0"/>
        <v/>
      </c>
      <c r="H37" s="701" t="str">
        <f t="shared" si="1"/>
        <v/>
      </c>
      <c r="I37" s="720" t="str">
        <f t="shared" si="1"/>
        <v/>
      </c>
      <c r="J37" s="723"/>
      <c r="K37" s="722"/>
      <c r="L37" s="1075"/>
      <c r="M37" s="1076"/>
      <c r="N37" s="1076"/>
      <c r="O37" s="1076"/>
      <c r="P37" s="1076"/>
      <c r="Q37" s="1076"/>
      <c r="R37" s="1077"/>
      <c r="T37" s="659">
        <v>29</v>
      </c>
      <c r="U37" s="647" t="e">
        <v>#N/A</v>
      </c>
      <c r="V37" s="705" t="e">
        <v>#N/A</v>
      </c>
      <c r="W37" s="705" t="e">
        <v>#N/A</v>
      </c>
      <c r="X37" s="705" t="e">
        <v>#N/A</v>
      </c>
      <c r="Y37" s="705" t="e">
        <v>#N/A</v>
      </c>
      <c r="Z37" s="714" t="e">
        <v>#N/A</v>
      </c>
      <c r="AA37" s="714" t="e">
        <v>#N/A</v>
      </c>
      <c r="AB37" s="714" t="e">
        <v>#N/A</v>
      </c>
      <c r="AC37" s="705" t="e">
        <v>#N/A</v>
      </c>
      <c r="AD37" s="705" t="e">
        <v>#N/A</v>
      </c>
      <c r="AE37" s="705" t="e">
        <v>#N/A</v>
      </c>
      <c r="AF37" s="705" t="e">
        <v>#N/A</v>
      </c>
      <c r="AG37" s="705" t="e">
        <f t="shared" si="25"/>
        <v>#N/A</v>
      </c>
      <c r="AH37" s="705" t="str">
        <f t="shared" si="35"/>
        <v/>
      </c>
      <c r="AI37" s="706" t="e">
        <f>IF(NOT(OR(Z37=1,Z37=2)),IF(AQ37&gt;0,$AR$45*AQ37/SUMIF($AQ$9:$AQ$40,"&gt;0"),IF(AU37&gt;0,$AV$45*AU37/SUMIF($AU$9:$AU$40,"&gt;0"),IF(AS37&gt;0,$AT$45*AS37/SUMIF($AS$9:$AS$40,"&gt;0"),""))),IF(SUMIF(AJ38:$AJ$40,"=" &amp; AJ37,AI38:$AI$40)=0,"",SUMIF(AJ38:$AJ$40,"=" &amp; AJ37,AI38:$AI$40)))</f>
        <v>#N/A</v>
      </c>
      <c r="AJ37" s="707" t="e">
        <f t="shared" si="33"/>
        <v>#N/A</v>
      </c>
      <c r="AK37" s="705" t="str">
        <f t="shared" si="26"/>
        <v/>
      </c>
      <c r="AL37" s="714" t="str">
        <f t="shared" si="27"/>
        <v/>
      </c>
      <c r="AM37" s="714" t="str">
        <f t="shared" si="34"/>
        <v/>
      </c>
      <c r="AN37" s="714" t="str">
        <f t="shared" si="2"/>
        <v/>
      </c>
      <c r="AO37" s="714" t="e">
        <f t="shared" si="3"/>
        <v>#N/A</v>
      </c>
      <c r="AP37" s="705" t="str">
        <f t="shared" si="4"/>
        <v/>
      </c>
      <c r="AQ37" s="708">
        <f t="shared" si="28"/>
        <v>0</v>
      </c>
      <c r="AR37" s="709" t="str">
        <f t="shared" si="5"/>
        <v/>
      </c>
      <c r="AS37" s="710">
        <f t="shared" si="29"/>
        <v>0</v>
      </c>
      <c r="AT37" s="709" t="str">
        <f t="shared" si="6"/>
        <v/>
      </c>
      <c r="AU37" s="711">
        <f t="shared" si="7"/>
        <v>0</v>
      </c>
      <c r="AV37" s="712" t="str">
        <f t="shared" si="8"/>
        <v/>
      </c>
      <c r="AW37" s="711" t="b">
        <f t="shared" si="9"/>
        <v>0</v>
      </c>
      <c r="AX37" s="713" t="b">
        <f t="shared" si="10"/>
        <v>0</v>
      </c>
      <c r="AY37" s="711" t="b">
        <f t="shared" si="11"/>
        <v>0</v>
      </c>
      <c r="AZ37" s="713" t="b">
        <f t="shared" si="12"/>
        <v>0</v>
      </c>
      <c r="BA37" s="705" t="b">
        <f t="shared" si="13"/>
        <v>0</v>
      </c>
      <c r="BB37" s="705" t="b">
        <f t="shared" si="14"/>
        <v>0</v>
      </c>
      <c r="BC37" s="711" t="b">
        <f t="shared" si="15"/>
        <v>0</v>
      </c>
      <c r="BD37" s="714" t="b">
        <f t="shared" si="30"/>
        <v>0</v>
      </c>
      <c r="BE37" s="713" t="b">
        <f t="shared" si="37"/>
        <v>0</v>
      </c>
      <c r="BF37" s="715" t="b">
        <f t="shared" si="39"/>
        <v>0</v>
      </c>
      <c r="BG37" s="663" t="str">
        <f t="shared" si="38"/>
        <v>NA</v>
      </c>
      <c r="BH37" s="663" t="str">
        <f t="shared" si="31"/>
        <v/>
      </c>
      <c r="BI37" s="663" t="str">
        <f t="shared" si="19"/>
        <v/>
      </c>
      <c r="BJ37" s="663" t="str">
        <f t="shared" si="20"/>
        <v/>
      </c>
      <c r="BK37" s="663" t="str">
        <f t="shared" si="21"/>
        <v/>
      </c>
      <c r="BL37" s="716" t="str">
        <f t="shared" si="32"/>
        <v/>
      </c>
      <c r="BM37" s="663" t="str">
        <f t="shared" si="22"/>
        <v/>
      </c>
      <c r="BN37" s="663" t="str">
        <f t="shared" si="23"/>
        <v/>
      </c>
      <c r="BO37" s="1032"/>
      <c r="BP37" s="1033"/>
      <c r="BQ37" s="1033"/>
      <c r="BR37" s="1033"/>
      <c r="BS37" s="1033"/>
      <c r="BT37" s="1033"/>
      <c r="BU37" s="1034"/>
      <c r="BW37" s="664" t="s">
        <v>593</v>
      </c>
    </row>
    <row r="38" spans="2:76 1271:1271" s="665" customFormat="1" ht="12.95" customHeight="1" x14ac:dyDescent="0.25">
      <c r="B38" s="719" t="str">
        <f>IF(ISNA(Z38),"",IF(OR(Z38=1,Z38=2),"    ",MAX($B$9:B37)+1))</f>
        <v/>
      </c>
      <c r="C38" s="1058" t="str">
        <f>IF(ISNA(Z38),"",CONCATENATE($U38,IF(ISNUMBER(AI38),TEXT(ROUND($AI38,3)," (0.0%)"),""),IF(AU38&gt;0," Bonus","")))</f>
        <v/>
      </c>
      <c r="D38" s="1058"/>
      <c r="E38" s="1058"/>
      <c r="F38" s="1059"/>
      <c r="G38" s="700" t="str">
        <f t="shared" si="0"/>
        <v/>
      </c>
      <c r="H38" s="701" t="str">
        <f t="shared" si="1"/>
        <v/>
      </c>
      <c r="I38" s="720" t="str">
        <f t="shared" si="1"/>
        <v/>
      </c>
      <c r="J38" s="723"/>
      <c r="K38" s="722"/>
      <c r="L38" s="1075"/>
      <c r="M38" s="1076"/>
      <c r="N38" s="1076"/>
      <c r="O38" s="1076"/>
      <c r="P38" s="1076"/>
      <c r="Q38" s="1076"/>
      <c r="R38" s="1077"/>
      <c r="T38" s="659">
        <v>30</v>
      </c>
      <c r="U38" s="647" t="e">
        <v>#N/A</v>
      </c>
      <c r="V38" s="705" t="e">
        <v>#N/A</v>
      </c>
      <c r="W38" s="705" t="e">
        <v>#N/A</v>
      </c>
      <c r="X38" s="705" t="e">
        <v>#N/A</v>
      </c>
      <c r="Y38" s="705" t="e">
        <v>#N/A</v>
      </c>
      <c r="Z38" s="714" t="e">
        <v>#N/A</v>
      </c>
      <c r="AA38" s="714" t="e">
        <v>#N/A</v>
      </c>
      <c r="AB38" s="714" t="e">
        <v>#N/A</v>
      </c>
      <c r="AC38" s="705" t="e">
        <v>#N/A</v>
      </c>
      <c r="AD38" s="705" t="e">
        <v>#N/A</v>
      </c>
      <c r="AE38" s="705" t="e">
        <v>#N/A</v>
      </c>
      <c r="AF38" s="705" t="e">
        <v>#N/A</v>
      </c>
      <c r="AG38" s="705" t="e">
        <f t="shared" si="25"/>
        <v>#N/A</v>
      </c>
      <c r="AH38" s="705" t="str">
        <f t="shared" si="35"/>
        <v/>
      </c>
      <c r="AI38" s="706" t="e">
        <f>IF(NOT(OR(Z38=1,Z38=2)),IF(AQ38&gt;0,$AR$45*AQ38/SUMIF($AQ$9:$AQ$40,"&gt;0"),IF(AU38&gt;0,$AV$45*AU38/SUMIF($AU$9:$AU$40,"&gt;0"),IF(AS38&gt;0,$AT$45*AS38/SUMIF($AS$9:$AS$40,"&gt;0"),""))),IF(SUMIF(AJ39:$AJ$40,"=" &amp; AJ38,AI39:$AI$40)=0,"",SUMIF(AJ39:$AJ$40,"=" &amp; AJ38,AI39:$AI$40)))</f>
        <v>#N/A</v>
      </c>
      <c r="AJ38" s="707" t="e">
        <f t="shared" si="33"/>
        <v>#N/A</v>
      </c>
      <c r="AK38" s="705" t="str">
        <f t="shared" si="26"/>
        <v/>
      </c>
      <c r="AL38" s="714" t="str">
        <f t="shared" si="27"/>
        <v/>
      </c>
      <c r="AM38" s="714" t="str">
        <f t="shared" si="34"/>
        <v/>
      </c>
      <c r="AN38" s="714" t="str">
        <f>IF(ISNUMBER(AH38),IF(AND(AB38=0,ISNUMBER(AC38),ISNUMBER(AL38)),1,""),"")</f>
        <v/>
      </c>
      <c r="AO38" s="714" t="e">
        <f t="shared" si="3"/>
        <v>#N/A</v>
      </c>
      <c r="AP38" s="705" t="str">
        <f t="shared" si="4"/>
        <v/>
      </c>
      <c r="AQ38" s="708">
        <f t="shared" si="28"/>
        <v>0</v>
      </c>
      <c r="AR38" s="709" t="str">
        <f t="shared" si="5"/>
        <v/>
      </c>
      <c r="AS38" s="710">
        <f t="shared" si="29"/>
        <v>0</v>
      </c>
      <c r="AT38" s="709" t="str">
        <f t="shared" si="6"/>
        <v/>
      </c>
      <c r="AU38" s="711">
        <f t="shared" si="7"/>
        <v>0</v>
      </c>
      <c r="AV38" s="712" t="str">
        <f t="shared" si="8"/>
        <v/>
      </c>
      <c r="AW38" s="711" t="b">
        <f t="shared" si="9"/>
        <v>0</v>
      </c>
      <c r="AX38" s="713" t="b">
        <f t="shared" si="10"/>
        <v>0</v>
      </c>
      <c r="AY38" s="711" t="b">
        <f t="shared" si="11"/>
        <v>0</v>
      </c>
      <c r="AZ38" s="713" t="b">
        <f t="shared" si="12"/>
        <v>0</v>
      </c>
      <c r="BA38" s="705" t="b">
        <f t="shared" si="13"/>
        <v>0</v>
      </c>
      <c r="BB38" s="705" t="b">
        <f t="shared" si="14"/>
        <v>0</v>
      </c>
      <c r="BC38" s="711" t="b">
        <f t="shared" si="15"/>
        <v>0</v>
      </c>
      <c r="BD38" s="714" t="b">
        <f t="shared" si="30"/>
        <v>0</v>
      </c>
      <c r="BE38" s="713" t="b">
        <f t="shared" si="37"/>
        <v>0</v>
      </c>
      <c r="BF38" s="715" t="b">
        <f t="shared" si="39"/>
        <v>0</v>
      </c>
      <c r="BG38" s="663" t="str">
        <f t="shared" si="38"/>
        <v>NA</v>
      </c>
      <c r="BH38" s="663" t="str">
        <f t="shared" si="31"/>
        <v/>
      </c>
      <c r="BI38" s="663" t="str">
        <f t="shared" si="19"/>
        <v/>
      </c>
      <c r="BJ38" s="663" t="str">
        <f t="shared" si="20"/>
        <v/>
      </c>
      <c r="BK38" s="663" t="str">
        <f t="shared" si="21"/>
        <v/>
      </c>
      <c r="BL38" s="716" t="str">
        <f t="shared" si="32"/>
        <v/>
      </c>
      <c r="BM38" s="663" t="str">
        <f t="shared" si="22"/>
        <v/>
      </c>
      <c r="BN38" s="663" t="str">
        <f t="shared" si="23"/>
        <v/>
      </c>
      <c r="BO38" s="1035"/>
      <c r="BP38" s="1036"/>
      <c r="BQ38" s="1036"/>
      <c r="BR38" s="1036"/>
      <c r="BS38" s="1036"/>
      <c r="BT38" s="1036"/>
      <c r="BU38" s="1037"/>
      <c r="BW38" s="666" t="s">
        <v>214</v>
      </c>
      <c r="BX38" s="667" t="s">
        <v>215</v>
      </c>
    </row>
    <row r="39" spans="2:76 1271:1271" s="665" customFormat="1" ht="12.95" customHeight="1" x14ac:dyDescent="0.25">
      <c r="B39" s="719" t="str">
        <f>IF(ISNA(Z39),"",IF(OR(Z39=1,Z39=2),"    ",MAX($B$9:B38)+1))</f>
        <v/>
      </c>
      <c r="C39" s="1058" t="str">
        <f t="shared" ref="C39:C40" si="40">IF(ISNA(Z39),"",CONCATENATE($U39,IF(ISNUMBER(AI39),TEXT(ROUND($AI39,3)," (0.0%)"),""),IF(AU39&gt;0," Bonus","")))</f>
        <v/>
      </c>
      <c r="D39" s="1058"/>
      <c r="E39" s="1058"/>
      <c r="F39" s="1059"/>
      <c r="G39" s="700" t="str">
        <f t="shared" si="0"/>
        <v/>
      </c>
      <c r="H39" s="701" t="str">
        <f t="shared" si="1"/>
        <v/>
      </c>
      <c r="I39" s="720" t="str">
        <f t="shared" si="1"/>
        <v/>
      </c>
      <c r="J39" s="723"/>
      <c r="K39" s="722"/>
      <c r="L39" s="1075"/>
      <c r="M39" s="1076"/>
      <c r="N39" s="1076"/>
      <c r="O39" s="1076"/>
      <c r="P39" s="1076"/>
      <c r="Q39" s="1076"/>
      <c r="R39" s="1077"/>
      <c r="T39" s="659">
        <v>31</v>
      </c>
      <c r="U39" s="647" t="e">
        <v>#N/A</v>
      </c>
      <c r="V39" s="705" t="e">
        <v>#N/A</v>
      </c>
      <c r="W39" s="705" t="e">
        <v>#N/A</v>
      </c>
      <c r="X39" s="705" t="e">
        <v>#N/A</v>
      </c>
      <c r="Y39" s="705" t="e">
        <v>#N/A</v>
      </c>
      <c r="Z39" s="714" t="e">
        <v>#N/A</v>
      </c>
      <c r="AA39" s="714" t="e">
        <v>#N/A</v>
      </c>
      <c r="AB39" s="714" t="e">
        <v>#N/A</v>
      </c>
      <c r="AC39" s="705" t="e">
        <v>#N/A</v>
      </c>
      <c r="AD39" s="705" t="e">
        <v>#N/A</v>
      </c>
      <c r="AE39" s="705" t="e">
        <v>#N/A</v>
      </c>
      <c r="AF39" s="705" t="e">
        <v>#N/A</v>
      </c>
      <c r="AG39" s="705" t="e">
        <f t="shared" si="25"/>
        <v>#N/A</v>
      </c>
      <c r="AH39" s="705" t="str">
        <f t="shared" si="35"/>
        <v/>
      </c>
      <c r="AI39" s="706" t="e">
        <f>IF(NOT(OR(Z39=1,Z39=2)),IF(AQ39&gt;0,$AR$45*AQ39/SUMIF($AQ$9:$AQ$40,"&gt;0"),IF(AU39&gt;0,$AV$45*AU39/SUMIF($AU$9:$AU$40,"&gt;0"),IF(AS39&gt;0,$AT$45*AS39/SUMIF($AS$9:$AS$40,"&gt;0"),""))),IF(SUMIF(AJ40:$AJ$40,"=" &amp; AJ39,AI40:$AI$40)=0,"",SUMIF(AJ40:$AJ$40,"=" &amp; AJ39,AI40:$AI$40)))</f>
        <v>#N/A</v>
      </c>
      <c r="AJ39" s="707" t="e">
        <f t="shared" si="33"/>
        <v>#N/A</v>
      </c>
      <c r="AK39" s="705" t="str">
        <f t="shared" si="26"/>
        <v/>
      </c>
      <c r="AL39" s="714" t="str">
        <f t="shared" si="27"/>
        <v/>
      </c>
      <c r="AM39" s="714" t="str">
        <f t="shared" si="34"/>
        <v/>
      </c>
      <c r="AN39" s="714" t="str">
        <f>IF(ISNUMBER(AH39),IF(AND(AB39=0,ISNUMBER(AC39),ISNUMBER(AL39)),1,""),"")</f>
        <v/>
      </c>
      <c r="AO39" s="714" t="e">
        <f t="shared" si="3"/>
        <v>#N/A</v>
      </c>
      <c r="AP39" s="705" t="str">
        <f t="shared" si="4"/>
        <v/>
      </c>
      <c r="AQ39" s="708">
        <f t="shared" si="28"/>
        <v>0</v>
      </c>
      <c r="AR39" s="709" t="str">
        <f t="shared" si="5"/>
        <v/>
      </c>
      <c r="AS39" s="710">
        <f t="shared" si="29"/>
        <v>0</v>
      </c>
      <c r="AT39" s="709" t="str">
        <f t="shared" si="6"/>
        <v/>
      </c>
      <c r="AU39" s="711">
        <f t="shared" si="7"/>
        <v>0</v>
      </c>
      <c r="AV39" s="712" t="str">
        <f t="shared" si="8"/>
        <v/>
      </c>
      <c r="AW39" s="711" t="b">
        <f t="shared" si="9"/>
        <v>0</v>
      </c>
      <c r="AX39" s="713" t="b">
        <f t="shared" si="10"/>
        <v>0</v>
      </c>
      <c r="AY39" s="711" t="b">
        <f t="shared" si="11"/>
        <v>0</v>
      </c>
      <c r="AZ39" s="713" t="b">
        <f t="shared" si="12"/>
        <v>0</v>
      </c>
      <c r="BA39" s="705" t="b">
        <f t="shared" si="13"/>
        <v>0</v>
      </c>
      <c r="BB39" s="705" t="b">
        <f t="shared" si="14"/>
        <v>0</v>
      </c>
      <c r="BC39" s="711" t="b">
        <f t="shared" si="15"/>
        <v>0</v>
      </c>
      <c r="BD39" s="714" t="b">
        <f t="shared" si="30"/>
        <v>0</v>
      </c>
      <c r="BE39" s="713" t="b">
        <f t="shared" si="37"/>
        <v>0</v>
      </c>
      <c r="BF39" s="715" t="b">
        <f t="shared" si="39"/>
        <v>0</v>
      </c>
      <c r="BG39" s="663" t="str">
        <f t="shared" si="38"/>
        <v>NA</v>
      </c>
      <c r="BH39" s="663" t="str">
        <f t="shared" si="31"/>
        <v/>
      </c>
      <c r="BI39" s="663" t="str">
        <f t="shared" si="19"/>
        <v/>
      </c>
      <c r="BJ39" s="663" t="str">
        <f t="shared" si="20"/>
        <v/>
      </c>
      <c r="BK39" s="663" t="str">
        <f t="shared" si="21"/>
        <v/>
      </c>
      <c r="BL39" s="716" t="str">
        <f t="shared" si="32"/>
        <v/>
      </c>
      <c r="BM39" s="663" t="str">
        <f t="shared" si="22"/>
        <v/>
      </c>
      <c r="BN39" s="663" t="str">
        <f t="shared" si="23"/>
        <v/>
      </c>
      <c r="BO39" s="717" t="s">
        <v>241</v>
      </c>
      <c r="BP39" s="717"/>
      <c r="BQ39" s="717"/>
      <c r="BR39" s="717"/>
      <c r="BS39" s="717"/>
      <c r="BT39" s="717"/>
      <c r="BU39" s="717"/>
      <c r="BW39" s="666">
        <v>0</v>
      </c>
      <c r="BX39" s="667" t="s">
        <v>216</v>
      </c>
    </row>
    <row r="40" spans="2:76 1271:1271" s="665" customFormat="1" ht="12.95" customHeight="1" thickBot="1" x14ac:dyDescent="0.3">
      <c r="B40" s="719" t="str">
        <f>IF(ISNA(Z40),"",IF(OR(Z40=1,Z40=2),"    ",MAX($B$9:B39)+1))</f>
        <v/>
      </c>
      <c r="C40" s="1058" t="str">
        <f t="shared" si="40"/>
        <v/>
      </c>
      <c r="D40" s="1058"/>
      <c r="E40" s="1058"/>
      <c r="F40" s="1059"/>
      <c r="G40" s="736" t="str">
        <f t="shared" si="0"/>
        <v/>
      </c>
      <c r="H40" s="701" t="str">
        <f t="shared" si="1"/>
        <v/>
      </c>
      <c r="I40" s="737" t="str">
        <f t="shared" si="1"/>
        <v/>
      </c>
      <c r="J40" s="738"/>
      <c r="K40" s="739"/>
      <c r="L40" s="1078"/>
      <c r="M40" s="1079"/>
      <c r="N40" s="1079"/>
      <c r="O40" s="1079"/>
      <c r="P40" s="1079"/>
      <c r="Q40" s="1079"/>
      <c r="R40" s="1080"/>
      <c r="T40" s="659">
        <v>32</v>
      </c>
      <c r="U40" s="647" t="e">
        <v>#N/A</v>
      </c>
      <c r="V40" s="705" t="e">
        <v>#N/A</v>
      </c>
      <c r="W40" s="705" t="e">
        <v>#N/A</v>
      </c>
      <c r="X40" s="705" t="e">
        <v>#N/A</v>
      </c>
      <c r="Y40" s="705" t="e">
        <v>#N/A</v>
      </c>
      <c r="Z40" s="714" t="e">
        <v>#N/A</v>
      </c>
      <c r="AA40" s="714" t="e">
        <v>#N/A</v>
      </c>
      <c r="AB40" s="714" t="e">
        <v>#N/A</v>
      </c>
      <c r="AC40" s="705" t="e">
        <v>#N/A</v>
      </c>
      <c r="AD40" s="705" t="e">
        <v>#N/A</v>
      </c>
      <c r="AE40" s="705" t="e">
        <v>#N/A</v>
      </c>
      <c r="AF40" s="705" t="e">
        <v>#N/A</v>
      </c>
      <c r="AG40" s="705" t="e">
        <f t="shared" si="25"/>
        <v>#N/A</v>
      </c>
      <c r="AH40" s="705" t="str">
        <f t="shared" si="35"/>
        <v/>
      </c>
      <c r="AI40" s="706" t="e">
        <f>IF(NOT(OR(Z40=1,Z40=2)),IF(AQ40&gt;0,$AR$45*AQ40/SUMIF($AQ$9:$AQ$40,"&gt;0"),IF(AU40&gt;0,$AV$45*AU40/SUMIF($AU$9:$AU$40,"&gt;0"),IF(AS40&gt;0,$AT$45*AS40/SUMIF($AS$9:$AS$40,"&gt;0"),""))),IF(SUMIF(AJ$40:$AJ41,"=" &amp; AJ40,AI$40:$AI41)=0,"",SUMIF(AJ$40:$AJ41,"=" &amp; AJ40,AI$40:$AI41)))</f>
        <v>#N/A</v>
      </c>
      <c r="AJ40" s="707" t="e">
        <f t="shared" si="33"/>
        <v>#N/A</v>
      </c>
      <c r="AK40" s="705" t="str">
        <f t="shared" si="26"/>
        <v/>
      </c>
      <c r="AL40" s="714" t="str">
        <f t="shared" si="27"/>
        <v/>
      </c>
      <c r="AM40" s="714" t="str">
        <f t="shared" si="34"/>
        <v/>
      </c>
      <c r="AN40" s="714" t="str">
        <f>IF(ISNUMBER(AH40),IF(AND(AB40=0,ISNUMBER(AC40),ISNUMBER(AL40)),1,""),"")</f>
        <v/>
      </c>
      <c r="AO40" s="714" t="e">
        <f t="shared" si="3"/>
        <v>#N/A</v>
      </c>
      <c r="AP40" s="705" t="str">
        <f t="shared" si="4"/>
        <v/>
      </c>
      <c r="AQ40" s="708">
        <f t="shared" si="28"/>
        <v>0</v>
      </c>
      <c r="AR40" s="709" t="str">
        <f t="shared" si="5"/>
        <v/>
      </c>
      <c r="AS40" s="710">
        <f t="shared" si="29"/>
        <v>0</v>
      </c>
      <c r="AT40" s="709" t="str">
        <f t="shared" si="6"/>
        <v/>
      </c>
      <c r="AU40" s="711">
        <f t="shared" si="7"/>
        <v>0</v>
      </c>
      <c r="AV40" s="712" t="str">
        <f t="shared" si="8"/>
        <v/>
      </c>
      <c r="AW40" s="711" t="b">
        <f t="shared" si="9"/>
        <v>0</v>
      </c>
      <c r="AX40" s="713" t="b">
        <f t="shared" si="10"/>
        <v>0</v>
      </c>
      <c r="AY40" s="711" t="b">
        <f t="shared" si="11"/>
        <v>0</v>
      </c>
      <c r="AZ40" s="713" t="b">
        <f t="shared" si="12"/>
        <v>0</v>
      </c>
      <c r="BA40" s="705" t="b">
        <f t="shared" si="13"/>
        <v>0</v>
      </c>
      <c r="BB40" s="705" t="b">
        <f t="shared" si="14"/>
        <v>0</v>
      </c>
      <c r="BC40" s="711" t="b">
        <f t="shared" si="15"/>
        <v>0</v>
      </c>
      <c r="BD40" s="714" t="b">
        <f t="shared" si="30"/>
        <v>0</v>
      </c>
      <c r="BE40" s="713" t="b">
        <f t="shared" si="37"/>
        <v>0</v>
      </c>
      <c r="BF40" s="715" t="b">
        <f t="shared" si="39"/>
        <v>0</v>
      </c>
      <c r="BG40" s="663" t="str">
        <f t="shared" si="38"/>
        <v>NA</v>
      </c>
      <c r="BH40" s="663" t="str">
        <f t="shared" si="31"/>
        <v/>
      </c>
      <c r="BI40" s="663" t="str">
        <f t="shared" si="19"/>
        <v/>
      </c>
      <c r="BJ40" s="663" t="str">
        <f t="shared" si="20"/>
        <v/>
      </c>
      <c r="BK40" s="663" t="str">
        <f t="shared" si="21"/>
        <v/>
      </c>
      <c r="BL40" s="663" t="str">
        <f t="shared" si="32"/>
        <v/>
      </c>
      <c r="BM40" s="663" t="str">
        <f t="shared" si="22"/>
        <v/>
      </c>
      <c r="BN40" s="663" t="str">
        <f t="shared" si="23"/>
        <v/>
      </c>
      <c r="BO40" s="1029" t="str">
        <f>IF(U46,"","N/A")</f>
        <v/>
      </c>
      <c r="BP40" s="1030"/>
      <c r="BQ40" s="1030"/>
      <c r="BR40" s="1030"/>
      <c r="BS40" s="1030"/>
      <c r="BT40" s="1030"/>
      <c r="BU40" s="1031"/>
      <c r="BW40" s="666">
        <v>1</v>
      </c>
      <c r="BX40" s="717" t="s">
        <v>594</v>
      </c>
    </row>
    <row r="41" spans="2:76 1271:1271" s="651" customFormat="1" ht="12" customHeight="1" x14ac:dyDescent="0.25">
      <c r="B41" s="1038" t="s">
        <v>242</v>
      </c>
      <c r="C41" s="1039"/>
      <c r="D41" s="1040"/>
      <c r="E41" s="740" t="s">
        <v>243</v>
      </c>
      <c r="F41" s="1041" t="s">
        <v>244</v>
      </c>
      <c r="G41" s="1042"/>
      <c r="H41" s="1042" t="s">
        <v>245</v>
      </c>
      <c r="I41" s="1042"/>
      <c r="J41" s="1043" t="s">
        <v>246</v>
      </c>
      <c r="K41" s="1044"/>
      <c r="L41" s="741" t="s">
        <v>247</v>
      </c>
      <c r="M41" s="1045" t="s">
        <v>248</v>
      </c>
      <c r="N41" s="1045"/>
      <c r="O41" s="1046" t="str">
        <f>IF(U45,"DO REVIEW","DO REV N/A")</f>
        <v>DO REV N/A</v>
      </c>
      <c r="P41" s="1047"/>
      <c r="Q41" s="742" t="str">
        <f>IF(U46,"ED REVIEW","ED REV N/A")</f>
        <v>ED REVIEW</v>
      </c>
      <c r="R41" s="743"/>
      <c r="S41" s="744">
        <v>0</v>
      </c>
      <c r="AI41" s="745"/>
      <c r="AJ41" s="652"/>
      <c r="AK41" s="652"/>
      <c r="AL41" s="652"/>
      <c r="AM41" s="652"/>
      <c r="AN41" s="652"/>
      <c r="AO41" s="649"/>
      <c r="AP41" s="652"/>
      <c r="AQ41" s="746"/>
      <c r="AR41" s="652"/>
      <c r="AS41" s="746"/>
      <c r="AT41" s="652"/>
      <c r="AU41" s="746"/>
      <c r="AV41" s="747"/>
      <c r="AW41" s="652"/>
      <c r="AX41" s="652"/>
      <c r="AY41" s="652"/>
      <c r="AZ41" s="652"/>
      <c r="BA41" s="652"/>
      <c r="BB41" s="652"/>
      <c r="BC41" s="652"/>
      <c r="BD41" s="652"/>
      <c r="BE41" s="652"/>
      <c r="BF41" s="652"/>
      <c r="BG41" s="652"/>
      <c r="BH41" s="649"/>
      <c r="BI41" s="649"/>
      <c r="BJ41" s="649"/>
      <c r="BK41" s="649"/>
      <c r="BL41" s="649"/>
      <c r="BM41" s="649"/>
      <c r="BN41" s="649"/>
      <c r="BO41" s="1032"/>
      <c r="BP41" s="1033"/>
      <c r="BQ41" s="1033"/>
      <c r="BR41" s="1033"/>
      <c r="BS41" s="1033"/>
      <c r="BT41" s="1033"/>
      <c r="BU41" s="1034"/>
      <c r="BW41" s="666">
        <v>2</v>
      </c>
      <c r="BX41" s="717" t="s">
        <v>595</v>
      </c>
    </row>
    <row r="42" spans="2:76 1271:1271" ht="18.75" customHeight="1" thickBot="1" x14ac:dyDescent="0.3">
      <c r="B42" s="1048" t="str">
        <f>IF(ISERROR(AR47),"",TEXT(AR46,"0.0%"))</f>
        <v>98.3%</v>
      </c>
      <c r="C42" s="1049"/>
      <c r="D42" s="1050"/>
      <c r="E42" s="748" t="str">
        <f>IF(AU42=0,"N/A",CONCATENATE(TEXT(AV46,"0.0%")," of ",TEXT(AV45,"0.0%")))</f>
        <v>N/A</v>
      </c>
      <c r="F42" s="1052" t="str">
        <f>IF((graded_aca_events+graded_amn_events)&lt;1,"---",IF(AND(AW5,AX5),"INCOMPLETE",IF(AND(NOT(AW5),AX5),"ACA INC",IF(AND(AW5,NOT(AX5)),"AMN INC","COMPLETE"))))</f>
        <v>ACA INC</v>
      </c>
      <c r="G42" s="1052"/>
      <c r="H42" s="1052" t="str">
        <f>IF(AU5,IF(OR(AY5="UNK",NOT(AN7)),"---",IF(AY5,"UNSAT",IF(AVERAGEIFS(AT9:AT40,AS9:AS40,"&gt;0")&lt;0.9,"MARG","SAT"))),"N/A")</f>
        <v>---</v>
      </c>
      <c r="I42" s="1052"/>
      <c r="J42" s="1053" t="str">
        <f>IF(OR(AZ5="UNK",NOT(AM7)),"---",IF(OR(AZ5,AR46&lt;0.7),"FAIL","PASS"))</f>
        <v>PASS</v>
      </c>
      <c r="K42" s="1054"/>
      <c r="L42" s="749"/>
      <c r="M42" s="1055"/>
      <c r="N42" s="1055"/>
      <c r="O42" s="1056" t="str">
        <f>IF(U45,"","N/A")</f>
        <v>N/A</v>
      </c>
      <c r="P42" s="1056"/>
      <c r="Q42" s="1056" t="str">
        <f>IF(U46,"","N/A")</f>
        <v/>
      </c>
      <c r="R42" s="1057"/>
      <c r="S42" s="750"/>
      <c r="T42" s="659" t="s">
        <v>249</v>
      </c>
      <c r="U42" s="714" t="s">
        <v>250</v>
      </c>
      <c r="V42" s="751"/>
      <c r="W42" s="751"/>
      <c r="X42" s="751"/>
      <c r="Y42" s="751"/>
      <c r="Z42" s="751"/>
      <c r="AA42" s="751"/>
      <c r="AB42" s="751"/>
      <c r="AC42" s="751"/>
      <c r="AD42" s="751"/>
      <c r="AE42" s="751"/>
      <c r="AF42" s="751"/>
      <c r="AG42" s="751"/>
      <c r="AH42" s="751"/>
      <c r="AI42" s="644"/>
      <c r="AJ42" s="643"/>
      <c r="AK42" s="751"/>
      <c r="AL42" s="751"/>
      <c r="AM42" s="751">
        <f>SUM(AM9:AM40)</f>
        <v>6</v>
      </c>
      <c r="AN42" s="751">
        <f>SUM(AN9:AN40)</f>
        <v>0</v>
      </c>
      <c r="AO42" s="659"/>
      <c r="AP42" s="643"/>
      <c r="AQ42" s="752">
        <f>SUMIF(AQ9:AQ40,"&gt;0")</f>
        <v>6</v>
      </c>
      <c r="AR42" s="753">
        <f>IF(AQ42=0,0,SUMPRODUCT($AQ$9:$AQ$40,AR9:AR40)/SUM($AQ$9:$AQ$40))</f>
        <v>0.98333333333333339</v>
      </c>
      <c r="AS42" s="754">
        <f>SUMIF(AS9:AS40,"&gt;0")</f>
        <v>0</v>
      </c>
      <c r="AT42" s="753">
        <f>IF(AS42=0,0,SUMPRODUCT($AS$9:$AS$40,AT9:AT40)/SUM($AS$9:$AS$40))</f>
        <v>0</v>
      </c>
      <c r="AU42" s="754">
        <f>SUM(AU10:AU40)</f>
        <v>0</v>
      </c>
      <c r="AV42" s="753">
        <f>IF(AU42=0,0,SUMPRODUCT($AU$9:$AU$40,AV9:AV40)/SUM($AU$9:$AU$40))</f>
        <v>0</v>
      </c>
      <c r="AW42" s="755"/>
      <c r="AX42" s="755"/>
      <c r="AY42" s="755"/>
      <c r="AZ42" s="755"/>
      <c r="BA42" s="755"/>
      <c r="BB42" s="755"/>
      <c r="BC42" s="647" t="s">
        <v>251</v>
      </c>
      <c r="BD42" s="647" t="s">
        <v>252</v>
      </c>
      <c r="BE42" s="647" t="s">
        <v>253</v>
      </c>
      <c r="BF42" s="647"/>
      <c r="BG42" s="649"/>
      <c r="BO42" s="1032"/>
      <c r="BP42" s="1033"/>
      <c r="BQ42" s="1033"/>
      <c r="BR42" s="1033"/>
      <c r="BS42" s="1033"/>
      <c r="BT42" s="1033"/>
      <c r="BU42" s="1034"/>
      <c r="BW42" s="666">
        <v>3</v>
      </c>
      <c r="BX42" s="717" t="s">
        <v>560</v>
      </c>
      <c r="AVW42" s="756"/>
    </row>
    <row r="43" spans="2:76 1271:1271" ht="12" customHeight="1" thickTop="1" x14ac:dyDescent="0.25">
      <c r="L43" s="1051" t="s">
        <v>555</v>
      </c>
      <c r="M43" s="1051"/>
      <c r="N43" s="1051"/>
      <c r="O43" s="1051"/>
      <c r="P43" s="1051"/>
      <c r="Q43" s="1051"/>
      <c r="R43" s="1051"/>
      <c r="AP43" s="751"/>
      <c r="AQ43" s="643"/>
      <c r="AR43" s="643"/>
      <c r="AT43" s="753"/>
      <c r="AU43" s="753"/>
      <c r="AV43" s="753"/>
      <c r="AW43" s="643"/>
      <c r="AX43" s="753"/>
      <c r="BE43" s="647"/>
      <c r="BF43" s="647"/>
      <c r="BO43" s="1035"/>
      <c r="BP43" s="1036"/>
      <c r="BQ43" s="1036"/>
      <c r="BR43" s="1036"/>
      <c r="BS43" s="1036"/>
      <c r="BT43" s="1036"/>
      <c r="BU43" s="1037"/>
      <c r="BW43" s="666">
        <v>4</v>
      </c>
      <c r="BX43" s="717" t="s">
        <v>565</v>
      </c>
    </row>
    <row r="44" spans="2:76 1271:1271" ht="30.75" customHeight="1" x14ac:dyDescent="0.25">
      <c r="T44" s="757" t="s">
        <v>254</v>
      </c>
      <c r="U44" s="714" t="b">
        <v>0</v>
      </c>
      <c r="AI44" s="648" t="e">
        <f ca="1">SUMIF(AJ9:$AJ$40,"=" &amp; AJ9,AI10:$AI$40)</f>
        <v>#N/A</v>
      </c>
      <c r="AK44" s="649"/>
      <c r="AL44" s="649"/>
      <c r="AM44" s="649"/>
      <c r="AN44" s="649"/>
      <c r="AO44" s="758"/>
      <c r="AQ44" s="649"/>
      <c r="AR44" s="649"/>
      <c r="AS44" s="683" t="s">
        <v>255</v>
      </c>
      <c r="AT44" s="759">
        <f>SUMIF(X9:X40,"&gt;0")/SUMIF(W9:W40,"&gt;0")</f>
        <v>0</v>
      </c>
      <c r="AU44" s="683" t="s">
        <v>256</v>
      </c>
      <c r="AV44" s="760">
        <f>SUMIF(AU9:AU40,"&gt;0")/SUMIF(AQ9:AQ40,"&gt;0")</f>
        <v>0</v>
      </c>
      <c r="AW44" s="761"/>
      <c r="AY44" s="649"/>
      <c r="AZ44" s="649"/>
      <c r="BE44" s="647" t="b">
        <f>AND(ISBLANK($K31),J31&gt;0)</f>
        <v>0</v>
      </c>
      <c r="BF44" s="647"/>
      <c r="BH44" s="647"/>
      <c r="BO44" s="649"/>
      <c r="BP44" s="649"/>
      <c r="BQ44" s="650"/>
    </row>
    <row r="45" spans="2:76 1271:1271" ht="30.75" customHeight="1" x14ac:dyDescent="0.25">
      <c r="J45" s="762"/>
      <c r="T45" s="763" t="s">
        <v>257</v>
      </c>
      <c r="U45" s="647" t="b">
        <f>IF(AND(Flight?,OR(AW5,AY5,BA5,AZ5,AR46&lt;0.7,H42="MARG")),TRUE,FALSE)</f>
        <v>0</v>
      </c>
      <c r="AK45" s="649"/>
      <c r="AL45" s="649"/>
      <c r="AM45" s="649"/>
      <c r="AN45" s="649"/>
      <c r="AO45" s="764"/>
      <c r="AP45" s="649"/>
      <c r="AQ45" s="683" t="s">
        <v>258</v>
      </c>
      <c r="AR45" s="765">
        <f>1-AT45</f>
        <v>1</v>
      </c>
      <c r="AS45" s="683" t="s">
        <v>259</v>
      </c>
      <c r="AT45" s="759">
        <f>MIN(AT44,AT7)</f>
        <v>0</v>
      </c>
      <c r="AU45" s="683" t="s">
        <v>260</v>
      </c>
      <c r="AV45" s="766">
        <f>MIN(AV44,AV7)</f>
        <v>0</v>
      </c>
      <c r="AZ45" s="649"/>
      <c r="BE45" s="647"/>
      <c r="BF45" s="647"/>
      <c r="BH45" s="647"/>
      <c r="BO45" s="649"/>
      <c r="BP45" s="649"/>
      <c r="BQ45" s="650"/>
    </row>
    <row r="46" spans="2:76 1271:1271" ht="26.25" x14ac:dyDescent="0.25">
      <c r="T46" s="763" t="s">
        <v>261</v>
      </c>
      <c r="U46" s="647" t="b">
        <f>IF(OR(AX5,AY5,AZ5,BB5,AR46&lt;0.7),TRUE,FALSE)</f>
        <v>1</v>
      </c>
      <c r="AK46" s="649"/>
      <c r="AL46" s="649"/>
      <c r="AM46" s="649"/>
      <c r="AN46" s="649"/>
      <c r="AO46" s="767"/>
      <c r="AP46" s="649"/>
      <c r="AQ46" s="683" t="s">
        <v>262</v>
      </c>
      <c r="AR46" s="648">
        <f>AR42*(1-AT45)+(AT42*AT45)</f>
        <v>0.98333333333333339</v>
      </c>
      <c r="AU46" s="649" t="s">
        <v>196</v>
      </c>
      <c r="AV46" s="766">
        <f>AV42*AV45</f>
        <v>0</v>
      </c>
      <c r="AY46" s="649"/>
      <c r="AZ46" s="649"/>
      <c r="BE46" s="647"/>
      <c r="BF46" s="647"/>
      <c r="BH46" s="647"/>
      <c r="BO46" s="649"/>
      <c r="BP46" s="649"/>
      <c r="BQ46" s="650"/>
    </row>
    <row r="47" spans="2:76 1271:1271" ht="26.25" x14ac:dyDescent="0.25">
      <c r="T47" s="763" t="s">
        <v>263</v>
      </c>
      <c r="U47" s="647" t="b">
        <v>0</v>
      </c>
      <c r="AK47" s="649"/>
      <c r="AL47" s="649"/>
      <c r="AM47" s="649"/>
      <c r="AN47" s="649"/>
      <c r="AO47" s="767"/>
      <c r="AP47" s="649"/>
      <c r="AQ47" s="683" t="s">
        <v>264</v>
      </c>
      <c r="AR47" s="766">
        <f>MIN(1,IF(NOT(OR(AY5,AZ5)),AR46+AV46,MIN(0.69,AR46+AV46)))</f>
        <v>0.98333333333333339</v>
      </c>
      <c r="AY47" s="649"/>
      <c r="BE47" s="647"/>
      <c r="BF47" s="647"/>
      <c r="BI47" s="647"/>
      <c r="BO47" s="649"/>
      <c r="BP47" s="649"/>
      <c r="BQ47" s="650"/>
    </row>
    <row r="48" spans="2:76 1271:1271" x14ac:dyDescent="0.25">
      <c r="T48" s="763" t="s">
        <v>265</v>
      </c>
      <c r="U48" s="647" t="b">
        <f>IF(NOT(Flight?),TRUE,NOT(OR(ISBLANK(comments),ISBLANK(hdr_class),ISBLANK(hdr_date),ISBLANK(hdr_stud),ISBLANK(hdr_instr),ISBLANK(hdr_acft),ISBLANK(hdr_time),F42="---")))</f>
        <v>0</v>
      </c>
      <c r="AK48" s="649"/>
      <c r="AL48" s="649"/>
      <c r="AM48" s="649"/>
      <c r="AN48" s="649"/>
      <c r="AO48" s="767"/>
      <c r="AP48" s="649"/>
      <c r="AQ48" s="649"/>
      <c r="AR48" s="768"/>
      <c r="AS48" s="766"/>
      <c r="AU48" s="649"/>
      <c r="AV48" s="649"/>
      <c r="AW48" s="649"/>
    </row>
    <row r="49" spans="20:56" x14ac:dyDescent="0.25">
      <c r="T49" s="763" t="s">
        <v>266</v>
      </c>
      <c r="U49" s="647" t="b">
        <f>IF(Flight?,TRUE,NOT(OR(ISBLANK(comments),ISBLANK(hdr_class),ISBLANK(hdr_date),ISBLANK(hdr_stud),ISBLANK(hdr_instr),F42="---")))</f>
        <v>1</v>
      </c>
      <c r="AK49" s="649"/>
      <c r="AL49" s="649"/>
      <c r="AM49" s="649"/>
      <c r="AN49" s="649"/>
      <c r="AO49" s="764"/>
      <c r="AP49" s="643" t="s">
        <v>267</v>
      </c>
      <c r="AQ49" s="643"/>
      <c r="AR49" s="643"/>
      <c r="AS49" s="643"/>
      <c r="AT49" s="643"/>
      <c r="AU49" s="649"/>
      <c r="AV49" s="649"/>
      <c r="AW49" s="649"/>
    </row>
    <row r="50" spans="20:56" x14ac:dyDescent="0.25">
      <c r="T50" s="763" t="s">
        <v>268</v>
      </c>
      <c r="U50" s="647" t="b">
        <f>AND(U48:U49)</f>
        <v>0</v>
      </c>
      <c r="AK50" s="649"/>
      <c r="AL50" s="649"/>
      <c r="AM50" s="649"/>
      <c r="AN50" s="649"/>
      <c r="AO50" s="764"/>
      <c r="AP50" s="643"/>
      <c r="AQ50" s="643"/>
      <c r="AR50" s="643">
        <v>0</v>
      </c>
      <c r="AS50" s="643">
        <v>1</v>
      </c>
      <c r="AT50" s="643">
        <v>2</v>
      </c>
      <c r="AU50" s="643">
        <v>3</v>
      </c>
      <c r="AV50" s="643">
        <v>4</v>
      </c>
      <c r="AW50" s="649"/>
    </row>
    <row r="51" spans="20:56" x14ac:dyDescent="0.25">
      <c r="AK51" s="649"/>
      <c r="AL51" s="649"/>
      <c r="AM51" s="649"/>
      <c r="AN51" s="649"/>
      <c r="AO51" s="764"/>
      <c r="AP51" s="643" t="s">
        <v>227</v>
      </c>
      <c r="AQ51" s="643">
        <v>1</v>
      </c>
      <c r="AR51" s="769">
        <v>0.7</v>
      </c>
      <c r="AS51" s="769">
        <v>0.9</v>
      </c>
      <c r="AT51" s="769">
        <v>0.93330000000000002</v>
      </c>
      <c r="AU51" s="769">
        <v>0.9667</v>
      </c>
      <c r="AV51" s="769">
        <v>1</v>
      </c>
      <c r="AW51" s="649"/>
    </row>
    <row r="52" spans="20:56" x14ac:dyDescent="0.25">
      <c r="AK52" s="649"/>
      <c r="AL52" s="649"/>
      <c r="AM52" s="649"/>
      <c r="AN52" s="649"/>
      <c r="AO52" s="764"/>
      <c r="AP52" s="643" t="s">
        <v>228</v>
      </c>
      <c r="AQ52" s="643">
        <v>2</v>
      </c>
      <c r="AR52" s="769">
        <v>0.7</v>
      </c>
      <c r="AS52" s="769">
        <v>0.8</v>
      </c>
      <c r="AT52" s="769">
        <v>0.9</v>
      </c>
      <c r="AU52" s="769">
        <v>0.95</v>
      </c>
      <c r="AV52" s="769">
        <v>1</v>
      </c>
      <c r="AW52" s="649"/>
    </row>
    <row r="53" spans="20:56" x14ac:dyDescent="0.25">
      <c r="AK53" s="649"/>
      <c r="AL53" s="649"/>
      <c r="AM53" s="649"/>
      <c r="AN53" s="649"/>
      <c r="AO53" s="764"/>
      <c r="AP53" s="643" t="s">
        <v>229</v>
      </c>
      <c r="AQ53" s="643">
        <v>3</v>
      </c>
      <c r="AR53" s="769">
        <v>0.7</v>
      </c>
      <c r="AS53" s="769">
        <v>0.76670000000000005</v>
      </c>
      <c r="AT53" s="769">
        <v>0.83330000000000004</v>
      </c>
      <c r="AU53" s="769">
        <v>0.9</v>
      </c>
      <c r="AV53" s="769">
        <v>1</v>
      </c>
      <c r="AW53" s="649"/>
    </row>
    <row r="54" spans="20:56" x14ac:dyDescent="0.25">
      <c r="AP54" s="770" t="s">
        <v>230</v>
      </c>
      <c r="AQ54" s="643">
        <v>11</v>
      </c>
      <c r="AR54" s="769">
        <v>0.6</v>
      </c>
      <c r="AS54" s="769">
        <v>0.9</v>
      </c>
      <c r="AT54" s="769">
        <v>0.93330000000000002</v>
      </c>
      <c r="AU54" s="769">
        <v>0.9667</v>
      </c>
      <c r="AV54" s="769">
        <v>1</v>
      </c>
      <c r="AW54" s="649"/>
    </row>
    <row r="55" spans="20:56" x14ac:dyDescent="0.25">
      <c r="AP55" s="770" t="s">
        <v>231</v>
      </c>
      <c r="AQ55" s="643">
        <v>12</v>
      </c>
      <c r="AR55" s="769">
        <v>0.6</v>
      </c>
      <c r="AS55" s="769">
        <v>0.7</v>
      </c>
      <c r="AT55" s="769">
        <v>0.9</v>
      </c>
      <c r="AU55" s="769">
        <v>0.95</v>
      </c>
      <c r="AV55" s="769">
        <v>1</v>
      </c>
      <c r="AW55" s="649"/>
    </row>
    <row r="56" spans="20:56" x14ac:dyDescent="0.25">
      <c r="AP56" s="770" t="s">
        <v>232</v>
      </c>
      <c r="AQ56" s="643">
        <v>13</v>
      </c>
      <c r="AR56" s="769">
        <v>0.6</v>
      </c>
      <c r="AS56" s="769">
        <v>0.7</v>
      </c>
      <c r="AT56" s="769">
        <v>0.8</v>
      </c>
      <c r="AU56" s="769">
        <v>0.9</v>
      </c>
      <c r="AV56" s="769">
        <v>1</v>
      </c>
      <c r="AW56" s="649"/>
    </row>
    <row r="57" spans="20:56" x14ac:dyDescent="0.25">
      <c r="AP57" s="770" t="s">
        <v>233</v>
      </c>
      <c r="AQ57" s="643">
        <v>22</v>
      </c>
      <c r="AR57" s="769">
        <v>0.3</v>
      </c>
      <c r="AS57" s="769">
        <v>0.6</v>
      </c>
      <c r="AT57" s="769">
        <v>0.9</v>
      </c>
      <c r="AU57" s="769">
        <v>0.95</v>
      </c>
      <c r="AV57" s="769">
        <v>1</v>
      </c>
      <c r="AW57" s="649"/>
    </row>
    <row r="58" spans="20:56" x14ac:dyDescent="0.25">
      <c r="AP58" s="770" t="s">
        <v>234</v>
      </c>
      <c r="AQ58" s="643">
        <v>23</v>
      </c>
      <c r="AR58" s="769">
        <v>0.3</v>
      </c>
      <c r="AS58" s="769">
        <v>0.6</v>
      </c>
      <c r="AT58" s="769">
        <v>0.7</v>
      </c>
      <c r="AU58" s="769">
        <v>0.9</v>
      </c>
      <c r="AV58" s="769">
        <v>1</v>
      </c>
      <c r="AW58" s="649"/>
    </row>
    <row r="59" spans="20:56" x14ac:dyDescent="0.25">
      <c r="AP59" s="770" t="s">
        <v>235</v>
      </c>
      <c r="AQ59" s="643">
        <v>33</v>
      </c>
      <c r="AR59" s="769">
        <v>0</v>
      </c>
      <c r="AS59" s="769">
        <v>0.3</v>
      </c>
      <c r="AT59" s="769">
        <v>0.6</v>
      </c>
      <c r="AU59" s="769">
        <v>0.9</v>
      </c>
      <c r="AV59" s="769">
        <v>1</v>
      </c>
      <c r="AW59" s="83"/>
      <c r="AX59" s="84"/>
      <c r="BC59" s="84"/>
      <c r="BD59" s="84"/>
    </row>
    <row r="60" spans="20:56" x14ac:dyDescent="0.25">
      <c r="AP60" s="649"/>
      <c r="AQ60" s="649"/>
      <c r="AR60" s="649"/>
      <c r="AS60" s="649"/>
      <c r="AT60" s="649"/>
      <c r="AU60" s="649"/>
      <c r="AV60" s="649"/>
      <c r="AW60" s="84"/>
      <c r="AX60" s="84"/>
      <c r="BC60" s="84"/>
      <c r="BD60" s="84"/>
    </row>
    <row r="61" spans="20:56" x14ac:dyDescent="0.25">
      <c r="AP61" s="84"/>
      <c r="AQ61" s="83"/>
      <c r="AR61" s="84"/>
      <c r="AS61" s="84"/>
      <c r="AT61" s="84"/>
      <c r="AU61" s="84"/>
      <c r="AV61" s="84"/>
      <c r="AW61" s="83"/>
      <c r="AX61" s="83"/>
      <c r="BC61" s="84"/>
      <c r="BD61" s="84"/>
    </row>
    <row r="62" spans="20:56" x14ac:dyDescent="0.25">
      <c r="AP62" s="101"/>
      <c r="AQ62" s="83"/>
      <c r="AR62" s="84"/>
      <c r="AS62" s="84"/>
      <c r="AT62" s="84"/>
      <c r="AU62" s="84"/>
      <c r="AV62" s="84"/>
      <c r="AW62" s="83"/>
      <c r="AX62" s="83"/>
      <c r="BC62" s="84"/>
      <c r="BD62" s="84"/>
    </row>
    <row r="63" spans="20:56" x14ac:dyDescent="0.25">
      <c r="AP63" s="83"/>
      <c r="AQ63" s="83"/>
      <c r="AR63" s="84"/>
      <c r="AS63" s="84"/>
      <c r="AT63" s="84"/>
      <c r="AU63" s="84"/>
      <c r="AV63" s="84"/>
      <c r="AW63" s="83"/>
      <c r="AX63" s="83"/>
      <c r="BC63" s="84"/>
      <c r="BD63" s="84"/>
    </row>
    <row r="64" spans="20:56" x14ac:dyDescent="0.25">
      <c r="AP64" s="83"/>
      <c r="AQ64" s="83"/>
      <c r="AR64" s="84"/>
      <c r="AS64" s="84"/>
      <c r="AT64" s="84"/>
      <c r="AU64" s="84"/>
      <c r="AV64" s="84"/>
      <c r="AW64" s="83"/>
      <c r="AX64" s="84"/>
      <c r="BC64" s="84"/>
      <c r="BD64" s="84"/>
    </row>
    <row r="65" spans="42:56" x14ac:dyDescent="0.25">
      <c r="AP65" s="83"/>
      <c r="AQ65" s="83"/>
      <c r="AR65" s="84"/>
      <c r="AS65" s="84"/>
      <c r="AT65" s="84"/>
      <c r="AU65" s="84"/>
      <c r="AV65" s="84"/>
      <c r="AW65" s="83"/>
      <c r="AX65" s="84"/>
      <c r="BC65" s="84"/>
      <c r="BD65" s="84"/>
    </row>
    <row r="66" spans="42:56" x14ac:dyDescent="0.25">
      <c r="AP66" s="83"/>
      <c r="AQ66" s="83"/>
      <c r="AR66" s="84"/>
      <c r="AS66" s="84"/>
      <c r="AT66" s="84"/>
      <c r="AU66" s="84"/>
      <c r="AV66" s="84"/>
    </row>
    <row r="67" spans="42:56" x14ac:dyDescent="0.25">
      <c r="AP67" s="83"/>
      <c r="AQ67" s="83"/>
      <c r="AR67" s="84"/>
      <c r="AS67" s="84"/>
      <c r="AT67" s="84"/>
      <c r="AU67" s="84"/>
      <c r="AV67" s="84"/>
    </row>
  </sheetData>
  <sheetProtection algorithmName="SHA-512" hashValue="tjUQ0SB56wcqEe/1/lUr61+8+IVHYETywNPQkwC4I0rjWJLJntNXvDV6XKIK3WPCokP/H28/RnKUhCk/Z4j0jA==" saltValue="+ynaNrrzwyRa43/CTPoD5g==" spinCount="100000" sheet="1" objects="1" scenarios="1"/>
  <mergeCells count="83">
    <mergeCell ref="B4:G4"/>
    <mergeCell ref="H4:N4"/>
    <mergeCell ref="O4:P4"/>
    <mergeCell ref="Q4:R4"/>
    <mergeCell ref="B5:G5"/>
    <mergeCell ref="H5:N5"/>
    <mergeCell ref="O5:P5"/>
    <mergeCell ref="Q5:R5"/>
    <mergeCell ref="BH5:BK7"/>
    <mergeCell ref="BL5:BN7"/>
    <mergeCell ref="B6:E6"/>
    <mergeCell ref="F6:G6"/>
    <mergeCell ref="H6:L6"/>
    <mergeCell ref="M6:N6"/>
    <mergeCell ref="O6:P6"/>
    <mergeCell ref="Q6:R6"/>
    <mergeCell ref="B7:E7"/>
    <mergeCell ref="F7:G7"/>
    <mergeCell ref="H7:L7"/>
    <mergeCell ref="M7:N7"/>
    <mergeCell ref="O7:P7"/>
    <mergeCell ref="Q7:R7"/>
    <mergeCell ref="B8:F8"/>
    <mergeCell ref="L8:R8"/>
    <mergeCell ref="C9:F9"/>
    <mergeCell ref="L9:R40"/>
    <mergeCell ref="C10:F10"/>
    <mergeCell ref="C11:F11"/>
    <mergeCell ref="C12:F12"/>
    <mergeCell ref="C13:F13"/>
    <mergeCell ref="C14:F14"/>
    <mergeCell ref="C15:F15"/>
    <mergeCell ref="C19:F19"/>
    <mergeCell ref="C24:F24"/>
    <mergeCell ref="C39:F39"/>
    <mergeCell ref="C40:F40"/>
    <mergeCell ref="CE15:CE16"/>
    <mergeCell ref="CF15:CO16"/>
    <mergeCell ref="C16:F16"/>
    <mergeCell ref="C17:F17"/>
    <mergeCell ref="CE17:CE18"/>
    <mergeCell ref="CF17:CO18"/>
    <mergeCell ref="C18:F18"/>
    <mergeCell ref="CE19:CE20"/>
    <mergeCell ref="CF19:CO20"/>
    <mergeCell ref="C20:F20"/>
    <mergeCell ref="BQ20:BU20"/>
    <mergeCell ref="C21:F21"/>
    <mergeCell ref="CE21:CE22"/>
    <mergeCell ref="CF21:CO22"/>
    <mergeCell ref="C22:F22"/>
    <mergeCell ref="BO22:BO30"/>
    <mergeCell ref="C23:F23"/>
    <mergeCell ref="BO35:BU38"/>
    <mergeCell ref="C36:F36"/>
    <mergeCell ref="C37:F37"/>
    <mergeCell ref="C38:F38"/>
    <mergeCell ref="C25:F25"/>
    <mergeCell ref="C26:F26"/>
    <mergeCell ref="C27:F27"/>
    <mergeCell ref="C28:F28"/>
    <mergeCell ref="C29:F29"/>
    <mergeCell ref="C30:F30"/>
    <mergeCell ref="C31:F31"/>
    <mergeCell ref="C32:F32"/>
    <mergeCell ref="C33:F33"/>
    <mergeCell ref="C34:F34"/>
    <mergeCell ref="C35:F35"/>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s>
  <conditionalFormatting sqref="O5:R5 H7:P7 B7">
    <cfRule type="containsBlanks" dxfId="328" priority="7">
      <formula>LEN(TRIM(B5))=0</formula>
    </cfRule>
  </conditionalFormatting>
  <conditionalFormatting sqref="H41:I42">
    <cfRule type="expression" dxfId="327" priority="4" stopIfTrue="1">
      <formula>IF($H$42="N/A",TRUE,FALSE)</formula>
    </cfRule>
  </conditionalFormatting>
  <conditionalFormatting sqref="F7:G7">
    <cfRule type="cellIs" dxfId="326" priority="5" operator="equal">
      <formula>""</formula>
    </cfRule>
  </conditionalFormatting>
  <conditionalFormatting sqref="G9:K40">
    <cfRule type="expression" dxfId="325" priority="8" stopIfTrue="1">
      <formula>IF($Z9=1,TRUE,FALSE)</formula>
    </cfRule>
    <cfRule type="expression" dxfId="324" priority="9" stopIfTrue="1">
      <formula>IF($Z9=2,TRUE,FALSE)</formula>
    </cfRule>
  </conditionalFormatting>
  <conditionalFormatting sqref="B9:F40">
    <cfRule type="expression" dxfId="323" priority="10" stopIfTrue="1">
      <formula>IF($Z9=1,TRUE,FALSE)</formula>
    </cfRule>
    <cfRule type="expression" dxfId="322" priority="11">
      <formula>IF($Z9=2,TRUE,FALSE)</formula>
    </cfRule>
  </conditionalFormatting>
  <conditionalFormatting sqref="H9:H40">
    <cfRule type="expression" dxfId="321" priority="12" stopIfTrue="1">
      <formula>IF($AB9=0,TRUE,FALSE)</formula>
    </cfRule>
  </conditionalFormatting>
  <conditionalFormatting sqref="J9:K40">
    <cfRule type="expression" dxfId="320" priority="13" stopIfTrue="1">
      <formula>IF(ISNA($Z9),TRUE,FALSE)</formula>
    </cfRule>
  </conditionalFormatting>
  <conditionalFormatting sqref="F6:G7 M6:P7">
    <cfRule type="expression" dxfId="319" priority="6" stopIfTrue="1">
      <formula>NOT($AU$5)</formula>
    </cfRule>
  </conditionalFormatting>
  <conditionalFormatting sqref="C9:F40">
    <cfRule type="expression" dxfId="318" priority="3" stopIfTrue="1">
      <formula>IF($AF9=FALSE,TRUE,FALSE)</formula>
    </cfRule>
  </conditionalFormatting>
  <conditionalFormatting sqref="L42">
    <cfRule type="expression" dxfId="317" priority="2">
      <formula>NOT($U$50)</formula>
    </cfRule>
  </conditionalFormatting>
  <conditionalFormatting sqref="K9:K40">
    <cfRule type="expression" dxfId="316" priority="14">
      <formula>IF(OR($Z9=1,$Z9=2),FALSE,OR($BC9,$BE9,$BF9))</formula>
    </cfRule>
  </conditionalFormatting>
  <conditionalFormatting sqref="C9:F40 J9:K40">
    <cfRule type="expression" dxfId="315" priority="15">
      <formula>IF($Z9=1,FALSE,OR($AW9,$AX9,$AY9,$AZ9))</formula>
    </cfRule>
  </conditionalFormatting>
  <conditionalFormatting sqref="J9:J40">
    <cfRule type="expression" dxfId="314" priority="16">
      <formula>IF($Z9=1,FALSE,OR($BE9,$BD9))</formula>
    </cfRule>
  </conditionalFormatting>
  <conditionalFormatting sqref="L9">
    <cfRule type="containsBlanks" dxfId="313" priority="1">
      <formula>LEN(TRIM(L9))=0</formula>
    </cfRule>
  </conditionalFormatting>
  <dataValidations count="6">
    <dataValidation type="date" allowBlank="1" showInputMessage="1" showErrorMessage="1" sqref="Q5:R5" xr:uid="{84770F37-8923-453B-9236-D7DE5A8A1139}">
      <formula1>41151</formula1>
      <formula2>77433</formula2>
    </dataValidation>
    <dataValidation type="decimal" allowBlank="1" showInputMessage="1" showErrorMessage="1" sqref="O7:P7" xr:uid="{4AC209BC-335E-44B4-AF05-ED281E45BD32}">
      <formula1>0</formula1>
      <formula2>10</formula2>
    </dataValidation>
    <dataValidation type="custom" showInputMessage="1" showErrorMessage="1" sqref="O42:R42" xr:uid="{4694EC8C-103C-4365-BFA9-44236289EC7C}">
      <formula1>IF(OR(O42="N/A",O42="",ISBLANK(O42)),FALSE,TRUE)</formula1>
    </dataValidation>
    <dataValidation type="list" allowBlank="1" showInputMessage="1" showErrorMessage="1" sqref="K9:K40" xr:uid="{21DBB0A0-646F-4A3B-B4CD-B84B7BC65D3B}">
      <formula1>"D,0,1,2,3,4"</formula1>
    </dataValidation>
    <dataValidation type="list" allowBlank="1" showInputMessage="1" showErrorMessage="1" sqref="J9:J40" xr:uid="{3B0D886C-49C1-421A-825E-282C22AECE48}">
      <formula1>"NA,0,1,2,3,4,5,6,7,8,9,10,11,12,13,14,15"</formula1>
    </dataValidation>
    <dataValidation type="list" allowBlank="1" showInputMessage="1" showErrorMessage="1" sqref="F7:G7" xr:uid="{4716CBC7-03B4-4F8B-9A9D-FB552FA8726F}">
      <formula1>"No,Yes"</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E5F5B-9D8D-42EE-A0EF-BFF3884AC133}">
  <sheetPr>
    <tabColor rgb="FF00B0F0"/>
    <pageSetUpPr autoPageBreaks="0"/>
  </sheetPr>
  <dimension ref="A1:AVW67"/>
  <sheetViews>
    <sheetView topLeftCell="A3" workbookViewId="0">
      <selection activeCell="BS8" sqref="BS8"/>
    </sheetView>
  </sheetViews>
  <sheetFormatPr defaultColWidth="9.140625" defaultRowHeight="15" x14ac:dyDescent="0.25"/>
  <cols>
    <col min="1" max="1" width="1.5703125" style="774" customWidth="1"/>
    <col min="2" max="2" width="3.5703125" style="774" customWidth="1"/>
    <col min="3" max="3" width="5.5703125" style="775" customWidth="1"/>
    <col min="4" max="4" width="9.140625" style="775"/>
    <col min="5" max="5" width="14" style="775" customWidth="1"/>
    <col min="6" max="6" width="7.85546875" style="775" customWidth="1"/>
    <col min="7" max="11" width="5.140625" style="775" customWidth="1"/>
    <col min="12" max="12" width="21.5703125" style="775" customWidth="1"/>
    <col min="13" max="13" width="6.5703125" style="775" customWidth="1"/>
    <col min="14" max="14" width="12.5703125" style="775" customWidth="1"/>
    <col min="15" max="15" width="7.85546875" style="775" customWidth="1"/>
    <col min="16" max="16" width="2.7109375" style="775" customWidth="1"/>
    <col min="17" max="17" width="4.85546875" style="775" customWidth="1"/>
    <col min="18" max="18" width="7.28515625" style="775" customWidth="1"/>
    <col min="19" max="19" width="1.7109375" style="775" customWidth="1"/>
    <col min="20" max="20" width="19.140625" style="776" hidden="1" customWidth="1"/>
    <col min="21" max="21" width="31.140625" style="776" hidden="1" customWidth="1"/>
    <col min="22" max="22" width="5.140625" style="776" hidden="1" customWidth="1"/>
    <col min="23" max="24" width="6.28515625" style="776" hidden="1" customWidth="1"/>
    <col min="25" max="25" width="8.42578125" style="776" hidden="1" customWidth="1"/>
    <col min="26" max="26" width="7.85546875" style="776" hidden="1" customWidth="1"/>
    <col min="27" max="27" width="10.7109375" style="776" hidden="1" customWidth="1"/>
    <col min="28" max="28" width="8" style="776" hidden="1" customWidth="1"/>
    <col min="29" max="31" width="5.140625" style="776" hidden="1" customWidth="1"/>
    <col min="32" max="34" width="5.85546875" style="776" hidden="1" customWidth="1"/>
    <col min="35" max="35" width="8.5703125" style="777" hidden="1" customWidth="1"/>
    <col min="36" max="36" width="7" style="776" hidden="1" customWidth="1"/>
    <col min="37" max="38" width="5.28515625" style="776" hidden="1" customWidth="1"/>
    <col min="39" max="40" width="7" style="776" hidden="1" customWidth="1"/>
    <col min="41" max="41" width="5.140625" style="776" hidden="1" customWidth="1"/>
    <col min="42" max="42" width="11.28515625" style="776" hidden="1" customWidth="1"/>
    <col min="43" max="43" width="6.42578125" style="776" hidden="1" customWidth="1"/>
    <col min="44" max="44" width="8.28515625" style="776" hidden="1" customWidth="1"/>
    <col min="45" max="45" width="8.85546875" style="776" hidden="1" customWidth="1"/>
    <col min="46" max="46" width="10.7109375" style="776" hidden="1" customWidth="1"/>
    <col min="47" max="47" width="8.85546875" style="776" hidden="1" customWidth="1"/>
    <col min="48" max="48" width="6.28515625" style="776" hidden="1" customWidth="1"/>
    <col min="49" max="49" width="10" style="776" hidden="1" customWidth="1"/>
    <col min="50" max="50" width="7.5703125" style="776" hidden="1" customWidth="1"/>
    <col min="51" max="51" width="7" style="776" hidden="1" customWidth="1"/>
    <col min="52" max="52" width="8.140625" style="776" hidden="1" customWidth="1"/>
    <col min="53" max="53" width="12.5703125" style="776" hidden="1" customWidth="1"/>
    <col min="54" max="54" width="7.7109375" style="776" hidden="1" customWidth="1"/>
    <col min="55" max="55" width="12.7109375" style="776" hidden="1" customWidth="1"/>
    <col min="56" max="56" width="7" style="776" hidden="1" customWidth="1"/>
    <col min="57" max="57" width="15.5703125" style="778" hidden="1" customWidth="1"/>
    <col min="58" max="58" width="9.140625" style="778" hidden="1" customWidth="1"/>
    <col min="59" max="59" width="10" style="776" hidden="1" customWidth="1"/>
    <col min="60" max="60" width="5.28515625" style="778" hidden="1" customWidth="1"/>
    <col min="61" max="61" width="4" style="778" hidden="1" customWidth="1"/>
    <col min="62" max="62" width="4.7109375" style="778" hidden="1" customWidth="1"/>
    <col min="63" max="63" width="5.5703125" style="778" hidden="1" customWidth="1"/>
    <col min="64" max="64" width="5.28515625" style="778" hidden="1" customWidth="1"/>
    <col min="65" max="65" width="4" style="778" hidden="1" customWidth="1"/>
    <col min="66" max="66" width="5.5703125" style="778" hidden="1" customWidth="1"/>
    <col min="67" max="67" width="5.140625" style="779" customWidth="1"/>
    <col min="68" max="73" width="5.140625" style="775" customWidth="1"/>
    <col min="74" max="79" width="9.140625" style="775"/>
    <col min="80" max="82" width="9.140625" style="775" customWidth="1"/>
    <col min="83" max="83" width="5.140625" style="775" customWidth="1"/>
    <col min="84" max="16384" width="9.140625" style="775"/>
  </cols>
  <sheetData>
    <row r="1" spans="2:93" s="771" customFormat="1" ht="12" hidden="1" x14ac:dyDescent="0.2">
      <c r="C1" s="771">
        <v>3</v>
      </c>
      <c r="D1" s="771" t="s">
        <v>556</v>
      </c>
      <c r="E1" s="771" t="s">
        <v>557</v>
      </c>
      <c r="F1" s="771" t="s">
        <v>558</v>
      </c>
      <c r="G1" s="771" t="s">
        <v>559</v>
      </c>
      <c r="H1" s="771" t="s">
        <v>560</v>
      </c>
      <c r="T1" s="772"/>
      <c r="U1" s="772"/>
      <c r="V1" s="772"/>
      <c r="W1" s="772"/>
      <c r="X1" s="772"/>
      <c r="Y1" s="772"/>
      <c r="Z1" s="772"/>
      <c r="AA1" s="772"/>
      <c r="AB1" s="772"/>
      <c r="AC1" s="772"/>
      <c r="AD1" s="772"/>
      <c r="AE1" s="772"/>
      <c r="AF1" s="772"/>
      <c r="AG1" s="772"/>
      <c r="AH1" s="772"/>
      <c r="AI1" s="773"/>
      <c r="AJ1" s="772"/>
      <c r="AK1" s="772"/>
      <c r="AL1" s="772"/>
      <c r="AM1" s="772"/>
      <c r="AN1" s="772"/>
      <c r="AO1" s="772"/>
      <c r="AP1" s="772"/>
      <c r="AQ1" s="772"/>
      <c r="AR1" s="772"/>
      <c r="AS1" s="772"/>
      <c r="AT1" s="772"/>
      <c r="AU1" s="772"/>
      <c r="AV1" s="772"/>
      <c r="AW1" s="772"/>
      <c r="AX1" s="772"/>
      <c r="AY1" s="772"/>
      <c r="AZ1" s="772"/>
      <c r="BA1" s="772"/>
      <c r="BB1" s="772"/>
      <c r="BC1" s="772"/>
      <c r="BD1" s="772"/>
      <c r="BE1" s="772"/>
      <c r="BF1" s="772"/>
      <c r="BG1" s="772"/>
      <c r="BH1" s="772"/>
      <c r="BI1" s="772"/>
      <c r="BJ1" s="772"/>
      <c r="BK1" s="772"/>
      <c r="BL1" s="772"/>
      <c r="BM1" s="772"/>
      <c r="BN1" s="772"/>
    </row>
    <row r="2" spans="2:93" s="771" customFormat="1" ht="12" hidden="1" x14ac:dyDescent="0.2">
      <c r="C2" s="771">
        <v>4</v>
      </c>
      <c r="D2" s="771" t="s">
        <v>561</v>
      </c>
      <c r="E2" s="771" t="s">
        <v>562</v>
      </c>
      <c r="F2" s="771" t="s">
        <v>563</v>
      </c>
      <c r="G2" s="771" t="s">
        <v>564</v>
      </c>
      <c r="H2" s="771" t="s">
        <v>565</v>
      </c>
      <c r="T2" s="772"/>
      <c r="U2" s="772"/>
      <c r="V2" s="772"/>
      <c r="W2" s="772"/>
      <c r="X2" s="772"/>
      <c r="Y2" s="772"/>
      <c r="Z2" s="772"/>
      <c r="AA2" s="772"/>
      <c r="AB2" s="772"/>
      <c r="AC2" s="772"/>
      <c r="AD2" s="772"/>
      <c r="AE2" s="772"/>
      <c r="AF2" s="772"/>
      <c r="AG2" s="772"/>
      <c r="AH2" s="772"/>
      <c r="AI2" s="773"/>
      <c r="AJ2" s="772"/>
      <c r="AK2" s="772"/>
      <c r="AL2" s="772"/>
      <c r="AM2" s="772"/>
      <c r="AN2" s="772"/>
      <c r="AO2" s="772"/>
      <c r="AP2" s="772"/>
      <c r="AQ2" s="772"/>
      <c r="AR2" s="772"/>
      <c r="AS2" s="772"/>
      <c r="AT2" s="772"/>
      <c r="AU2" s="772"/>
      <c r="AV2" s="772"/>
      <c r="AW2" s="772"/>
      <c r="AX2" s="772"/>
      <c r="AY2" s="772"/>
      <c r="AZ2" s="772"/>
      <c r="BA2" s="772"/>
      <c r="BB2" s="772"/>
      <c r="BC2" s="772"/>
      <c r="BD2" s="772"/>
      <c r="BE2" s="772"/>
      <c r="BF2" s="772"/>
      <c r="BG2" s="772"/>
      <c r="BH2" s="772"/>
      <c r="BI2" s="772"/>
      <c r="BJ2" s="772"/>
      <c r="BK2" s="772"/>
      <c r="BL2" s="772"/>
      <c r="BM2" s="772"/>
      <c r="BN2" s="772"/>
    </row>
    <row r="3" spans="2:93" ht="15.75" thickBot="1" x14ac:dyDescent="0.3">
      <c r="BE3" s="776"/>
      <c r="BF3" s="776"/>
      <c r="BG3" s="778"/>
    </row>
    <row r="4" spans="2:93" ht="13.5" customHeight="1" thickTop="1" x14ac:dyDescent="0.25">
      <c r="B4" s="1327" t="s">
        <v>141</v>
      </c>
      <c r="C4" s="1328"/>
      <c r="D4" s="1328"/>
      <c r="E4" s="1328"/>
      <c r="F4" s="1328"/>
      <c r="G4" s="1329"/>
      <c r="H4" s="1330" t="s">
        <v>687</v>
      </c>
      <c r="I4" s="1331"/>
      <c r="J4" s="1331"/>
      <c r="K4" s="1331"/>
      <c r="L4" s="1331"/>
      <c r="M4" s="1331"/>
      <c r="N4" s="1332"/>
      <c r="O4" s="1333" t="s">
        <v>142</v>
      </c>
      <c r="P4" s="1334"/>
      <c r="Q4" s="1333" t="s">
        <v>143</v>
      </c>
      <c r="R4" s="1335"/>
      <c r="S4" s="780"/>
      <c r="T4" s="781"/>
      <c r="U4" s="781"/>
      <c r="V4" s="781"/>
      <c r="W4" s="781"/>
      <c r="X4" s="781"/>
      <c r="Y4" s="781"/>
      <c r="Z4" s="781"/>
      <c r="AA4" s="781"/>
      <c r="AB4" s="781"/>
      <c r="AC4" s="781"/>
      <c r="AD4" s="781"/>
      <c r="AE4" s="781"/>
      <c r="AF4" s="781"/>
      <c r="AG4" s="781"/>
      <c r="AH4" s="781"/>
      <c r="AI4" s="782"/>
      <c r="AJ4" s="781"/>
      <c r="AK4" s="781"/>
      <c r="AL4" s="781"/>
      <c r="AM4" s="781"/>
      <c r="AN4" s="781"/>
      <c r="AO4" s="781"/>
      <c r="AP4" s="781"/>
      <c r="AQ4" s="772"/>
      <c r="AR4" s="772"/>
      <c r="AW4" s="776" t="s">
        <v>144</v>
      </c>
      <c r="AX4" s="776" t="s">
        <v>145</v>
      </c>
      <c r="AY4" s="776" t="s">
        <v>146</v>
      </c>
      <c r="AZ4" s="776" t="s">
        <v>147</v>
      </c>
      <c r="BA4" s="776" t="s">
        <v>148</v>
      </c>
      <c r="BB4" s="776" t="s">
        <v>149</v>
      </c>
      <c r="BE4" s="776"/>
      <c r="BF4" s="776"/>
      <c r="BG4" s="778"/>
      <c r="BO4" s="783" t="s">
        <v>213</v>
      </c>
    </row>
    <row r="5" spans="2:93" s="794" customFormat="1" ht="15.75" customHeight="1" x14ac:dyDescent="0.2">
      <c r="B5" s="1336" t="s">
        <v>442</v>
      </c>
      <c r="C5" s="1337"/>
      <c r="D5" s="1337"/>
      <c r="E5" s="1337"/>
      <c r="F5" s="1337"/>
      <c r="G5" s="1338"/>
      <c r="H5" s="1339" t="s">
        <v>567</v>
      </c>
      <c r="I5" s="1340"/>
      <c r="J5" s="1340"/>
      <c r="K5" s="1340"/>
      <c r="L5" s="1340"/>
      <c r="M5" s="1340"/>
      <c r="N5" s="1341"/>
      <c r="O5" s="1342"/>
      <c r="P5" s="1343"/>
      <c r="Q5" s="1344"/>
      <c r="R5" s="1345"/>
      <c r="S5" s="784"/>
      <c r="T5" s="785"/>
      <c r="U5" s="785"/>
      <c r="V5" s="785"/>
      <c r="W5" s="785"/>
      <c r="X5" s="785"/>
      <c r="Y5" s="785"/>
      <c r="Z5" s="785"/>
      <c r="AA5" s="785"/>
      <c r="AB5" s="785"/>
      <c r="AC5" s="785"/>
      <c r="AD5" s="785"/>
      <c r="AE5" s="785"/>
      <c r="AF5" s="785"/>
      <c r="AG5" s="785"/>
      <c r="AH5" s="785"/>
      <c r="AI5" s="786"/>
      <c r="AJ5" s="785"/>
      <c r="AK5" s="785"/>
      <c r="AL5" s="785"/>
      <c r="AM5" s="785"/>
      <c r="AN5" s="785"/>
      <c r="AO5" s="785"/>
      <c r="AP5" s="785"/>
      <c r="AQ5" s="787"/>
      <c r="AR5" s="787"/>
      <c r="AS5" s="788"/>
      <c r="AT5" s="789" t="s">
        <v>151</v>
      </c>
      <c r="AU5" s="790" t="b">
        <v>1</v>
      </c>
      <c r="AV5" s="788">
        <v>5</v>
      </c>
      <c r="AW5" s="788" t="b">
        <f>IF(ISERR(OR(AW9:AW40)),"UNK",IF(AND(graded_aca_events&gt;=1,input_test),FALSE,OR(AW9:AW40)))</f>
        <v>0</v>
      </c>
      <c r="AX5" s="788" t="b">
        <f>IF(ISERR(OR(AX9:AX40)),"UNK",IF(AND(graded_aca_events&gt;=1,input_test),FALSE,OR(AX9:AX40)))</f>
        <v>1</v>
      </c>
      <c r="AY5" s="788" t="b">
        <f>IF(ISERR(OR(AY9:AY40)),"UNK",OR(AY9:AY40))</f>
        <v>0</v>
      </c>
      <c r="AZ5" s="788" t="b">
        <f>IF(ISERR(OR(AZ9:AZ40)),"UNK",OR(AZ9:AZ40))</f>
        <v>0</v>
      </c>
      <c r="BA5" s="788" t="b">
        <f>IF(ISERR(OR(BA9:BA40)),"UNK",OR(BA9:BA40))</f>
        <v>0</v>
      </c>
      <c r="BB5" s="788" t="b">
        <f>IF(ISERR(OR(BB9:BB40)),"UNK",OR(BB9:BB40))</f>
        <v>0</v>
      </c>
      <c r="BC5" s="791" t="b">
        <f>OR(BC9:BC40)</f>
        <v>0</v>
      </c>
      <c r="BD5" s="791" t="b">
        <f>OR(BD9:BD40)</f>
        <v>0</v>
      </c>
      <c r="BE5" s="791" t="b">
        <f>OR(BE9:BE40)</f>
        <v>0</v>
      </c>
      <c r="BF5" s="791"/>
      <c r="BG5" s="788"/>
      <c r="BH5" s="1303" t="s">
        <v>152</v>
      </c>
      <c r="BI5" s="1303"/>
      <c r="BJ5" s="1303"/>
      <c r="BK5" s="1303"/>
      <c r="BL5" s="1304" t="s">
        <v>153</v>
      </c>
      <c r="BM5" s="1304"/>
      <c r="BN5" s="1304"/>
      <c r="BO5" s="793" t="s">
        <v>568</v>
      </c>
    </row>
    <row r="6" spans="2:93" s="780" customFormat="1" ht="11.25" customHeight="1" x14ac:dyDescent="0.25">
      <c r="B6" s="1305" t="s">
        <v>154</v>
      </c>
      <c r="C6" s="1306"/>
      <c r="D6" s="1306"/>
      <c r="E6" s="1307"/>
      <c r="F6" s="1308" t="s">
        <v>155</v>
      </c>
      <c r="G6" s="1307"/>
      <c r="H6" s="1308" t="s">
        <v>156</v>
      </c>
      <c r="I6" s="1306"/>
      <c r="J6" s="1306"/>
      <c r="K6" s="1306"/>
      <c r="L6" s="1307"/>
      <c r="M6" s="1309" t="s">
        <v>157</v>
      </c>
      <c r="N6" s="1310"/>
      <c r="O6" s="1311" t="s">
        <v>158</v>
      </c>
      <c r="P6" s="1312"/>
      <c r="Q6" s="1308" t="str">
        <f>IF(AU42=0,"GRADE","GRADE (inc. bonus)")</f>
        <v>GRADE</v>
      </c>
      <c r="R6" s="1313"/>
      <c r="T6" s="781"/>
      <c r="U6" s="781"/>
      <c r="V6" s="781"/>
      <c r="W6" s="781"/>
      <c r="X6" s="781"/>
      <c r="Y6" s="781"/>
      <c r="Z6" s="781"/>
      <c r="AA6" s="781"/>
      <c r="AB6" s="781"/>
      <c r="AC6" s="781"/>
      <c r="AD6" s="781"/>
      <c r="AE6" s="781"/>
      <c r="AF6" s="781"/>
      <c r="AG6" s="781"/>
      <c r="AH6" s="781"/>
      <c r="AI6" s="782"/>
      <c r="AJ6" s="781"/>
      <c r="AK6" s="781"/>
      <c r="AL6" s="781"/>
      <c r="AM6" s="781"/>
      <c r="AN6" s="781"/>
      <c r="AO6" s="781"/>
      <c r="AP6" s="781"/>
      <c r="AQ6" s="781"/>
      <c r="AR6" s="781"/>
      <c r="AS6" s="781"/>
      <c r="AT6" s="781"/>
      <c r="AU6" s="781"/>
      <c r="AV6" s="781"/>
      <c r="AW6" s="781"/>
      <c r="AX6" s="781"/>
      <c r="AY6" s="781"/>
      <c r="AZ6" s="781"/>
      <c r="BA6" s="781"/>
      <c r="BB6" s="781"/>
      <c r="BC6" s="781"/>
      <c r="BD6" s="781"/>
      <c r="BE6" s="781"/>
      <c r="BF6" s="781"/>
      <c r="BG6" s="781"/>
      <c r="BH6" s="1303"/>
      <c r="BI6" s="1303"/>
      <c r="BJ6" s="1303"/>
      <c r="BK6" s="1303"/>
      <c r="BL6" s="1304"/>
      <c r="BM6" s="1304"/>
      <c r="BN6" s="1304"/>
      <c r="BO6" s="795" t="s">
        <v>214</v>
      </c>
      <c r="BP6" s="796" t="s">
        <v>215</v>
      </c>
    </row>
    <row r="7" spans="2:93" s="794" customFormat="1" ht="15.75" customHeight="1" thickBot="1" x14ac:dyDescent="0.25">
      <c r="B7" s="1314"/>
      <c r="C7" s="1315"/>
      <c r="D7" s="1315"/>
      <c r="E7" s="1316"/>
      <c r="F7" s="1317" t="s">
        <v>270</v>
      </c>
      <c r="G7" s="1318"/>
      <c r="H7" s="1319"/>
      <c r="I7" s="1320"/>
      <c r="J7" s="1320"/>
      <c r="K7" s="1320"/>
      <c r="L7" s="1318"/>
      <c r="M7" s="1321"/>
      <c r="N7" s="1322"/>
      <c r="O7" s="1323"/>
      <c r="P7" s="1324"/>
      <c r="Q7" s="1325" t="str">
        <f>IF((graded_aca_events+graded_amn_events)&lt;1,"---",IF(ISERROR(AR47),"",IF(F42&lt;&gt;"COMPLETE","INCOMPLETE",AR47)))</f>
        <v>---</v>
      </c>
      <c r="R7" s="1326"/>
      <c r="S7" s="775"/>
      <c r="T7" s="788"/>
      <c r="U7" s="788">
        <v>2</v>
      </c>
      <c r="V7" s="788">
        <v>3</v>
      </c>
      <c r="W7" s="788">
        <v>6</v>
      </c>
      <c r="X7" s="788">
        <v>7</v>
      </c>
      <c r="Y7" s="788">
        <v>11</v>
      </c>
      <c r="Z7" s="788">
        <v>8</v>
      </c>
      <c r="AA7" s="797">
        <v>9</v>
      </c>
      <c r="AB7" s="797">
        <v>10</v>
      </c>
      <c r="AC7" s="797">
        <v>5</v>
      </c>
      <c r="AD7" s="797">
        <v>4</v>
      </c>
      <c r="AE7" s="797">
        <v>12</v>
      </c>
      <c r="AF7" s="797">
        <v>13</v>
      </c>
      <c r="AG7" s="797"/>
      <c r="AH7" s="797"/>
      <c r="AI7" s="798"/>
      <c r="AJ7" s="799"/>
      <c r="AK7" s="799"/>
      <c r="AL7" s="799"/>
      <c r="AM7" s="799" t="b">
        <f>IF(COUNT(AM9:AM40)&gt;0,TRUE,FALSE)</f>
        <v>0</v>
      </c>
      <c r="AN7" s="799" t="b">
        <f>IF(COUNT(AN9:AN40)&gt;0,TRUE,FALSE)</f>
        <v>0</v>
      </c>
      <c r="AO7" s="788"/>
      <c r="AP7" s="788"/>
      <c r="AQ7" s="787"/>
      <c r="AR7" s="787"/>
      <c r="AS7" s="788"/>
      <c r="AT7" s="800">
        <v>0.5</v>
      </c>
      <c r="AU7" s="788"/>
      <c r="AV7" s="801">
        <f>0.01*input_maxb</f>
        <v>0.05</v>
      </c>
      <c r="AW7" s="802" t="s">
        <v>159</v>
      </c>
      <c r="AX7" s="803"/>
      <c r="AY7" s="802" t="s">
        <v>160</v>
      </c>
      <c r="AZ7" s="803"/>
      <c r="BA7" s="804" t="s">
        <v>161</v>
      </c>
      <c r="BB7" s="804"/>
      <c r="BC7" s="802" t="s">
        <v>162</v>
      </c>
      <c r="BD7" s="804"/>
      <c r="BE7" s="805"/>
      <c r="BF7" s="806"/>
      <c r="BG7" s="788" t="s">
        <v>163</v>
      </c>
      <c r="BH7" s="1303"/>
      <c r="BI7" s="1303"/>
      <c r="BJ7" s="1303"/>
      <c r="BK7" s="1303"/>
      <c r="BL7" s="1304"/>
      <c r="BM7" s="1304"/>
      <c r="BN7" s="1304"/>
      <c r="BO7" s="795">
        <v>0</v>
      </c>
      <c r="BP7" s="796" t="s">
        <v>216</v>
      </c>
    </row>
    <row r="8" spans="2:93" ht="27" customHeight="1" thickBot="1" x14ac:dyDescent="0.3">
      <c r="B8" s="1296" t="s">
        <v>164</v>
      </c>
      <c r="C8" s="1297"/>
      <c r="D8" s="1297"/>
      <c r="E8" s="1297"/>
      <c r="F8" s="1298"/>
      <c r="G8" s="807" t="s">
        <v>165</v>
      </c>
      <c r="H8" s="808" t="s">
        <v>166</v>
      </c>
      <c r="I8" s="809" t="s">
        <v>167</v>
      </c>
      <c r="J8" s="810" t="s">
        <v>168</v>
      </c>
      <c r="K8" s="811" t="s">
        <v>169</v>
      </c>
      <c r="L8" s="1299" t="s">
        <v>170</v>
      </c>
      <c r="M8" s="1297"/>
      <c r="N8" s="1297"/>
      <c r="O8" s="1297"/>
      <c r="P8" s="1297"/>
      <c r="Q8" s="1297"/>
      <c r="R8" s="1300"/>
      <c r="S8" s="774"/>
      <c r="T8" s="812" t="s">
        <v>171</v>
      </c>
      <c r="U8" s="812"/>
      <c r="V8" s="812" t="s">
        <v>172</v>
      </c>
      <c r="W8" s="812" t="s">
        <v>173</v>
      </c>
      <c r="X8" s="812" t="s">
        <v>174</v>
      </c>
      <c r="Y8" s="812" t="s">
        <v>175</v>
      </c>
      <c r="Z8" s="812" t="s">
        <v>176</v>
      </c>
      <c r="AA8" s="812" t="s">
        <v>177</v>
      </c>
      <c r="AB8" s="812" t="s">
        <v>178</v>
      </c>
      <c r="AC8" s="812" t="s">
        <v>179</v>
      </c>
      <c r="AD8" s="812" t="s">
        <v>180</v>
      </c>
      <c r="AE8" s="812" t="s">
        <v>181</v>
      </c>
      <c r="AF8" s="812" t="s">
        <v>182</v>
      </c>
      <c r="AG8" s="812" t="s">
        <v>183</v>
      </c>
      <c r="AH8" s="812" t="s">
        <v>184</v>
      </c>
      <c r="AI8" s="813" t="s">
        <v>185</v>
      </c>
      <c r="AJ8" s="814" t="s">
        <v>186</v>
      </c>
      <c r="AK8" s="815" t="s">
        <v>187</v>
      </c>
      <c r="AL8" s="815" t="s">
        <v>188</v>
      </c>
      <c r="AM8" s="815" t="s">
        <v>189</v>
      </c>
      <c r="AN8" s="815" t="s">
        <v>190</v>
      </c>
      <c r="AO8" s="814" t="s">
        <v>191</v>
      </c>
      <c r="AP8" s="814" t="s">
        <v>192</v>
      </c>
      <c r="AQ8" s="816" t="s">
        <v>193</v>
      </c>
      <c r="AR8" s="817" t="s">
        <v>1</v>
      </c>
      <c r="AS8" s="816" t="s">
        <v>194</v>
      </c>
      <c r="AT8" s="817" t="s">
        <v>1</v>
      </c>
      <c r="AU8" s="816" t="s">
        <v>195</v>
      </c>
      <c r="AV8" s="818" t="s">
        <v>196</v>
      </c>
      <c r="AW8" s="819" t="s">
        <v>197</v>
      </c>
      <c r="AX8" s="820" t="s">
        <v>198</v>
      </c>
      <c r="AY8" s="819" t="s">
        <v>199</v>
      </c>
      <c r="AZ8" s="820" t="s">
        <v>200</v>
      </c>
      <c r="BA8" s="821" t="s">
        <v>201</v>
      </c>
      <c r="BB8" s="821" t="s">
        <v>202</v>
      </c>
      <c r="BC8" s="822" t="s">
        <v>203</v>
      </c>
      <c r="BD8" s="823" t="s">
        <v>204</v>
      </c>
      <c r="BE8" s="824" t="s">
        <v>205</v>
      </c>
      <c r="BF8" s="825" t="s">
        <v>206</v>
      </c>
      <c r="BG8" s="778"/>
      <c r="BH8" s="778" t="s">
        <v>207</v>
      </c>
      <c r="BI8" s="778" t="s">
        <v>208</v>
      </c>
      <c r="BJ8" s="812" t="s">
        <v>209</v>
      </c>
      <c r="BK8" s="778" t="s">
        <v>210</v>
      </c>
      <c r="BL8" s="778" t="s">
        <v>207</v>
      </c>
      <c r="BM8" s="778" t="s">
        <v>208</v>
      </c>
      <c r="BN8" s="778" t="s">
        <v>210</v>
      </c>
      <c r="BO8" s="795">
        <v>1</v>
      </c>
      <c r="BP8" s="826" t="s">
        <v>569</v>
      </c>
      <c r="BX8" s="827"/>
      <c r="BY8" s="771"/>
      <c r="BZ8" s="771"/>
      <c r="CA8" s="771"/>
      <c r="CB8" s="771"/>
      <c r="CC8" s="771"/>
    </row>
    <row r="9" spans="2:93" ht="12.95" customHeight="1" x14ac:dyDescent="0.25">
      <c r="B9" s="828">
        <f>IF(ISNA(Z9),"",IF(OR(Z9=1,Z9=2),"",1))</f>
        <v>1</v>
      </c>
      <c r="C9" s="1301" t="str">
        <f t="shared" ref="C9:C40" si="0">IF(ISNA(Z9),"",CONCATENATE($U9,IF(ISNUMBER(AI9),TEXT(ROUND($AI9,3)," (0.0%)"),""),IF(AU9&gt;0," Bonus","")))</f>
        <v xml:space="preserve">      - Test Planning and Methodology (16.7%)</v>
      </c>
      <c r="D9" s="1301"/>
      <c r="E9" s="1301"/>
      <c r="F9" s="1302"/>
      <c r="G9" s="829">
        <f t="shared" ref="G9:G40" si="1">BH9</f>
        <v>1</v>
      </c>
      <c r="H9" s="830" t="str">
        <f t="shared" ref="H9:I40" si="2">BJ9</f>
        <v>2*</v>
      </c>
      <c r="I9" s="831">
        <f t="shared" si="2"/>
        <v>3</v>
      </c>
      <c r="J9" s="832"/>
      <c r="K9" s="833"/>
      <c r="L9" s="1072"/>
      <c r="M9" s="1073"/>
      <c r="N9" s="1073"/>
      <c r="O9" s="1073"/>
      <c r="P9" s="1073"/>
      <c r="Q9" s="1073"/>
      <c r="R9" s="1074"/>
      <c r="T9" s="776">
        <v>1</v>
      </c>
      <c r="U9" s="776" t="s">
        <v>570</v>
      </c>
      <c r="V9" s="834">
        <v>1</v>
      </c>
      <c r="W9" s="834">
        <v>1</v>
      </c>
      <c r="X9" s="834" t="s">
        <v>212</v>
      </c>
      <c r="Y9" s="834" t="s">
        <v>212</v>
      </c>
      <c r="Z9" s="834" t="s">
        <v>212</v>
      </c>
      <c r="AA9" s="834">
        <v>2</v>
      </c>
      <c r="AB9" s="834">
        <v>1</v>
      </c>
      <c r="AC9" s="834">
        <v>3</v>
      </c>
      <c r="AD9" s="834">
        <v>2</v>
      </c>
      <c r="AE9" s="834">
        <v>1</v>
      </c>
      <c r="AF9" s="834" t="b">
        <v>1</v>
      </c>
      <c r="AG9" s="834">
        <f t="shared" ref="AG9:AG13" si="3">IF(CrewSoloQual="Yes",$AC9,$AD9)</f>
        <v>2</v>
      </c>
      <c r="AH9" s="834">
        <f t="shared" ref="AH9:AH13" si="4">IF(ISNUMBER(AC9),IF(CrewSoloQual="Yes",$AC9-1,$AD9-1),"")</f>
        <v>1</v>
      </c>
      <c r="AI9" s="835">
        <f>IF(NOT(OR(Z9=1,Z9=2)),IF(AQ9&gt;0,$AR$45*AQ9/SUMIF($AQ$9:$AQ$40,"&gt;0"),IF(AU9&gt;0,$AV$45*AU9/SUMIF($AU$9:$AU$40,"&gt;0"),IF(AS9&gt;0,$AT$45*AS9/SUMIF($AS$9:$AS$40,"&gt;0"),""))),IF(SUMIF(AJ10:$AJ$40,"=" &amp; AJ9,AI10:$AI$40)=0,"",SUMIF(AJ10:$AJ$40,"=" &amp; AJ9,AI10:$AI$40)))</f>
        <v>0.16666666666666666</v>
      </c>
      <c r="AJ9" s="836">
        <f>0</f>
        <v>0</v>
      </c>
      <c r="AK9" s="834">
        <f t="shared" ref="AK9:AK40" si="5">BI9</f>
        <v>2</v>
      </c>
      <c r="AL9" s="834" t="str">
        <f t="shared" ref="AL9:AL40" si="6">IF(ISBLANK(K9),"",K9)</f>
        <v/>
      </c>
      <c r="AM9" s="834" t="str">
        <f t="shared" ref="AM9:AM40" si="7">IF(ISNUMBER(AK9),IF(ISNUMBER(AL9),1,""),"")</f>
        <v/>
      </c>
      <c r="AN9" s="834" t="str">
        <f t="shared" ref="AN9:AN40" si="8">IF(ISNUMBER(AH9),IF(AND(AB9=0,ISNUMBER(AC9),ISNUMBER(AL9)),1,""),"")</f>
        <v/>
      </c>
      <c r="AO9" s="834" t="str">
        <f t="shared" ref="AO9:AO40" si="9">IF(AB9=0,IF(CrewSoloQual="No",BI9,BK9),"")</f>
        <v/>
      </c>
      <c r="AP9" s="834" t="b">
        <f t="shared" ref="AP9:AP40" si="10">IF(ISNA(Z9),"",IF(AND(ISNUMBER(B9),G9&gt;=1,H9&lt;&gt;"NG"),IF(K9&lt;BK9,TRUE,FALSE),IF(AND(G9&gt;=1,J9="NA"),TRUE,IF(AND(AM9=1,G9=0,AL9&lt;BI9),TRUE,""))))</f>
        <v>1</v>
      </c>
      <c r="AQ9" s="837">
        <f t="shared" ref="AQ9:AQ40" si="11">IF(ISNA(Z9),0,IF(OR(J9="NA",W9="",AB9=0),0,W9))</f>
        <v>1</v>
      </c>
      <c r="AR9" s="838" t="str">
        <f t="shared" ref="AR9:AR40" si="12">IF(ISNA(Z9),"",IF(AND(NOT(OR(Z9=1,Z9=2,AK9="NG",AB9=0)),IF(ISNUMBER(AL9),AL9&gt;=0,FALSE)),VLOOKUP((10*AD9+AC9),$AQ$51:$AV$59,2+AL9,FALSE),IF(AND(input_test=TRUE,ISNUMBER(AD9),V9&lt;&gt;0),VLOOKUP((10*AD9+AC9),$AQ$51:$AV$59,2,FALSE),"")))</f>
        <v/>
      </c>
      <c r="AS9" s="839">
        <f t="shared" ref="AS9:AS40" si="13">IF(ISNA(Z9),0,IF(OR(J9="NA",X9="",AB9=1),0,X9))</f>
        <v>0</v>
      </c>
      <c r="AT9" s="838" t="str">
        <f t="shared" ref="AT9:AT40" si="14">IF(ISNA(Z9),"",IF(AND(NOT(OR(Z9=1,Z9=2,AK9="NG",AB9=1)),IF(ISNUMBER(AL9),AL9&gt;=0,FALSE)),VLOOKUP((10*AH9+AG9),$AQ$51:$AV$59,2+AL9,FALSE),IF(AND(input_test=TRUE,ISNUMBER(AD9),V9&lt;&gt;0),VLOOKUP((10*AH9+AG9),$AQ$51:$AV$59,2,FALSE),"")))</f>
        <v/>
      </c>
      <c r="AU9" s="840">
        <f t="shared" ref="AU9:AU40" si="15">IF(ISNA(Z9),0,IF(OR(J9="NA",Y9=""),0,Y9))</f>
        <v>0</v>
      </c>
      <c r="AV9" s="841" t="str">
        <f t="shared" ref="AV9:AV40" si="16">AR9</f>
        <v/>
      </c>
      <c r="AW9" s="840" t="b">
        <f t="shared" ref="AW9:AW40" si="17">IF(ISNA(Z9),FALSE,IF(OR(AB9=1,G9=0,Z9=1,Z9=2),FALSE,IF(OR(J9="NA",J9&gt;=G9),FALSE,TRUE)))</f>
        <v>0</v>
      </c>
      <c r="AX9" s="842" t="b">
        <f t="shared" ref="AX9:AX40" si="18">IF(ISNA(Z9),FALSE,IF(OR(AB9=0,G9=0,Z9=1,Z9=2,J9="NA"),FALSE,IF(AK9="NG",IF(NOT(ISBLANK(K9)),FALSE,TRUE),IF(J9&gt;=G9,FALSE,TRUE))))</f>
        <v>1</v>
      </c>
      <c r="AY9" s="840" t="b">
        <f t="shared" ref="AY9:AY40" si="19">IF(ISNA(Z9),FALSE,IF(OR(AB9=1,G9&lt;1,Z9=1,Z9=2,AE9=0,ISBLANK(K9)),FALSE,IF(OR(J9="NA",K9&gt;=BI9),FALSE,TRUE)))</f>
        <v>0</v>
      </c>
      <c r="AZ9" s="842" t="b">
        <f t="shared" ref="AZ9:AZ40" si="20">IF(ISNA(Z9),FALSE,IF(OR(AB9=0,G9=0,Z9=1,Z9=2,AE9=0,BI9="NG",K9="",ISBLANK(K9)),FALSE,IF(OR(J9="NA",K9&gt;=AK9),FALSE,TRUE)))</f>
        <v>0</v>
      </c>
      <c r="BA9" s="834" t="b">
        <f t="shared" ref="BA9:BA40" si="21">IF(ISNA(Z9),FALSE,IF(OR(AB9=1,G9&lt;1,Z9=1,Z9=2,AE9=0),FALSE,IF(J9="NA",TRUE,FALSE)))</f>
        <v>0</v>
      </c>
      <c r="BB9" s="834" t="b">
        <f t="shared" ref="BB9:BB40" si="22">IF(ISNA(Z9),FALSE,IF(OR(AB9=0,G9=0,Z9=1,Z9=2),FALSE,IF(J9="NA",TRUE,FALSE)))</f>
        <v>0</v>
      </c>
      <c r="BC9" s="840" t="b">
        <f t="shared" ref="BC9:BC40" si="23">IF(OR(ISNA($Z9),ISNUMBER($Z9),NOT(ISNUMBER($J9)),K9="D"),FALSE,IF(AND(NOT(ISNUMBER($K9)),J9&gt;0),TRUE,FALSE))</f>
        <v>0</v>
      </c>
      <c r="BD9" s="843" t="b">
        <f t="shared" ref="BD9:BD40" si="24">IF(OR(ISNA($Z9),ISNUMBER($Z9),NOT(ISNUMBER(K9))),FALSE,OR(NOT(ISNUMBER(J9)),J9=0,AND(J9=0,K9&lt;&gt;0)))</f>
        <v>0</v>
      </c>
      <c r="BE9" s="842" t="b">
        <f t="shared" ref="BE9:BE40" si="25">IF(OR(ISNA($Z9),K9&lt;&gt;"D"),FALSE,IF(OR(AND(H9="NG",J9=0),AND(H9&lt;&gt;"NG",NOT(OR(J9="NA",J9=0)))),TRUE,FALSE))</f>
        <v>0</v>
      </c>
      <c r="BF9" s="844" t="b">
        <f t="shared" ref="BF9:BF40" si="26">IF(OR(ISNA($Z9),H9&lt;&gt;"NG"),FALSE,IF(AND(J9="NA",K9&lt;&gt;""),TRUE,FALSE))</f>
        <v>0</v>
      </c>
      <c r="BG9" s="792" t="b">
        <f t="shared" ref="BG9:BG40" si="27">IF(ISNA($Z9),"NA",IF(OR(AZ9,AY9,AX9,AW9,AP9,BA9,BB9),TRUE,FALSE))</f>
        <v>1</v>
      </c>
      <c r="BH9" s="845">
        <f t="shared" ref="BH9:BH40" si="28">IF(ISNA($Z9),"",IF(OR($Z9=1,$Z9=2),"",$V9))</f>
        <v>1</v>
      </c>
      <c r="BI9" s="792">
        <f t="shared" ref="BI9:BI40" si="29">IF(ISNA($Z9),"",IF(OR($Z9=1,$Z9=2,$G9=""),"",IF(AB9=0,AH9,$AD9)))</f>
        <v>2</v>
      </c>
      <c r="BJ9" s="792" t="str">
        <f t="shared" ref="BJ9:BJ40" si="30">IF(ISNA(AE9),"",IF(OR(Z9=1,Z9=2),"",IF(OR(AE9=0,AD9="NG"),TEXT(BI9,"0"),CONCATENATE(TEXT(BI9,"0"),"*"))))</f>
        <v>2*</v>
      </c>
      <c r="BK9" s="792">
        <f t="shared" ref="BK9:BK40" si="31">IF(ISNA($Z9),"",IF(OR($Z9=1,$Z9=2,$G9=""),"",IF(AB9=0,AG9,$AC9)))</f>
        <v>3</v>
      </c>
      <c r="BL9" s="845">
        <f t="shared" ref="BL9:BL40" si="32">IF(ISBLANK(BH9),"",IF(BH9=0,"",BH9))</f>
        <v>1</v>
      </c>
      <c r="BM9" s="792">
        <f t="shared" ref="BM9:BM40" si="33">IF($BH9=0,"",IF($BI9="NG","D",$BI9))</f>
        <v>2</v>
      </c>
      <c r="BN9" s="792">
        <f t="shared" ref="BN9:BN40" si="34">IF(ISNA(U9),"",IF($BH9=0,"",IF($BI9="NG","D",BK9)))</f>
        <v>3</v>
      </c>
      <c r="BO9" s="795">
        <v>2</v>
      </c>
      <c r="BP9" s="846" t="s">
        <v>571</v>
      </c>
      <c r="BX9" s="847"/>
      <c r="BY9" s="771"/>
      <c r="BZ9" s="771"/>
      <c r="CA9" s="771"/>
      <c r="CB9" s="771"/>
      <c r="CC9" s="771"/>
    </row>
    <row r="10" spans="2:93" s="794" customFormat="1" ht="12.95" customHeight="1" x14ac:dyDescent="0.25">
      <c r="B10" s="848">
        <f>IF(ISNA(Z10),"",IF(OR(Z10=1,Z10=2),"    ",MAX($B$9:B9)+1))</f>
        <v>2</v>
      </c>
      <c r="C10" s="1289" t="str">
        <f t="shared" si="0"/>
        <v xml:space="preserve">      - Test Conduct (16.7%)</v>
      </c>
      <c r="D10" s="1289"/>
      <c r="E10" s="1289"/>
      <c r="F10" s="1290"/>
      <c r="G10" s="829">
        <f t="shared" si="1"/>
        <v>1</v>
      </c>
      <c r="H10" s="830" t="str">
        <f t="shared" si="2"/>
        <v>2*</v>
      </c>
      <c r="I10" s="849">
        <f t="shared" si="2"/>
        <v>3</v>
      </c>
      <c r="J10" s="850"/>
      <c r="K10" s="851"/>
      <c r="L10" s="1075"/>
      <c r="M10" s="1076"/>
      <c r="N10" s="1076"/>
      <c r="O10" s="1076"/>
      <c r="P10" s="1076"/>
      <c r="Q10" s="1076"/>
      <c r="R10" s="1077"/>
      <c r="T10" s="788">
        <v>2</v>
      </c>
      <c r="U10" s="776" t="s">
        <v>572</v>
      </c>
      <c r="V10" s="834">
        <v>1</v>
      </c>
      <c r="W10" s="834">
        <v>1</v>
      </c>
      <c r="X10" s="834" t="s">
        <v>212</v>
      </c>
      <c r="Y10" s="834" t="s">
        <v>212</v>
      </c>
      <c r="Z10" s="843" t="s">
        <v>212</v>
      </c>
      <c r="AA10" s="843">
        <v>2</v>
      </c>
      <c r="AB10" s="843">
        <v>1</v>
      </c>
      <c r="AC10" s="834">
        <v>3</v>
      </c>
      <c r="AD10" s="834">
        <v>2</v>
      </c>
      <c r="AE10" s="834">
        <v>1</v>
      </c>
      <c r="AF10" s="834" t="b">
        <v>1</v>
      </c>
      <c r="AG10" s="834">
        <f t="shared" si="3"/>
        <v>2</v>
      </c>
      <c r="AH10" s="834">
        <f t="shared" si="4"/>
        <v>1</v>
      </c>
      <c r="AI10" s="835">
        <f>IF(NOT(OR(Z10=1,Z10=2)),IF(AQ10&gt;0,$AR$45*AQ10/SUMIF($AQ$9:$AQ$40,"&gt;0"),IF(AU10&gt;0,$AV$45*AU10/SUMIF($AU$9:$AU$40,"&gt;0"),IF(AS10&gt;0,$AT$45*AS10/SUMIF($AS$9:$AS$40,"&gt;0"),""))),IF(SUMIF(AJ11:$AJ$40,"=" &amp; AJ10,AI11:$AI$40)=0,"",SUMIF(AJ11:$AJ$40,"=" &amp; AJ10,AI11:$AI$40)))</f>
        <v>0.16666666666666666</v>
      </c>
      <c r="AJ10" s="836">
        <f t="shared" ref="AJ10:AJ40" si="35">IF(OR(Z10=1,Z10=2,AA10&lt;AA9),AJ9+1,AJ9)</f>
        <v>0</v>
      </c>
      <c r="AK10" s="834">
        <f t="shared" si="5"/>
        <v>2</v>
      </c>
      <c r="AL10" s="843" t="str">
        <f t="shared" si="6"/>
        <v/>
      </c>
      <c r="AM10" s="843" t="str">
        <f t="shared" si="7"/>
        <v/>
      </c>
      <c r="AN10" s="843" t="str">
        <f t="shared" si="8"/>
        <v/>
      </c>
      <c r="AO10" s="843" t="str">
        <f t="shared" si="9"/>
        <v/>
      </c>
      <c r="AP10" s="834" t="b">
        <f t="shared" si="10"/>
        <v>1</v>
      </c>
      <c r="AQ10" s="837">
        <f t="shared" si="11"/>
        <v>1</v>
      </c>
      <c r="AR10" s="838" t="str">
        <f t="shared" si="12"/>
        <v/>
      </c>
      <c r="AS10" s="839">
        <f t="shared" si="13"/>
        <v>0</v>
      </c>
      <c r="AT10" s="838" t="str">
        <f t="shared" si="14"/>
        <v/>
      </c>
      <c r="AU10" s="840">
        <f t="shared" si="15"/>
        <v>0</v>
      </c>
      <c r="AV10" s="841" t="str">
        <f t="shared" si="16"/>
        <v/>
      </c>
      <c r="AW10" s="840" t="b">
        <f t="shared" si="17"/>
        <v>0</v>
      </c>
      <c r="AX10" s="842" t="b">
        <f t="shared" si="18"/>
        <v>1</v>
      </c>
      <c r="AY10" s="840" t="b">
        <f t="shared" si="19"/>
        <v>0</v>
      </c>
      <c r="AZ10" s="842" t="b">
        <f t="shared" si="20"/>
        <v>0</v>
      </c>
      <c r="BA10" s="834" t="b">
        <f t="shared" si="21"/>
        <v>0</v>
      </c>
      <c r="BB10" s="834" t="b">
        <f t="shared" si="22"/>
        <v>0</v>
      </c>
      <c r="BC10" s="840" t="b">
        <f t="shared" si="23"/>
        <v>0</v>
      </c>
      <c r="BD10" s="843" t="b">
        <f t="shared" si="24"/>
        <v>0</v>
      </c>
      <c r="BE10" s="842" t="b">
        <f t="shared" si="25"/>
        <v>0</v>
      </c>
      <c r="BF10" s="844" t="b">
        <f t="shared" si="26"/>
        <v>0</v>
      </c>
      <c r="BG10" s="792" t="b">
        <f t="shared" si="27"/>
        <v>1</v>
      </c>
      <c r="BH10" s="792">
        <f t="shared" si="28"/>
        <v>1</v>
      </c>
      <c r="BI10" s="792">
        <f t="shared" si="29"/>
        <v>2</v>
      </c>
      <c r="BJ10" s="792" t="str">
        <f t="shared" si="30"/>
        <v>2*</v>
      </c>
      <c r="BK10" s="792">
        <f t="shared" si="31"/>
        <v>3</v>
      </c>
      <c r="BL10" s="845">
        <f t="shared" si="32"/>
        <v>1</v>
      </c>
      <c r="BM10" s="792">
        <f t="shared" si="33"/>
        <v>2</v>
      </c>
      <c r="BN10" s="792">
        <f t="shared" si="34"/>
        <v>3</v>
      </c>
      <c r="BO10" s="795">
        <v>3</v>
      </c>
      <c r="BP10" s="846" t="s">
        <v>556</v>
      </c>
      <c r="BX10" s="771"/>
      <c r="BY10" s="771"/>
      <c r="BZ10" s="771"/>
      <c r="CA10" s="771"/>
      <c r="CB10" s="771"/>
      <c r="CC10" s="771"/>
    </row>
    <row r="11" spans="2:93" s="794" customFormat="1" ht="12.95" customHeight="1" x14ac:dyDescent="0.25">
      <c r="B11" s="848">
        <f>IF(ISNA(Z11),"",IF(OR(Z11=1,Z11=2),"    ",MAX($B$9:B10)+1))</f>
        <v>3</v>
      </c>
      <c r="C11" s="1289" t="str">
        <f t="shared" si="0"/>
        <v xml:space="preserve">      -  Data Collection (16.7%)</v>
      </c>
      <c r="D11" s="1289"/>
      <c r="E11" s="1289"/>
      <c r="F11" s="1290"/>
      <c r="G11" s="829">
        <f t="shared" si="1"/>
        <v>1</v>
      </c>
      <c r="H11" s="830" t="str">
        <f t="shared" si="2"/>
        <v>2*</v>
      </c>
      <c r="I11" s="849">
        <f t="shared" si="2"/>
        <v>3</v>
      </c>
      <c r="J11" s="852"/>
      <c r="K11" s="851"/>
      <c r="L11" s="1075"/>
      <c r="M11" s="1076"/>
      <c r="N11" s="1076"/>
      <c r="O11" s="1076"/>
      <c r="P11" s="1076"/>
      <c r="Q11" s="1076"/>
      <c r="R11" s="1077"/>
      <c r="T11" s="788">
        <v>3</v>
      </c>
      <c r="U11" s="776" t="s">
        <v>573</v>
      </c>
      <c r="V11" s="834">
        <v>1</v>
      </c>
      <c r="W11" s="834">
        <v>1</v>
      </c>
      <c r="X11" s="834" t="s">
        <v>212</v>
      </c>
      <c r="Y11" s="834" t="s">
        <v>212</v>
      </c>
      <c r="Z11" s="843" t="s">
        <v>212</v>
      </c>
      <c r="AA11" s="843">
        <v>2</v>
      </c>
      <c r="AB11" s="843">
        <v>1</v>
      </c>
      <c r="AC11" s="834">
        <v>3</v>
      </c>
      <c r="AD11" s="834">
        <v>2</v>
      </c>
      <c r="AE11" s="834">
        <v>1</v>
      </c>
      <c r="AF11" s="834" t="b">
        <v>1</v>
      </c>
      <c r="AG11" s="834">
        <f t="shared" si="3"/>
        <v>2</v>
      </c>
      <c r="AH11" s="834">
        <f t="shared" si="4"/>
        <v>1</v>
      </c>
      <c r="AI11" s="835">
        <f>IF(NOT(OR(Z11=1,Z11=2)),IF(AQ11&gt;0,$AR$45*AQ11/SUMIF($AQ$9:$AQ$40,"&gt;0"),IF(AU11&gt;0,$AV$45*AU11/SUMIF($AU$9:$AU$40,"&gt;0"),IF(AS11&gt;0,$AT$45*AS11/SUMIF($AS$9:$AS$40,"&gt;0"),""))),IF(SUMIF(AJ12:$AJ$40,"=" &amp; AJ11,AI12:$AI$40)=0,"",SUMIF(AJ12:$AJ$40,"=" &amp; AJ11,AI12:$AI$40)))</f>
        <v>0.16666666666666666</v>
      </c>
      <c r="AJ11" s="836">
        <f t="shared" si="35"/>
        <v>0</v>
      </c>
      <c r="AK11" s="834">
        <f t="shared" si="5"/>
        <v>2</v>
      </c>
      <c r="AL11" s="843" t="str">
        <f t="shared" si="6"/>
        <v/>
      </c>
      <c r="AM11" s="843" t="str">
        <f t="shared" si="7"/>
        <v/>
      </c>
      <c r="AN11" s="843" t="str">
        <f t="shared" si="8"/>
        <v/>
      </c>
      <c r="AO11" s="843" t="str">
        <f t="shared" si="9"/>
        <v/>
      </c>
      <c r="AP11" s="834" t="b">
        <f t="shared" si="10"/>
        <v>1</v>
      </c>
      <c r="AQ11" s="837">
        <f t="shared" si="11"/>
        <v>1</v>
      </c>
      <c r="AR11" s="838" t="str">
        <f t="shared" si="12"/>
        <v/>
      </c>
      <c r="AS11" s="839">
        <f t="shared" si="13"/>
        <v>0</v>
      </c>
      <c r="AT11" s="838" t="str">
        <f t="shared" si="14"/>
        <v/>
      </c>
      <c r="AU11" s="840">
        <f t="shared" si="15"/>
        <v>0</v>
      </c>
      <c r="AV11" s="841" t="str">
        <f t="shared" si="16"/>
        <v/>
      </c>
      <c r="AW11" s="840" t="b">
        <f t="shared" si="17"/>
        <v>0</v>
      </c>
      <c r="AX11" s="842" t="b">
        <f t="shared" si="18"/>
        <v>1</v>
      </c>
      <c r="AY11" s="840" t="b">
        <f t="shared" si="19"/>
        <v>0</v>
      </c>
      <c r="AZ11" s="842" t="b">
        <f t="shared" si="20"/>
        <v>0</v>
      </c>
      <c r="BA11" s="834" t="b">
        <f t="shared" si="21"/>
        <v>0</v>
      </c>
      <c r="BB11" s="834" t="b">
        <f t="shared" si="22"/>
        <v>0</v>
      </c>
      <c r="BC11" s="840" t="b">
        <f t="shared" si="23"/>
        <v>0</v>
      </c>
      <c r="BD11" s="843" t="b">
        <f t="shared" si="24"/>
        <v>0</v>
      </c>
      <c r="BE11" s="842" t="b">
        <f t="shared" si="25"/>
        <v>0</v>
      </c>
      <c r="BF11" s="844" t="b">
        <f t="shared" si="26"/>
        <v>0</v>
      </c>
      <c r="BG11" s="792" t="b">
        <f t="shared" si="27"/>
        <v>1</v>
      </c>
      <c r="BH11" s="792">
        <f t="shared" si="28"/>
        <v>1</v>
      </c>
      <c r="BI11" s="792">
        <f t="shared" si="29"/>
        <v>2</v>
      </c>
      <c r="BJ11" s="792" t="str">
        <f t="shared" si="30"/>
        <v>2*</v>
      </c>
      <c r="BK11" s="792">
        <f t="shared" si="31"/>
        <v>3</v>
      </c>
      <c r="BL11" s="845">
        <f t="shared" si="32"/>
        <v>1</v>
      </c>
      <c r="BM11" s="792">
        <f t="shared" si="33"/>
        <v>2</v>
      </c>
      <c r="BN11" s="792">
        <f t="shared" si="34"/>
        <v>3</v>
      </c>
      <c r="BO11" s="795">
        <v>4</v>
      </c>
      <c r="BP11" s="846" t="s">
        <v>561</v>
      </c>
      <c r="BX11" s="853"/>
      <c r="BY11" s="846"/>
      <c r="BZ11" s="846"/>
      <c r="CB11" s="846"/>
    </row>
    <row r="12" spans="2:93" s="794" customFormat="1" ht="12.95" customHeight="1" x14ac:dyDescent="0.25">
      <c r="B12" s="848">
        <f>IF(ISNA(Z12),"",IF(OR(Z12=1,Z12=2),"    ",MAX($B$9:B11)+1))</f>
        <v>4</v>
      </c>
      <c r="C12" s="1289" t="str">
        <f t="shared" si="0"/>
        <v xml:space="preserve">      - Critical Thinking (16.7%)</v>
      </c>
      <c r="D12" s="1289"/>
      <c r="E12" s="1289"/>
      <c r="F12" s="1290"/>
      <c r="G12" s="829">
        <f t="shared" si="1"/>
        <v>1</v>
      </c>
      <c r="H12" s="830" t="str">
        <f t="shared" si="2"/>
        <v>2*</v>
      </c>
      <c r="I12" s="849">
        <f t="shared" si="2"/>
        <v>2</v>
      </c>
      <c r="J12" s="852"/>
      <c r="K12" s="851"/>
      <c r="L12" s="1075"/>
      <c r="M12" s="1076"/>
      <c r="N12" s="1076"/>
      <c r="O12" s="1076"/>
      <c r="P12" s="1076"/>
      <c r="Q12" s="1076"/>
      <c r="R12" s="1077"/>
      <c r="T12" s="788">
        <v>4</v>
      </c>
      <c r="U12" s="776" t="s">
        <v>574</v>
      </c>
      <c r="V12" s="834">
        <v>1</v>
      </c>
      <c r="W12" s="834">
        <v>1</v>
      </c>
      <c r="X12" s="834" t="s">
        <v>212</v>
      </c>
      <c r="Y12" s="834" t="s">
        <v>212</v>
      </c>
      <c r="Z12" s="843" t="s">
        <v>212</v>
      </c>
      <c r="AA12" s="843">
        <v>2</v>
      </c>
      <c r="AB12" s="843">
        <v>1</v>
      </c>
      <c r="AC12" s="834">
        <v>2</v>
      </c>
      <c r="AD12" s="834">
        <v>2</v>
      </c>
      <c r="AE12" s="834">
        <v>1</v>
      </c>
      <c r="AF12" s="834" t="b">
        <v>1</v>
      </c>
      <c r="AG12" s="834">
        <f t="shared" si="3"/>
        <v>2</v>
      </c>
      <c r="AH12" s="834">
        <f t="shared" si="4"/>
        <v>1</v>
      </c>
      <c r="AI12" s="835">
        <f>IF(NOT(OR(Z12=1,Z12=2)),IF(AQ12&gt;0,$AR$45*AQ12/SUMIF($AQ$9:$AQ$40,"&gt;0"),IF(AU12&gt;0,$AV$45*AU12/SUMIF($AU$9:$AU$40,"&gt;0"),IF(AS12&gt;0,$AT$45*AS12/SUMIF($AS$9:$AS$40,"&gt;0"),""))),IF(SUMIF(AJ13:$AJ$40,"=" &amp; AJ12,AI13:$AI$40)=0,"",SUMIF(AJ13:$AJ$40,"=" &amp; AJ12,AI13:$AI$40)))</f>
        <v>0.16666666666666666</v>
      </c>
      <c r="AJ12" s="836">
        <f t="shared" si="35"/>
        <v>0</v>
      </c>
      <c r="AK12" s="834">
        <f t="shared" si="5"/>
        <v>2</v>
      </c>
      <c r="AL12" s="843" t="str">
        <f t="shared" si="6"/>
        <v/>
      </c>
      <c r="AM12" s="843" t="str">
        <f t="shared" si="7"/>
        <v/>
      </c>
      <c r="AN12" s="843" t="str">
        <f t="shared" si="8"/>
        <v/>
      </c>
      <c r="AO12" s="843" t="str">
        <f t="shared" si="9"/>
        <v/>
      </c>
      <c r="AP12" s="834" t="b">
        <f t="shared" si="10"/>
        <v>1</v>
      </c>
      <c r="AQ12" s="837">
        <f t="shared" si="11"/>
        <v>1</v>
      </c>
      <c r="AR12" s="838" t="str">
        <f t="shared" si="12"/>
        <v/>
      </c>
      <c r="AS12" s="839">
        <f t="shared" si="13"/>
        <v>0</v>
      </c>
      <c r="AT12" s="838" t="str">
        <f t="shared" si="14"/>
        <v/>
      </c>
      <c r="AU12" s="840">
        <f t="shared" si="15"/>
        <v>0</v>
      </c>
      <c r="AV12" s="841" t="str">
        <f t="shared" si="16"/>
        <v/>
      </c>
      <c r="AW12" s="840" t="b">
        <f t="shared" si="17"/>
        <v>0</v>
      </c>
      <c r="AX12" s="842" t="b">
        <f t="shared" si="18"/>
        <v>1</v>
      </c>
      <c r="AY12" s="840" t="b">
        <f t="shared" si="19"/>
        <v>0</v>
      </c>
      <c r="AZ12" s="842" t="b">
        <f t="shared" si="20"/>
        <v>0</v>
      </c>
      <c r="BA12" s="834" t="b">
        <f t="shared" si="21"/>
        <v>0</v>
      </c>
      <c r="BB12" s="834" t="b">
        <f t="shared" si="22"/>
        <v>0</v>
      </c>
      <c r="BC12" s="840" t="b">
        <f t="shared" si="23"/>
        <v>0</v>
      </c>
      <c r="BD12" s="843" t="b">
        <f t="shared" si="24"/>
        <v>0</v>
      </c>
      <c r="BE12" s="842" t="b">
        <f t="shared" si="25"/>
        <v>0</v>
      </c>
      <c r="BF12" s="844" t="b">
        <f t="shared" si="26"/>
        <v>0</v>
      </c>
      <c r="BG12" s="792" t="b">
        <f t="shared" si="27"/>
        <v>1</v>
      </c>
      <c r="BH12" s="792">
        <f t="shared" si="28"/>
        <v>1</v>
      </c>
      <c r="BI12" s="792">
        <f t="shared" si="29"/>
        <v>2</v>
      </c>
      <c r="BJ12" s="792" t="str">
        <f t="shared" si="30"/>
        <v>2*</v>
      </c>
      <c r="BK12" s="792">
        <f t="shared" si="31"/>
        <v>2</v>
      </c>
      <c r="BL12" s="845">
        <f t="shared" si="32"/>
        <v>1</v>
      </c>
      <c r="BM12" s="792">
        <f t="shared" si="33"/>
        <v>2</v>
      </c>
      <c r="BN12" s="792">
        <f t="shared" si="34"/>
        <v>2</v>
      </c>
      <c r="BO12" s="793" t="s">
        <v>221</v>
      </c>
      <c r="BP12" s="796"/>
      <c r="CE12" s="793" t="s">
        <v>575</v>
      </c>
      <c r="CF12" s="796"/>
    </row>
    <row r="13" spans="2:93" s="794" customFormat="1" ht="12.95" customHeight="1" x14ac:dyDescent="0.25">
      <c r="B13" s="848">
        <f>IF(ISNA(Z13),"",IF(OR(Z13=1,Z13=2),"    ",MAX($B$9:B12)+1))</f>
        <v>5</v>
      </c>
      <c r="C13" s="1289" t="str">
        <f t="shared" si="0"/>
        <v xml:space="preserve">      - Risk Management, Statutory Requirments, and Sustainability (16.7%)</v>
      </c>
      <c r="D13" s="1289"/>
      <c r="E13" s="1289"/>
      <c r="F13" s="1290"/>
      <c r="G13" s="829">
        <f t="shared" si="1"/>
        <v>1</v>
      </c>
      <c r="H13" s="830" t="str">
        <f t="shared" si="2"/>
        <v>2*</v>
      </c>
      <c r="I13" s="849">
        <f t="shared" si="2"/>
        <v>3</v>
      </c>
      <c r="J13" s="852"/>
      <c r="K13" s="851"/>
      <c r="L13" s="1075"/>
      <c r="M13" s="1076"/>
      <c r="N13" s="1076"/>
      <c r="O13" s="1076"/>
      <c r="P13" s="1076"/>
      <c r="Q13" s="1076"/>
      <c r="R13" s="1077"/>
      <c r="T13" s="788">
        <v>5</v>
      </c>
      <c r="U13" s="776" t="s">
        <v>576</v>
      </c>
      <c r="V13" s="834">
        <v>1</v>
      </c>
      <c r="W13" s="834">
        <v>1</v>
      </c>
      <c r="X13" s="834" t="s">
        <v>212</v>
      </c>
      <c r="Y13" s="834" t="s">
        <v>212</v>
      </c>
      <c r="Z13" s="843" t="s">
        <v>212</v>
      </c>
      <c r="AA13" s="843">
        <v>2</v>
      </c>
      <c r="AB13" s="843">
        <v>1</v>
      </c>
      <c r="AC13" s="834">
        <v>3</v>
      </c>
      <c r="AD13" s="834">
        <v>2</v>
      </c>
      <c r="AE13" s="834">
        <v>1</v>
      </c>
      <c r="AF13" s="834" t="b">
        <v>1</v>
      </c>
      <c r="AG13" s="834">
        <f t="shared" si="3"/>
        <v>2</v>
      </c>
      <c r="AH13" s="834">
        <f t="shared" si="4"/>
        <v>1</v>
      </c>
      <c r="AI13" s="835">
        <f>IF(NOT(OR(Z13=1,Z13=2)),IF(AQ13&gt;0,$AR$45*AQ13/SUMIF($AQ$9:$AQ$40,"&gt;0"),IF(AU13&gt;0,$AV$45*AU13/SUMIF($AU$9:$AU$40,"&gt;0"),IF(AS13&gt;0,$AT$45*AS13/SUMIF($AS$9:$AS$40,"&gt;0"),""))),IF(SUMIF(AJ14:$AJ$40,"=" &amp; AJ13,AI14:$AI$40)=0,"",SUMIF(AJ14:$AJ$40,"=" &amp; AJ13,AI14:$AI$40)))</f>
        <v>0.16666666666666666</v>
      </c>
      <c r="AJ13" s="836">
        <f t="shared" si="35"/>
        <v>0</v>
      </c>
      <c r="AK13" s="834">
        <f t="shared" si="5"/>
        <v>2</v>
      </c>
      <c r="AL13" s="843" t="str">
        <f t="shared" si="6"/>
        <v/>
      </c>
      <c r="AM13" s="843" t="str">
        <f t="shared" si="7"/>
        <v/>
      </c>
      <c r="AN13" s="843" t="str">
        <f t="shared" si="8"/>
        <v/>
      </c>
      <c r="AO13" s="843" t="str">
        <f t="shared" si="9"/>
        <v/>
      </c>
      <c r="AP13" s="834" t="b">
        <f t="shared" si="10"/>
        <v>1</v>
      </c>
      <c r="AQ13" s="837">
        <f t="shared" si="11"/>
        <v>1</v>
      </c>
      <c r="AR13" s="838" t="str">
        <f t="shared" si="12"/>
        <v/>
      </c>
      <c r="AS13" s="839">
        <f t="shared" si="13"/>
        <v>0</v>
      </c>
      <c r="AT13" s="838" t="str">
        <f t="shared" si="14"/>
        <v/>
      </c>
      <c r="AU13" s="840">
        <f t="shared" si="15"/>
        <v>0</v>
      </c>
      <c r="AV13" s="841" t="str">
        <f t="shared" si="16"/>
        <v/>
      </c>
      <c r="AW13" s="840" t="b">
        <f t="shared" si="17"/>
        <v>0</v>
      </c>
      <c r="AX13" s="842" t="b">
        <f t="shared" si="18"/>
        <v>1</v>
      </c>
      <c r="AY13" s="840" t="b">
        <f t="shared" si="19"/>
        <v>0</v>
      </c>
      <c r="AZ13" s="842" t="b">
        <f t="shared" si="20"/>
        <v>0</v>
      </c>
      <c r="BA13" s="834" t="b">
        <f t="shared" si="21"/>
        <v>0</v>
      </c>
      <c r="BB13" s="834" t="b">
        <f t="shared" si="22"/>
        <v>0</v>
      </c>
      <c r="BC13" s="840" t="b">
        <f t="shared" si="23"/>
        <v>0</v>
      </c>
      <c r="BD13" s="843" t="b">
        <f t="shared" si="24"/>
        <v>0</v>
      </c>
      <c r="BE13" s="842" t="b">
        <f t="shared" si="25"/>
        <v>0</v>
      </c>
      <c r="BF13" s="844" t="b">
        <f t="shared" si="26"/>
        <v>0</v>
      </c>
      <c r="BG13" s="792" t="b">
        <f t="shared" si="27"/>
        <v>1</v>
      </c>
      <c r="BH13" s="792">
        <f t="shared" si="28"/>
        <v>1</v>
      </c>
      <c r="BI13" s="792">
        <f t="shared" si="29"/>
        <v>2</v>
      </c>
      <c r="BJ13" s="792" t="str">
        <f t="shared" si="30"/>
        <v>2*</v>
      </c>
      <c r="BK13" s="792">
        <f t="shared" si="31"/>
        <v>3</v>
      </c>
      <c r="BL13" s="845">
        <f t="shared" si="32"/>
        <v>1</v>
      </c>
      <c r="BM13" s="792">
        <f t="shared" si="33"/>
        <v>2</v>
      </c>
      <c r="BN13" s="792">
        <f t="shared" si="34"/>
        <v>3</v>
      </c>
      <c r="BO13" s="795" t="s">
        <v>214</v>
      </c>
      <c r="BP13" s="796" t="s">
        <v>215</v>
      </c>
      <c r="CE13" s="795" t="s">
        <v>214</v>
      </c>
      <c r="CF13" s="796" t="s">
        <v>215</v>
      </c>
    </row>
    <row r="14" spans="2:93" s="794" customFormat="1" ht="12.95" customHeight="1" x14ac:dyDescent="0.25">
      <c r="B14" s="848">
        <f>IF(ISNA(Z14),"",IF(OR(Z14=1,Z14=2),"    ",MAX($B$9:B13)+1))</f>
        <v>6</v>
      </c>
      <c r="C14" s="1289" t="str">
        <f t="shared" si="0"/>
        <v xml:space="preserve">      - Communication (16.7%)</v>
      </c>
      <c r="D14" s="1289"/>
      <c r="E14" s="1289"/>
      <c r="F14" s="1290"/>
      <c r="G14" s="829">
        <f t="shared" si="1"/>
        <v>1</v>
      </c>
      <c r="H14" s="830" t="str">
        <f t="shared" si="2"/>
        <v>2*</v>
      </c>
      <c r="I14" s="849">
        <f t="shared" si="2"/>
        <v>3</v>
      </c>
      <c r="J14" s="852"/>
      <c r="K14" s="851"/>
      <c r="L14" s="1075"/>
      <c r="M14" s="1076"/>
      <c r="N14" s="1076"/>
      <c r="O14" s="1076"/>
      <c r="P14" s="1076"/>
      <c r="Q14" s="1076"/>
      <c r="R14" s="1077"/>
      <c r="T14" s="788">
        <v>6</v>
      </c>
      <c r="U14" s="776" t="s">
        <v>447</v>
      </c>
      <c r="V14" s="834">
        <v>1</v>
      </c>
      <c r="W14" s="834">
        <v>1</v>
      </c>
      <c r="X14" s="834" t="s">
        <v>212</v>
      </c>
      <c r="Y14" s="834" t="s">
        <v>212</v>
      </c>
      <c r="Z14" s="843" t="s">
        <v>212</v>
      </c>
      <c r="AA14" s="843">
        <v>2</v>
      </c>
      <c r="AB14" s="843">
        <v>1</v>
      </c>
      <c r="AC14" s="834">
        <v>3</v>
      </c>
      <c r="AD14" s="834">
        <v>2</v>
      </c>
      <c r="AE14" s="834">
        <v>1</v>
      </c>
      <c r="AF14" s="834" t="b">
        <v>1</v>
      </c>
      <c r="AG14" s="834">
        <f t="shared" ref="AG14:AG40" si="36">IF(CrewSoloQual="Yes",$AC14,$AD14)</f>
        <v>2</v>
      </c>
      <c r="AH14" s="834">
        <f t="shared" ref="AH14:AH40" si="37">IF(ISNUMBER(AC14),IF(CrewSoloQual="Yes",$AC14-1,$AD14-1),"")</f>
        <v>1</v>
      </c>
      <c r="AI14" s="835">
        <f>IF(NOT(OR(Z14=1,Z14=2)),IF(AQ14&gt;0,$AR$45*AQ14/SUMIF($AQ$9:$AQ$40,"&gt;0"),IF(AU14&gt;0,$AV$45*AU14/SUMIF($AU$9:$AU$40,"&gt;0"),IF(AS14&gt;0,$AT$45*AS14/SUMIF($AS$9:$AS$40,"&gt;0"),""))),IF(SUMIF(AJ15:$AJ$40,"=" &amp; AJ14,AI15:$AI$40)=0,"",SUMIF(AJ15:$AJ$40,"=" &amp; AJ14,AI15:$AI$40)))</f>
        <v>0.16666666666666666</v>
      </c>
      <c r="AJ14" s="836">
        <f t="shared" si="35"/>
        <v>0</v>
      </c>
      <c r="AK14" s="834">
        <f t="shared" si="5"/>
        <v>2</v>
      </c>
      <c r="AL14" s="843" t="str">
        <f t="shared" si="6"/>
        <v/>
      </c>
      <c r="AM14" s="843" t="str">
        <f t="shared" si="7"/>
        <v/>
      </c>
      <c r="AN14" s="843" t="str">
        <f t="shared" si="8"/>
        <v/>
      </c>
      <c r="AO14" s="843" t="str">
        <f t="shared" si="9"/>
        <v/>
      </c>
      <c r="AP14" s="834" t="b">
        <f t="shared" si="10"/>
        <v>1</v>
      </c>
      <c r="AQ14" s="837">
        <f t="shared" si="11"/>
        <v>1</v>
      </c>
      <c r="AR14" s="838" t="str">
        <f t="shared" si="12"/>
        <v/>
      </c>
      <c r="AS14" s="839">
        <f t="shared" si="13"/>
        <v>0</v>
      </c>
      <c r="AT14" s="838" t="str">
        <f t="shared" si="14"/>
        <v/>
      </c>
      <c r="AU14" s="840">
        <f t="shared" si="15"/>
        <v>0</v>
      </c>
      <c r="AV14" s="841" t="str">
        <f t="shared" si="16"/>
        <v/>
      </c>
      <c r="AW14" s="840" t="b">
        <f t="shared" si="17"/>
        <v>0</v>
      </c>
      <c r="AX14" s="842" t="b">
        <f t="shared" si="18"/>
        <v>1</v>
      </c>
      <c r="AY14" s="840" t="b">
        <f t="shared" si="19"/>
        <v>0</v>
      </c>
      <c r="AZ14" s="842" t="b">
        <f t="shared" si="20"/>
        <v>0</v>
      </c>
      <c r="BA14" s="834" t="b">
        <f t="shared" si="21"/>
        <v>0</v>
      </c>
      <c r="BB14" s="834" t="b">
        <f t="shared" si="22"/>
        <v>0</v>
      </c>
      <c r="BC14" s="840" t="b">
        <f t="shared" si="23"/>
        <v>0</v>
      </c>
      <c r="BD14" s="843" t="b">
        <f t="shared" si="24"/>
        <v>0</v>
      </c>
      <c r="BE14" s="842" t="b">
        <f t="shared" si="25"/>
        <v>0</v>
      </c>
      <c r="BF14" s="844" t="b">
        <f t="shared" si="26"/>
        <v>0</v>
      </c>
      <c r="BG14" s="792" t="b">
        <f t="shared" si="27"/>
        <v>1</v>
      </c>
      <c r="BH14" s="792">
        <f t="shared" si="28"/>
        <v>1</v>
      </c>
      <c r="BI14" s="792">
        <f t="shared" si="29"/>
        <v>2</v>
      </c>
      <c r="BJ14" s="792" t="str">
        <f t="shared" si="30"/>
        <v>2*</v>
      </c>
      <c r="BK14" s="792">
        <f t="shared" si="31"/>
        <v>3</v>
      </c>
      <c r="BL14" s="845">
        <f t="shared" si="32"/>
        <v>1</v>
      </c>
      <c r="BM14" s="792">
        <f t="shared" si="33"/>
        <v>2</v>
      </c>
      <c r="BN14" s="792">
        <f t="shared" si="34"/>
        <v>3</v>
      </c>
      <c r="BO14" s="795">
        <v>0</v>
      </c>
      <c r="BP14" s="796" t="s">
        <v>577</v>
      </c>
      <c r="CE14" s="795">
        <v>0</v>
      </c>
      <c r="CF14" s="796" t="s">
        <v>578</v>
      </c>
    </row>
    <row r="15" spans="2:93" s="794" customFormat="1" ht="12.95" customHeight="1" x14ac:dyDescent="0.25">
      <c r="B15" s="848" t="str">
        <f>IF(ISNA(Z15),"",IF(OR(Z15=1,Z15=2),"    ",MAX($B$9:B14)+1))</f>
        <v/>
      </c>
      <c r="C15" s="1289" t="str">
        <f t="shared" si="0"/>
        <v/>
      </c>
      <c r="D15" s="1289"/>
      <c r="E15" s="1289"/>
      <c r="F15" s="1290"/>
      <c r="G15" s="829" t="str">
        <f t="shared" si="1"/>
        <v/>
      </c>
      <c r="H15" s="830" t="str">
        <f t="shared" si="2"/>
        <v/>
      </c>
      <c r="I15" s="849" t="str">
        <f t="shared" si="2"/>
        <v/>
      </c>
      <c r="J15" s="852"/>
      <c r="K15" s="851"/>
      <c r="L15" s="1075"/>
      <c r="M15" s="1076"/>
      <c r="N15" s="1076"/>
      <c r="O15" s="1076"/>
      <c r="P15" s="1076"/>
      <c r="Q15" s="1076"/>
      <c r="R15" s="1077"/>
      <c r="T15" s="788">
        <v>7</v>
      </c>
      <c r="U15" s="776" t="e">
        <v>#N/A</v>
      </c>
      <c r="V15" s="834" t="e">
        <v>#N/A</v>
      </c>
      <c r="W15" s="834" t="e">
        <v>#N/A</v>
      </c>
      <c r="X15" s="834" t="e">
        <v>#N/A</v>
      </c>
      <c r="Y15" s="834" t="e">
        <v>#N/A</v>
      </c>
      <c r="Z15" s="843" t="e">
        <v>#N/A</v>
      </c>
      <c r="AA15" s="843" t="e">
        <v>#N/A</v>
      </c>
      <c r="AB15" s="843" t="e">
        <v>#N/A</v>
      </c>
      <c r="AC15" s="834" t="e">
        <v>#N/A</v>
      </c>
      <c r="AD15" s="834" t="e">
        <v>#N/A</v>
      </c>
      <c r="AE15" s="834" t="e">
        <v>#N/A</v>
      </c>
      <c r="AF15" s="834" t="e">
        <v>#N/A</v>
      </c>
      <c r="AG15" s="834" t="e">
        <f t="shared" si="36"/>
        <v>#N/A</v>
      </c>
      <c r="AH15" s="834" t="str">
        <f t="shared" si="37"/>
        <v/>
      </c>
      <c r="AI15" s="835" t="e">
        <f>IF(NOT(OR(Z15=1,Z15=2)),IF(AQ15&gt;0,$AR$45*AQ15/SUMIF($AQ$9:$AQ$40,"&gt;0"),IF(AU15&gt;0,$AV$45*AU15/SUMIF($AU$9:$AU$40,"&gt;0"),IF(AS15&gt;0,$AT$45*AS15/SUMIF($AS$9:$AS$40,"&gt;0"),""))),IF(SUMIF(AJ16:$AJ$40,"=" &amp; AJ15,AI16:$AI$40)=0,"",SUMIF(AJ16:$AJ$40,"=" &amp; AJ15,AI16:$AI$40)))</f>
        <v>#N/A</v>
      </c>
      <c r="AJ15" s="836" t="e">
        <f t="shared" si="35"/>
        <v>#N/A</v>
      </c>
      <c r="AK15" s="834" t="str">
        <f t="shared" si="5"/>
        <v/>
      </c>
      <c r="AL15" s="843" t="str">
        <f t="shared" si="6"/>
        <v/>
      </c>
      <c r="AM15" s="843" t="str">
        <f t="shared" si="7"/>
        <v/>
      </c>
      <c r="AN15" s="843" t="str">
        <f t="shared" si="8"/>
        <v/>
      </c>
      <c r="AO15" s="843" t="e">
        <f t="shared" si="9"/>
        <v>#N/A</v>
      </c>
      <c r="AP15" s="834" t="str">
        <f t="shared" si="10"/>
        <v/>
      </c>
      <c r="AQ15" s="837">
        <f t="shared" si="11"/>
        <v>0</v>
      </c>
      <c r="AR15" s="838" t="str">
        <f t="shared" si="12"/>
        <v/>
      </c>
      <c r="AS15" s="839">
        <f t="shared" si="13"/>
        <v>0</v>
      </c>
      <c r="AT15" s="838" t="str">
        <f t="shared" si="14"/>
        <v/>
      </c>
      <c r="AU15" s="840">
        <f t="shared" si="15"/>
        <v>0</v>
      </c>
      <c r="AV15" s="841" t="str">
        <f t="shared" si="16"/>
        <v/>
      </c>
      <c r="AW15" s="840" t="b">
        <f t="shared" si="17"/>
        <v>0</v>
      </c>
      <c r="AX15" s="842" t="b">
        <f t="shared" si="18"/>
        <v>0</v>
      </c>
      <c r="AY15" s="840" t="b">
        <f t="shared" si="19"/>
        <v>0</v>
      </c>
      <c r="AZ15" s="842" t="b">
        <f t="shared" si="20"/>
        <v>0</v>
      </c>
      <c r="BA15" s="834" t="b">
        <f t="shared" si="21"/>
        <v>0</v>
      </c>
      <c r="BB15" s="834" t="b">
        <f t="shared" si="22"/>
        <v>0</v>
      </c>
      <c r="BC15" s="840" t="b">
        <f t="shared" si="23"/>
        <v>0</v>
      </c>
      <c r="BD15" s="843" t="b">
        <f t="shared" si="24"/>
        <v>0</v>
      </c>
      <c r="BE15" s="842" t="b">
        <f t="shared" si="25"/>
        <v>0</v>
      </c>
      <c r="BF15" s="844" t="b">
        <f t="shared" si="26"/>
        <v>0</v>
      </c>
      <c r="BG15" s="792" t="str">
        <f t="shared" si="27"/>
        <v>NA</v>
      </c>
      <c r="BH15" s="792" t="str">
        <f t="shared" si="28"/>
        <v/>
      </c>
      <c r="BI15" s="792" t="str">
        <f t="shared" si="29"/>
        <v/>
      </c>
      <c r="BJ15" s="792" t="str">
        <f t="shared" si="30"/>
        <v/>
      </c>
      <c r="BK15" s="792" t="str">
        <f t="shared" si="31"/>
        <v/>
      </c>
      <c r="BL15" s="845" t="str">
        <f t="shared" si="32"/>
        <v/>
      </c>
      <c r="BM15" s="792" t="str">
        <f t="shared" si="33"/>
        <v/>
      </c>
      <c r="BN15" s="792" t="str">
        <f t="shared" si="34"/>
        <v/>
      </c>
      <c r="BO15" s="795">
        <v>1</v>
      </c>
      <c r="BP15" s="846" t="s">
        <v>579</v>
      </c>
      <c r="CE15" s="1291">
        <v>1</v>
      </c>
      <c r="CF15" s="1292" t="s">
        <v>580</v>
      </c>
      <c r="CG15" s="1292"/>
      <c r="CH15" s="1292"/>
      <c r="CI15" s="1292"/>
      <c r="CJ15" s="1292"/>
      <c r="CK15" s="1292"/>
      <c r="CL15" s="1292"/>
      <c r="CM15" s="1292"/>
      <c r="CN15" s="1292"/>
      <c r="CO15" s="1292"/>
    </row>
    <row r="16" spans="2:93" s="794" customFormat="1" ht="12.95" customHeight="1" x14ac:dyDescent="0.25">
      <c r="B16" s="848" t="str">
        <f>IF(ISNA(Z16),"",IF(OR(Z16=1,Z16=2),"    ",MAX($B$9:B15)+1))</f>
        <v/>
      </c>
      <c r="C16" s="1289" t="str">
        <f t="shared" si="0"/>
        <v/>
      </c>
      <c r="D16" s="1289"/>
      <c r="E16" s="1289"/>
      <c r="F16" s="1290"/>
      <c r="G16" s="829" t="str">
        <f t="shared" si="1"/>
        <v/>
      </c>
      <c r="H16" s="830" t="str">
        <f t="shared" si="2"/>
        <v/>
      </c>
      <c r="I16" s="849" t="str">
        <f t="shared" si="2"/>
        <v/>
      </c>
      <c r="J16" s="852"/>
      <c r="K16" s="851"/>
      <c r="L16" s="1075"/>
      <c r="M16" s="1076"/>
      <c r="N16" s="1076"/>
      <c r="O16" s="1076"/>
      <c r="P16" s="1076"/>
      <c r="Q16" s="1076"/>
      <c r="R16" s="1077"/>
      <c r="T16" s="788">
        <v>8</v>
      </c>
      <c r="U16" s="776" t="e">
        <v>#N/A</v>
      </c>
      <c r="V16" s="834" t="e">
        <v>#N/A</v>
      </c>
      <c r="W16" s="834" t="e">
        <v>#N/A</v>
      </c>
      <c r="X16" s="834" t="e">
        <v>#N/A</v>
      </c>
      <c r="Y16" s="834" t="e">
        <v>#N/A</v>
      </c>
      <c r="Z16" s="843" t="e">
        <v>#N/A</v>
      </c>
      <c r="AA16" s="843" t="e">
        <v>#N/A</v>
      </c>
      <c r="AB16" s="843" t="e">
        <v>#N/A</v>
      </c>
      <c r="AC16" s="834" t="e">
        <v>#N/A</v>
      </c>
      <c r="AD16" s="834" t="e">
        <v>#N/A</v>
      </c>
      <c r="AE16" s="834" t="e">
        <v>#N/A</v>
      </c>
      <c r="AF16" s="834" t="e">
        <v>#N/A</v>
      </c>
      <c r="AG16" s="834" t="e">
        <f t="shared" si="36"/>
        <v>#N/A</v>
      </c>
      <c r="AH16" s="834" t="str">
        <f t="shared" si="37"/>
        <v/>
      </c>
      <c r="AI16" s="835" t="e">
        <f>IF(NOT(OR(Z16=1,Z16=2)),IF(AQ16&gt;0,$AR$45*AQ16/SUMIF($AQ$9:$AQ$40,"&gt;0"),IF(AU16&gt;0,$AV$45*AU16/SUMIF($AU$9:$AU$40,"&gt;0"),IF(AS16&gt;0,$AT$45*AS16/SUMIF($AS$9:$AS$40,"&gt;0"),""))),IF(SUMIF(AJ17:$AJ$40,"=" &amp; AJ16,AI17:$AI$40)=0,"",SUMIF(AJ17:$AJ$40,"=" &amp; AJ16,AI17:$AI$40)))</f>
        <v>#N/A</v>
      </c>
      <c r="AJ16" s="836" t="e">
        <f t="shared" si="35"/>
        <v>#N/A</v>
      </c>
      <c r="AK16" s="834" t="str">
        <f t="shared" si="5"/>
        <v/>
      </c>
      <c r="AL16" s="843" t="str">
        <f t="shared" si="6"/>
        <v/>
      </c>
      <c r="AM16" s="843" t="str">
        <f t="shared" si="7"/>
        <v/>
      </c>
      <c r="AN16" s="843" t="str">
        <f t="shared" si="8"/>
        <v/>
      </c>
      <c r="AO16" s="843" t="e">
        <f t="shared" si="9"/>
        <v>#N/A</v>
      </c>
      <c r="AP16" s="834" t="str">
        <f t="shared" si="10"/>
        <v/>
      </c>
      <c r="AQ16" s="837">
        <f t="shared" si="11"/>
        <v>0</v>
      </c>
      <c r="AR16" s="838" t="str">
        <f t="shared" si="12"/>
        <v/>
      </c>
      <c r="AS16" s="839">
        <f t="shared" si="13"/>
        <v>0</v>
      </c>
      <c r="AT16" s="838" t="str">
        <f t="shared" si="14"/>
        <v/>
      </c>
      <c r="AU16" s="840">
        <f t="shared" si="15"/>
        <v>0</v>
      </c>
      <c r="AV16" s="841" t="str">
        <f t="shared" si="16"/>
        <v/>
      </c>
      <c r="AW16" s="840" t="b">
        <f t="shared" si="17"/>
        <v>0</v>
      </c>
      <c r="AX16" s="842" t="b">
        <f t="shared" si="18"/>
        <v>0</v>
      </c>
      <c r="AY16" s="840" t="b">
        <f t="shared" si="19"/>
        <v>0</v>
      </c>
      <c r="AZ16" s="842" t="b">
        <f t="shared" si="20"/>
        <v>0</v>
      </c>
      <c r="BA16" s="834" t="b">
        <f t="shared" si="21"/>
        <v>0</v>
      </c>
      <c r="BB16" s="834" t="b">
        <f t="shared" si="22"/>
        <v>0</v>
      </c>
      <c r="BC16" s="840" t="b">
        <f t="shared" si="23"/>
        <v>0</v>
      </c>
      <c r="BD16" s="843" t="b">
        <f t="shared" si="24"/>
        <v>0</v>
      </c>
      <c r="BE16" s="842" t="b">
        <f t="shared" si="25"/>
        <v>0</v>
      </c>
      <c r="BF16" s="844" t="b">
        <f t="shared" si="26"/>
        <v>0</v>
      </c>
      <c r="BG16" s="792" t="str">
        <f t="shared" si="27"/>
        <v>NA</v>
      </c>
      <c r="BH16" s="792" t="str">
        <f t="shared" si="28"/>
        <v/>
      </c>
      <c r="BI16" s="792" t="str">
        <f t="shared" si="29"/>
        <v/>
      </c>
      <c r="BJ16" s="792" t="str">
        <f t="shared" si="30"/>
        <v/>
      </c>
      <c r="BK16" s="792" t="str">
        <f t="shared" si="31"/>
        <v/>
      </c>
      <c r="BL16" s="845" t="str">
        <f t="shared" si="32"/>
        <v/>
      </c>
      <c r="BM16" s="792" t="str">
        <f t="shared" si="33"/>
        <v/>
      </c>
      <c r="BN16" s="792" t="str">
        <f t="shared" si="34"/>
        <v/>
      </c>
      <c r="BO16" s="795">
        <v>2</v>
      </c>
      <c r="BP16" s="846" t="s">
        <v>581</v>
      </c>
      <c r="CE16" s="1291"/>
      <c r="CF16" s="1292"/>
      <c r="CG16" s="1292"/>
      <c r="CH16" s="1292"/>
      <c r="CI16" s="1292"/>
      <c r="CJ16" s="1292"/>
      <c r="CK16" s="1292"/>
      <c r="CL16" s="1292"/>
      <c r="CM16" s="1292"/>
      <c r="CN16" s="1292"/>
      <c r="CO16" s="1292"/>
    </row>
    <row r="17" spans="2:93" s="794" customFormat="1" ht="12.95" customHeight="1" x14ac:dyDescent="0.25">
      <c r="B17" s="848" t="str">
        <f>IF(ISNA(Z17),"",IF(OR(Z17=1,Z17=2),"    ",MAX($B$9:B16)+1))</f>
        <v/>
      </c>
      <c r="C17" s="1289" t="str">
        <f t="shared" si="0"/>
        <v/>
      </c>
      <c r="D17" s="1289"/>
      <c r="E17" s="1289"/>
      <c r="F17" s="1290"/>
      <c r="G17" s="829" t="str">
        <f t="shared" si="1"/>
        <v/>
      </c>
      <c r="H17" s="830" t="str">
        <f t="shared" si="2"/>
        <v/>
      </c>
      <c r="I17" s="849" t="str">
        <f t="shared" si="2"/>
        <v/>
      </c>
      <c r="J17" s="852"/>
      <c r="K17" s="851"/>
      <c r="L17" s="1075"/>
      <c r="M17" s="1076"/>
      <c r="N17" s="1076"/>
      <c r="O17" s="1076"/>
      <c r="P17" s="1076"/>
      <c r="Q17" s="1076"/>
      <c r="R17" s="1077"/>
      <c r="T17" s="788">
        <v>9</v>
      </c>
      <c r="U17" s="776" t="e">
        <v>#N/A</v>
      </c>
      <c r="V17" s="834" t="e">
        <v>#N/A</v>
      </c>
      <c r="W17" s="834" t="e">
        <v>#N/A</v>
      </c>
      <c r="X17" s="834" t="e">
        <v>#N/A</v>
      </c>
      <c r="Y17" s="834" t="e">
        <v>#N/A</v>
      </c>
      <c r="Z17" s="843" t="e">
        <v>#N/A</v>
      </c>
      <c r="AA17" s="843" t="e">
        <v>#N/A</v>
      </c>
      <c r="AB17" s="843" t="e">
        <v>#N/A</v>
      </c>
      <c r="AC17" s="834" t="e">
        <v>#N/A</v>
      </c>
      <c r="AD17" s="834" t="e">
        <v>#N/A</v>
      </c>
      <c r="AE17" s="834" t="e">
        <v>#N/A</v>
      </c>
      <c r="AF17" s="834" t="e">
        <v>#N/A</v>
      </c>
      <c r="AG17" s="834" t="e">
        <f t="shared" si="36"/>
        <v>#N/A</v>
      </c>
      <c r="AH17" s="834" t="str">
        <f t="shared" si="37"/>
        <v/>
      </c>
      <c r="AI17" s="835" t="e">
        <f>IF(NOT(OR(Z17=1,Z17=2)),IF(AQ17&gt;0,$AR$45*AQ17/SUMIF($AQ$9:$AQ$40,"&gt;0"),IF(AU17&gt;0,$AV$45*AU17/SUMIF($AU$9:$AU$40,"&gt;0"),IF(AS17&gt;0,$AT$45*AS17/SUMIF($AS$9:$AS$40,"&gt;0"),""))),IF(SUMIF(AJ18:$AJ$40,"=" &amp; AJ17,AI18:$AI$40)=0,"",SUMIF(AJ18:$AJ$40,"=" &amp; AJ17,AI18:$AI$40)))</f>
        <v>#N/A</v>
      </c>
      <c r="AJ17" s="836" t="e">
        <f t="shared" si="35"/>
        <v>#N/A</v>
      </c>
      <c r="AK17" s="834" t="str">
        <f t="shared" si="5"/>
        <v/>
      </c>
      <c r="AL17" s="843" t="str">
        <f t="shared" si="6"/>
        <v/>
      </c>
      <c r="AM17" s="843" t="str">
        <f t="shared" si="7"/>
        <v/>
      </c>
      <c r="AN17" s="843" t="str">
        <f t="shared" si="8"/>
        <v/>
      </c>
      <c r="AO17" s="843" t="e">
        <f t="shared" si="9"/>
        <v>#N/A</v>
      </c>
      <c r="AP17" s="834" t="str">
        <f t="shared" si="10"/>
        <v/>
      </c>
      <c r="AQ17" s="837">
        <f t="shared" si="11"/>
        <v>0</v>
      </c>
      <c r="AR17" s="838" t="str">
        <f t="shared" si="12"/>
        <v/>
      </c>
      <c r="AS17" s="839">
        <f t="shared" si="13"/>
        <v>0</v>
      </c>
      <c r="AT17" s="838" t="str">
        <f t="shared" si="14"/>
        <v/>
      </c>
      <c r="AU17" s="840">
        <f t="shared" si="15"/>
        <v>0</v>
      </c>
      <c r="AV17" s="841" t="str">
        <f t="shared" si="16"/>
        <v/>
      </c>
      <c r="AW17" s="840" t="b">
        <f t="shared" si="17"/>
        <v>0</v>
      </c>
      <c r="AX17" s="842" t="b">
        <f t="shared" si="18"/>
        <v>0</v>
      </c>
      <c r="AY17" s="840" t="b">
        <f t="shared" si="19"/>
        <v>0</v>
      </c>
      <c r="AZ17" s="842" t="b">
        <f t="shared" si="20"/>
        <v>0</v>
      </c>
      <c r="BA17" s="834" t="b">
        <f t="shared" si="21"/>
        <v>0</v>
      </c>
      <c r="BB17" s="834" t="b">
        <f t="shared" si="22"/>
        <v>0</v>
      </c>
      <c r="BC17" s="840" t="b">
        <f t="shared" si="23"/>
        <v>0</v>
      </c>
      <c r="BD17" s="843" t="b">
        <f t="shared" si="24"/>
        <v>0</v>
      </c>
      <c r="BE17" s="842" t="b">
        <f t="shared" si="25"/>
        <v>0</v>
      </c>
      <c r="BF17" s="844" t="b">
        <f t="shared" si="26"/>
        <v>0</v>
      </c>
      <c r="BG17" s="792" t="str">
        <f t="shared" si="27"/>
        <v>NA</v>
      </c>
      <c r="BH17" s="792" t="str">
        <f t="shared" si="28"/>
        <v/>
      </c>
      <c r="BI17" s="792" t="str">
        <f t="shared" si="29"/>
        <v/>
      </c>
      <c r="BJ17" s="792" t="str">
        <f t="shared" si="30"/>
        <v/>
      </c>
      <c r="BK17" s="792" t="str">
        <f t="shared" si="31"/>
        <v/>
      </c>
      <c r="BL17" s="845" t="str">
        <f t="shared" si="32"/>
        <v/>
      </c>
      <c r="BM17" s="792" t="str">
        <f t="shared" si="33"/>
        <v/>
      </c>
      <c r="BN17" s="792" t="str">
        <f t="shared" si="34"/>
        <v/>
      </c>
      <c r="BO17" s="795">
        <v>3</v>
      </c>
      <c r="BP17" s="846" t="s">
        <v>582</v>
      </c>
      <c r="CE17" s="1291">
        <v>2</v>
      </c>
      <c r="CF17" s="1292" t="s">
        <v>583</v>
      </c>
      <c r="CG17" s="1292"/>
      <c r="CH17" s="1292"/>
      <c r="CI17" s="1292"/>
      <c r="CJ17" s="1292"/>
      <c r="CK17" s="1292"/>
      <c r="CL17" s="1292"/>
      <c r="CM17" s="1292"/>
      <c r="CN17" s="1292"/>
      <c r="CO17" s="1292"/>
    </row>
    <row r="18" spans="2:93" s="794" customFormat="1" ht="12.95" customHeight="1" x14ac:dyDescent="0.25">
      <c r="B18" s="848" t="str">
        <f>IF(ISNA(Z18),"",IF(OR(Z18=1,Z18=2),"    ",MAX($B$9:B17)+1))</f>
        <v/>
      </c>
      <c r="C18" s="1289" t="str">
        <f t="shared" si="0"/>
        <v/>
      </c>
      <c r="D18" s="1289"/>
      <c r="E18" s="1289"/>
      <c r="F18" s="1290"/>
      <c r="G18" s="829" t="str">
        <f t="shared" si="1"/>
        <v/>
      </c>
      <c r="H18" s="830" t="str">
        <f t="shared" si="2"/>
        <v/>
      </c>
      <c r="I18" s="849" t="str">
        <f t="shared" si="2"/>
        <v/>
      </c>
      <c r="J18" s="852"/>
      <c r="K18" s="851"/>
      <c r="L18" s="1075"/>
      <c r="M18" s="1076"/>
      <c r="N18" s="1076"/>
      <c r="O18" s="1076"/>
      <c r="P18" s="1076"/>
      <c r="Q18" s="1076"/>
      <c r="R18" s="1077"/>
      <c r="T18" s="788">
        <v>10</v>
      </c>
      <c r="U18" s="776" t="e">
        <v>#N/A</v>
      </c>
      <c r="V18" s="834" t="e">
        <v>#N/A</v>
      </c>
      <c r="W18" s="834" t="e">
        <v>#N/A</v>
      </c>
      <c r="X18" s="834" t="e">
        <v>#N/A</v>
      </c>
      <c r="Y18" s="834" t="e">
        <v>#N/A</v>
      </c>
      <c r="Z18" s="843" t="e">
        <v>#N/A</v>
      </c>
      <c r="AA18" s="843" t="e">
        <v>#N/A</v>
      </c>
      <c r="AB18" s="843" t="e">
        <v>#N/A</v>
      </c>
      <c r="AC18" s="834" t="e">
        <v>#N/A</v>
      </c>
      <c r="AD18" s="834" t="e">
        <v>#N/A</v>
      </c>
      <c r="AE18" s="834" t="e">
        <v>#N/A</v>
      </c>
      <c r="AF18" s="834" t="e">
        <v>#N/A</v>
      </c>
      <c r="AG18" s="834" t="e">
        <f t="shared" si="36"/>
        <v>#N/A</v>
      </c>
      <c r="AH18" s="834" t="str">
        <f t="shared" si="37"/>
        <v/>
      </c>
      <c r="AI18" s="835" t="e">
        <f>IF(NOT(OR(Z18=1,Z18=2)),IF(AQ18&gt;0,$AR$45*AQ18/SUMIF($AQ$9:$AQ$40,"&gt;0"),IF(AU18&gt;0,$AV$45*AU18/SUMIF($AU$9:$AU$40,"&gt;0"),IF(AS18&gt;0,$AT$45*AS18/SUMIF($AS$9:$AS$40,"&gt;0"),""))),IF(SUMIF(AJ19:$AJ$40,"=" &amp; AJ18,AI19:$AI$40)=0,"",SUMIF(AJ19:$AJ$40,"=" &amp; AJ18,AI19:$AI$40)))</f>
        <v>#N/A</v>
      </c>
      <c r="AJ18" s="836" t="e">
        <f t="shared" si="35"/>
        <v>#N/A</v>
      </c>
      <c r="AK18" s="834" t="str">
        <f t="shared" si="5"/>
        <v/>
      </c>
      <c r="AL18" s="843" t="str">
        <f t="shared" si="6"/>
        <v/>
      </c>
      <c r="AM18" s="843" t="str">
        <f t="shared" si="7"/>
        <v/>
      </c>
      <c r="AN18" s="843" t="str">
        <f t="shared" si="8"/>
        <v/>
      </c>
      <c r="AO18" s="843" t="e">
        <f t="shared" si="9"/>
        <v>#N/A</v>
      </c>
      <c r="AP18" s="834" t="str">
        <f t="shared" si="10"/>
        <v/>
      </c>
      <c r="AQ18" s="837">
        <f t="shared" si="11"/>
        <v>0</v>
      </c>
      <c r="AR18" s="838" t="str">
        <f t="shared" si="12"/>
        <v/>
      </c>
      <c r="AS18" s="839">
        <f t="shared" si="13"/>
        <v>0</v>
      </c>
      <c r="AT18" s="838" t="str">
        <f t="shared" si="14"/>
        <v/>
      </c>
      <c r="AU18" s="840">
        <f t="shared" si="15"/>
        <v>0</v>
      </c>
      <c r="AV18" s="841" t="str">
        <f t="shared" si="16"/>
        <v/>
      </c>
      <c r="AW18" s="840" t="b">
        <f t="shared" si="17"/>
        <v>0</v>
      </c>
      <c r="AX18" s="842" t="b">
        <f t="shared" si="18"/>
        <v>0</v>
      </c>
      <c r="AY18" s="840" t="b">
        <f t="shared" si="19"/>
        <v>0</v>
      </c>
      <c r="AZ18" s="842" t="b">
        <f t="shared" si="20"/>
        <v>0</v>
      </c>
      <c r="BA18" s="834" t="b">
        <f t="shared" si="21"/>
        <v>0</v>
      </c>
      <c r="BB18" s="834" t="b">
        <f t="shared" si="22"/>
        <v>0</v>
      </c>
      <c r="BC18" s="840" t="b">
        <f t="shared" si="23"/>
        <v>0</v>
      </c>
      <c r="BD18" s="843" t="b">
        <f t="shared" si="24"/>
        <v>0</v>
      </c>
      <c r="BE18" s="842" t="b">
        <f t="shared" si="25"/>
        <v>0</v>
      </c>
      <c r="BF18" s="844" t="b">
        <f t="shared" si="26"/>
        <v>0</v>
      </c>
      <c r="BG18" s="792" t="str">
        <f t="shared" si="27"/>
        <v>NA</v>
      </c>
      <c r="BH18" s="792" t="str">
        <f t="shared" si="28"/>
        <v/>
      </c>
      <c r="BI18" s="792" t="str">
        <f t="shared" si="29"/>
        <v/>
      </c>
      <c r="BJ18" s="792" t="str">
        <f t="shared" si="30"/>
        <v/>
      </c>
      <c r="BK18" s="792" t="str">
        <f t="shared" si="31"/>
        <v/>
      </c>
      <c r="BL18" s="845" t="str">
        <f t="shared" si="32"/>
        <v/>
      </c>
      <c r="BM18" s="792" t="str">
        <f t="shared" si="33"/>
        <v/>
      </c>
      <c r="BN18" s="792" t="str">
        <f t="shared" si="34"/>
        <v/>
      </c>
      <c r="BO18" s="795">
        <v>4</v>
      </c>
      <c r="BP18" s="846" t="s">
        <v>584</v>
      </c>
      <c r="CE18" s="1291"/>
      <c r="CF18" s="1292"/>
      <c r="CG18" s="1292"/>
      <c r="CH18" s="1292"/>
      <c r="CI18" s="1292"/>
      <c r="CJ18" s="1292"/>
      <c r="CK18" s="1292"/>
      <c r="CL18" s="1292"/>
      <c r="CM18" s="1292"/>
      <c r="CN18" s="1292"/>
      <c r="CO18" s="1292"/>
    </row>
    <row r="19" spans="2:93" s="794" customFormat="1" ht="12.95" customHeight="1" x14ac:dyDescent="0.25">
      <c r="B19" s="848" t="str">
        <f>IF(ISNA(Z19),"",IF(OR(Z19=1,Z19=2),"    ",MAX($B$9:B18)+1))</f>
        <v/>
      </c>
      <c r="C19" s="1289" t="str">
        <f t="shared" si="0"/>
        <v/>
      </c>
      <c r="D19" s="1289"/>
      <c r="E19" s="1289"/>
      <c r="F19" s="1290"/>
      <c r="G19" s="829" t="str">
        <f t="shared" si="1"/>
        <v/>
      </c>
      <c r="H19" s="830" t="str">
        <f t="shared" si="2"/>
        <v/>
      </c>
      <c r="I19" s="849" t="str">
        <f t="shared" si="2"/>
        <v/>
      </c>
      <c r="J19" s="852"/>
      <c r="K19" s="851"/>
      <c r="L19" s="1075"/>
      <c r="M19" s="1076"/>
      <c r="N19" s="1076"/>
      <c r="O19" s="1076"/>
      <c r="P19" s="1076"/>
      <c r="Q19" s="1076"/>
      <c r="R19" s="1077"/>
      <c r="T19" s="788">
        <v>11</v>
      </c>
      <c r="U19" s="776" t="e">
        <v>#N/A</v>
      </c>
      <c r="V19" s="834" t="e">
        <v>#N/A</v>
      </c>
      <c r="W19" s="834" t="e">
        <v>#N/A</v>
      </c>
      <c r="X19" s="834" t="e">
        <v>#N/A</v>
      </c>
      <c r="Y19" s="834" t="e">
        <v>#N/A</v>
      </c>
      <c r="Z19" s="843" t="e">
        <v>#N/A</v>
      </c>
      <c r="AA19" s="843" t="e">
        <v>#N/A</v>
      </c>
      <c r="AB19" s="843" t="e">
        <v>#N/A</v>
      </c>
      <c r="AC19" s="834" t="e">
        <v>#N/A</v>
      </c>
      <c r="AD19" s="834" t="e">
        <v>#N/A</v>
      </c>
      <c r="AE19" s="834" t="e">
        <v>#N/A</v>
      </c>
      <c r="AF19" s="834" t="e">
        <v>#N/A</v>
      </c>
      <c r="AG19" s="834" t="e">
        <f t="shared" si="36"/>
        <v>#N/A</v>
      </c>
      <c r="AH19" s="834" t="str">
        <f t="shared" si="37"/>
        <v/>
      </c>
      <c r="AI19" s="835" t="e">
        <f>IF(NOT(OR(Z19=1,Z19=2)),IF(AQ19&gt;0,$AR$45*AQ19/SUMIF($AQ$9:$AQ$40,"&gt;0"),IF(AU19&gt;0,$AV$45*AU19/SUMIF($AU$9:$AU$40,"&gt;0"),IF(AS19&gt;0,$AT$45*AS19/SUMIF($AS$9:$AS$40,"&gt;0"),""))),IF(SUMIF(AJ20:$AJ$40,"=" &amp; AJ19,AI20:$AI$40)=0,"",SUMIF(AJ20:$AJ$40,"=" &amp; AJ19,AI20:$AI$40)))</f>
        <v>#N/A</v>
      </c>
      <c r="AJ19" s="836" t="e">
        <f t="shared" si="35"/>
        <v>#N/A</v>
      </c>
      <c r="AK19" s="834" t="str">
        <f t="shared" si="5"/>
        <v/>
      </c>
      <c r="AL19" s="843" t="str">
        <f t="shared" si="6"/>
        <v/>
      </c>
      <c r="AM19" s="843" t="str">
        <f t="shared" si="7"/>
        <v/>
      </c>
      <c r="AN19" s="843" t="str">
        <f t="shared" si="8"/>
        <v/>
      </c>
      <c r="AO19" s="843" t="e">
        <f t="shared" si="9"/>
        <v>#N/A</v>
      </c>
      <c r="AP19" s="834" t="str">
        <f t="shared" si="10"/>
        <v/>
      </c>
      <c r="AQ19" s="837">
        <f t="shared" si="11"/>
        <v>0</v>
      </c>
      <c r="AR19" s="838" t="str">
        <f t="shared" si="12"/>
        <v/>
      </c>
      <c r="AS19" s="839">
        <f t="shared" si="13"/>
        <v>0</v>
      </c>
      <c r="AT19" s="838" t="str">
        <f t="shared" si="14"/>
        <v/>
      </c>
      <c r="AU19" s="840">
        <f t="shared" si="15"/>
        <v>0</v>
      </c>
      <c r="AV19" s="841" t="str">
        <f t="shared" si="16"/>
        <v/>
      </c>
      <c r="AW19" s="840" t="b">
        <f t="shared" si="17"/>
        <v>0</v>
      </c>
      <c r="AX19" s="842" t="b">
        <f t="shared" si="18"/>
        <v>0</v>
      </c>
      <c r="AY19" s="840" t="b">
        <f t="shared" si="19"/>
        <v>0</v>
      </c>
      <c r="AZ19" s="842" t="b">
        <f t="shared" si="20"/>
        <v>0</v>
      </c>
      <c r="BA19" s="834" t="b">
        <f t="shared" si="21"/>
        <v>0</v>
      </c>
      <c r="BB19" s="834" t="b">
        <f t="shared" si="22"/>
        <v>0</v>
      </c>
      <c r="BC19" s="840" t="b">
        <f t="shared" si="23"/>
        <v>0</v>
      </c>
      <c r="BD19" s="843" t="b">
        <f t="shared" si="24"/>
        <v>0</v>
      </c>
      <c r="BE19" s="842" t="b">
        <f t="shared" si="25"/>
        <v>0</v>
      </c>
      <c r="BF19" s="844" t="b">
        <f t="shared" si="26"/>
        <v>0</v>
      </c>
      <c r="BG19" s="792" t="str">
        <f t="shared" si="27"/>
        <v>NA</v>
      </c>
      <c r="BH19" s="792" t="str">
        <f t="shared" si="28"/>
        <v/>
      </c>
      <c r="BI19" s="792" t="str">
        <f t="shared" si="29"/>
        <v/>
      </c>
      <c r="BJ19" s="792" t="str">
        <f t="shared" si="30"/>
        <v/>
      </c>
      <c r="BK19" s="792" t="str">
        <f t="shared" si="31"/>
        <v/>
      </c>
      <c r="BL19" s="845" t="str">
        <f t="shared" si="32"/>
        <v/>
      </c>
      <c r="BM19" s="792" t="str">
        <f t="shared" si="33"/>
        <v/>
      </c>
      <c r="BN19" s="792" t="str">
        <f t="shared" si="34"/>
        <v/>
      </c>
      <c r="BO19" s="854"/>
      <c r="BP19" s="855" t="s">
        <v>223</v>
      </c>
      <c r="BQ19" s="826"/>
      <c r="BR19" s="826"/>
      <c r="BS19" s="826"/>
      <c r="BT19" s="826"/>
      <c r="BU19" s="826"/>
      <c r="CE19" s="1291">
        <v>3</v>
      </c>
      <c r="CF19" s="1292" t="s">
        <v>585</v>
      </c>
      <c r="CG19" s="1292"/>
      <c r="CH19" s="1292"/>
      <c r="CI19" s="1292"/>
      <c r="CJ19" s="1292"/>
      <c r="CK19" s="1292"/>
      <c r="CL19" s="1292"/>
      <c r="CM19" s="1292"/>
      <c r="CN19" s="1292"/>
      <c r="CO19" s="1292"/>
    </row>
    <row r="20" spans="2:93" s="794" customFormat="1" ht="12.95" customHeight="1" x14ac:dyDescent="0.25">
      <c r="B20" s="848" t="str">
        <f>IF(ISNA(Z20),"",IF(OR(Z20=1,Z20=2),"    ",MAX($B$9:B19)+1))</f>
        <v/>
      </c>
      <c r="C20" s="1289" t="str">
        <f t="shared" si="0"/>
        <v/>
      </c>
      <c r="D20" s="1289"/>
      <c r="E20" s="1289"/>
      <c r="F20" s="1290"/>
      <c r="G20" s="829" t="str">
        <f t="shared" si="1"/>
        <v/>
      </c>
      <c r="H20" s="830" t="str">
        <f t="shared" si="2"/>
        <v/>
      </c>
      <c r="I20" s="849" t="str">
        <f t="shared" si="2"/>
        <v/>
      </c>
      <c r="J20" s="852"/>
      <c r="K20" s="851"/>
      <c r="L20" s="1075"/>
      <c r="M20" s="1076"/>
      <c r="N20" s="1076"/>
      <c r="O20" s="1076"/>
      <c r="P20" s="1076"/>
      <c r="Q20" s="1076"/>
      <c r="R20" s="1077"/>
      <c r="T20" s="788">
        <v>12</v>
      </c>
      <c r="U20" s="776" t="e">
        <v>#N/A</v>
      </c>
      <c r="V20" s="834" t="e">
        <v>#N/A</v>
      </c>
      <c r="W20" s="834" t="e">
        <v>#N/A</v>
      </c>
      <c r="X20" s="834" t="e">
        <v>#N/A</v>
      </c>
      <c r="Y20" s="834" t="e">
        <v>#N/A</v>
      </c>
      <c r="Z20" s="843" t="e">
        <v>#N/A</v>
      </c>
      <c r="AA20" s="843" t="e">
        <v>#N/A</v>
      </c>
      <c r="AB20" s="843" t="e">
        <v>#N/A</v>
      </c>
      <c r="AC20" s="834" t="e">
        <v>#N/A</v>
      </c>
      <c r="AD20" s="834" t="e">
        <v>#N/A</v>
      </c>
      <c r="AE20" s="834" t="e">
        <v>#N/A</v>
      </c>
      <c r="AF20" s="834" t="e">
        <v>#N/A</v>
      </c>
      <c r="AG20" s="834" t="e">
        <f t="shared" si="36"/>
        <v>#N/A</v>
      </c>
      <c r="AH20" s="834" t="str">
        <f t="shared" si="37"/>
        <v/>
      </c>
      <c r="AI20" s="835" t="e">
        <f>IF(NOT(OR(Z20=1,Z20=2)),IF(AQ20&gt;0,$AR$45*AQ20/SUMIF($AQ$9:$AQ$40,"&gt;0"),IF(AU20&gt;0,$AV$45*AU20/SUMIF($AU$9:$AU$40,"&gt;0"),IF(AS20&gt;0,$AT$45*AS20/SUMIF($AS$9:$AS$40,"&gt;0"),""))),IF(SUMIF(AJ21:$AJ$40,"=" &amp; AJ20,AI21:$AI$40)=0,"",SUMIF(AJ21:$AJ$40,"=" &amp; AJ20,AI21:$AI$40)))</f>
        <v>#N/A</v>
      </c>
      <c r="AJ20" s="836" t="e">
        <f t="shared" si="35"/>
        <v>#N/A</v>
      </c>
      <c r="AK20" s="834" t="str">
        <f t="shared" si="5"/>
        <v/>
      </c>
      <c r="AL20" s="843" t="str">
        <f t="shared" si="6"/>
        <v/>
      </c>
      <c r="AM20" s="843" t="str">
        <f t="shared" si="7"/>
        <v/>
      </c>
      <c r="AN20" s="843" t="str">
        <f t="shared" si="8"/>
        <v/>
      </c>
      <c r="AO20" s="843" t="e">
        <f t="shared" si="9"/>
        <v>#N/A</v>
      </c>
      <c r="AP20" s="834" t="str">
        <f t="shared" si="10"/>
        <v/>
      </c>
      <c r="AQ20" s="837">
        <f t="shared" si="11"/>
        <v>0</v>
      </c>
      <c r="AR20" s="838" t="str">
        <f t="shared" si="12"/>
        <v/>
      </c>
      <c r="AS20" s="839">
        <f t="shared" si="13"/>
        <v>0</v>
      </c>
      <c r="AT20" s="838" t="str">
        <f t="shared" si="14"/>
        <v/>
      </c>
      <c r="AU20" s="840">
        <f t="shared" si="15"/>
        <v>0</v>
      </c>
      <c r="AV20" s="841" t="str">
        <f t="shared" si="16"/>
        <v/>
      </c>
      <c r="AW20" s="840" t="b">
        <f t="shared" si="17"/>
        <v>0</v>
      </c>
      <c r="AX20" s="842" t="b">
        <f t="shared" si="18"/>
        <v>0</v>
      </c>
      <c r="AY20" s="840" t="b">
        <f t="shared" si="19"/>
        <v>0</v>
      </c>
      <c r="AZ20" s="842" t="b">
        <f t="shared" si="20"/>
        <v>0</v>
      </c>
      <c r="BA20" s="834" t="b">
        <f t="shared" si="21"/>
        <v>0</v>
      </c>
      <c r="BB20" s="834" t="b">
        <f t="shared" si="22"/>
        <v>0</v>
      </c>
      <c r="BC20" s="840" t="b">
        <f t="shared" si="23"/>
        <v>0</v>
      </c>
      <c r="BD20" s="843" t="b">
        <f t="shared" si="24"/>
        <v>0</v>
      </c>
      <c r="BE20" s="842" t="b">
        <f t="shared" si="25"/>
        <v>0</v>
      </c>
      <c r="BF20" s="844" t="b">
        <f t="shared" si="26"/>
        <v>0</v>
      </c>
      <c r="BG20" s="792" t="str">
        <f t="shared" si="27"/>
        <v>NA</v>
      </c>
      <c r="BH20" s="792" t="str">
        <f t="shared" si="28"/>
        <v/>
      </c>
      <c r="BI20" s="792" t="str">
        <f t="shared" si="29"/>
        <v/>
      </c>
      <c r="BJ20" s="792" t="str">
        <f t="shared" si="30"/>
        <v/>
      </c>
      <c r="BK20" s="792" t="str">
        <f t="shared" si="31"/>
        <v/>
      </c>
      <c r="BL20" s="845" t="str">
        <f t="shared" si="32"/>
        <v/>
      </c>
      <c r="BM20" s="792" t="str">
        <f t="shared" si="33"/>
        <v/>
      </c>
      <c r="BN20" s="792" t="str">
        <f t="shared" si="34"/>
        <v/>
      </c>
      <c r="BO20" s="854"/>
      <c r="BP20" s="846"/>
      <c r="BQ20" s="1293" t="s">
        <v>224</v>
      </c>
      <c r="BR20" s="1293"/>
      <c r="BS20" s="1293"/>
      <c r="BT20" s="1293"/>
      <c r="BU20" s="1293"/>
      <c r="CE20" s="1291"/>
      <c r="CF20" s="1292"/>
      <c r="CG20" s="1292"/>
      <c r="CH20" s="1292"/>
      <c r="CI20" s="1292"/>
      <c r="CJ20" s="1292"/>
      <c r="CK20" s="1292"/>
      <c r="CL20" s="1292"/>
      <c r="CM20" s="1292"/>
      <c r="CN20" s="1292"/>
      <c r="CO20" s="1292"/>
    </row>
    <row r="21" spans="2:93" s="794" customFormat="1" ht="12.95" customHeight="1" x14ac:dyDescent="0.25">
      <c r="B21" s="848" t="str">
        <f>IF(ISNA(Z21),"",IF(OR(Z21=1,Z21=2),"    ",MAX($B$9:B20)+1))</f>
        <v/>
      </c>
      <c r="C21" s="1289" t="str">
        <f t="shared" si="0"/>
        <v/>
      </c>
      <c r="D21" s="1289"/>
      <c r="E21" s="1289"/>
      <c r="F21" s="1290"/>
      <c r="G21" s="829" t="str">
        <f t="shared" si="1"/>
        <v/>
      </c>
      <c r="H21" s="830" t="str">
        <f t="shared" si="2"/>
        <v/>
      </c>
      <c r="I21" s="849" t="str">
        <f t="shared" si="2"/>
        <v/>
      </c>
      <c r="J21" s="852"/>
      <c r="K21" s="851"/>
      <c r="L21" s="1075"/>
      <c r="M21" s="1076"/>
      <c r="N21" s="1076"/>
      <c r="O21" s="1076"/>
      <c r="P21" s="1076"/>
      <c r="Q21" s="1076"/>
      <c r="R21" s="1077"/>
      <c r="T21" s="788">
        <v>13</v>
      </c>
      <c r="U21" s="776" t="e">
        <v>#N/A</v>
      </c>
      <c r="V21" s="834" t="e">
        <v>#N/A</v>
      </c>
      <c r="W21" s="834" t="e">
        <v>#N/A</v>
      </c>
      <c r="X21" s="834" t="e">
        <v>#N/A</v>
      </c>
      <c r="Y21" s="834" t="e">
        <v>#N/A</v>
      </c>
      <c r="Z21" s="843" t="e">
        <v>#N/A</v>
      </c>
      <c r="AA21" s="843" t="e">
        <v>#N/A</v>
      </c>
      <c r="AB21" s="843" t="e">
        <v>#N/A</v>
      </c>
      <c r="AC21" s="834" t="e">
        <v>#N/A</v>
      </c>
      <c r="AD21" s="834" t="e">
        <v>#N/A</v>
      </c>
      <c r="AE21" s="834" t="e">
        <v>#N/A</v>
      </c>
      <c r="AF21" s="834" t="e">
        <v>#N/A</v>
      </c>
      <c r="AG21" s="834" t="e">
        <f t="shared" si="36"/>
        <v>#N/A</v>
      </c>
      <c r="AH21" s="834" t="str">
        <f t="shared" si="37"/>
        <v/>
      </c>
      <c r="AI21" s="835" t="e">
        <f>IF(NOT(OR(Z21=1,Z21=2)),IF(AQ21&gt;0,$AR$45*AQ21/SUMIF($AQ$9:$AQ$40,"&gt;0"),IF(AU21&gt;0,$AV$45*AU21/SUMIF($AU$9:$AU$40,"&gt;0"),IF(AS21&gt;0,$AT$45*AS21/SUMIF($AS$9:$AS$40,"&gt;0"),""))),IF(SUMIF(AJ22:$AJ$40,"=" &amp; AJ21,AI22:$AI$40)=0,"",SUMIF(AJ22:$AJ$40,"=" &amp; AJ21,AI22:$AI$40)))</f>
        <v>#N/A</v>
      </c>
      <c r="AJ21" s="836" t="e">
        <f t="shared" si="35"/>
        <v>#N/A</v>
      </c>
      <c r="AK21" s="834" t="str">
        <f t="shared" si="5"/>
        <v/>
      </c>
      <c r="AL21" s="843" t="str">
        <f t="shared" si="6"/>
        <v/>
      </c>
      <c r="AM21" s="843" t="str">
        <f t="shared" si="7"/>
        <v/>
      </c>
      <c r="AN21" s="843" t="str">
        <f t="shared" si="8"/>
        <v/>
      </c>
      <c r="AO21" s="843" t="e">
        <f t="shared" si="9"/>
        <v>#N/A</v>
      </c>
      <c r="AP21" s="834" t="str">
        <f t="shared" si="10"/>
        <v/>
      </c>
      <c r="AQ21" s="837">
        <f t="shared" si="11"/>
        <v>0</v>
      </c>
      <c r="AR21" s="838" t="str">
        <f t="shared" si="12"/>
        <v/>
      </c>
      <c r="AS21" s="839">
        <f t="shared" si="13"/>
        <v>0</v>
      </c>
      <c r="AT21" s="838" t="str">
        <f t="shared" si="14"/>
        <v/>
      </c>
      <c r="AU21" s="840">
        <f t="shared" si="15"/>
        <v>0</v>
      </c>
      <c r="AV21" s="841" t="str">
        <f t="shared" si="16"/>
        <v/>
      </c>
      <c r="AW21" s="840" t="b">
        <f t="shared" si="17"/>
        <v>0</v>
      </c>
      <c r="AX21" s="842" t="b">
        <f t="shared" si="18"/>
        <v>0</v>
      </c>
      <c r="AY21" s="840" t="b">
        <f t="shared" si="19"/>
        <v>0</v>
      </c>
      <c r="AZ21" s="842" t="b">
        <f t="shared" si="20"/>
        <v>0</v>
      </c>
      <c r="BA21" s="834" t="b">
        <f t="shared" si="21"/>
        <v>0</v>
      </c>
      <c r="BB21" s="834" t="b">
        <f t="shared" si="22"/>
        <v>0</v>
      </c>
      <c r="BC21" s="840" t="b">
        <f t="shared" si="23"/>
        <v>0</v>
      </c>
      <c r="BD21" s="843" t="b">
        <f t="shared" si="24"/>
        <v>0</v>
      </c>
      <c r="BE21" s="842" t="b">
        <f t="shared" si="25"/>
        <v>0</v>
      </c>
      <c r="BF21" s="844" t="b">
        <f t="shared" si="26"/>
        <v>0</v>
      </c>
      <c r="BG21" s="792" t="str">
        <f t="shared" si="27"/>
        <v>NA</v>
      </c>
      <c r="BH21" s="792" t="str">
        <f t="shared" si="28"/>
        <v/>
      </c>
      <c r="BI21" s="792" t="str">
        <f t="shared" si="29"/>
        <v/>
      </c>
      <c r="BJ21" s="792" t="str">
        <f t="shared" si="30"/>
        <v/>
      </c>
      <c r="BK21" s="792" t="str">
        <f t="shared" si="31"/>
        <v/>
      </c>
      <c r="BL21" s="845" t="str">
        <f t="shared" si="32"/>
        <v/>
      </c>
      <c r="BM21" s="792" t="str">
        <f t="shared" si="33"/>
        <v/>
      </c>
      <c r="BN21" s="792" t="str">
        <f t="shared" si="34"/>
        <v/>
      </c>
      <c r="BO21" s="854"/>
      <c r="BP21" s="854"/>
      <c r="BQ21" s="854">
        <v>0</v>
      </c>
      <c r="BR21" s="854">
        <v>1</v>
      </c>
      <c r="BS21" s="854">
        <v>2</v>
      </c>
      <c r="BT21" s="854">
        <v>3</v>
      </c>
      <c r="BU21" s="854">
        <v>4</v>
      </c>
      <c r="BW21" s="793" t="s">
        <v>586</v>
      </c>
      <c r="CE21" s="1291">
        <v>4</v>
      </c>
      <c r="CF21" s="1294" t="s">
        <v>587</v>
      </c>
      <c r="CG21" s="1294"/>
      <c r="CH21" s="1294"/>
      <c r="CI21" s="1294"/>
      <c r="CJ21" s="1294"/>
      <c r="CK21" s="1294"/>
      <c r="CL21" s="1294"/>
      <c r="CM21" s="1294"/>
      <c r="CN21" s="1294"/>
      <c r="CO21" s="1294"/>
    </row>
    <row r="22" spans="2:93" s="794" customFormat="1" ht="12.95" customHeight="1" x14ac:dyDescent="0.25">
      <c r="B22" s="848" t="str">
        <f>IF(ISNA(Z22),"",IF(OR(Z22=1,Z22=2),"    ",MAX($B$9:B21)+1))</f>
        <v/>
      </c>
      <c r="C22" s="1289" t="str">
        <f t="shared" si="0"/>
        <v/>
      </c>
      <c r="D22" s="1289"/>
      <c r="E22" s="1289"/>
      <c r="F22" s="1290"/>
      <c r="G22" s="829" t="str">
        <f t="shared" si="1"/>
        <v/>
      </c>
      <c r="H22" s="830" t="str">
        <f t="shared" si="2"/>
        <v/>
      </c>
      <c r="I22" s="849" t="str">
        <f t="shared" si="2"/>
        <v/>
      </c>
      <c r="J22" s="852"/>
      <c r="K22" s="851"/>
      <c r="L22" s="1075"/>
      <c r="M22" s="1076"/>
      <c r="N22" s="1076"/>
      <c r="O22" s="1076"/>
      <c r="P22" s="1076"/>
      <c r="Q22" s="1076"/>
      <c r="R22" s="1077"/>
      <c r="T22" s="788">
        <v>14</v>
      </c>
      <c r="U22" s="776" t="e">
        <v>#N/A</v>
      </c>
      <c r="V22" s="834" t="e">
        <v>#N/A</v>
      </c>
      <c r="W22" s="834" t="e">
        <v>#N/A</v>
      </c>
      <c r="X22" s="834" t="e">
        <v>#N/A</v>
      </c>
      <c r="Y22" s="834" t="e">
        <v>#N/A</v>
      </c>
      <c r="Z22" s="843" t="e">
        <v>#N/A</v>
      </c>
      <c r="AA22" s="843" t="e">
        <v>#N/A</v>
      </c>
      <c r="AB22" s="843" t="e">
        <v>#N/A</v>
      </c>
      <c r="AC22" s="834" t="e">
        <v>#N/A</v>
      </c>
      <c r="AD22" s="834" t="e">
        <v>#N/A</v>
      </c>
      <c r="AE22" s="834" t="e">
        <v>#N/A</v>
      </c>
      <c r="AF22" s="834" t="e">
        <v>#N/A</v>
      </c>
      <c r="AG22" s="834" t="e">
        <f t="shared" si="36"/>
        <v>#N/A</v>
      </c>
      <c r="AH22" s="834" t="str">
        <f t="shared" si="37"/>
        <v/>
      </c>
      <c r="AI22" s="835" t="e">
        <f>IF(NOT(OR(Z22=1,Z22=2)),IF(AQ22&gt;0,$AR$45*AQ22/SUMIF($AQ$9:$AQ$40,"&gt;0"),IF(AU22&gt;0,$AV$45*AU22/SUMIF($AU$9:$AU$40,"&gt;0"),IF(AS22&gt;0,$AT$45*AS22/SUMIF($AS$9:$AS$40,"&gt;0"),""))),IF(SUMIF(AJ23:$AJ$40,"=" &amp; AJ22,AI23:$AI$40)=0,"",SUMIF(AJ23:$AJ$40,"=" &amp; AJ22,AI23:$AI$40)))</f>
        <v>#N/A</v>
      </c>
      <c r="AJ22" s="836" t="e">
        <f t="shared" si="35"/>
        <v>#N/A</v>
      </c>
      <c r="AK22" s="834" t="str">
        <f t="shared" si="5"/>
        <v/>
      </c>
      <c r="AL22" s="843" t="str">
        <f t="shared" si="6"/>
        <v/>
      </c>
      <c r="AM22" s="843" t="str">
        <f t="shared" si="7"/>
        <v/>
      </c>
      <c r="AN22" s="843" t="str">
        <f t="shared" si="8"/>
        <v/>
      </c>
      <c r="AO22" s="843" t="e">
        <f t="shared" si="9"/>
        <v>#N/A</v>
      </c>
      <c r="AP22" s="834" t="str">
        <f t="shared" si="10"/>
        <v/>
      </c>
      <c r="AQ22" s="837">
        <f t="shared" si="11"/>
        <v>0</v>
      </c>
      <c r="AR22" s="838" t="str">
        <f t="shared" si="12"/>
        <v/>
      </c>
      <c r="AS22" s="839">
        <f t="shared" si="13"/>
        <v>0</v>
      </c>
      <c r="AT22" s="838" t="str">
        <f t="shared" si="14"/>
        <v/>
      </c>
      <c r="AU22" s="840">
        <f t="shared" si="15"/>
        <v>0</v>
      </c>
      <c r="AV22" s="841" t="str">
        <f t="shared" si="16"/>
        <v/>
      </c>
      <c r="AW22" s="840" t="b">
        <f t="shared" si="17"/>
        <v>0</v>
      </c>
      <c r="AX22" s="842" t="b">
        <f t="shared" si="18"/>
        <v>0</v>
      </c>
      <c r="AY22" s="840" t="b">
        <f t="shared" si="19"/>
        <v>0</v>
      </c>
      <c r="AZ22" s="842" t="b">
        <f t="shared" si="20"/>
        <v>0</v>
      </c>
      <c r="BA22" s="834" t="b">
        <f t="shared" si="21"/>
        <v>0</v>
      </c>
      <c r="BB22" s="834" t="b">
        <f t="shared" si="22"/>
        <v>0</v>
      </c>
      <c r="BC22" s="840" t="b">
        <f t="shared" si="23"/>
        <v>0</v>
      </c>
      <c r="BD22" s="843" t="b">
        <f t="shared" si="24"/>
        <v>0</v>
      </c>
      <c r="BE22" s="842" t="b">
        <f t="shared" si="25"/>
        <v>0</v>
      </c>
      <c r="BF22" s="844" t="b">
        <f t="shared" si="26"/>
        <v>0</v>
      </c>
      <c r="BG22" s="792" t="str">
        <f t="shared" si="27"/>
        <v>NA</v>
      </c>
      <c r="BH22" s="792" t="str">
        <f t="shared" si="28"/>
        <v/>
      </c>
      <c r="BI22" s="792" t="str">
        <f t="shared" si="29"/>
        <v/>
      </c>
      <c r="BJ22" s="792" t="str">
        <f t="shared" si="30"/>
        <v/>
      </c>
      <c r="BK22" s="792" t="str">
        <f t="shared" si="31"/>
        <v/>
      </c>
      <c r="BL22" s="845" t="str">
        <f t="shared" si="32"/>
        <v/>
      </c>
      <c r="BM22" s="792" t="str">
        <f t="shared" si="33"/>
        <v/>
      </c>
      <c r="BN22" s="792" t="str">
        <f t="shared" si="34"/>
        <v/>
      </c>
      <c r="BO22" s="1295" t="s">
        <v>226</v>
      </c>
      <c r="BP22" s="854" t="s">
        <v>227</v>
      </c>
      <c r="BQ22" s="856">
        <f t="shared" ref="BQ22:BU30" si="38">AR51</f>
        <v>0.7</v>
      </c>
      <c r="BR22" s="857">
        <f t="shared" si="38"/>
        <v>0.9</v>
      </c>
      <c r="BS22" s="857">
        <f t="shared" si="38"/>
        <v>0.93330000000000002</v>
      </c>
      <c r="BT22" s="857">
        <f t="shared" si="38"/>
        <v>0.9667</v>
      </c>
      <c r="BU22" s="858">
        <f t="shared" si="38"/>
        <v>1</v>
      </c>
      <c r="BW22" s="795" t="s">
        <v>214</v>
      </c>
      <c r="BX22" s="796" t="s">
        <v>215</v>
      </c>
      <c r="CE22" s="1291"/>
      <c r="CF22" s="1294"/>
      <c r="CG22" s="1294"/>
      <c r="CH22" s="1294"/>
      <c r="CI22" s="1294"/>
      <c r="CJ22" s="1294"/>
      <c r="CK22" s="1294"/>
      <c r="CL22" s="1294"/>
      <c r="CM22" s="1294"/>
      <c r="CN22" s="1294"/>
      <c r="CO22" s="1294"/>
    </row>
    <row r="23" spans="2:93" s="794" customFormat="1" ht="12.95" customHeight="1" x14ac:dyDescent="0.25">
      <c r="B23" s="848" t="str">
        <f>IF(ISNA(Z23),"",IF(OR(Z23=1,Z23=2),"    ",MAX($B$9:B22)+1))</f>
        <v/>
      </c>
      <c r="C23" s="1289" t="str">
        <f t="shared" si="0"/>
        <v/>
      </c>
      <c r="D23" s="1289"/>
      <c r="E23" s="1289"/>
      <c r="F23" s="1290"/>
      <c r="G23" s="829" t="str">
        <f t="shared" si="1"/>
        <v/>
      </c>
      <c r="H23" s="830" t="str">
        <f t="shared" si="2"/>
        <v/>
      </c>
      <c r="I23" s="849" t="str">
        <f t="shared" si="2"/>
        <v/>
      </c>
      <c r="J23" s="852"/>
      <c r="K23" s="851"/>
      <c r="L23" s="1075"/>
      <c r="M23" s="1076"/>
      <c r="N23" s="1076"/>
      <c r="O23" s="1076"/>
      <c r="P23" s="1076"/>
      <c r="Q23" s="1076"/>
      <c r="R23" s="1077"/>
      <c r="T23" s="788">
        <v>15</v>
      </c>
      <c r="U23" s="776" t="e">
        <v>#N/A</v>
      </c>
      <c r="V23" s="834" t="e">
        <v>#N/A</v>
      </c>
      <c r="W23" s="834" t="e">
        <v>#N/A</v>
      </c>
      <c r="X23" s="834" t="e">
        <v>#N/A</v>
      </c>
      <c r="Y23" s="834" t="e">
        <v>#N/A</v>
      </c>
      <c r="Z23" s="843" t="e">
        <v>#N/A</v>
      </c>
      <c r="AA23" s="843" t="e">
        <v>#N/A</v>
      </c>
      <c r="AB23" s="843" t="e">
        <v>#N/A</v>
      </c>
      <c r="AC23" s="834" t="e">
        <v>#N/A</v>
      </c>
      <c r="AD23" s="834" t="e">
        <v>#N/A</v>
      </c>
      <c r="AE23" s="834" t="e">
        <v>#N/A</v>
      </c>
      <c r="AF23" s="834" t="e">
        <v>#N/A</v>
      </c>
      <c r="AG23" s="834" t="e">
        <f t="shared" si="36"/>
        <v>#N/A</v>
      </c>
      <c r="AH23" s="834" t="str">
        <f t="shared" si="37"/>
        <v/>
      </c>
      <c r="AI23" s="835" t="e">
        <f>IF(NOT(OR(Z23=1,Z23=2)),IF(AQ23&gt;0,$AR$45*AQ23/SUMIF($AQ$9:$AQ$40,"&gt;0"),IF(AU23&gt;0,$AV$45*AU23/SUMIF($AU$9:$AU$40,"&gt;0"),IF(AS23&gt;0,$AT$45*AS23/SUMIF($AS$9:$AS$40,"&gt;0"),""))),IF(SUMIF(AJ24:$AJ$40,"=" &amp; AJ23,AI24:$AI$40)=0,"",SUMIF(AJ24:$AJ$40,"=" &amp; AJ23,AI24:$AI$40)))</f>
        <v>#N/A</v>
      </c>
      <c r="AJ23" s="836" t="e">
        <f t="shared" si="35"/>
        <v>#N/A</v>
      </c>
      <c r="AK23" s="834" t="str">
        <f t="shared" si="5"/>
        <v/>
      </c>
      <c r="AL23" s="843" t="str">
        <f t="shared" si="6"/>
        <v/>
      </c>
      <c r="AM23" s="843" t="str">
        <f t="shared" si="7"/>
        <v/>
      </c>
      <c r="AN23" s="843" t="str">
        <f t="shared" si="8"/>
        <v/>
      </c>
      <c r="AO23" s="843" t="e">
        <f t="shared" si="9"/>
        <v>#N/A</v>
      </c>
      <c r="AP23" s="834" t="str">
        <f t="shared" si="10"/>
        <v/>
      </c>
      <c r="AQ23" s="837">
        <f t="shared" si="11"/>
        <v>0</v>
      </c>
      <c r="AR23" s="838" t="str">
        <f t="shared" si="12"/>
        <v/>
      </c>
      <c r="AS23" s="839">
        <f t="shared" si="13"/>
        <v>0</v>
      </c>
      <c r="AT23" s="838" t="str">
        <f t="shared" si="14"/>
        <v/>
      </c>
      <c r="AU23" s="840">
        <f t="shared" si="15"/>
        <v>0</v>
      </c>
      <c r="AV23" s="841" t="str">
        <f t="shared" si="16"/>
        <v/>
      </c>
      <c r="AW23" s="840" t="b">
        <f t="shared" si="17"/>
        <v>0</v>
      </c>
      <c r="AX23" s="842" t="b">
        <f t="shared" si="18"/>
        <v>0</v>
      </c>
      <c r="AY23" s="840" t="b">
        <f t="shared" si="19"/>
        <v>0</v>
      </c>
      <c r="AZ23" s="842" t="b">
        <f t="shared" si="20"/>
        <v>0</v>
      </c>
      <c r="BA23" s="834" t="b">
        <f t="shared" si="21"/>
        <v>0</v>
      </c>
      <c r="BB23" s="834" t="b">
        <f t="shared" si="22"/>
        <v>0</v>
      </c>
      <c r="BC23" s="840" t="b">
        <f t="shared" si="23"/>
        <v>0</v>
      </c>
      <c r="BD23" s="843" t="b">
        <f t="shared" si="24"/>
        <v>0</v>
      </c>
      <c r="BE23" s="842" t="b">
        <f t="shared" si="25"/>
        <v>0</v>
      </c>
      <c r="BF23" s="844" t="b">
        <f t="shared" si="26"/>
        <v>0</v>
      </c>
      <c r="BG23" s="792" t="str">
        <f t="shared" si="27"/>
        <v>NA</v>
      </c>
      <c r="BH23" s="792" t="str">
        <f t="shared" si="28"/>
        <v/>
      </c>
      <c r="BI23" s="792" t="str">
        <f t="shared" si="29"/>
        <v/>
      </c>
      <c r="BJ23" s="792" t="str">
        <f t="shared" si="30"/>
        <v/>
      </c>
      <c r="BK23" s="792" t="str">
        <f t="shared" si="31"/>
        <v/>
      </c>
      <c r="BL23" s="845" t="str">
        <f t="shared" si="32"/>
        <v/>
      </c>
      <c r="BM23" s="792" t="str">
        <f t="shared" si="33"/>
        <v/>
      </c>
      <c r="BN23" s="792" t="str">
        <f t="shared" si="34"/>
        <v/>
      </c>
      <c r="BO23" s="1295"/>
      <c r="BP23" s="854" t="s">
        <v>228</v>
      </c>
      <c r="BQ23" s="859">
        <f t="shared" si="38"/>
        <v>0.7</v>
      </c>
      <c r="BR23" s="860">
        <f t="shared" si="38"/>
        <v>0.8</v>
      </c>
      <c r="BS23" s="860">
        <f t="shared" si="38"/>
        <v>0.9</v>
      </c>
      <c r="BT23" s="860">
        <f t="shared" si="38"/>
        <v>0.95</v>
      </c>
      <c r="BU23" s="861">
        <f t="shared" si="38"/>
        <v>1</v>
      </c>
      <c r="BW23" s="795">
        <v>0</v>
      </c>
      <c r="BX23" s="796" t="s">
        <v>216</v>
      </c>
    </row>
    <row r="24" spans="2:93" s="794" customFormat="1" ht="12.95" customHeight="1" x14ac:dyDescent="0.25">
      <c r="B24" s="848" t="str">
        <f>IF(ISNA(Z24),"",IF(OR(Z24=1,Z24=2),"    ",MAX($B$9:B23)+1))</f>
        <v/>
      </c>
      <c r="C24" s="1289" t="str">
        <f t="shared" si="0"/>
        <v/>
      </c>
      <c r="D24" s="1289"/>
      <c r="E24" s="1289"/>
      <c r="F24" s="1290"/>
      <c r="G24" s="829" t="str">
        <f t="shared" si="1"/>
        <v/>
      </c>
      <c r="H24" s="830" t="str">
        <f t="shared" si="2"/>
        <v/>
      </c>
      <c r="I24" s="849" t="str">
        <f t="shared" si="2"/>
        <v/>
      </c>
      <c r="J24" s="852"/>
      <c r="K24" s="851"/>
      <c r="L24" s="1075"/>
      <c r="M24" s="1076"/>
      <c r="N24" s="1076"/>
      <c r="O24" s="1076"/>
      <c r="P24" s="1076"/>
      <c r="Q24" s="1076"/>
      <c r="R24" s="1077"/>
      <c r="T24" s="788">
        <v>16</v>
      </c>
      <c r="U24" s="776" t="e">
        <v>#N/A</v>
      </c>
      <c r="V24" s="834" t="e">
        <v>#N/A</v>
      </c>
      <c r="W24" s="834" t="e">
        <v>#N/A</v>
      </c>
      <c r="X24" s="834" t="e">
        <v>#N/A</v>
      </c>
      <c r="Y24" s="834" t="e">
        <v>#N/A</v>
      </c>
      <c r="Z24" s="843" t="e">
        <v>#N/A</v>
      </c>
      <c r="AA24" s="843" t="e">
        <v>#N/A</v>
      </c>
      <c r="AB24" s="843" t="e">
        <v>#N/A</v>
      </c>
      <c r="AC24" s="834" t="e">
        <v>#N/A</v>
      </c>
      <c r="AD24" s="834" t="e">
        <v>#N/A</v>
      </c>
      <c r="AE24" s="834" t="e">
        <v>#N/A</v>
      </c>
      <c r="AF24" s="834" t="e">
        <v>#N/A</v>
      </c>
      <c r="AG24" s="834" t="e">
        <f t="shared" si="36"/>
        <v>#N/A</v>
      </c>
      <c r="AH24" s="834" t="str">
        <f t="shared" si="37"/>
        <v/>
      </c>
      <c r="AI24" s="835" t="e">
        <f>IF(NOT(OR(Z24=1,Z24=2)),IF(AQ24&gt;0,$AR$45*AQ24/SUMIF($AQ$9:$AQ$40,"&gt;0"),IF(AU24&gt;0,$AV$45*AU24/SUMIF($AU$9:$AU$40,"&gt;0"),IF(AS24&gt;0,$AT$45*AS24/SUMIF($AS$9:$AS$40,"&gt;0"),""))),IF(SUMIF(AJ25:$AJ$40,"=" &amp; AJ24,AI25:$AI$40)=0,"",SUMIF(AJ25:$AJ$40,"=" &amp; AJ24,AI25:$AI$40)))</f>
        <v>#N/A</v>
      </c>
      <c r="AJ24" s="836" t="e">
        <f t="shared" si="35"/>
        <v>#N/A</v>
      </c>
      <c r="AK24" s="834" t="str">
        <f t="shared" si="5"/>
        <v/>
      </c>
      <c r="AL24" s="843" t="str">
        <f t="shared" si="6"/>
        <v/>
      </c>
      <c r="AM24" s="843" t="str">
        <f t="shared" si="7"/>
        <v/>
      </c>
      <c r="AN24" s="843" t="str">
        <f t="shared" si="8"/>
        <v/>
      </c>
      <c r="AO24" s="843" t="e">
        <f t="shared" si="9"/>
        <v>#N/A</v>
      </c>
      <c r="AP24" s="834" t="str">
        <f t="shared" si="10"/>
        <v/>
      </c>
      <c r="AQ24" s="837">
        <f t="shared" si="11"/>
        <v>0</v>
      </c>
      <c r="AR24" s="838" t="str">
        <f t="shared" si="12"/>
        <v/>
      </c>
      <c r="AS24" s="839">
        <f t="shared" si="13"/>
        <v>0</v>
      </c>
      <c r="AT24" s="838" t="str">
        <f t="shared" si="14"/>
        <v/>
      </c>
      <c r="AU24" s="840">
        <f t="shared" si="15"/>
        <v>0</v>
      </c>
      <c r="AV24" s="841" t="str">
        <f t="shared" si="16"/>
        <v/>
      </c>
      <c r="AW24" s="840" t="b">
        <f t="shared" si="17"/>
        <v>0</v>
      </c>
      <c r="AX24" s="842" t="b">
        <f t="shared" si="18"/>
        <v>0</v>
      </c>
      <c r="AY24" s="840" t="b">
        <f t="shared" si="19"/>
        <v>0</v>
      </c>
      <c r="AZ24" s="842" t="b">
        <f t="shared" si="20"/>
        <v>0</v>
      </c>
      <c r="BA24" s="834" t="b">
        <f t="shared" si="21"/>
        <v>0</v>
      </c>
      <c r="BB24" s="834" t="b">
        <f t="shared" si="22"/>
        <v>0</v>
      </c>
      <c r="BC24" s="840" t="b">
        <f t="shared" si="23"/>
        <v>0</v>
      </c>
      <c r="BD24" s="843" t="b">
        <f t="shared" si="24"/>
        <v>0</v>
      </c>
      <c r="BE24" s="842" t="b">
        <f t="shared" si="25"/>
        <v>0</v>
      </c>
      <c r="BF24" s="844" t="b">
        <f t="shared" si="26"/>
        <v>0</v>
      </c>
      <c r="BG24" s="792" t="str">
        <f t="shared" si="27"/>
        <v>NA</v>
      </c>
      <c r="BH24" s="792" t="str">
        <f t="shared" si="28"/>
        <v/>
      </c>
      <c r="BI24" s="792" t="str">
        <f t="shared" si="29"/>
        <v/>
      </c>
      <c r="BJ24" s="792" t="str">
        <f t="shared" si="30"/>
        <v/>
      </c>
      <c r="BK24" s="792" t="str">
        <f t="shared" si="31"/>
        <v/>
      </c>
      <c r="BL24" s="845" t="str">
        <f t="shared" si="32"/>
        <v/>
      </c>
      <c r="BM24" s="792" t="str">
        <f t="shared" si="33"/>
        <v/>
      </c>
      <c r="BN24" s="792" t="str">
        <f t="shared" si="34"/>
        <v/>
      </c>
      <c r="BO24" s="1295"/>
      <c r="BP24" s="854" t="s">
        <v>229</v>
      </c>
      <c r="BQ24" s="859">
        <f t="shared" si="38"/>
        <v>0.7</v>
      </c>
      <c r="BR24" s="860">
        <f t="shared" si="38"/>
        <v>0.76670000000000005</v>
      </c>
      <c r="BS24" s="860">
        <f t="shared" si="38"/>
        <v>0.83330000000000004</v>
      </c>
      <c r="BT24" s="860">
        <f t="shared" si="38"/>
        <v>0.9</v>
      </c>
      <c r="BU24" s="861">
        <f t="shared" si="38"/>
        <v>1</v>
      </c>
      <c r="BW24" s="795">
        <v>1</v>
      </c>
      <c r="BX24" s="846" t="s">
        <v>588</v>
      </c>
    </row>
    <row r="25" spans="2:93" s="794" customFormat="1" ht="12.95" customHeight="1" x14ac:dyDescent="0.25">
      <c r="B25" s="848" t="str">
        <f>IF(ISNA(Z25),"",IF(OR(Z25=1,Z25=2),"    ",MAX($B$9:B24)+1))</f>
        <v/>
      </c>
      <c r="C25" s="1289" t="str">
        <f t="shared" si="0"/>
        <v/>
      </c>
      <c r="D25" s="1289"/>
      <c r="E25" s="1289"/>
      <c r="F25" s="1290"/>
      <c r="G25" s="829" t="str">
        <f t="shared" si="1"/>
        <v/>
      </c>
      <c r="H25" s="830" t="str">
        <f t="shared" si="2"/>
        <v/>
      </c>
      <c r="I25" s="849" t="str">
        <f t="shared" si="2"/>
        <v/>
      </c>
      <c r="J25" s="852"/>
      <c r="K25" s="851"/>
      <c r="L25" s="1075"/>
      <c r="M25" s="1076"/>
      <c r="N25" s="1076"/>
      <c r="O25" s="1076"/>
      <c r="P25" s="1076"/>
      <c r="Q25" s="1076"/>
      <c r="R25" s="1077"/>
      <c r="T25" s="788">
        <v>17</v>
      </c>
      <c r="U25" s="776" t="e">
        <v>#N/A</v>
      </c>
      <c r="V25" s="834" t="e">
        <v>#N/A</v>
      </c>
      <c r="W25" s="834" t="e">
        <v>#N/A</v>
      </c>
      <c r="X25" s="834" t="e">
        <v>#N/A</v>
      </c>
      <c r="Y25" s="834" t="e">
        <v>#N/A</v>
      </c>
      <c r="Z25" s="843" t="e">
        <v>#N/A</v>
      </c>
      <c r="AA25" s="843" t="e">
        <v>#N/A</v>
      </c>
      <c r="AB25" s="843" t="e">
        <v>#N/A</v>
      </c>
      <c r="AC25" s="834" t="e">
        <v>#N/A</v>
      </c>
      <c r="AD25" s="834" t="e">
        <v>#N/A</v>
      </c>
      <c r="AE25" s="834" t="e">
        <v>#N/A</v>
      </c>
      <c r="AF25" s="834" t="e">
        <v>#N/A</v>
      </c>
      <c r="AG25" s="834" t="e">
        <f t="shared" si="36"/>
        <v>#N/A</v>
      </c>
      <c r="AH25" s="834" t="str">
        <f t="shared" si="37"/>
        <v/>
      </c>
      <c r="AI25" s="835" t="e">
        <f>IF(NOT(OR(Z25=1,Z25=2)),IF(AQ25&gt;0,$AR$45*AQ25/SUMIF($AQ$9:$AQ$40,"&gt;0"),IF(AU25&gt;0,$AV$45*AU25/SUMIF($AU$9:$AU$40,"&gt;0"),IF(AS25&gt;0,$AT$45*AS25/SUMIF($AS$9:$AS$40,"&gt;0"),""))),IF(SUMIF(AJ26:$AJ$40,"=" &amp; AJ25,AI26:$AI$40)=0,"",SUMIF(AJ26:$AJ$40,"=" &amp; AJ25,AI26:$AI$40)))</f>
        <v>#N/A</v>
      </c>
      <c r="AJ25" s="836" t="e">
        <f t="shared" si="35"/>
        <v>#N/A</v>
      </c>
      <c r="AK25" s="834" t="str">
        <f t="shared" si="5"/>
        <v/>
      </c>
      <c r="AL25" s="843" t="str">
        <f t="shared" si="6"/>
        <v/>
      </c>
      <c r="AM25" s="843" t="str">
        <f t="shared" si="7"/>
        <v/>
      </c>
      <c r="AN25" s="843" t="str">
        <f t="shared" si="8"/>
        <v/>
      </c>
      <c r="AO25" s="843" t="e">
        <f t="shared" si="9"/>
        <v>#N/A</v>
      </c>
      <c r="AP25" s="834" t="str">
        <f t="shared" si="10"/>
        <v/>
      </c>
      <c r="AQ25" s="837">
        <f t="shared" si="11"/>
        <v>0</v>
      </c>
      <c r="AR25" s="838" t="str">
        <f t="shared" si="12"/>
        <v/>
      </c>
      <c r="AS25" s="839">
        <f t="shared" si="13"/>
        <v>0</v>
      </c>
      <c r="AT25" s="838" t="str">
        <f t="shared" si="14"/>
        <v/>
      </c>
      <c r="AU25" s="840">
        <f t="shared" si="15"/>
        <v>0</v>
      </c>
      <c r="AV25" s="841" t="str">
        <f t="shared" si="16"/>
        <v/>
      </c>
      <c r="AW25" s="840" t="b">
        <f t="shared" si="17"/>
        <v>0</v>
      </c>
      <c r="AX25" s="842" t="b">
        <f t="shared" si="18"/>
        <v>0</v>
      </c>
      <c r="AY25" s="840" t="b">
        <f t="shared" si="19"/>
        <v>0</v>
      </c>
      <c r="AZ25" s="842" t="b">
        <f t="shared" si="20"/>
        <v>0</v>
      </c>
      <c r="BA25" s="834" t="b">
        <f t="shared" si="21"/>
        <v>0</v>
      </c>
      <c r="BB25" s="834" t="b">
        <f t="shared" si="22"/>
        <v>0</v>
      </c>
      <c r="BC25" s="840" t="b">
        <f t="shared" si="23"/>
        <v>0</v>
      </c>
      <c r="BD25" s="843" t="b">
        <f t="shared" si="24"/>
        <v>0</v>
      </c>
      <c r="BE25" s="842" t="b">
        <f t="shared" si="25"/>
        <v>0</v>
      </c>
      <c r="BF25" s="844" t="b">
        <f t="shared" si="26"/>
        <v>0</v>
      </c>
      <c r="BG25" s="792" t="str">
        <f t="shared" si="27"/>
        <v>NA</v>
      </c>
      <c r="BH25" s="792" t="str">
        <f t="shared" si="28"/>
        <v/>
      </c>
      <c r="BI25" s="792" t="str">
        <f t="shared" si="29"/>
        <v/>
      </c>
      <c r="BJ25" s="792" t="str">
        <f t="shared" si="30"/>
        <v/>
      </c>
      <c r="BK25" s="792" t="str">
        <f t="shared" si="31"/>
        <v/>
      </c>
      <c r="BL25" s="845" t="str">
        <f t="shared" si="32"/>
        <v/>
      </c>
      <c r="BM25" s="792" t="str">
        <f t="shared" si="33"/>
        <v/>
      </c>
      <c r="BN25" s="792" t="str">
        <f t="shared" si="34"/>
        <v/>
      </c>
      <c r="BO25" s="1295"/>
      <c r="BP25" s="854" t="s">
        <v>230</v>
      </c>
      <c r="BQ25" s="859">
        <f t="shared" si="38"/>
        <v>0.6</v>
      </c>
      <c r="BR25" s="860">
        <f t="shared" si="38"/>
        <v>0.9</v>
      </c>
      <c r="BS25" s="860">
        <f t="shared" si="38"/>
        <v>0.93330000000000002</v>
      </c>
      <c r="BT25" s="860">
        <f t="shared" si="38"/>
        <v>0.9667</v>
      </c>
      <c r="BU25" s="861">
        <f t="shared" si="38"/>
        <v>1</v>
      </c>
      <c r="BW25" s="795">
        <v>2</v>
      </c>
      <c r="BX25" s="846" t="s">
        <v>589</v>
      </c>
    </row>
    <row r="26" spans="2:93" s="794" customFormat="1" ht="12.95" customHeight="1" x14ac:dyDescent="0.25">
      <c r="B26" s="848" t="str">
        <f>IF(ISNA(Z26),"",IF(OR(Z26=1,Z26=2),"    ",MAX($B$9:B25)+1))</f>
        <v/>
      </c>
      <c r="C26" s="1289" t="str">
        <f t="shared" si="0"/>
        <v/>
      </c>
      <c r="D26" s="1289"/>
      <c r="E26" s="1289"/>
      <c r="F26" s="1290"/>
      <c r="G26" s="829" t="str">
        <f t="shared" si="1"/>
        <v/>
      </c>
      <c r="H26" s="830" t="str">
        <f t="shared" si="2"/>
        <v/>
      </c>
      <c r="I26" s="849" t="str">
        <f t="shared" si="2"/>
        <v/>
      </c>
      <c r="J26" s="852"/>
      <c r="K26" s="851"/>
      <c r="L26" s="1075"/>
      <c r="M26" s="1076"/>
      <c r="N26" s="1076"/>
      <c r="O26" s="1076"/>
      <c r="P26" s="1076"/>
      <c r="Q26" s="1076"/>
      <c r="R26" s="1077"/>
      <c r="T26" s="788">
        <v>18</v>
      </c>
      <c r="U26" s="776" t="e">
        <v>#N/A</v>
      </c>
      <c r="V26" s="834" t="e">
        <v>#N/A</v>
      </c>
      <c r="W26" s="834" t="e">
        <v>#N/A</v>
      </c>
      <c r="X26" s="834" t="e">
        <v>#N/A</v>
      </c>
      <c r="Y26" s="834" t="e">
        <v>#N/A</v>
      </c>
      <c r="Z26" s="843" t="e">
        <v>#N/A</v>
      </c>
      <c r="AA26" s="843" t="e">
        <v>#N/A</v>
      </c>
      <c r="AB26" s="843" t="e">
        <v>#N/A</v>
      </c>
      <c r="AC26" s="834" t="e">
        <v>#N/A</v>
      </c>
      <c r="AD26" s="834" t="e">
        <v>#N/A</v>
      </c>
      <c r="AE26" s="834" t="e">
        <v>#N/A</v>
      </c>
      <c r="AF26" s="834" t="e">
        <v>#N/A</v>
      </c>
      <c r="AG26" s="834" t="e">
        <f t="shared" si="36"/>
        <v>#N/A</v>
      </c>
      <c r="AH26" s="834" t="str">
        <f t="shared" si="37"/>
        <v/>
      </c>
      <c r="AI26" s="835" t="e">
        <f>IF(NOT(OR(Z26=1,Z26=2)),IF(AQ26&gt;0,$AR$45*AQ26/SUMIF($AQ$9:$AQ$40,"&gt;0"),IF(AU26&gt;0,$AV$45*AU26/SUMIF($AU$9:$AU$40,"&gt;0"),IF(AS26&gt;0,$AT$45*AS26/SUMIF($AS$9:$AS$40,"&gt;0"),""))),IF(SUMIF(AJ27:$AJ$40,"=" &amp; AJ26,AI27:$AI$40)=0,"",SUMIF(AJ27:$AJ$40,"=" &amp; AJ26,AI27:$AI$40)))</f>
        <v>#N/A</v>
      </c>
      <c r="AJ26" s="836" t="e">
        <f t="shared" si="35"/>
        <v>#N/A</v>
      </c>
      <c r="AK26" s="834" t="str">
        <f t="shared" si="5"/>
        <v/>
      </c>
      <c r="AL26" s="843" t="str">
        <f t="shared" si="6"/>
        <v/>
      </c>
      <c r="AM26" s="843" t="str">
        <f t="shared" si="7"/>
        <v/>
      </c>
      <c r="AN26" s="843" t="str">
        <f t="shared" si="8"/>
        <v/>
      </c>
      <c r="AO26" s="843" t="e">
        <f t="shared" si="9"/>
        <v>#N/A</v>
      </c>
      <c r="AP26" s="834" t="str">
        <f t="shared" si="10"/>
        <v/>
      </c>
      <c r="AQ26" s="837">
        <f t="shared" si="11"/>
        <v>0</v>
      </c>
      <c r="AR26" s="838" t="str">
        <f t="shared" si="12"/>
        <v/>
      </c>
      <c r="AS26" s="839">
        <f t="shared" si="13"/>
        <v>0</v>
      </c>
      <c r="AT26" s="838" t="str">
        <f t="shared" si="14"/>
        <v/>
      </c>
      <c r="AU26" s="840">
        <f t="shared" si="15"/>
        <v>0</v>
      </c>
      <c r="AV26" s="841" t="str">
        <f t="shared" si="16"/>
        <v/>
      </c>
      <c r="AW26" s="840" t="b">
        <f t="shared" si="17"/>
        <v>0</v>
      </c>
      <c r="AX26" s="842" t="b">
        <f t="shared" si="18"/>
        <v>0</v>
      </c>
      <c r="AY26" s="840" t="b">
        <f t="shared" si="19"/>
        <v>0</v>
      </c>
      <c r="AZ26" s="842" t="b">
        <f t="shared" si="20"/>
        <v>0</v>
      </c>
      <c r="BA26" s="834" t="b">
        <f t="shared" si="21"/>
        <v>0</v>
      </c>
      <c r="BB26" s="834" t="b">
        <f t="shared" si="22"/>
        <v>0</v>
      </c>
      <c r="BC26" s="840" t="b">
        <f t="shared" si="23"/>
        <v>0</v>
      </c>
      <c r="BD26" s="843" t="b">
        <f t="shared" si="24"/>
        <v>0</v>
      </c>
      <c r="BE26" s="842" t="b">
        <f t="shared" si="25"/>
        <v>0</v>
      </c>
      <c r="BF26" s="844" t="b">
        <f t="shared" si="26"/>
        <v>0</v>
      </c>
      <c r="BG26" s="792" t="str">
        <f t="shared" si="27"/>
        <v>NA</v>
      </c>
      <c r="BH26" s="792" t="str">
        <f t="shared" si="28"/>
        <v/>
      </c>
      <c r="BI26" s="792" t="str">
        <f t="shared" si="29"/>
        <v/>
      </c>
      <c r="BJ26" s="792" t="str">
        <f t="shared" si="30"/>
        <v/>
      </c>
      <c r="BK26" s="792" t="str">
        <f t="shared" si="31"/>
        <v/>
      </c>
      <c r="BL26" s="845" t="str">
        <f t="shared" si="32"/>
        <v/>
      </c>
      <c r="BM26" s="792" t="str">
        <f t="shared" si="33"/>
        <v/>
      </c>
      <c r="BN26" s="792" t="str">
        <f t="shared" si="34"/>
        <v/>
      </c>
      <c r="BO26" s="1295"/>
      <c r="BP26" s="854" t="s">
        <v>231</v>
      </c>
      <c r="BQ26" s="859">
        <f t="shared" si="38"/>
        <v>0.6</v>
      </c>
      <c r="BR26" s="860">
        <f t="shared" si="38"/>
        <v>0.7</v>
      </c>
      <c r="BS26" s="860">
        <f t="shared" si="38"/>
        <v>0.9</v>
      </c>
      <c r="BT26" s="860">
        <f t="shared" si="38"/>
        <v>0.95</v>
      </c>
      <c r="BU26" s="861">
        <f t="shared" si="38"/>
        <v>1</v>
      </c>
      <c r="BW26" s="795">
        <v>3</v>
      </c>
      <c r="BX26" s="846" t="s">
        <v>558</v>
      </c>
    </row>
    <row r="27" spans="2:93" s="794" customFormat="1" ht="12.95" customHeight="1" x14ac:dyDescent="0.25">
      <c r="B27" s="848" t="str">
        <f>IF(ISNA(Z27),"",IF(OR(Z27=1,Z27=2),"    ",MAX($B$9:B26)+1))</f>
        <v/>
      </c>
      <c r="C27" s="1289" t="str">
        <f t="shared" si="0"/>
        <v/>
      </c>
      <c r="D27" s="1289"/>
      <c r="E27" s="1289"/>
      <c r="F27" s="1290"/>
      <c r="G27" s="829" t="str">
        <f t="shared" si="1"/>
        <v/>
      </c>
      <c r="H27" s="830" t="str">
        <f t="shared" si="2"/>
        <v/>
      </c>
      <c r="I27" s="849" t="str">
        <f t="shared" si="2"/>
        <v/>
      </c>
      <c r="J27" s="852"/>
      <c r="K27" s="851"/>
      <c r="L27" s="1075"/>
      <c r="M27" s="1076"/>
      <c r="N27" s="1076"/>
      <c r="O27" s="1076"/>
      <c r="P27" s="1076"/>
      <c r="Q27" s="1076"/>
      <c r="R27" s="1077"/>
      <c r="T27" s="788">
        <v>19</v>
      </c>
      <c r="U27" s="776" t="e">
        <v>#N/A</v>
      </c>
      <c r="V27" s="834" t="e">
        <v>#N/A</v>
      </c>
      <c r="W27" s="834" t="e">
        <v>#N/A</v>
      </c>
      <c r="X27" s="834" t="e">
        <v>#N/A</v>
      </c>
      <c r="Y27" s="834" t="e">
        <v>#N/A</v>
      </c>
      <c r="Z27" s="843" t="e">
        <v>#N/A</v>
      </c>
      <c r="AA27" s="843" t="e">
        <v>#N/A</v>
      </c>
      <c r="AB27" s="843" t="e">
        <v>#N/A</v>
      </c>
      <c r="AC27" s="834" t="e">
        <v>#N/A</v>
      </c>
      <c r="AD27" s="834" t="e">
        <v>#N/A</v>
      </c>
      <c r="AE27" s="834" t="e">
        <v>#N/A</v>
      </c>
      <c r="AF27" s="834" t="e">
        <v>#N/A</v>
      </c>
      <c r="AG27" s="834" t="e">
        <f t="shared" si="36"/>
        <v>#N/A</v>
      </c>
      <c r="AH27" s="834" t="str">
        <f t="shared" si="37"/>
        <v/>
      </c>
      <c r="AI27" s="835" t="e">
        <f>IF(NOT(OR(Z27=1,Z27=2)),IF(AQ27&gt;0,$AR$45*AQ27/SUMIF($AQ$9:$AQ$40,"&gt;0"),IF(AU27&gt;0,$AV$45*AU27/SUMIF($AU$9:$AU$40,"&gt;0"),IF(AS27&gt;0,$AT$45*AS27/SUMIF($AS$9:$AS$40,"&gt;0"),""))),IF(SUMIF(AJ28:$AJ$40,"=" &amp; AJ27,AI28:$AI$40)=0,"",SUMIF(AJ28:$AJ$40,"=" &amp; AJ27,AI28:$AI$40)))</f>
        <v>#N/A</v>
      </c>
      <c r="AJ27" s="836" t="e">
        <f t="shared" si="35"/>
        <v>#N/A</v>
      </c>
      <c r="AK27" s="834" t="str">
        <f t="shared" si="5"/>
        <v/>
      </c>
      <c r="AL27" s="843" t="str">
        <f t="shared" si="6"/>
        <v/>
      </c>
      <c r="AM27" s="843" t="str">
        <f t="shared" si="7"/>
        <v/>
      </c>
      <c r="AN27" s="843" t="str">
        <f t="shared" si="8"/>
        <v/>
      </c>
      <c r="AO27" s="843" t="e">
        <f t="shared" si="9"/>
        <v>#N/A</v>
      </c>
      <c r="AP27" s="834" t="str">
        <f t="shared" si="10"/>
        <v/>
      </c>
      <c r="AQ27" s="837">
        <f t="shared" si="11"/>
        <v>0</v>
      </c>
      <c r="AR27" s="838" t="str">
        <f t="shared" si="12"/>
        <v/>
      </c>
      <c r="AS27" s="839">
        <f t="shared" si="13"/>
        <v>0</v>
      </c>
      <c r="AT27" s="838" t="str">
        <f t="shared" si="14"/>
        <v/>
      </c>
      <c r="AU27" s="840">
        <f t="shared" si="15"/>
        <v>0</v>
      </c>
      <c r="AV27" s="841" t="str">
        <f t="shared" si="16"/>
        <v/>
      </c>
      <c r="AW27" s="840" t="b">
        <f t="shared" si="17"/>
        <v>0</v>
      </c>
      <c r="AX27" s="842" t="b">
        <f t="shared" si="18"/>
        <v>0</v>
      </c>
      <c r="AY27" s="840" t="b">
        <f t="shared" si="19"/>
        <v>0</v>
      </c>
      <c r="AZ27" s="842" t="b">
        <f t="shared" si="20"/>
        <v>0</v>
      </c>
      <c r="BA27" s="834" t="b">
        <f t="shared" si="21"/>
        <v>0</v>
      </c>
      <c r="BB27" s="834" t="b">
        <f t="shared" si="22"/>
        <v>0</v>
      </c>
      <c r="BC27" s="840" t="b">
        <f t="shared" si="23"/>
        <v>0</v>
      </c>
      <c r="BD27" s="843" t="b">
        <f t="shared" si="24"/>
        <v>0</v>
      </c>
      <c r="BE27" s="842" t="b">
        <f t="shared" si="25"/>
        <v>0</v>
      </c>
      <c r="BF27" s="844" t="b">
        <f t="shared" si="26"/>
        <v>0</v>
      </c>
      <c r="BG27" s="792" t="str">
        <f t="shared" si="27"/>
        <v>NA</v>
      </c>
      <c r="BH27" s="792" t="str">
        <f t="shared" si="28"/>
        <v/>
      </c>
      <c r="BI27" s="792" t="str">
        <f t="shared" si="29"/>
        <v/>
      </c>
      <c r="BJ27" s="792" t="str">
        <f t="shared" si="30"/>
        <v/>
      </c>
      <c r="BK27" s="792" t="str">
        <f t="shared" si="31"/>
        <v/>
      </c>
      <c r="BL27" s="845" t="str">
        <f t="shared" si="32"/>
        <v/>
      </c>
      <c r="BM27" s="792" t="str">
        <f t="shared" si="33"/>
        <v/>
      </c>
      <c r="BN27" s="792" t="str">
        <f t="shared" si="34"/>
        <v/>
      </c>
      <c r="BO27" s="1295"/>
      <c r="BP27" s="854" t="s">
        <v>232</v>
      </c>
      <c r="BQ27" s="859">
        <f t="shared" si="38"/>
        <v>0.6</v>
      </c>
      <c r="BR27" s="860">
        <f t="shared" si="38"/>
        <v>0.7</v>
      </c>
      <c r="BS27" s="860">
        <f t="shared" si="38"/>
        <v>0.8</v>
      </c>
      <c r="BT27" s="860">
        <f t="shared" si="38"/>
        <v>0.9</v>
      </c>
      <c r="BU27" s="861">
        <f t="shared" si="38"/>
        <v>1</v>
      </c>
      <c r="BW27" s="795">
        <v>4</v>
      </c>
      <c r="BX27" s="846" t="s">
        <v>563</v>
      </c>
    </row>
    <row r="28" spans="2:93" s="794" customFormat="1" ht="12.95" customHeight="1" x14ac:dyDescent="0.25">
      <c r="B28" s="848" t="str">
        <f>IF(ISNA(Z28),"",IF(OR(Z28=1,Z28=2),"    ",MAX($B$9:B27)+1))</f>
        <v/>
      </c>
      <c r="C28" s="1289" t="str">
        <f t="shared" si="0"/>
        <v/>
      </c>
      <c r="D28" s="1289"/>
      <c r="E28" s="1289"/>
      <c r="F28" s="1290"/>
      <c r="G28" s="829" t="str">
        <f t="shared" si="1"/>
        <v/>
      </c>
      <c r="H28" s="830" t="str">
        <f t="shared" si="2"/>
        <v/>
      </c>
      <c r="I28" s="849" t="str">
        <f t="shared" si="2"/>
        <v/>
      </c>
      <c r="J28" s="852"/>
      <c r="K28" s="851"/>
      <c r="L28" s="1075"/>
      <c r="M28" s="1076"/>
      <c r="N28" s="1076"/>
      <c r="O28" s="1076"/>
      <c r="P28" s="1076"/>
      <c r="Q28" s="1076"/>
      <c r="R28" s="1077"/>
      <c r="T28" s="788">
        <v>20</v>
      </c>
      <c r="U28" s="776" t="e">
        <v>#N/A</v>
      </c>
      <c r="V28" s="834" t="e">
        <v>#N/A</v>
      </c>
      <c r="W28" s="834" t="e">
        <v>#N/A</v>
      </c>
      <c r="X28" s="834" t="e">
        <v>#N/A</v>
      </c>
      <c r="Y28" s="834" t="e">
        <v>#N/A</v>
      </c>
      <c r="Z28" s="843" t="e">
        <v>#N/A</v>
      </c>
      <c r="AA28" s="843" t="e">
        <v>#N/A</v>
      </c>
      <c r="AB28" s="843" t="e">
        <v>#N/A</v>
      </c>
      <c r="AC28" s="834" t="e">
        <v>#N/A</v>
      </c>
      <c r="AD28" s="834" t="e">
        <v>#N/A</v>
      </c>
      <c r="AE28" s="834" t="e">
        <v>#N/A</v>
      </c>
      <c r="AF28" s="834" t="e">
        <v>#N/A</v>
      </c>
      <c r="AG28" s="834" t="e">
        <f t="shared" si="36"/>
        <v>#N/A</v>
      </c>
      <c r="AH28" s="834" t="str">
        <f t="shared" si="37"/>
        <v/>
      </c>
      <c r="AI28" s="835" t="e">
        <f>IF(NOT(OR(Z28=1,Z28=2)),IF(AQ28&gt;0,$AR$45*AQ28/SUMIF($AQ$9:$AQ$40,"&gt;0"),IF(AU28&gt;0,$AV$45*AU28/SUMIF($AU$9:$AU$40,"&gt;0"),IF(AS28&gt;0,$AT$45*AS28/SUMIF($AS$9:$AS$40,"&gt;0"),""))),IF(SUMIF(AJ29:$AJ$40,"=" &amp; AJ28,AI29:$AI$40)=0,"",SUMIF(AJ29:$AJ$40,"=" &amp; AJ28,AI29:$AI$40)))</f>
        <v>#N/A</v>
      </c>
      <c r="AJ28" s="836" t="e">
        <f t="shared" si="35"/>
        <v>#N/A</v>
      </c>
      <c r="AK28" s="834" t="str">
        <f t="shared" si="5"/>
        <v/>
      </c>
      <c r="AL28" s="843" t="str">
        <f t="shared" si="6"/>
        <v/>
      </c>
      <c r="AM28" s="843" t="str">
        <f t="shared" si="7"/>
        <v/>
      </c>
      <c r="AN28" s="843" t="str">
        <f t="shared" si="8"/>
        <v/>
      </c>
      <c r="AO28" s="843" t="e">
        <f t="shared" si="9"/>
        <v>#N/A</v>
      </c>
      <c r="AP28" s="834" t="str">
        <f t="shared" si="10"/>
        <v/>
      </c>
      <c r="AQ28" s="837">
        <f t="shared" si="11"/>
        <v>0</v>
      </c>
      <c r="AR28" s="838" t="str">
        <f t="shared" si="12"/>
        <v/>
      </c>
      <c r="AS28" s="839">
        <f t="shared" si="13"/>
        <v>0</v>
      </c>
      <c r="AT28" s="838" t="str">
        <f t="shared" si="14"/>
        <v/>
      </c>
      <c r="AU28" s="840">
        <f t="shared" si="15"/>
        <v>0</v>
      </c>
      <c r="AV28" s="841" t="str">
        <f t="shared" si="16"/>
        <v/>
      </c>
      <c r="AW28" s="840" t="b">
        <f t="shared" si="17"/>
        <v>0</v>
      </c>
      <c r="AX28" s="842" t="b">
        <f t="shared" si="18"/>
        <v>0</v>
      </c>
      <c r="AY28" s="840" t="b">
        <f t="shared" si="19"/>
        <v>0</v>
      </c>
      <c r="AZ28" s="842" t="b">
        <f t="shared" si="20"/>
        <v>0</v>
      </c>
      <c r="BA28" s="834" t="b">
        <f t="shared" si="21"/>
        <v>0</v>
      </c>
      <c r="BB28" s="834" t="b">
        <f t="shared" si="22"/>
        <v>0</v>
      </c>
      <c r="BC28" s="840" t="b">
        <f t="shared" si="23"/>
        <v>0</v>
      </c>
      <c r="BD28" s="843" t="b">
        <f t="shared" si="24"/>
        <v>0</v>
      </c>
      <c r="BE28" s="842" t="b">
        <f t="shared" si="25"/>
        <v>0</v>
      </c>
      <c r="BF28" s="844" t="b">
        <f t="shared" si="26"/>
        <v>0</v>
      </c>
      <c r="BG28" s="792" t="str">
        <f t="shared" si="27"/>
        <v>NA</v>
      </c>
      <c r="BH28" s="792" t="str">
        <f t="shared" si="28"/>
        <v/>
      </c>
      <c r="BI28" s="792" t="str">
        <f t="shared" si="29"/>
        <v/>
      </c>
      <c r="BJ28" s="792" t="str">
        <f t="shared" si="30"/>
        <v/>
      </c>
      <c r="BK28" s="792" t="str">
        <f t="shared" si="31"/>
        <v/>
      </c>
      <c r="BL28" s="845" t="str">
        <f t="shared" si="32"/>
        <v/>
      </c>
      <c r="BM28" s="792" t="str">
        <f t="shared" si="33"/>
        <v/>
      </c>
      <c r="BN28" s="792" t="str">
        <f t="shared" si="34"/>
        <v/>
      </c>
      <c r="BO28" s="1295"/>
      <c r="BP28" s="854" t="s">
        <v>233</v>
      </c>
      <c r="BQ28" s="859">
        <f t="shared" si="38"/>
        <v>0.3</v>
      </c>
      <c r="BR28" s="860">
        <f t="shared" si="38"/>
        <v>0.6</v>
      </c>
      <c r="BS28" s="860">
        <f t="shared" si="38"/>
        <v>0.9</v>
      </c>
      <c r="BT28" s="860">
        <f t="shared" si="38"/>
        <v>0.95</v>
      </c>
      <c r="BU28" s="861">
        <f t="shared" si="38"/>
        <v>1</v>
      </c>
    </row>
    <row r="29" spans="2:93" s="794" customFormat="1" ht="12.95" customHeight="1" x14ac:dyDescent="0.25">
      <c r="B29" s="848" t="str">
        <f>IF(ISNA(Z29),"",IF(OR(Z29=1,Z29=2),"    ",MAX($B$9:B28)+1))</f>
        <v/>
      </c>
      <c r="C29" s="1289" t="str">
        <f t="shared" si="0"/>
        <v/>
      </c>
      <c r="D29" s="1289"/>
      <c r="E29" s="1289"/>
      <c r="F29" s="1290"/>
      <c r="G29" s="829" t="str">
        <f t="shared" si="1"/>
        <v/>
      </c>
      <c r="H29" s="830" t="str">
        <f t="shared" si="2"/>
        <v/>
      </c>
      <c r="I29" s="849" t="str">
        <f t="shared" si="2"/>
        <v/>
      </c>
      <c r="J29" s="852"/>
      <c r="K29" s="851"/>
      <c r="L29" s="1075"/>
      <c r="M29" s="1076"/>
      <c r="N29" s="1076"/>
      <c r="O29" s="1076"/>
      <c r="P29" s="1076"/>
      <c r="Q29" s="1076"/>
      <c r="R29" s="1077"/>
      <c r="T29" s="788">
        <v>21</v>
      </c>
      <c r="U29" s="776" t="e">
        <v>#N/A</v>
      </c>
      <c r="V29" s="834" t="e">
        <v>#N/A</v>
      </c>
      <c r="W29" s="834" t="e">
        <v>#N/A</v>
      </c>
      <c r="X29" s="834" t="e">
        <v>#N/A</v>
      </c>
      <c r="Y29" s="834" t="e">
        <v>#N/A</v>
      </c>
      <c r="Z29" s="843" t="e">
        <v>#N/A</v>
      </c>
      <c r="AA29" s="843" t="e">
        <v>#N/A</v>
      </c>
      <c r="AB29" s="843" t="e">
        <v>#N/A</v>
      </c>
      <c r="AC29" s="834" t="e">
        <v>#N/A</v>
      </c>
      <c r="AD29" s="834" t="e">
        <v>#N/A</v>
      </c>
      <c r="AE29" s="834" t="e">
        <v>#N/A</v>
      </c>
      <c r="AF29" s="834" t="e">
        <v>#N/A</v>
      </c>
      <c r="AG29" s="834" t="e">
        <f t="shared" si="36"/>
        <v>#N/A</v>
      </c>
      <c r="AH29" s="834" t="str">
        <f t="shared" si="37"/>
        <v/>
      </c>
      <c r="AI29" s="835" t="e">
        <f>IF(NOT(OR(Z29=1,Z29=2)),IF(AQ29&gt;0,$AR$45*AQ29/SUMIF($AQ$9:$AQ$40,"&gt;0"),IF(AU29&gt;0,$AV$45*AU29/SUMIF($AU$9:$AU$40,"&gt;0"),IF(AS29&gt;0,$AT$45*AS29/SUMIF($AS$9:$AS$40,"&gt;0"),""))),IF(SUMIF(AJ30:$AJ$40,"=" &amp; AJ29,AI30:$AI$40)=0,"",SUMIF(AJ30:$AJ$40,"=" &amp; AJ29,AI30:$AI$40)))</f>
        <v>#N/A</v>
      </c>
      <c r="AJ29" s="836" t="e">
        <f t="shared" si="35"/>
        <v>#N/A</v>
      </c>
      <c r="AK29" s="834" t="str">
        <f t="shared" si="5"/>
        <v/>
      </c>
      <c r="AL29" s="843" t="str">
        <f t="shared" si="6"/>
        <v/>
      </c>
      <c r="AM29" s="843" t="str">
        <f t="shared" si="7"/>
        <v/>
      </c>
      <c r="AN29" s="843" t="str">
        <f t="shared" si="8"/>
        <v/>
      </c>
      <c r="AO29" s="843" t="e">
        <f t="shared" si="9"/>
        <v>#N/A</v>
      </c>
      <c r="AP29" s="834" t="str">
        <f t="shared" si="10"/>
        <v/>
      </c>
      <c r="AQ29" s="837">
        <f t="shared" si="11"/>
        <v>0</v>
      </c>
      <c r="AR29" s="838" t="str">
        <f t="shared" si="12"/>
        <v/>
      </c>
      <c r="AS29" s="839">
        <f t="shared" si="13"/>
        <v>0</v>
      </c>
      <c r="AT29" s="838" t="str">
        <f t="shared" si="14"/>
        <v/>
      </c>
      <c r="AU29" s="840">
        <f t="shared" si="15"/>
        <v>0</v>
      </c>
      <c r="AV29" s="841" t="str">
        <f t="shared" si="16"/>
        <v/>
      </c>
      <c r="AW29" s="840" t="b">
        <f t="shared" si="17"/>
        <v>0</v>
      </c>
      <c r="AX29" s="842" t="b">
        <f t="shared" si="18"/>
        <v>0</v>
      </c>
      <c r="AY29" s="840" t="b">
        <f t="shared" si="19"/>
        <v>0</v>
      </c>
      <c r="AZ29" s="842" t="b">
        <f t="shared" si="20"/>
        <v>0</v>
      </c>
      <c r="BA29" s="834" t="b">
        <f t="shared" si="21"/>
        <v>0</v>
      </c>
      <c r="BB29" s="834" t="b">
        <f t="shared" si="22"/>
        <v>0</v>
      </c>
      <c r="BC29" s="840" t="b">
        <f t="shared" si="23"/>
        <v>0</v>
      </c>
      <c r="BD29" s="843" t="b">
        <f t="shared" si="24"/>
        <v>0</v>
      </c>
      <c r="BE29" s="842" t="b">
        <f t="shared" si="25"/>
        <v>0</v>
      </c>
      <c r="BF29" s="844" t="b">
        <f t="shared" si="26"/>
        <v>0</v>
      </c>
      <c r="BG29" s="792" t="str">
        <f t="shared" si="27"/>
        <v>NA</v>
      </c>
      <c r="BH29" s="792" t="str">
        <f t="shared" si="28"/>
        <v/>
      </c>
      <c r="BI29" s="792" t="str">
        <f t="shared" si="29"/>
        <v/>
      </c>
      <c r="BJ29" s="792" t="str">
        <f t="shared" si="30"/>
        <v/>
      </c>
      <c r="BK29" s="792" t="str">
        <f t="shared" si="31"/>
        <v/>
      </c>
      <c r="BL29" s="845" t="str">
        <f t="shared" si="32"/>
        <v/>
      </c>
      <c r="BM29" s="792" t="str">
        <f t="shared" si="33"/>
        <v/>
      </c>
      <c r="BN29" s="792" t="str">
        <f t="shared" si="34"/>
        <v/>
      </c>
      <c r="BO29" s="1295"/>
      <c r="BP29" s="854" t="s">
        <v>234</v>
      </c>
      <c r="BQ29" s="859">
        <f t="shared" si="38"/>
        <v>0.3</v>
      </c>
      <c r="BR29" s="860">
        <f t="shared" si="38"/>
        <v>0.6</v>
      </c>
      <c r="BS29" s="860">
        <f t="shared" si="38"/>
        <v>0.7</v>
      </c>
      <c r="BT29" s="860">
        <f t="shared" si="38"/>
        <v>0.9</v>
      </c>
      <c r="BU29" s="861">
        <f t="shared" si="38"/>
        <v>1</v>
      </c>
      <c r="BW29" s="793" t="s">
        <v>590</v>
      </c>
    </row>
    <row r="30" spans="2:93" s="794" customFormat="1" ht="12.95" customHeight="1" x14ac:dyDescent="0.25">
      <c r="B30" s="848" t="str">
        <f>IF(ISNA(Z30),"",IF(OR(Z30=1,Z30=2),"    ",MAX($B$9:B29)+1))</f>
        <v/>
      </c>
      <c r="C30" s="1289" t="str">
        <f t="shared" si="0"/>
        <v/>
      </c>
      <c r="D30" s="1289"/>
      <c r="E30" s="1289"/>
      <c r="F30" s="1290"/>
      <c r="G30" s="829" t="str">
        <f t="shared" si="1"/>
        <v/>
      </c>
      <c r="H30" s="830" t="str">
        <f t="shared" si="2"/>
        <v/>
      </c>
      <c r="I30" s="849" t="str">
        <f t="shared" si="2"/>
        <v/>
      </c>
      <c r="J30" s="852"/>
      <c r="K30" s="851"/>
      <c r="L30" s="1075"/>
      <c r="M30" s="1076"/>
      <c r="N30" s="1076"/>
      <c r="O30" s="1076"/>
      <c r="P30" s="1076"/>
      <c r="Q30" s="1076"/>
      <c r="R30" s="1077"/>
      <c r="T30" s="788">
        <v>22</v>
      </c>
      <c r="U30" s="776" t="e">
        <v>#N/A</v>
      </c>
      <c r="V30" s="834" t="e">
        <v>#N/A</v>
      </c>
      <c r="W30" s="834" t="e">
        <v>#N/A</v>
      </c>
      <c r="X30" s="834" t="e">
        <v>#N/A</v>
      </c>
      <c r="Y30" s="834" t="e">
        <v>#N/A</v>
      </c>
      <c r="Z30" s="843" t="e">
        <v>#N/A</v>
      </c>
      <c r="AA30" s="843" t="e">
        <v>#N/A</v>
      </c>
      <c r="AB30" s="843" t="e">
        <v>#N/A</v>
      </c>
      <c r="AC30" s="834" t="e">
        <v>#N/A</v>
      </c>
      <c r="AD30" s="834" t="e">
        <v>#N/A</v>
      </c>
      <c r="AE30" s="834" t="e">
        <v>#N/A</v>
      </c>
      <c r="AF30" s="834" t="e">
        <v>#N/A</v>
      </c>
      <c r="AG30" s="834" t="e">
        <f t="shared" si="36"/>
        <v>#N/A</v>
      </c>
      <c r="AH30" s="834" t="str">
        <f t="shared" si="37"/>
        <v/>
      </c>
      <c r="AI30" s="835" t="e">
        <f>IF(NOT(OR(Z30=1,Z30=2)),IF(AQ30&gt;0,$AR$45*AQ30/SUMIF($AQ$9:$AQ$40,"&gt;0"),IF(AU30&gt;0,$AV$45*AU30/SUMIF($AU$9:$AU$40,"&gt;0"),IF(AS30&gt;0,$AT$45*AS30/SUMIF($AS$9:$AS$40,"&gt;0"),""))),IF(SUMIF(AJ31:$AJ$40,"=" &amp; AJ30,AI31:$AI$40)=0,"",SUMIF(AJ31:$AJ$40,"=" &amp; AJ30,AI31:$AI$40)))</f>
        <v>#N/A</v>
      </c>
      <c r="AJ30" s="836" t="e">
        <f t="shared" si="35"/>
        <v>#N/A</v>
      </c>
      <c r="AK30" s="834" t="str">
        <f t="shared" si="5"/>
        <v/>
      </c>
      <c r="AL30" s="843" t="str">
        <f t="shared" si="6"/>
        <v/>
      </c>
      <c r="AM30" s="843" t="str">
        <f t="shared" si="7"/>
        <v/>
      </c>
      <c r="AN30" s="843" t="str">
        <f t="shared" si="8"/>
        <v/>
      </c>
      <c r="AO30" s="843" t="e">
        <f t="shared" si="9"/>
        <v>#N/A</v>
      </c>
      <c r="AP30" s="834" t="str">
        <f t="shared" si="10"/>
        <v/>
      </c>
      <c r="AQ30" s="837">
        <f t="shared" si="11"/>
        <v>0</v>
      </c>
      <c r="AR30" s="838" t="str">
        <f t="shared" si="12"/>
        <v/>
      </c>
      <c r="AS30" s="839">
        <f t="shared" si="13"/>
        <v>0</v>
      </c>
      <c r="AT30" s="838" t="str">
        <f t="shared" si="14"/>
        <v/>
      </c>
      <c r="AU30" s="840">
        <f t="shared" si="15"/>
        <v>0</v>
      </c>
      <c r="AV30" s="841" t="str">
        <f t="shared" si="16"/>
        <v/>
      </c>
      <c r="AW30" s="840" t="b">
        <f t="shared" si="17"/>
        <v>0</v>
      </c>
      <c r="AX30" s="842" t="b">
        <f t="shared" si="18"/>
        <v>0</v>
      </c>
      <c r="AY30" s="840" t="b">
        <f t="shared" si="19"/>
        <v>0</v>
      </c>
      <c r="AZ30" s="842" t="b">
        <f t="shared" si="20"/>
        <v>0</v>
      </c>
      <c r="BA30" s="834" t="b">
        <f t="shared" si="21"/>
        <v>0</v>
      </c>
      <c r="BB30" s="834" t="b">
        <f t="shared" si="22"/>
        <v>0</v>
      </c>
      <c r="BC30" s="840" t="b">
        <f t="shared" si="23"/>
        <v>0</v>
      </c>
      <c r="BD30" s="843" t="b">
        <f t="shared" si="24"/>
        <v>0</v>
      </c>
      <c r="BE30" s="842" t="b">
        <f t="shared" si="25"/>
        <v>0</v>
      </c>
      <c r="BF30" s="844" t="b">
        <f t="shared" si="26"/>
        <v>0</v>
      </c>
      <c r="BG30" s="792" t="str">
        <f t="shared" si="27"/>
        <v>NA</v>
      </c>
      <c r="BH30" s="792" t="str">
        <f t="shared" si="28"/>
        <v/>
      </c>
      <c r="BI30" s="792" t="str">
        <f t="shared" si="29"/>
        <v/>
      </c>
      <c r="BJ30" s="792" t="str">
        <f t="shared" si="30"/>
        <v/>
      </c>
      <c r="BK30" s="792" t="str">
        <f t="shared" si="31"/>
        <v/>
      </c>
      <c r="BL30" s="845" t="str">
        <f t="shared" si="32"/>
        <v/>
      </c>
      <c r="BM30" s="792" t="str">
        <f t="shared" si="33"/>
        <v/>
      </c>
      <c r="BN30" s="792" t="str">
        <f t="shared" si="34"/>
        <v/>
      </c>
      <c r="BO30" s="1295"/>
      <c r="BP30" s="854" t="s">
        <v>235</v>
      </c>
      <c r="BQ30" s="862">
        <f t="shared" si="38"/>
        <v>0</v>
      </c>
      <c r="BR30" s="863">
        <f t="shared" si="38"/>
        <v>0.3</v>
      </c>
      <c r="BS30" s="863">
        <f t="shared" si="38"/>
        <v>0.6</v>
      </c>
      <c r="BT30" s="863">
        <f t="shared" si="38"/>
        <v>0.9</v>
      </c>
      <c r="BU30" s="864">
        <f t="shared" si="38"/>
        <v>1</v>
      </c>
      <c r="BW30" s="795" t="s">
        <v>214</v>
      </c>
      <c r="BX30" s="796" t="s">
        <v>215</v>
      </c>
    </row>
    <row r="31" spans="2:93" s="794" customFormat="1" ht="12.95" customHeight="1" x14ac:dyDescent="0.25">
      <c r="B31" s="848" t="str">
        <f>IF(ISNA(Z31),"",IF(OR(Z31=1,Z31=2),"    ",MAX($B$9:B30)+1))</f>
        <v/>
      </c>
      <c r="C31" s="1289" t="str">
        <f t="shared" si="0"/>
        <v/>
      </c>
      <c r="D31" s="1289"/>
      <c r="E31" s="1289"/>
      <c r="F31" s="1290"/>
      <c r="G31" s="829" t="str">
        <f t="shared" si="1"/>
        <v/>
      </c>
      <c r="H31" s="830" t="str">
        <f t="shared" si="2"/>
        <v/>
      </c>
      <c r="I31" s="849" t="str">
        <f t="shared" si="2"/>
        <v/>
      </c>
      <c r="J31" s="852"/>
      <c r="K31" s="851"/>
      <c r="L31" s="1075"/>
      <c r="M31" s="1076"/>
      <c r="N31" s="1076"/>
      <c r="O31" s="1076"/>
      <c r="P31" s="1076"/>
      <c r="Q31" s="1076"/>
      <c r="R31" s="1077"/>
      <c r="T31" s="788">
        <v>23</v>
      </c>
      <c r="U31" s="776" t="e">
        <v>#N/A</v>
      </c>
      <c r="V31" s="834" t="e">
        <v>#N/A</v>
      </c>
      <c r="W31" s="834" t="e">
        <v>#N/A</v>
      </c>
      <c r="X31" s="834" t="e">
        <v>#N/A</v>
      </c>
      <c r="Y31" s="834" t="e">
        <v>#N/A</v>
      </c>
      <c r="Z31" s="843" t="e">
        <v>#N/A</v>
      </c>
      <c r="AA31" s="843" t="e">
        <v>#N/A</v>
      </c>
      <c r="AB31" s="843" t="e">
        <v>#N/A</v>
      </c>
      <c r="AC31" s="834" t="e">
        <v>#N/A</v>
      </c>
      <c r="AD31" s="834" t="e">
        <v>#N/A</v>
      </c>
      <c r="AE31" s="834" t="e">
        <v>#N/A</v>
      </c>
      <c r="AF31" s="834" t="e">
        <v>#N/A</v>
      </c>
      <c r="AG31" s="834" t="e">
        <f t="shared" si="36"/>
        <v>#N/A</v>
      </c>
      <c r="AH31" s="834" t="str">
        <f t="shared" si="37"/>
        <v/>
      </c>
      <c r="AI31" s="835" t="e">
        <f>IF(NOT(OR(Z31=1,Z31=2)),IF(AQ31&gt;0,$AR$45*AQ31/SUMIF($AQ$9:$AQ$40,"&gt;0"),IF(AU31&gt;0,$AV$45*AU31/SUMIF($AU$9:$AU$40,"&gt;0"),IF(AS31&gt;0,$AT$45*AS31/SUMIF($AS$9:$AS$40,"&gt;0"),""))),IF(SUMIF(AJ32:$AJ$40,"=" &amp; AJ31,AI32:$AI$40)=0,"",SUMIF(AJ32:$AJ$40,"=" &amp; AJ31,AI32:$AI$40)))</f>
        <v>#N/A</v>
      </c>
      <c r="AJ31" s="836" t="e">
        <f t="shared" si="35"/>
        <v>#N/A</v>
      </c>
      <c r="AK31" s="834" t="str">
        <f t="shared" si="5"/>
        <v/>
      </c>
      <c r="AL31" s="843" t="str">
        <f t="shared" si="6"/>
        <v/>
      </c>
      <c r="AM31" s="843" t="str">
        <f t="shared" si="7"/>
        <v/>
      </c>
      <c r="AN31" s="843" t="str">
        <f t="shared" si="8"/>
        <v/>
      </c>
      <c r="AO31" s="843" t="e">
        <f t="shared" si="9"/>
        <v>#N/A</v>
      </c>
      <c r="AP31" s="834" t="str">
        <f t="shared" si="10"/>
        <v/>
      </c>
      <c r="AQ31" s="837">
        <f t="shared" si="11"/>
        <v>0</v>
      </c>
      <c r="AR31" s="838" t="str">
        <f t="shared" si="12"/>
        <v/>
      </c>
      <c r="AS31" s="839">
        <f t="shared" si="13"/>
        <v>0</v>
      </c>
      <c r="AT31" s="838" t="str">
        <f t="shared" si="14"/>
        <v/>
      </c>
      <c r="AU31" s="840">
        <f t="shared" si="15"/>
        <v>0</v>
      </c>
      <c r="AV31" s="841" t="str">
        <f t="shared" si="16"/>
        <v/>
      </c>
      <c r="AW31" s="840" t="b">
        <f t="shared" si="17"/>
        <v>0</v>
      </c>
      <c r="AX31" s="842" t="b">
        <f t="shared" si="18"/>
        <v>0</v>
      </c>
      <c r="AY31" s="840" t="b">
        <f t="shared" si="19"/>
        <v>0</v>
      </c>
      <c r="AZ31" s="842" t="b">
        <f t="shared" si="20"/>
        <v>0</v>
      </c>
      <c r="BA31" s="834" t="b">
        <f t="shared" si="21"/>
        <v>0</v>
      </c>
      <c r="BB31" s="834" t="b">
        <f t="shared" si="22"/>
        <v>0</v>
      </c>
      <c r="BC31" s="840" t="b">
        <f t="shared" si="23"/>
        <v>0</v>
      </c>
      <c r="BD31" s="843" t="b">
        <f t="shared" si="24"/>
        <v>0</v>
      </c>
      <c r="BE31" s="842" t="b">
        <f t="shared" si="25"/>
        <v>0</v>
      </c>
      <c r="BF31" s="844" t="b">
        <f t="shared" si="26"/>
        <v>0</v>
      </c>
      <c r="BG31" s="792" t="str">
        <f t="shared" si="27"/>
        <v>NA</v>
      </c>
      <c r="BH31" s="792" t="str">
        <f t="shared" si="28"/>
        <v/>
      </c>
      <c r="BI31" s="792" t="str">
        <f t="shared" si="29"/>
        <v/>
      </c>
      <c r="BJ31" s="792" t="str">
        <f t="shared" si="30"/>
        <v/>
      </c>
      <c r="BK31" s="792" t="str">
        <f t="shared" si="31"/>
        <v/>
      </c>
      <c r="BL31" s="845" t="str">
        <f t="shared" si="32"/>
        <v/>
      </c>
      <c r="BM31" s="792" t="str">
        <f t="shared" si="33"/>
        <v/>
      </c>
      <c r="BN31" s="792" t="str">
        <f t="shared" si="34"/>
        <v/>
      </c>
      <c r="BO31" s="779"/>
      <c r="BW31" s="795">
        <v>0</v>
      </c>
      <c r="BX31" s="796" t="s">
        <v>216</v>
      </c>
    </row>
    <row r="32" spans="2:93" s="794" customFormat="1" ht="12.95" customHeight="1" x14ac:dyDescent="0.25">
      <c r="B32" s="848" t="str">
        <f>IF(ISNA(Z32),"",IF(OR(Z32=1,Z32=2),"    ",MAX($B$9:B31)+1))</f>
        <v/>
      </c>
      <c r="C32" s="1289" t="str">
        <f t="shared" si="0"/>
        <v/>
      </c>
      <c r="D32" s="1289"/>
      <c r="E32" s="1289"/>
      <c r="F32" s="1290"/>
      <c r="G32" s="829" t="str">
        <f t="shared" si="1"/>
        <v/>
      </c>
      <c r="H32" s="830" t="str">
        <f t="shared" si="2"/>
        <v/>
      </c>
      <c r="I32" s="849" t="str">
        <f t="shared" si="2"/>
        <v/>
      </c>
      <c r="J32" s="852"/>
      <c r="K32" s="851"/>
      <c r="L32" s="1075"/>
      <c r="M32" s="1076"/>
      <c r="N32" s="1076"/>
      <c r="O32" s="1076"/>
      <c r="P32" s="1076"/>
      <c r="Q32" s="1076"/>
      <c r="R32" s="1077"/>
      <c r="T32" s="788">
        <v>24</v>
      </c>
      <c r="U32" s="776" t="e">
        <v>#N/A</v>
      </c>
      <c r="V32" s="834" t="e">
        <v>#N/A</v>
      </c>
      <c r="W32" s="834" t="e">
        <v>#N/A</v>
      </c>
      <c r="X32" s="834" t="e">
        <v>#N/A</v>
      </c>
      <c r="Y32" s="834" t="e">
        <v>#N/A</v>
      </c>
      <c r="Z32" s="843" t="e">
        <v>#N/A</v>
      </c>
      <c r="AA32" s="843" t="e">
        <v>#N/A</v>
      </c>
      <c r="AB32" s="843" t="e">
        <v>#N/A</v>
      </c>
      <c r="AC32" s="834" t="e">
        <v>#N/A</v>
      </c>
      <c r="AD32" s="834" t="e">
        <v>#N/A</v>
      </c>
      <c r="AE32" s="834" t="e">
        <v>#N/A</v>
      </c>
      <c r="AF32" s="834" t="e">
        <v>#N/A</v>
      </c>
      <c r="AG32" s="834" t="e">
        <f t="shared" si="36"/>
        <v>#N/A</v>
      </c>
      <c r="AH32" s="834" t="str">
        <f t="shared" si="37"/>
        <v/>
      </c>
      <c r="AI32" s="835" t="e">
        <f>IF(NOT(OR(Z32=1,Z32=2)),IF(AQ32&gt;0,$AR$45*AQ32/SUMIF($AQ$9:$AQ$40,"&gt;0"),IF(AU32&gt;0,$AV$45*AU32/SUMIF($AU$9:$AU$40,"&gt;0"),IF(AS32&gt;0,$AT$45*AS32/SUMIF($AS$9:$AS$40,"&gt;0"),""))),IF(SUMIF(AJ33:$AJ$40,"=" &amp; AJ32,AI33:$AI$40)=0,"",SUMIF(AJ33:$AJ$40,"=" &amp; AJ32,AI33:$AI$40)))</f>
        <v>#N/A</v>
      </c>
      <c r="AJ32" s="836" t="e">
        <f t="shared" si="35"/>
        <v>#N/A</v>
      </c>
      <c r="AK32" s="834" t="str">
        <f t="shared" si="5"/>
        <v/>
      </c>
      <c r="AL32" s="843" t="str">
        <f t="shared" si="6"/>
        <v/>
      </c>
      <c r="AM32" s="843" t="str">
        <f t="shared" si="7"/>
        <v/>
      </c>
      <c r="AN32" s="843" t="str">
        <f t="shared" si="8"/>
        <v/>
      </c>
      <c r="AO32" s="843" t="e">
        <f t="shared" si="9"/>
        <v>#N/A</v>
      </c>
      <c r="AP32" s="834" t="str">
        <f t="shared" si="10"/>
        <v/>
      </c>
      <c r="AQ32" s="837">
        <f t="shared" si="11"/>
        <v>0</v>
      </c>
      <c r="AR32" s="838" t="str">
        <f t="shared" si="12"/>
        <v/>
      </c>
      <c r="AS32" s="839">
        <f t="shared" si="13"/>
        <v>0</v>
      </c>
      <c r="AT32" s="838" t="str">
        <f t="shared" si="14"/>
        <v/>
      </c>
      <c r="AU32" s="840">
        <f t="shared" si="15"/>
        <v>0</v>
      </c>
      <c r="AV32" s="841" t="str">
        <f t="shared" si="16"/>
        <v/>
      </c>
      <c r="AW32" s="840" t="b">
        <f t="shared" si="17"/>
        <v>0</v>
      </c>
      <c r="AX32" s="842" t="b">
        <f t="shared" si="18"/>
        <v>0</v>
      </c>
      <c r="AY32" s="840" t="b">
        <f t="shared" si="19"/>
        <v>0</v>
      </c>
      <c r="AZ32" s="842" t="b">
        <f t="shared" si="20"/>
        <v>0</v>
      </c>
      <c r="BA32" s="834" t="b">
        <f t="shared" si="21"/>
        <v>0</v>
      </c>
      <c r="BB32" s="834" t="b">
        <f t="shared" si="22"/>
        <v>0</v>
      </c>
      <c r="BC32" s="840" t="b">
        <f t="shared" si="23"/>
        <v>0</v>
      </c>
      <c r="BD32" s="843" t="b">
        <f t="shared" si="24"/>
        <v>0</v>
      </c>
      <c r="BE32" s="842" t="b">
        <f t="shared" si="25"/>
        <v>0</v>
      </c>
      <c r="BF32" s="844" t="b">
        <f t="shared" si="26"/>
        <v>0</v>
      </c>
      <c r="BG32" s="792" t="str">
        <f t="shared" si="27"/>
        <v>NA</v>
      </c>
      <c r="BH32" s="792" t="str">
        <f t="shared" si="28"/>
        <v/>
      </c>
      <c r="BI32" s="792" t="str">
        <f t="shared" si="29"/>
        <v/>
      </c>
      <c r="BJ32" s="792" t="str">
        <f t="shared" si="30"/>
        <v/>
      </c>
      <c r="BK32" s="792" t="str">
        <f t="shared" si="31"/>
        <v/>
      </c>
      <c r="BL32" s="845" t="str">
        <f t="shared" si="32"/>
        <v/>
      </c>
      <c r="BM32" s="792" t="str">
        <f t="shared" si="33"/>
        <v/>
      </c>
      <c r="BN32" s="792" t="str">
        <f t="shared" si="34"/>
        <v/>
      </c>
      <c r="BO32" s="795" t="s">
        <v>236</v>
      </c>
      <c r="BP32" s="826" t="s">
        <v>237</v>
      </c>
      <c r="BW32" s="795">
        <v>1</v>
      </c>
      <c r="BX32" s="846" t="s">
        <v>591</v>
      </c>
    </row>
    <row r="33" spans="2:76 1271:1271" s="794" customFormat="1" ht="12.95" customHeight="1" x14ac:dyDescent="0.25">
      <c r="B33" s="848" t="str">
        <f>IF(ISNA(Z33),"",IF(OR(Z33=1,Z33=2),"    ",MAX($B$9:B32)+1))</f>
        <v/>
      </c>
      <c r="C33" s="1289" t="str">
        <f t="shared" si="0"/>
        <v/>
      </c>
      <c r="D33" s="1289"/>
      <c r="E33" s="1289"/>
      <c r="F33" s="1290"/>
      <c r="G33" s="829" t="str">
        <f t="shared" si="1"/>
        <v/>
      </c>
      <c r="H33" s="830" t="str">
        <f t="shared" si="2"/>
        <v/>
      </c>
      <c r="I33" s="849" t="str">
        <f t="shared" si="2"/>
        <v/>
      </c>
      <c r="J33" s="852"/>
      <c r="K33" s="851"/>
      <c r="L33" s="1075"/>
      <c r="M33" s="1076"/>
      <c r="N33" s="1076"/>
      <c r="O33" s="1076"/>
      <c r="P33" s="1076"/>
      <c r="Q33" s="1076"/>
      <c r="R33" s="1077"/>
      <c r="T33" s="788">
        <v>25</v>
      </c>
      <c r="U33" s="776" t="e">
        <v>#N/A</v>
      </c>
      <c r="V33" s="834" t="e">
        <v>#N/A</v>
      </c>
      <c r="W33" s="834" t="e">
        <v>#N/A</v>
      </c>
      <c r="X33" s="834" t="e">
        <v>#N/A</v>
      </c>
      <c r="Y33" s="834" t="e">
        <v>#N/A</v>
      </c>
      <c r="Z33" s="843" t="e">
        <v>#N/A</v>
      </c>
      <c r="AA33" s="843" t="e">
        <v>#N/A</v>
      </c>
      <c r="AB33" s="843" t="e">
        <v>#N/A</v>
      </c>
      <c r="AC33" s="834" t="e">
        <v>#N/A</v>
      </c>
      <c r="AD33" s="834" t="e">
        <v>#N/A</v>
      </c>
      <c r="AE33" s="834" t="e">
        <v>#N/A</v>
      </c>
      <c r="AF33" s="834" t="e">
        <v>#N/A</v>
      </c>
      <c r="AG33" s="834" t="e">
        <f t="shared" si="36"/>
        <v>#N/A</v>
      </c>
      <c r="AH33" s="834" t="str">
        <f t="shared" si="37"/>
        <v/>
      </c>
      <c r="AI33" s="835" t="e">
        <f>IF(NOT(OR(Z33=1,Z33=2)),IF(AQ33&gt;0,$AR$45*AQ33/SUMIF($AQ$9:$AQ$40,"&gt;0"),IF(AU33&gt;0,$AV$45*AU33/SUMIF($AU$9:$AU$40,"&gt;0"),IF(AS33&gt;0,$AT$45*AS33/SUMIF($AS$9:$AS$40,"&gt;0"),""))),IF(SUMIF(AJ34:$AJ$40,"=" &amp; AJ33,AI34:$AI$40)=0,"",SUMIF(AJ34:$AJ$40,"=" &amp; AJ33,AI34:$AI$40)))</f>
        <v>#N/A</v>
      </c>
      <c r="AJ33" s="836" t="e">
        <f t="shared" si="35"/>
        <v>#N/A</v>
      </c>
      <c r="AK33" s="834" t="str">
        <f t="shared" si="5"/>
        <v/>
      </c>
      <c r="AL33" s="843" t="str">
        <f t="shared" si="6"/>
        <v/>
      </c>
      <c r="AM33" s="843" t="str">
        <f t="shared" si="7"/>
        <v/>
      </c>
      <c r="AN33" s="843" t="str">
        <f t="shared" si="8"/>
        <v/>
      </c>
      <c r="AO33" s="843" t="e">
        <f t="shared" si="9"/>
        <v>#N/A</v>
      </c>
      <c r="AP33" s="834" t="str">
        <f t="shared" si="10"/>
        <v/>
      </c>
      <c r="AQ33" s="837">
        <f t="shared" si="11"/>
        <v>0</v>
      </c>
      <c r="AR33" s="838" t="str">
        <f t="shared" si="12"/>
        <v/>
      </c>
      <c r="AS33" s="839">
        <f t="shared" si="13"/>
        <v>0</v>
      </c>
      <c r="AT33" s="838" t="str">
        <f t="shared" si="14"/>
        <v/>
      </c>
      <c r="AU33" s="840">
        <f t="shared" si="15"/>
        <v>0</v>
      </c>
      <c r="AV33" s="841" t="str">
        <f t="shared" si="16"/>
        <v/>
      </c>
      <c r="AW33" s="840" t="b">
        <f t="shared" si="17"/>
        <v>0</v>
      </c>
      <c r="AX33" s="842" t="b">
        <f t="shared" si="18"/>
        <v>0</v>
      </c>
      <c r="AY33" s="840" t="b">
        <f t="shared" si="19"/>
        <v>0</v>
      </c>
      <c r="AZ33" s="842" t="b">
        <f t="shared" si="20"/>
        <v>0</v>
      </c>
      <c r="BA33" s="834" t="b">
        <f t="shared" si="21"/>
        <v>0</v>
      </c>
      <c r="BB33" s="834" t="b">
        <f t="shared" si="22"/>
        <v>0</v>
      </c>
      <c r="BC33" s="840" t="b">
        <f t="shared" si="23"/>
        <v>0</v>
      </c>
      <c r="BD33" s="843" t="b">
        <f t="shared" si="24"/>
        <v>0</v>
      </c>
      <c r="BE33" s="842" t="b">
        <f t="shared" si="25"/>
        <v>0</v>
      </c>
      <c r="BF33" s="844" t="b">
        <f t="shared" si="26"/>
        <v>0</v>
      </c>
      <c r="BG33" s="792" t="str">
        <f t="shared" si="27"/>
        <v>NA</v>
      </c>
      <c r="BH33" s="792" t="str">
        <f t="shared" si="28"/>
        <v/>
      </c>
      <c r="BI33" s="792" t="str">
        <f t="shared" si="29"/>
        <v/>
      </c>
      <c r="BJ33" s="792" t="str">
        <f t="shared" si="30"/>
        <v/>
      </c>
      <c r="BK33" s="792" t="str">
        <f t="shared" si="31"/>
        <v/>
      </c>
      <c r="BL33" s="845" t="str">
        <f t="shared" si="32"/>
        <v/>
      </c>
      <c r="BM33" s="792" t="str">
        <f t="shared" si="33"/>
        <v/>
      </c>
      <c r="BN33" s="792" t="str">
        <f t="shared" si="34"/>
        <v/>
      </c>
      <c r="BO33" s="795" t="s">
        <v>238</v>
      </c>
      <c r="BP33" s="826" t="s">
        <v>239</v>
      </c>
      <c r="BW33" s="795">
        <v>2</v>
      </c>
      <c r="BX33" s="846" t="s">
        <v>592</v>
      </c>
    </row>
    <row r="34" spans="2:76 1271:1271" s="794" customFormat="1" ht="12.95" customHeight="1" x14ac:dyDescent="0.25">
      <c r="B34" s="848" t="str">
        <f>IF(ISNA(Z34),"",IF(OR(Z34=1,Z34=2),"    ",MAX($B$9:B33)+1))</f>
        <v/>
      </c>
      <c r="C34" s="1289" t="str">
        <f t="shared" si="0"/>
        <v/>
      </c>
      <c r="D34" s="1289"/>
      <c r="E34" s="1289"/>
      <c r="F34" s="1290"/>
      <c r="G34" s="829" t="str">
        <f t="shared" si="1"/>
        <v/>
      </c>
      <c r="H34" s="830" t="str">
        <f t="shared" si="2"/>
        <v/>
      </c>
      <c r="I34" s="849" t="str">
        <f t="shared" si="2"/>
        <v/>
      </c>
      <c r="J34" s="852"/>
      <c r="K34" s="851"/>
      <c r="L34" s="1075"/>
      <c r="M34" s="1076"/>
      <c r="N34" s="1076"/>
      <c r="O34" s="1076"/>
      <c r="P34" s="1076"/>
      <c r="Q34" s="1076"/>
      <c r="R34" s="1077"/>
      <c r="T34" s="788">
        <v>26</v>
      </c>
      <c r="U34" s="776" t="e">
        <v>#N/A</v>
      </c>
      <c r="V34" s="834" t="e">
        <v>#N/A</v>
      </c>
      <c r="W34" s="834" t="e">
        <v>#N/A</v>
      </c>
      <c r="X34" s="834" t="e">
        <v>#N/A</v>
      </c>
      <c r="Y34" s="834" t="e">
        <v>#N/A</v>
      </c>
      <c r="Z34" s="843" t="e">
        <v>#N/A</v>
      </c>
      <c r="AA34" s="843" t="e">
        <v>#N/A</v>
      </c>
      <c r="AB34" s="843" t="e">
        <v>#N/A</v>
      </c>
      <c r="AC34" s="834" t="e">
        <v>#N/A</v>
      </c>
      <c r="AD34" s="834" t="e">
        <v>#N/A</v>
      </c>
      <c r="AE34" s="834" t="e">
        <v>#N/A</v>
      </c>
      <c r="AF34" s="834" t="e">
        <v>#N/A</v>
      </c>
      <c r="AG34" s="834" t="e">
        <f t="shared" si="36"/>
        <v>#N/A</v>
      </c>
      <c r="AH34" s="834" t="str">
        <f t="shared" si="37"/>
        <v/>
      </c>
      <c r="AI34" s="835" t="e">
        <f>IF(NOT(OR(Z34=1,Z34=2)),IF(AQ34&gt;0,$AR$45*AQ34/SUMIF($AQ$9:$AQ$40,"&gt;0"),IF(AU34&gt;0,$AV$45*AU34/SUMIF($AU$9:$AU$40,"&gt;0"),IF(AS34&gt;0,$AT$45*AS34/SUMIF($AS$9:$AS$40,"&gt;0"),""))),IF(SUMIF(AJ35:$AJ$40,"=" &amp; AJ34,AI35:$AI$40)=0,"",SUMIF(AJ35:$AJ$40,"=" &amp; AJ34,AI35:$AI$40)))</f>
        <v>#N/A</v>
      </c>
      <c r="AJ34" s="836" t="e">
        <f t="shared" si="35"/>
        <v>#N/A</v>
      </c>
      <c r="AK34" s="834" t="str">
        <f t="shared" si="5"/>
        <v/>
      </c>
      <c r="AL34" s="843" t="str">
        <f t="shared" si="6"/>
        <v/>
      </c>
      <c r="AM34" s="843" t="str">
        <f t="shared" si="7"/>
        <v/>
      </c>
      <c r="AN34" s="843" t="str">
        <f t="shared" si="8"/>
        <v/>
      </c>
      <c r="AO34" s="843" t="e">
        <f t="shared" si="9"/>
        <v>#N/A</v>
      </c>
      <c r="AP34" s="834" t="str">
        <f t="shared" si="10"/>
        <v/>
      </c>
      <c r="AQ34" s="837">
        <f t="shared" si="11"/>
        <v>0</v>
      </c>
      <c r="AR34" s="838" t="str">
        <f t="shared" si="12"/>
        <v/>
      </c>
      <c r="AS34" s="839">
        <f t="shared" si="13"/>
        <v>0</v>
      </c>
      <c r="AT34" s="838" t="str">
        <f t="shared" si="14"/>
        <v/>
      </c>
      <c r="AU34" s="840">
        <f t="shared" si="15"/>
        <v>0</v>
      </c>
      <c r="AV34" s="841" t="str">
        <f t="shared" si="16"/>
        <v/>
      </c>
      <c r="AW34" s="840" t="b">
        <f t="shared" si="17"/>
        <v>0</v>
      </c>
      <c r="AX34" s="842" t="b">
        <f t="shared" si="18"/>
        <v>0</v>
      </c>
      <c r="AY34" s="840" t="b">
        <f t="shared" si="19"/>
        <v>0</v>
      </c>
      <c r="AZ34" s="842" t="b">
        <f t="shared" si="20"/>
        <v>0</v>
      </c>
      <c r="BA34" s="834" t="b">
        <f t="shared" si="21"/>
        <v>0</v>
      </c>
      <c r="BB34" s="834" t="b">
        <f t="shared" si="22"/>
        <v>0</v>
      </c>
      <c r="BC34" s="840" t="b">
        <f t="shared" si="23"/>
        <v>0</v>
      </c>
      <c r="BD34" s="843" t="b">
        <f t="shared" si="24"/>
        <v>0</v>
      </c>
      <c r="BE34" s="842" t="b">
        <f t="shared" si="25"/>
        <v>0</v>
      </c>
      <c r="BF34" s="844" t="b">
        <f t="shared" si="26"/>
        <v>0</v>
      </c>
      <c r="BG34" s="792" t="str">
        <f t="shared" si="27"/>
        <v>NA</v>
      </c>
      <c r="BH34" s="792" t="str">
        <f t="shared" si="28"/>
        <v/>
      </c>
      <c r="BI34" s="792" t="str">
        <f t="shared" si="29"/>
        <v/>
      </c>
      <c r="BJ34" s="792" t="str">
        <f t="shared" si="30"/>
        <v/>
      </c>
      <c r="BK34" s="792" t="str">
        <f t="shared" si="31"/>
        <v/>
      </c>
      <c r="BL34" s="845" t="str">
        <f t="shared" si="32"/>
        <v/>
      </c>
      <c r="BM34" s="792" t="str">
        <f t="shared" si="33"/>
        <v/>
      </c>
      <c r="BN34" s="792" t="str">
        <f t="shared" si="34"/>
        <v/>
      </c>
      <c r="BO34" s="846" t="s">
        <v>240</v>
      </c>
      <c r="BP34" s="826"/>
      <c r="BQ34" s="826"/>
      <c r="BR34" s="826"/>
      <c r="BS34" s="826"/>
      <c r="BT34" s="826"/>
      <c r="BU34" s="826"/>
      <c r="BW34" s="795">
        <v>3</v>
      </c>
      <c r="BX34" s="846" t="s">
        <v>559</v>
      </c>
    </row>
    <row r="35" spans="2:76 1271:1271" s="794" customFormat="1" ht="12.95" customHeight="1" x14ac:dyDescent="0.25">
      <c r="B35" s="848" t="str">
        <f>IF(ISNA(Z35),"",IF(OR(Z35=1,Z35=2),"    ",MAX($B$9:B34)+1))</f>
        <v/>
      </c>
      <c r="C35" s="1289" t="str">
        <f t="shared" si="0"/>
        <v/>
      </c>
      <c r="D35" s="1289"/>
      <c r="E35" s="1289"/>
      <c r="F35" s="1290"/>
      <c r="G35" s="829" t="str">
        <f t="shared" si="1"/>
        <v/>
      </c>
      <c r="H35" s="830" t="str">
        <f t="shared" si="2"/>
        <v/>
      </c>
      <c r="I35" s="849" t="str">
        <f t="shared" si="2"/>
        <v/>
      </c>
      <c r="J35" s="852"/>
      <c r="K35" s="851"/>
      <c r="L35" s="1075"/>
      <c r="M35" s="1076"/>
      <c r="N35" s="1076"/>
      <c r="O35" s="1076"/>
      <c r="P35" s="1076"/>
      <c r="Q35" s="1076"/>
      <c r="R35" s="1077"/>
      <c r="T35" s="788">
        <v>27</v>
      </c>
      <c r="U35" s="776" t="e">
        <v>#N/A</v>
      </c>
      <c r="V35" s="834" t="e">
        <v>#N/A</v>
      </c>
      <c r="W35" s="834" t="e">
        <v>#N/A</v>
      </c>
      <c r="X35" s="834" t="e">
        <v>#N/A</v>
      </c>
      <c r="Y35" s="834" t="e">
        <v>#N/A</v>
      </c>
      <c r="Z35" s="843" t="e">
        <v>#N/A</v>
      </c>
      <c r="AA35" s="843" t="e">
        <v>#N/A</v>
      </c>
      <c r="AB35" s="843" t="e">
        <v>#N/A</v>
      </c>
      <c r="AC35" s="834" t="e">
        <v>#N/A</v>
      </c>
      <c r="AD35" s="834" t="e">
        <v>#N/A</v>
      </c>
      <c r="AE35" s="834" t="e">
        <v>#N/A</v>
      </c>
      <c r="AF35" s="834" t="e">
        <v>#N/A</v>
      </c>
      <c r="AG35" s="834" t="e">
        <f t="shared" si="36"/>
        <v>#N/A</v>
      </c>
      <c r="AH35" s="834" t="str">
        <f t="shared" si="37"/>
        <v/>
      </c>
      <c r="AI35" s="835" t="e">
        <f>IF(NOT(OR(Z35=1,Z35=2)),IF(AQ35&gt;0,$AR$45*AQ35/SUMIF($AQ$9:$AQ$40,"&gt;0"),IF(AU35&gt;0,$AV$45*AU35/SUMIF($AU$9:$AU$40,"&gt;0"),IF(AS35&gt;0,$AT$45*AS35/SUMIF($AS$9:$AS$40,"&gt;0"),""))),IF(SUMIF(AJ36:$AJ$40,"=" &amp; AJ35,AI36:$AI$40)=0,"",SUMIF(AJ36:$AJ$40,"=" &amp; AJ35,AI36:$AI$40)))</f>
        <v>#N/A</v>
      </c>
      <c r="AJ35" s="836" t="e">
        <f t="shared" si="35"/>
        <v>#N/A</v>
      </c>
      <c r="AK35" s="834" t="str">
        <f t="shared" si="5"/>
        <v/>
      </c>
      <c r="AL35" s="843" t="str">
        <f t="shared" si="6"/>
        <v/>
      </c>
      <c r="AM35" s="843" t="str">
        <f t="shared" si="7"/>
        <v/>
      </c>
      <c r="AN35" s="843" t="str">
        <f t="shared" si="8"/>
        <v/>
      </c>
      <c r="AO35" s="843" t="e">
        <f t="shared" si="9"/>
        <v>#N/A</v>
      </c>
      <c r="AP35" s="834" t="str">
        <f t="shared" si="10"/>
        <v/>
      </c>
      <c r="AQ35" s="837">
        <f t="shared" si="11"/>
        <v>0</v>
      </c>
      <c r="AR35" s="838" t="str">
        <f t="shared" si="12"/>
        <v/>
      </c>
      <c r="AS35" s="839">
        <f t="shared" si="13"/>
        <v>0</v>
      </c>
      <c r="AT35" s="838" t="str">
        <f t="shared" si="14"/>
        <v/>
      </c>
      <c r="AU35" s="840">
        <f t="shared" si="15"/>
        <v>0</v>
      </c>
      <c r="AV35" s="841" t="str">
        <f t="shared" si="16"/>
        <v/>
      </c>
      <c r="AW35" s="840" t="b">
        <f t="shared" si="17"/>
        <v>0</v>
      </c>
      <c r="AX35" s="842" t="b">
        <f t="shared" si="18"/>
        <v>0</v>
      </c>
      <c r="AY35" s="840" t="b">
        <f t="shared" si="19"/>
        <v>0</v>
      </c>
      <c r="AZ35" s="842" t="b">
        <f t="shared" si="20"/>
        <v>0</v>
      </c>
      <c r="BA35" s="834" t="b">
        <f t="shared" si="21"/>
        <v>0</v>
      </c>
      <c r="BB35" s="834" t="b">
        <f t="shared" si="22"/>
        <v>0</v>
      </c>
      <c r="BC35" s="840" t="b">
        <f t="shared" si="23"/>
        <v>0</v>
      </c>
      <c r="BD35" s="843" t="b">
        <f t="shared" si="24"/>
        <v>0</v>
      </c>
      <c r="BE35" s="842" t="b">
        <f t="shared" si="25"/>
        <v>0</v>
      </c>
      <c r="BF35" s="844" t="b">
        <f t="shared" si="26"/>
        <v>0</v>
      </c>
      <c r="BG35" s="792" t="str">
        <f t="shared" si="27"/>
        <v>NA</v>
      </c>
      <c r="BH35" s="792" t="str">
        <f t="shared" si="28"/>
        <v/>
      </c>
      <c r="BI35" s="792" t="str">
        <f t="shared" si="29"/>
        <v/>
      </c>
      <c r="BJ35" s="792" t="str">
        <f t="shared" si="30"/>
        <v/>
      </c>
      <c r="BK35" s="792" t="str">
        <f t="shared" si="31"/>
        <v/>
      </c>
      <c r="BL35" s="845" t="str">
        <f t="shared" si="32"/>
        <v/>
      </c>
      <c r="BM35" s="792" t="str">
        <f t="shared" si="33"/>
        <v/>
      </c>
      <c r="BN35" s="792" t="str">
        <f t="shared" si="34"/>
        <v/>
      </c>
      <c r="BO35" s="1260" t="str">
        <f>IF(U45,"","N/A")</f>
        <v/>
      </c>
      <c r="BP35" s="1261"/>
      <c r="BQ35" s="1261"/>
      <c r="BR35" s="1261"/>
      <c r="BS35" s="1261"/>
      <c r="BT35" s="1261"/>
      <c r="BU35" s="1262"/>
      <c r="BW35" s="795">
        <v>4</v>
      </c>
      <c r="BX35" s="846" t="s">
        <v>564</v>
      </c>
    </row>
    <row r="36" spans="2:76 1271:1271" s="794" customFormat="1" ht="12.95" customHeight="1" x14ac:dyDescent="0.25">
      <c r="B36" s="848" t="str">
        <f>IF(ISNA(Z36),"",IF(OR(Z36=1,Z36=2),"    ",MAX($B$9:B35)+1))</f>
        <v/>
      </c>
      <c r="C36" s="1289" t="str">
        <f t="shared" si="0"/>
        <v/>
      </c>
      <c r="D36" s="1289"/>
      <c r="E36" s="1289"/>
      <c r="F36" s="1290"/>
      <c r="G36" s="829" t="str">
        <f t="shared" si="1"/>
        <v/>
      </c>
      <c r="H36" s="830" t="str">
        <f t="shared" si="2"/>
        <v/>
      </c>
      <c r="I36" s="849" t="str">
        <f t="shared" si="2"/>
        <v/>
      </c>
      <c r="J36" s="852"/>
      <c r="K36" s="851"/>
      <c r="L36" s="1075"/>
      <c r="M36" s="1076"/>
      <c r="N36" s="1076"/>
      <c r="O36" s="1076"/>
      <c r="P36" s="1076"/>
      <c r="Q36" s="1076"/>
      <c r="R36" s="1077"/>
      <c r="T36" s="788">
        <v>28</v>
      </c>
      <c r="U36" s="776" t="e">
        <v>#N/A</v>
      </c>
      <c r="V36" s="834" t="e">
        <v>#N/A</v>
      </c>
      <c r="W36" s="834" t="e">
        <v>#N/A</v>
      </c>
      <c r="X36" s="834" t="e">
        <v>#N/A</v>
      </c>
      <c r="Y36" s="834" t="e">
        <v>#N/A</v>
      </c>
      <c r="Z36" s="843" t="e">
        <v>#N/A</v>
      </c>
      <c r="AA36" s="843" t="e">
        <v>#N/A</v>
      </c>
      <c r="AB36" s="843" t="e">
        <v>#N/A</v>
      </c>
      <c r="AC36" s="834" t="e">
        <v>#N/A</v>
      </c>
      <c r="AD36" s="834" t="e">
        <v>#N/A</v>
      </c>
      <c r="AE36" s="834" t="e">
        <v>#N/A</v>
      </c>
      <c r="AF36" s="834" t="e">
        <v>#N/A</v>
      </c>
      <c r="AG36" s="834" t="e">
        <f t="shared" si="36"/>
        <v>#N/A</v>
      </c>
      <c r="AH36" s="834" t="str">
        <f t="shared" si="37"/>
        <v/>
      </c>
      <c r="AI36" s="835" t="e">
        <f>IF(NOT(OR(Z36=1,Z36=2)),IF(AQ36&gt;0,$AR$45*AQ36/SUMIF($AQ$9:$AQ$40,"&gt;0"),IF(AU36&gt;0,$AV$45*AU36/SUMIF($AU$9:$AU$40,"&gt;0"),IF(AS36&gt;0,$AT$45*AS36/SUMIF($AS$9:$AS$40,"&gt;0"),""))),IF(SUMIF(AJ37:$AJ$40,"=" &amp; AJ36,AI37:$AI$40)=0,"",SUMIF(AJ37:$AJ$40,"=" &amp; AJ36,AI37:$AI$40)))</f>
        <v>#N/A</v>
      </c>
      <c r="AJ36" s="836" t="e">
        <f t="shared" si="35"/>
        <v>#N/A</v>
      </c>
      <c r="AK36" s="834" t="str">
        <f t="shared" si="5"/>
        <v/>
      </c>
      <c r="AL36" s="843" t="str">
        <f t="shared" si="6"/>
        <v/>
      </c>
      <c r="AM36" s="843" t="str">
        <f t="shared" si="7"/>
        <v/>
      </c>
      <c r="AN36" s="843" t="str">
        <f t="shared" si="8"/>
        <v/>
      </c>
      <c r="AO36" s="843" t="e">
        <f t="shared" si="9"/>
        <v>#N/A</v>
      </c>
      <c r="AP36" s="834" t="str">
        <f t="shared" si="10"/>
        <v/>
      </c>
      <c r="AQ36" s="837">
        <f t="shared" si="11"/>
        <v>0</v>
      </c>
      <c r="AR36" s="838" t="str">
        <f t="shared" si="12"/>
        <v/>
      </c>
      <c r="AS36" s="839">
        <f t="shared" si="13"/>
        <v>0</v>
      </c>
      <c r="AT36" s="838" t="str">
        <f t="shared" si="14"/>
        <v/>
      </c>
      <c r="AU36" s="840">
        <f t="shared" si="15"/>
        <v>0</v>
      </c>
      <c r="AV36" s="841" t="str">
        <f t="shared" si="16"/>
        <v/>
      </c>
      <c r="AW36" s="840" t="b">
        <f t="shared" si="17"/>
        <v>0</v>
      </c>
      <c r="AX36" s="842" t="b">
        <f t="shared" si="18"/>
        <v>0</v>
      </c>
      <c r="AY36" s="840" t="b">
        <f t="shared" si="19"/>
        <v>0</v>
      </c>
      <c r="AZ36" s="842" t="b">
        <f t="shared" si="20"/>
        <v>0</v>
      </c>
      <c r="BA36" s="834" t="b">
        <f t="shared" si="21"/>
        <v>0</v>
      </c>
      <c r="BB36" s="834" t="b">
        <f t="shared" si="22"/>
        <v>0</v>
      </c>
      <c r="BC36" s="840" t="b">
        <f t="shared" si="23"/>
        <v>0</v>
      </c>
      <c r="BD36" s="843" t="b">
        <f t="shared" si="24"/>
        <v>0</v>
      </c>
      <c r="BE36" s="842" t="b">
        <f t="shared" si="25"/>
        <v>0</v>
      </c>
      <c r="BF36" s="844" t="b">
        <f t="shared" si="26"/>
        <v>0</v>
      </c>
      <c r="BG36" s="792" t="str">
        <f t="shared" si="27"/>
        <v>NA</v>
      </c>
      <c r="BH36" s="792" t="str">
        <f t="shared" si="28"/>
        <v/>
      </c>
      <c r="BI36" s="792" t="str">
        <f t="shared" si="29"/>
        <v/>
      </c>
      <c r="BJ36" s="792" t="str">
        <f t="shared" si="30"/>
        <v/>
      </c>
      <c r="BK36" s="792" t="str">
        <f t="shared" si="31"/>
        <v/>
      </c>
      <c r="BL36" s="845" t="str">
        <f t="shared" si="32"/>
        <v/>
      </c>
      <c r="BM36" s="792" t="str">
        <f t="shared" si="33"/>
        <v/>
      </c>
      <c r="BN36" s="792" t="str">
        <f t="shared" si="34"/>
        <v/>
      </c>
      <c r="BO36" s="1263"/>
      <c r="BP36" s="1264"/>
      <c r="BQ36" s="1264"/>
      <c r="BR36" s="1264"/>
      <c r="BS36" s="1264"/>
      <c r="BT36" s="1264"/>
      <c r="BU36" s="1265"/>
    </row>
    <row r="37" spans="2:76 1271:1271" s="794" customFormat="1" ht="12.95" customHeight="1" x14ac:dyDescent="0.25">
      <c r="B37" s="848" t="str">
        <f>IF(ISNA(Z37),"",IF(OR(Z37=1,Z37=2),"    ",MAX($B$9:B36)+1))</f>
        <v/>
      </c>
      <c r="C37" s="1289" t="str">
        <f t="shared" si="0"/>
        <v/>
      </c>
      <c r="D37" s="1289"/>
      <c r="E37" s="1289"/>
      <c r="F37" s="1290"/>
      <c r="G37" s="829" t="str">
        <f t="shared" si="1"/>
        <v/>
      </c>
      <c r="H37" s="830" t="str">
        <f t="shared" si="2"/>
        <v/>
      </c>
      <c r="I37" s="849" t="str">
        <f t="shared" si="2"/>
        <v/>
      </c>
      <c r="J37" s="852"/>
      <c r="K37" s="851"/>
      <c r="L37" s="1075"/>
      <c r="M37" s="1076"/>
      <c r="N37" s="1076"/>
      <c r="O37" s="1076"/>
      <c r="P37" s="1076"/>
      <c r="Q37" s="1076"/>
      <c r="R37" s="1077"/>
      <c r="T37" s="788">
        <v>29</v>
      </c>
      <c r="U37" s="776" t="e">
        <v>#N/A</v>
      </c>
      <c r="V37" s="834" t="e">
        <v>#N/A</v>
      </c>
      <c r="W37" s="834" t="e">
        <v>#N/A</v>
      </c>
      <c r="X37" s="834" t="e">
        <v>#N/A</v>
      </c>
      <c r="Y37" s="834" t="e">
        <v>#N/A</v>
      </c>
      <c r="Z37" s="843" t="e">
        <v>#N/A</v>
      </c>
      <c r="AA37" s="843" t="e">
        <v>#N/A</v>
      </c>
      <c r="AB37" s="843" t="e">
        <v>#N/A</v>
      </c>
      <c r="AC37" s="834" t="e">
        <v>#N/A</v>
      </c>
      <c r="AD37" s="834" t="e">
        <v>#N/A</v>
      </c>
      <c r="AE37" s="834" t="e">
        <v>#N/A</v>
      </c>
      <c r="AF37" s="834" t="e">
        <v>#N/A</v>
      </c>
      <c r="AG37" s="834" t="e">
        <f t="shared" si="36"/>
        <v>#N/A</v>
      </c>
      <c r="AH37" s="834" t="str">
        <f t="shared" si="37"/>
        <v/>
      </c>
      <c r="AI37" s="835" t="e">
        <f>IF(NOT(OR(Z37=1,Z37=2)),IF(AQ37&gt;0,$AR$45*AQ37/SUMIF($AQ$9:$AQ$40,"&gt;0"),IF(AU37&gt;0,$AV$45*AU37/SUMIF($AU$9:$AU$40,"&gt;0"),IF(AS37&gt;0,$AT$45*AS37/SUMIF($AS$9:$AS$40,"&gt;0"),""))),IF(SUMIF(AJ38:$AJ$40,"=" &amp; AJ37,AI38:$AI$40)=0,"",SUMIF(AJ38:$AJ$40,"=" &amp; AJ37,AI38:$AI$40)))</f>
        <v>#N/A</v>
      </c>
      <c r="AJ37" s="836" t="e">
        <f t="shared" si="35"/>
        <v>#N/A</v>
      </c>
      <c r="AK37" s="834" t="str">
        <f t="shared" si="5"/>
        <v/>
      </c>
      <c r="AL37" s="843" t="str">
        <f t="shared" si="6"/>
        <v/>
      </c>
      <c r="AM37" s="843" t="str">
        <f t="shared" si="7"/>
        <v/>
      </c>
      <c r="AN37" s="843" t="str">
        <f t="shared" si="8"/>
        <v/>
      </c>
      <c r="AO37" s="843" t="e">
        <f t="shared" si="9"/>
        <v>#N/A</v>
      </c>
      <c r="AP37" s="834" t="str">
        <f t="shared" si="10"/>
        <v/>
      </c>
      <c r="AQ37" s="837">
        <f t="shared" si="11"/>
        <v>0</v>
      </c>
      <c r="AR37" s="838" t="str">
        <f t="shared" si="12"/>
        <v/>
      </c>
      <c r="AS37" s="839">
        <f t="shared" si="13"/>
        <v>0</v>
      </c>
      <c r="AT37" s="838" t="str">
        <f t="shared" si="14"/>
        <v/>
      </c>
      <c r="AU37" s="840">
        <f t="shared" si="15"/>
        <v>0</v>
      </c>
      <c r="AV37" s="841" t="str">
        <f t="shared" si="16"/>
        <v/>
      </c>
      <c r="AW37" s="840" t="b">
        <f t="shared" si="17"/>
        <v>0</v>
      </c>
      <c r="AX37" s="842" t="b">
        <f t="shared" si="18"/>
        <v>0</v>
      </c>
      <c r="AY37" s="840" t="b">
        <f t="shared" si="19"/>
        <v>0</v>
      </c>
      <c r="AZ37" s="842" t="b">
        <f t="shared" si="20"/>
        <v>0</v>
      </c>
      <c r="BA37" s="834" t="b">
        <f t="shared" si="21"/>
        <v>0</v>
      </c>
      <c r="BB37" s="834" t="b">
        <f t="shared" si="22"/>
        <v>0</v>
      </c>
      <c r="BC37" s="840" t="b">
        <f t="shared" si="23"/>
        <v>0</v>
      </c>
      <c r="BD37" s="843" t="b">
        <f t="shared" si="24"/>
        <v>0</v>
      </c>
      <c r="BE37" s="842" t="b">
        <f t="shared" si="25"/>
        <v>0</v>
      </c>
      <c r="BF37" s="844" t="b">
        <f t="shared" si="26"/>
        <v>0</v>
      </c>
      <c r="BG37" s="792" t="str">
        <f t="shared" si="27"/>
        <v>NA</v>
      </c>
      <c r="BH37" s="792" t="str">
        <f t="shared" si="28"/>
        <v/>
      </c>
      <c r="BI37" s="792" t="str">
        <f t="shared" si="29"/>
        <v/>
      </c>
      <c r="BJ37" s="792" t="str">
        <f t="shared" si="30"/>
        <v/>
      </c>
      <c r="BK37" s="792" t="str">
        <f t="shared" si="31"/>
        <v/>
      </c>
      <c r="BL37" s="845" t="str">
        <f t="shared" si="32"/>
        <v/>
      </c>
      <c r="BM37" s="792" t="str">
        <f t="shared" si="33"/>
        <v/>
      </c>
      <c r="BN37" s="792" t="str">
        <f t="shared" si="34"/>
        <v/>
      </c>
      <c r="BO37" s="1263"/>
      <c r="BP37" s="1264"/>
      <c r="BQ37" s="1264"/>
      <c r="BR37" s="1264"/>
      <c r="BS37" s="1264"/>
      <c r="BT37" s="1264"/>
      <c r="BU37" s="1265"/>
      <c r="BW37" s="793" t="s">
        <v>593</v>
      </c>
    </row>
    <row r="38" spans="2:76 1271:1271" s="794" customFormat="1" ht="12.95" customHeight="1" x14ac:dyDescent="0.25">
      <c r="B38" s="848" t="str">
        <f>IF(ISNA(Z38),"",IF(OR(Z38=1,Z38=2),"    ",MAX($B$9:B37)+1))</f>
        <v/>
      </c>
      <c r="C38" s="1289" t="str">
        <f t="shared" si="0"/>
        <v/>
      </c>
      <c r="D38" s="1289"/>
      <c r="E38" s="1289"/>
      <c r="F38" s="1290"/>
      <c r="G38" s="829" t="str">
        <f t="shared" si="1"/>
        <v/>
      </c>
      <c r="H38" s="830" t="str">
        <f t="shared" si="2"/>
        <v/>
      </c>
      <c r="I38" s="849" t="str">
        <f t="shared" si="2"/>
        <v/>
      </c>
      <c r="J38" s="852"/>
      <c r="K38" s="851"/>
      <c r="L38" s="1075"/>
      <c r="M38" s="1076"/>
      <c r="N38" s="1076"/>
      <c r="O38" s="1076"/>
      <c r="P38" s="1076"/>
      <c r="Q38" s="1076"/>
      <c r="R38" s="1077"/>
      <c r="T38" s="788">
        <v>30</v>
      </c>
      <c r="U38" s="776" t="e">
        <v>#N/A</v>
      </c>
      <c r="V38" s="834" t="e">
        <v>#N/A</v>
      </c>
      <c r="W38" s="834" t="e">
        <v>#N/A</v>
      </c>
      <c r="X38" s="834" t="e">
        <v>#N/A</v>
      </c>
      <c r="Y38" s="834" t="e">
        <v>#N/A</v>
      </c>
      <c r="Z38" s="843" t="e">
        <v>#N/A</v>
      </c>
      <c r="AA38" s="843" t="e">
        <v>#N/A</v>
      </c>
      <c r="AB38" s="843" t="e">
        <v>#N/A</v>
      </c>
      <c r="AC38" s="834" t="e">
        <v>#N/A</v>
      </c>
      <c r="AD38" s="834" t="e">
        <v>#N/A</v>
      </c>
      <c r="AE38" s="834" t="e">
        <v>#N/A</v>
      </c>
      <c r="AF38" s="834" t="e">
        <v>#N/A</v>
      </c>
      <c r="AG38" s="834" t="e">
        <f t="shared" si="36"/>
        <v>#N/A</v>
      </c>
      <c r="AH38" s="834" t="str">
        <f t="shared" si="37"/>
        <v/>
      </c>
      <c r="AI38" s="835" t="e">
        <f>IF(NOT(OR(Z38=1,Z38=2)),IF(AQ38&gt;0,$AR$45*AQ38/SUMIF($AQ$9:$AQ$40,"&gt;0"),IF(AU38&gt;0,$AV$45*AU38/SUMIF($AU$9:$AU$40,"&gt;0"),IF(AS38&gt;0,$AT$45*AS38/SUMIF($AS$9:$AS$40,"&gt;0"),""))),IF(SUMIF(AJ39:$AJ$40,"=" &amp; AJ38,AI39:$AI$40)=0,"",SUMIF(AJ39:$AJ$40,"=" &amp; AJ38,AI39:$AI$40)))</f>
        <v>#N/A</v>
      </c>
      <c r="AJ38" s="836" t="e">
        <f t="shared" si="35"/>
        <v>#N/A</v>
      </c>
      <c r="AK38" s="834" t="str">
        <f t="shared" si="5"/>
        <v/>
      </c>
      <c r="AL38" s="843" t="str">
        <f t="shared" si="6"/>
        <v/>
      </c>
      <c r="AM38" s="843" t="str">
        <f t="shared" si="7"/>
        <v/>
      </c>
      <c r="AN38" s="843" t="str">
        <f t="shared" si="8"/>
        <v/>
      </c>
      <c r="AO38" s="843" t="e">
        <f t="shared" si="9"/>
        <v>#N/A</v>
      </c>
      <c r="AP38" s="834" t="str">
        <f t="shared" si="10"/>
        <v/>
      </c>
      <c r="AQ38" s="837">
        <f t="shared" si="11"/>
        <v>0</v>
      </c>
      <c r="AR38" s="838" t="str">
        <f t="shared" si="12"/>
        <v/>
      </c>
      <c r="AS38" s="839">
        <f t="shared" si="13"/>
        <v>0</v>
      </c>
      <c r="AT38" s="838" t="str">
        <f t="shared" si="14"/>
        <v/>
      </c>
      <c r="AU38" s="840">
        <f t="shared" si="15"/>
        <v>0</v>
      </c>
      <c r="AV38" s="841" t="str">
        <f t="shared" si="16"/>
        <v/>
      </c>
      <c r="AW38" s="840" t="b">
        <f t="shared" si="17"/>
        <v>0</v>
      </c>
      <c r="AX38" s="842" t="b">
        <f t="shared" si="18"/>
        <v>0</v>
      </c>
      <c r="AY38" s="840" t="b">
        <f t="shared" si="19"/>
        <v>0</v>
      </c>
      <c r="AZ38" s="842" t="b">
        <f t="shared" si="20"/>
        <v>0</v>
      </c>
      <c r="BA38" s="834" t="b">
        <f t="shared" si="21"/>
        <v>0</v>
      </c>
      <c r="BB38" s="834" t="b">
        <f t="shared" si="22"/>
        <v>0</v>
      </c>
      <c r="BC38" s="840" t="b">
        <f t="shared" si="23"/>
        <v>0</v>
      </c>
      <c r="BD38" s="843" t="b">
        <f t="shared" si="24"/>
        <v>0</v>
      </c>
      <c r="BE38" s="842" t="b">
        <f t="shared" si="25"/>
        <v>0</v>
      </c>
      <c r="BF38" s="844" t="b">
        <f t="shared" si="26"/>
        <v>0</v>
      </c>
      <c r="BG38" s="792" t="str">
        <f t="shared" si="27"/>
        <v>NA</v>
      </c>
      <c r="BH38" s="792" t="str">
        <f t="shared" si="28"/>
        <v/>
      </c>
      <c r="BI38" s="792" t="str">
        <f t="shared" si="29"/>
        <v/>
      </c>
      <c r="BJ38" s="792" t="str">
        <f t="shared" si="30"/>
        <v/>
      </c>
      <c r="BK38" s="792" t="str">
        <f t="shared" si="31"/>
        <v/>
      </c>
      <c r="BL38" s="845" t="str">
        <f t="shared" si="32"/>
        <v/>
      </c>
      <c r="BM38" s="792" t="str">
        <f t="shared" si="33"/>
        <v/>
      </c>
      <c r="BN38" s="792" t="str">
        <f t="shared" si="34"/>
        <v/>
      </c>
      <c r="BO38" s="1266"/>
      <c r="BP38" s="1267"/>
      <c r="BQ38" s="1267"/>
      <c r="BR38" s="1267"/>
      <c r="BS38" s="1267"/>
      <c r="BT38" s="1267"/>
      <c r="BU38" s="1268"/>
      <c r="BW38" s="795" t="s">
        <v>214</v>
      </c>
      <c r="BX38" s="796" t="s">
        <v>215</v>
      </c>
    </row>
    <row r="39" spans="2:76 1271:1271" s="794" customFormat="1" ht="12.95" customHeight="1" x14ac:dyDescent="0.25">
      <c r="B39" s="848" t="str">
        <f>IF(ISNA(Z39),"",IF(OR(Z39=1,Z39=2),"    ",MAX($B$9:B38)+1))</f>
        <v/>
      </c>
      <c r="C39" s="1289" t="str">
        <f t="shared" si="0"/>
        <v/>
      </c>
      <c r="D39" s="1289"/>
      <c r="E39" s="1289"/>
      <c r="F39" s="1290"/>
      <c r="G39" s="829" t="str">
        <f t="shared" si="1"/>
        <v/>
      </c>
      <c r="H39" s="830" t="str">
        <f t="shared" si="2"/>
        <v/>
      </c>
      <c r="I39" s="849" t="str">
        <f t="shared" si="2"/>
        <v/>
      </c>
      <c r="J39" s="852"/>
      <c r="K39" s="851"/>
      <c r="L39" s="1075"/>
      <c r="M39" s="1076"/>
      <c r="N39" s="1076"/>
      <c r="O39" s="1076"/>
      <c r="P39" s="1076"/>
      <c r="Q39" s="1076"/>
      <c r="R39" s="1077"/>
      <c r="T39" s="788">
        <v>31</v>
      </c>
      <c r="U39" s="776" t="e">
        <v>#N/A</v>
      </c>
      <c r="V39" s="834" t="e">
        <v>#N/A</v>
      </c>
      <c r="W39" s="834" t="e">
        <v>#N/A</v>
      </c>
      <c r="X39" s="834" t="e">
        <v>#N/A</v>
      </c>
      <c r="Y39" s="834" t="e">
        <v>#N/A</v>
      </c>
      <c r="Z39" s="843" t="e">
        <v>#N/A</v>
      </c>
      <c r="AA39" s="843" t="e">
        <v>#N/A</v>
      </c>
      <c r="AB39" s="843" t="e">
        <v>#N/A</v>
      </c>
      <c r="AC39" s="834" t="e">
        <v>#N/A</v>
      </c>
      <c r="AD39" s="834" t="e">
        <v>#N/A</v>
      </c>
      <c r="AE39" s="834" t="e">
        <v>#N/A</v>
      </c>
      <c r="AF39" s="834" t="e">
        <v>#N/A</v>
      </c>
      <c r="AG39" s="834" t="e">
        <f t="shared" si="36"/>
        <v>#N/A</v>
      </c>
      <c r="AH39" s="834" t="str">
        <f t="shared" si="37"/>
        <v/>
      </c>
      <c r="AI39" s="835" t="e">
        <f>IF(NOT(OR(Z39=1,Z39=2)),IF(AQ39&gt;0,$AR$45*AQ39/SUMIF($AQ$9:$AQ$40,"&gt;0"),IF(AU39&gt;0,$AV$45*AU39/SUMIF($AU$9:$AU$40,"&gt;0"),IF(AS39&gt;0,$AT$45*AS39/SUMIF($AS$9:$AS$40,"&gt;0"),""))),IF(SUMIF(AJ40:$AJ$40,"=" &amp; AJ39,AI40:$AI$40)=0,"",SUMIF(AJ40:$AJ$40,"=" &amp; AJ39,AI40:$AI$40)))</f>
        <v>#N/A</v>
      </c>
      <c r="AJ39" s="836" t="e">
        <f t="shared" si="35"/>
        <v>#N/A</v>
      </c>
      <c r="AK39" s="834" t="str">
        <f t="shared" si="5"/>
        <v/>
      </c>
      <c r="AL39" s="843" t="str">
        <f t="shared" si="6"/>
        <v/>
      </c>
      <c r="AM39" s="843" t="str">
        <f t="shared" si="7"/>
        <v/>
      </c>
      <c r="AN39" s="843" t="str">
        <f t="shared" si="8"/>
        <v/>
      </c>
      <c r="AO39" s="843" t="e">
        <f t="shared" si="9"/>
        <v>#N/A</v>
      </c>
      <c r="AP39" s="834" t="str">
        <f t="shared" si="10"/>
        <v/>
      </c>
      <c r="AQ39" s="837">
        <f t="shared" si="11"/>
        <v>0</v>
      </c>
      <c r="AR39" s="838" t="str">
        <f t="shared" si="12"/>
        <v/>
      </c>
      <c r="AS39" s="839">
        <f t="shared" si="13"/>
        <v>0</v>
      </c>
      <c r="AT39" s="838" t="str">
        <f t="shared" si="14"/>
        <v/>
      </c>
      <c r="AU39" s="840">
        <f t="shared" si="15"/>
        <v>0</v>
      </c>
      <c r="AV39" s="841" t="str">
        <f t="shared" si="16"/>
        <v/>
      </c>
      <c r="AW39" s="840" t="b">
        <f t="shared" si="17"/>
        <v>0</v>
      </c>
      <c r="AX39" s="842" t="b">
        <f t="shared" si="18"/>
        <v>0</v>
      </c>
      <c r="AY39" s="840" t="b">
        <f t="shared" si="19"/>
        <v>0</v>
      </c>
      <c r="AZ39" s="842" t="b">
        <f t="shared" si="20"/>
        <v>0</v>
      </c>
      <c r="BA39" s="834" t="b">
        <f t="shared" si="21"/>
        <v>0</v>
      </c>
      <c r="BB39" s="834" t="b">
        <f t="shared" si="22"/>
        <v>0</v>
      </c>
      <c r="BC39" s="840" t="b">
        <f t="shared" si="23"/>
        <v>0</v>
      </c>
      <c r="BD39" s="843" t="b">
        <f t="shared" si="24"/>
        <v>0</v>
      </c>
      <c r="BE39" s="842" t="b">
        <f t="shared" si="25"/>
        <v>0</v>
      </c>
      <c r="BF39" s="844" t="b">
        <f t="shared" si="26"/>
        <v>0</v>
      </c>
      <c r="BG39" s="792" t="str">
        <f t="shared" si="27"/>
        <v>NA</v>
      </c>
      <c r="BH39" s="792" t="str">
        <f t="shared" si="28"/>
        <v/>
      </c>
      <c r="BI39" s="792" t="str">
        <f t="shared" si="29"/>
        <v/>
      </c>
      <c r="BJ39" s="792" t="str">
        <f t="shared" si="30"/>
        <v/>
      </c>
      <c r="BK39" s="792" t="str">
        <f t="shared" si="31"/>
        <v/>
      </c>
      <c r="BL39" s="845" t="str">
        <f t="shared" si="32"/>
        <v/>
      </c>
      <c r="BM39" s="792" t="str">
        <f t="shared" si="33"/>
        <v/>
      </c>
      <c r="BN39" s="792" t="str">
        <f t="shared" si="34"/>
        <v/>
      </c>
      <c r="BO39" s="846" t="s">
        <v>241</v>
      </c>
      <c r="BP39" s="846"/>
      <c r="BQ39" s="846"/>
      <c r="BR39" s="846"/>
      <c r="BS39" s="846"/>
      <c r="BT39" s="846"/>
      <c r="BU39" s="846"/>
      <c r="BW39" s="795">
        <v>0</v>
      </c>
      <c r="BX39" s="796" t="s">
        <v>216</v>
      </c>
    </row>
    <row r="40" spans="2:76 1271:1271" s="794" customFormat="1" ht="12.95" customHeight="1" thickBot="1" x14ac:dyDescent="0.3">
      <c r="B40" s="848" t="str">
        <f>IF(ISNA(Z40),"",IF(OR(Z40=1,Z40=2),"    ",MAX($B$9:B39)+1))</f>
        <v/>
      </c>
      <c r="C40" s="1289" t="str">
        <f t="shared" si="0"/>
        <v/>
      </c>
      <c r="D40" s="1289"/>
      <c r="E40" s="1289"/>
      <c r="F40" s="1290"/>
      <c r="G40" s="865" t="str">
        <f t="shared" si="1"/>
        <v/>
      </c>
      <c r="H40" s="830" t="str">
        <f t="shared" si="2"/>
        <v/>
      </c>
      <c r="I40" s="866" t="str">
        <f t="shared" si="2"/>
        <v/>
      </c>
      <c r="J40" s="867"/>
      <c r="K40" s="868"/>
      <c r="L40" s="1078"/>
      <c r="M40" s="1079"/>
      <c r="N40" s="1079"/>
      <c r="O40" s="1079"/>
      <c r="P40" s="1079"/>
      <c r="Q40" s="1079"/>
      <c r="R40" s="1080"/>
      <c r="T40" s="788">
        <v>32</v>
      </c>
      <c r="U40" s="776" t="e">
        <v>#N/A</v>
      </c>
      <c r="V40" s="834" t="e">
        <v>#N/A</v>
      </c>
      <c r="W40" s="834" t="e">
        <v>#N/A</v>
      </c>
      <c r="X40" s="834" t="e">
        <v>#N/A</v>
      </c>
      <c r="Y40" s="834" t="e">
        <v>#N/A</v>
      </c>
      <c r="Z40" s="843" t="e">
        <v>#N/A</v>
      </c>
      <c r="AA40" s="843" t="e">
        <v>#N/A</v>
      </c>
      <c r="AB40" s="843" t="e">
        <v>#N/A</v>
      </c>
      <c r="AC40" s="834" t="e">
        <v>#N/A</v>
      </c>
      <c r="AD40" s="834" t="e">
        <v>#N/A</v>
      </c>
      <c r="AE40" s="834" t="e">
        <v>#N/A</v>
      </c>
      <c r="AF40" s="834" t="e">
        <v>#N/A</v>
      </c>
      <c r="AG40" s="834" t="e">
        <f t="shared" si="36"/>
        <v>#N/A</v>
      </c>
      <c r="AH40" s="834" t="str">
        <f t="shared" si="37"/>
        <v/>
      </c>
      <c r="AI40" s="835" t="e">
        <f>IF(NOT(OR(Z40=1,Z40=2)),IF(AQ40&gt;0,$AR$45*AQ40/SUMIF($AQ$9:$AQ$40,"&gt;0"),IF(AU40&gt;0,$AV$45*AU40/SUMIF($AU$9:$AU$40,"&gt;0"),IF(AS40&gt;0,$AT$45*AS40/SUMIF($AS$9:$AS$40,"&gt;0"),""))),IF(SUMIF(AJ$40:$AJ41,"=" &amp; AJ40,AI$40:$AI41)=0,"",SUMIF(AJ$40:$AJ41,"=" &amp; AJ40,AI$40:$AI41)))</f>
        <v>#N/A</v>
      </c>
      <c r="AJ40" s="836" t="e">
        <f t="shared" si="35"/>
        <v>#N/A</v>
      </c>
      <c r="AK40" s="834" t="str">
        <f t="shared" si="5"/>
        <v/>
      </c>
      <c r="AL40" s="843" t="str">
        <f t="shared" si="6"/>
        <v/>
      </c>
      <c r="AM40" s="843" t="str">
        <f t="shared" si="7"/>
        <v/>
      </c>
      <c r="AN40" s="843" t="str">
        <f t="shared" si="8"/>
        <v/>
      </c>
      <c r="AO40" s="843" t="e">
        <f t="shared" si="9"/>
        <v>#N/A</v>
      </c>
      <c r="AP40" s="834" t="str">
        <f t="shared" si="10"/>
        <v/>
      </c>
      <c r="AQ40" s="837">
        <f t="shared" si="11"/>
        <v>0</v>
      </c>
      <c r="AR40" s="838" t="str">
        <f t="shared" si="12"/>
        <v/>
      </c>
      <c r="AS40" s="839">
        <f t="shared" si="13"/>
        <v>0</v>
      </c>
      <c r="AT40" s="838" t="str">
        <f t="shared" si="14"/>
        <v/>
      </c>
      <c r="AU40" s="840">
        <f t="shared" si="15"/>
        <v>0</v>
      </c>
      <c r="AV40" s="841" t="str">
        <f t="shared" si="16"/>
        <v/>
      </c>
      <c r="AW40" s="840" t="b">
        <f t="shared" si="17"/>
        <v>0</v>
      </c>
      <c r="AX40" s="842" t="b">
        <f t="shared" si="18"/>
        <v>0</v>
      </c>
      <c r="AY40" s="840" t="b">
        <f t="shared" si="19"/>
        <v>0</v>
      </c>
      <c r="AZ40" s="842" t="b">
        <f t="shared" si="20"/>
        <v>0</v>
      </c>
      <c r="BA40" s="834" t="b">
        <f t="shared" si="21"/>
        <v>0</v>
      </c>
      <c r="BB40" s="834" t="b">
        <f t="shared" si="22"/>
        <v>0</v>
      </c>
      <c r="BC40" s="840" t="b">
        <f t="shared" si="23"/>
        <v>0</v>
      </c>
      <c r="BD40" s="843" t="b">
        <f t="shared" si="24"/>
        <v>0</v>
      </c>
      <c r="BE40" s="842" t="b">
        <f t="shared" si="25"/>
        <v>0</v>
      </c>
      <c r="BF40" s="844" t="b">
        <f t="shared" si="26"/>
        <v>0</v>
      </c>
      <c r="BG40" s="792" t="str">
        <f t="shared" si="27"/>
        <v>NA</v>
      </c>
      <c r="BH40" s="792" t="str">
        <f t="shared" si="28"/>
        <v/>
      </c>
      <c r="BI40" s="792" t="str">
        <f t="shared" si="29"/>
        <v/>
      </c>
      <c r="BJ40" s="792" t="str">
        <f t="shared" si="30"/>
        <v/>
      </c>
      <c r="BK40" s="792" t="str">
        <f t="shared" si="31"/>
        <v/>
      </c>
      <c r="BL40" s="792" t="str">
        <f t="shared" si="32"/>
        <v/>
      </c>
      <c r="BM40" s="792" t="str">
        <f t="shared" si="33"/>
        <v/>
      </c>
      <c r="BN40" s="792" t="str">
        <f t="shared" si="34"/>
        <v/>
      </c>
      <c r="BO40" s="1260" t="str">
        <f>IF(U46,"","N/A")</f>
        <v/>
      </c>
      <c r="BP40" s="1261"/>
      <c r="BQ40" s="1261"/>
      <c r="BR40" s="1261"/>
      <c r="BS40" s="1261"/>
      <c r="BT40" s="1261"/>
      <c r="BU40" s="1262"/>
      <c r="BW40" s="795">
        <v>1</v>
      </c>
      <c r="BX40" s="846" t="s">
        <v>594</v>
      </c>
    </row>
    <row r="41" spans="2:76 1271:1271" s="780" customFormat="1" ht="12" customHeight="1" x14ac:dyDescent="0.25">
      <c r="B41" s="1269" t="s">
        <v>242</v>
      </c>
      <c r="C41" s="1270"/>
      <c r="D41" s="1271"/>
      <c r="E41" s="869" t="s">
        <v>243</v>
      </c>
      <c r="F41" s="1272" t="s">
        <v>244</v>
      </c>
      <c r="G41" s="1273"/>
      <c r="H41" s="1273" t="s">
        <v>245</v>
      </c>
      <c r="I41" s="1273"/>
      <c r="J41" s="1274" t="s">
        <v>246</v>
      </c>
      <c r="K41" s="1275"/>
      <c r="L41" s="870" t="s">
        <v>247</v>
      </c>
      <c r="M41" s="1276" t="s">
        <v>248</v>
      </c>
      <c r="N41" s="1276"/>
      <c r="O41" s="1277" t="str">
        <f>IF(U45,"DO REVIEW","DO REV N/A")</f>
        <v>DO REVIEW</v>
      </c>
      <c r="P41" s="1278"/>
      <c r="Q41" s="871" t="str">
        <f>IF(U46,"ED REVIEW","ED REV N/A")</f>
        <v>ED REVIEW</v>
      </c>
      <c r="R41" s="872"/>
      <c r="S41" s="873">
        <v>0</v>
      </c>
      <c r="AI41" s="874"/>
      <c r="AJ41" s="781"/>
      <c r="AK41" s="781"/>
      <c r="AL41" s="781"/>
      <c r="AM41" s="781"/>
      <c r="AN41" s="781"/>
      <c r="AO41" s="778"/>
      <c r="AP41" s="781"/>
      <c r="AQ41" s="875"/>
      <c r="AR41" s="781"/>
      <c r="AS41" s="875"/>
      <c r="AT41" s="781"/>
      <c r="AU41" s="875"/>
      <c r="AV41" s="876"/>
      <c r="AW41" s="781"/>
      <c r="AX41" s="781"/>
      <c r="AY41" s="781"/>
      <c r="AZ41" s="781"/>
      <c r="BA41" s="781"/>
      <c r="BB41" s="781"/>
      <c r="BC41" s="781"/>
      <c r="BD41" s="781"/>
      <c r="BE41" s="781"/>
      <c r="BF41" s="781"/>
      <c r="BG41" s="781"/>
      <c r="BH41" s="778"/>
      <c r="BI41" s="778"/>
      <c r="BJ41" s="778"/>
      <c r="BK41" s="778"/>
      <c r="BL41" s="778"/>
      <c r="BM41" s="778"/>
      <c r="BN41" s="778"/>
      <c r="BO41" s="1263"/>
      <c r="BP41" s="1264"/>
      <c r="BQ41" s="1264"/>
      <c r="BR41" s="1264"/>
      <c r="BS41" s="1264"/>
      <c r="BT41" s="1264"/>
      <c r="BU41" s="1265"/>
      <c r="BW41" s="795">
        <v>2</v>
      </c>
      <c r="BX41" s="846" t="s">
        <v>595</v>
      </c>
    </row>
    <row r="42" spans="2:76 1271:1271" ht="18.75" customHeight="1" thickBot="1" x14ac:dyDescent="0.3">
      <c r="B42" s="1279" t="str">
        <f>IF(ISERROR(AR47),"",TEXT(AR46,"0.0%"))</f>
        <v>0.0%</v>
      </c>
      <c r="C42" s="1280"/>
      <c r="D42" s="1281"/>
      <c r="E42" s="877" t="str">
        <f>IF(AU42=0,"N/A",CONCATENATE(TEXT(AV46,"0.0%")," of ",TEXT(AV45,"0.0%")))</f>
        <v>N/A</v>
      </c>
      <c r="F42" s="1283" t="str">
        <f>IF((graded_aca_events+graded_amn_events)&lt;1,"---",IF(AND(AW5,AX5),"INCOMPLETE",IF(AND(NOT(AW5),AX5),"ACA INC",IF(AND(AW5,NOT(AX5)),"AMN INC","COMPLETE"))))</f>
        <v>---</v>
      </c>
      <c r="G42" s="1283"/>
      <c r="H42" s="1283" t="str">
        <f>IF(AU5,IF(OR(AY5="UNK",NOT(AN7)),"---",IF(AY5,"UNSAT",IF(AVERAGEIFS(AT9:AT40,AS9:AS40,"&gt;0")&lt;0.9,"MARG","SAT"))),"N/A")</f>
        <v>---</v>
      </c>
      <c r="I42" s="1283"/>
      <c r="J42" s="1284" t="str">
        <f>IF(OR(AZ5="UNK",NOT(AM7)),"---",IF(OR(AZ5,AR46&lt;0.7),"FAIL","PASS"))</f>
        <v>---</v>
      </c>
      <c r="K42" s="1285"/>
      <c r="L42" s="878"/>
      <c r="M42" s="1286"/>
      <c r="N42" s="1286"/>
      <c r="O42" s="1287" t="str">
        <f>IF(U45,"","N/A")</f>
        <v/>
      </c>
      <c r="P42" s="1287"/>
      <c r="Q42" s="1287" t="str">
        <f>IF(U46,"","N/A")</f>
        <v/>
      </c>
      <c r="R42" s="1288"/>
      <c r="S42" s="879"/>
      <c r="T42" s="788" t="s">
        <v>249</v>
      </c>
      <c r="U42" s="843" t="s">
        <v>250</v>
      </c>
      <c r="V42" s="880"/>
      <c r="W42" s="880"/>
      <c r="X42" s="880"/>
      <c r="Y42" s="880"/>
      <c r="Z42" s="880"/>
      <c r="AA42" s="880"/>
      <c r="AB42" s="880"/>
      <c r="AC42" s="880"/>
      <c r="AD42" s="880"/>
      <c r="AE42" s="880"/>
      <c r="AF42" s="880"/>
      <c r="AG42" s="880"/>
      <c r="AH42" s="880"/>
      <c r="AI42" s="773"/>
      <c r="AJ42" s="772"/>
      <c r="AK42" s="880"/>
      <c r="AL42" s="880"/>
      <c r="AM42" s="880">
        <f>SUM(AM9:AM40)</f>
        <v>0</v>
      </c>
      <c r="AN42" s="880">
        <f>SUM(AN9:AN40)</f>
        <v>0</v>
      </c>
      <c r="AO42" s="788"/>
      <c r="AP42" s="772"/>
      <c r="AQ42" s="881">
        <f>SUMIF(AQ9:AQ40,"&gt;0")</f>
        <v>6</v>
      </c>
      <c r="AR42" s="882">
        <f>IF(AQ42=0,0,SUMPRODUCT($AQ$9:$AQ$40,AR9:AR40)/SUM($AQ$9:$AQ$40))</f>
        <v>0</v>
      </c>
      <c r="AS42" s="883">
        <f>SUMIF(AS9:AS40,"&gt;0")</f>
        <v>0</v>
      </c>
      <c r="AT42" s="882">
        <f>IF(AS42=0,0,SUMPRODUCT($AS$9:$AS$40,AT9:AT40)/SUM($AS$9:$AS$40))</f>
        <v>0</v>
      </c>
      <c r="AU42" s="883">
        <f>SUM(AU10:AU40)</f>
        <v>0</v>
      </c>
      <c r="AV42" s="882">
        <f>IF(AU42=0,0,SUMPRODUCT($AU$9:$AU$40,AV9:AV40)/SUM($AU$9:$AU$40))</f>
        <v>0</v>
      </c>
      <c r="AW42" s="884"/>
      <c r="AX42" s="884"/>
      <c r="AY42" s="884"/>
      <c r="AZ42" s="884"/>
      <c r="BA42" s="884"/>
      <c r="BB42" s="884"/>
      <c r="BC42" s="776" t="s">
        <v>251</v>
      </c>
      <c r="BD42" s="776" t="s">
        <v>252</v>
      </c>
      <c r="BE42" s="776" t="s">
        <v>253</v>
      </c>
      <c r="BF42" s="776"/>
      <c r="BG42" s="778"/>
      <c r="BO42" s="1263"/>
      <c r="BP42" s="1264"/>
      <c r="BQ42" s="1264"/>
      <c r="BR42" s="1264"/>
      <c r="BS42" s="1264"/>
      <c r="BT42" s="1264"/>
      <c r="BU42" s="1265"/>
      <c r="BW42" s="795">
        <v>3</v>
      </c>
      <c r="BX42" s="846" t="s">
        <v>560</v>
      </c>
      <c r="AVW42" s="885"/>
    </row>
    <row r="43" spans="2:76 1271:1271" ht="12" customHeight="1" thickTop="1" x14ac:dyDescent="0.25">
      <c r="L43" s="1282" t="s">
        <v>555</v>
      </c>
      <c r="M43" s="1282"/>
      <c r="N43" s="1282"/>
      <c r="O43" s="1282"/>
      <c r="P43" s="1282"/>
      <c r="Q43" s="1282"/>
      <c r="R43" s="1282"/>
      <c r="AP43" s="880"/>
      <c r="AQ43" s="772"/>
      <c r="AR43" s="772"/>
      <c r="AT43" s="882"/>
      <c r="AU43" s="882"/>
      <c r="AV43" s="882"/>
      <c r="AW43" s="772"/>
      <c r="AX43" s="882"/>
      <c r="BE43" s="776"/>
      <c r="BF43" s="776"/>
      <c r="BO43" s="1266"/>
      <c r="BP43" s="1267"/>
      <c r="BQ43" s="1267"/>
      <c r="BR43" s="1267"/>
      <c r="BS43" s="1267"/>
      <c r="BT43" s="1267"/>
      <c r="BU43" s="1268"/>
      <c r="BW43" s="795">
        <v>4</v>
      </c>
      <c r="BX43" s="846" t="s">
        <v>565</v>
      </c>
    </row>
    <row r="44" spans="2:76 1271:1271" ht="30.75" customHeight="1" x14ac:dyDescent="0.25">
      <c r="T44" s="886" t="s">
        <v>254</v>
      </c>
      <c r="U44" s="843" t="b">
        <v>0</v>
      </c>
      <c r="AI44" s="777" t="e">
        <f ca="1">SUMIF(AJ9:$AJ$40,"=" &amp; AJ9,AI10:$AI$40)</f>
        <v>#N/A</v>
      </c>
      <c r="AK44" s="778"/>
      <c r="AL44" s="778"/>
      <c r="AM44" s="778"/>
      <c r="AN44" s="778"/>
      <c r="AO44" s="887"/>
      <c r="AQ44" s="778"/>
      <c r="AR44" s="778"/>
      <c r="AS44" s="812" t="s">
        <v>255</v>
      </c>
      <c r="AT44" s="888">
        <f>SUMIF(X9:X40,"&gt;0")/SUMIF(W9:W40,"&gt;0")</f>
        <v>0</v>
      </c>
      <c r="AU44" s="812" t="s">
        <v>256</v>
      </c>
      <c r="AV44" s="889">
        <f>SUMIF(AU9:AU40,"&gt;0")/SUMIF(AQ9:AQ40,"&gt;0")</f>
        <v>0</v>
      </c>
      <c r="AW44" s="890"/>
      <c r="AY44" s="778"/>
      <c r="AZ44" s="778"/>
      <c r="BE44" s="776" t="b">
        <f>AND(ISBLANK($K31),J31&gt;0)</f>
        <v>0</v>
      </c>
      <c r="BF44" s="776"/>
      <c r="BH44" s="776"/>
      <c r="BO44" s="778"/>
      <c r="BP44" s="778"/>
      <c r="BQ44" s="779"/>
    </row>
    <row r="45" spans="2:76 1271:1271" ht="30.75" customHeight="1" x14ac:dyDescent="0.25">
      <c r="J45" s="891"/>
      <c r="T45" s="892" t="s">
        <v>257</v>
      </c>
      <c r="U45" s="776" t="b">
        <f>IF(AND(Flight?,OR(AW5,AY5,BA5,AZ5,AR46&lt;0.7,H42="MARG")),TRUE,FALSE)</f>
        <v>1</v>
      </c>
      <c r="AK45" s="778"/>
      <c r="AL45" s="778"/>
      <c r="AM45" s="778"/>
      <c r="AN45" s="778"/>
      <c r="AO45" s="893"/>
      <c r="AP45" s="778"/>
      <c r="AQ45" s="812" t="s">
        <v>258</v>
      </c>
      <c r="AR45" s="894">
        <f>1-AT45</f>
        <v>1</v>
      </c>
      <c r="AS45" s="812" t="s">
        <v>259</v>
      </c>
      <c r="AT45" s="888">
        <f>MIN(AT44,AT7)</f>
        <v>0</v>
      </c>
      <c r="AU45" s="812" t="s">
        <v>260</v>
      </c>
      <c r="AV45" s="895">
        <f>MIN(AV44,AV7)</f>
        <v>0</v>
      </c>
      <c r="AZ45" s="778"/>
      <c r="BE45" s="776"/>
      <c r="BF45" s="776"/>
      <c r="BH45" s="776"/>
      <c r="BO45" s="778"/>
      <c r="BP45" s="778"/>
      <c r="BQ45" s="779"/>
    </row>
    <row r="46" spans="2:76 1271:1271" ht="26.25" x14ac:dyDescent="0.25">
      <c r="T46" s="892" t="s">
        <v>261</v>
      </c>
      <c r="U46" s="776" t="b">
        <f>IF(OR(AX5,AY5,AZ5,BB5,AR46&lt;0.7),TRUE,FALSE)</f>
        <v>1</v>
      </c>
      <c r="AK46" s="778"/>
      <c r="AL46" s="778"/>
      <c r="AM46" s="778"/>
      <c r="AN46" s="778"/>
      <c r="AO46" s="896"/>
      <c r="AP46" s="778"/>
      <c r="AQ46" s="812" t="s">
        <v>262</v>
      </c>
      <c r="AR46" s="777">
        <f>AR42*(1-AT45)+(AT42*AT45)</f>
        <v>0</v>
      </c>
      <c r="AU46" s="778" t="s">
        <v>196</v>
      </c>
      <c r="AV46" s="895">
        <f>AV42*AV45</f>
        <v>0</v>
      </c>
      <c r="AY46" s="778"/>
      <c r="AZ46" s="778"/>
      <c r="BE46" s="776"/>
      <c r="BF46" s="776"/>
      <c r="BH46" s="776"/>
      <c r="BO46" s="778"/>
      <c r="BP46" s="778"/>
      <c r="BQ46" s="779"/>
    </row>
    <row r="47" spans="2:76 1271:1271" ht="26.25" x14ac:dyDescent="0.25">
      <c r="T47" s="892" t="s">
        <v>263</v>
      </c>
      <c r="U47" s="776" t="b">
        <v>0</v>
      </c>
      <c r="AK47" s="778"/>
      <c r="AL47" s="778"/>
      <c r="AM47" s="778"/>
      <c r="AN47" s="778"/>
      <c r="AO47" s="896"/>
      <c r="AP47" s="778"/>
      <c r="AQ47" s="812" t="s">
        <v>264</v>
      </c>
      <c r="AR47" s="895">
        <f>MIN(1,IF(NOT(OR(AY5,AZ5)),AR46+AV46,MIN(0.69,AR46+AV46)))</f>
        <v>0</v>
      </c>
      <c r="AY47" s="778"/>
      <c r="BE47" s="776"/>
      <c r="BF47" s="776"/>
      <c r="BI47" s="776"/>
      <c r="BO47" s="778"/>
      <c r="BP47" s="778"/>
      <c r="BQ47" s="779"/>
    </row>
    <row r="48" spans="2:76 1271:1271" x14ac:dyDescent="0.25">
      <c r="T48" s="892" t="s">
        <v>265</v>
      </c>
      <c r="U48" s="776" t="b">
        <f>IF(NOT(Flight?),TRUE,NOT(OR(ISBLANK(comments),ISBLANK(hdr_class),ISBLANK(hdr_date),ISBLANK(hdr_stud),ISBLANK(hdr_instr),ISBLANK(hdr_acft),ISBLANK(hdr_time),F42="---")))</f>
        <v>0</v>
      </c>
      <c r="AK48" s="778"/>
      <c r="AL48" s="778"/>
      <c r="AM48" s="778"/>
      <c r="AN48" s="778"/>
      <c r="AO48" s="896"/>
      <c r="AP48" s="778"/>
      <c r="AQ48" s="778"/>
      <c r="AR48" s="897"/>
      <c r="AS48" s="895"/>
      <c r="AU48" s="778"/>
      <c r="AV48" s="778"/>
      <c r="AW48" s="778"/>
    </row>
    <row r="49" spans="20:56" x14ac:dyDescent="0.25">
      <c r="T49" s="892" t="s">
        <v>266</v>
      </c>
      <c r="U49" s="776" t="b">
        <f>IF(Flight?,TRUE,NOT(OR(ISBLANK(comments),ISBLANK(hdr_class),ISBLANK(hdr_date),ISBLANK(hdr_stud),ISBLANK(hdr_instr),F42="---")))</f>
        <v>1</v>
      </c>
      <c r="AK49" s="778"/>
      <c r="AL49" s="778"/>
      <c r="AM49" s="778"/>
      <c r="AN49" s="778"/>
      <c r="AO49" s="893"/>
      <c r="AP49" s="772" t="s">
        <v>267</v>
      </c>
      <c r="AQ49" s="772"/>
      <c r="AR49" s="772"/>
      <c r="AS49" s="772"/>
      <c r="AT49" s="772"/>
      <c r="AU49" s="778"/>
      <c r="AV49" s="778"/>
      <c r="AW49" s="778"/>
    </row>
    <row r="50" spans="20:56" x14ac:dyDescent="0.25">
      <c r="T50" s="892" t="s">
        <v>268</v>
      </c>
      <c r="U50" s="776" t="b">
        <f>AND(U48:U49)</f>
        <v>0</v>
      </c>
      <c r="AK50" s="778"/>
      <c r="AL50" s="778"/>
      <c r="AM50" s="778"/>
      <c r="AN50" s="778"/>
      <c r="AO50" s="893"/>
      <c r="AP50" s="772"/>
      <c r="AQ50" s="772"/>
      <c r="AR50" s="772">
        <v>0</v>
      </c>
      <c r="AS50" s="772">
        <v>1</v>
      </c>
      <c r="AT50" s="772">
        <v>2</v>
      </c>
      <c r="AU50" s="772">
        <v>3</v>
      </c>
      <c r="AV50" s="772">
        <v>4</v>
      </c>
      <c r="AW50" s="778"/>
    </row>
    <row r="51" spans="20:56" x14ac:dyDescent="0.25">
      <c r="AK51" s="778"/>
      <c r="AL51" s="778"/>
      <c r="AM51" s="778"/>
      <c r="AN51" s="778"/>
      <c r="AO51" s="893"/>
      <c r="AP51" s="772" t="s">
        <v>227</v>
      </c>
      <c r="AQ51" s="772">
        <v>1</v>
      </c>
      <c r="AR51" s="898">
        <v>0.7</v>
      </c>
      <c r="AS51" s="898">
        <v>0.9</v>
      </c>
      <c r="AT51" s="898">
        <v>0.93330000000000002</v>
      </c>
      <c r="AU51" s="898">
        <v>0.9667</v>
      </c>
      <c r="AV51" s="898">
        <v>1</v>
      </c>
      <c r="AW51" s="778"/>
    </row>
    <row r="52" spans="20:56" x14ac:dyDescent="0.25">
      <c r="AK52" s="778"/>
      <c r="AL52" s="778"/>
      <c r="AM52" s="778"/>
      <c r="AN52" s="778"/>
      <c r="AO52" s="893"/>
      <c r="AP52" s="772" t="s">
        <v>228</v>
      </c>
      <c r="AQ52" s="772">
        <v>2</v>
      </c>
      <c r="AR52" s="898">
        <v>0.7</v>
      </c>
      <c r="AS52" s="898">
        <v>0.8</v>
      </c>
      <c r="AT52" s="898">
        <v>0.9</v>
      </c>
      <c r="AU52" s="898">
        <v>0.95</v>
      </c>
      <c r="AV52" s="898">
        <v>1</v>
      </c>
      <c r="AW52" s="778"/>
    </row>
    <row r="53" spans="20:56" x14ac:dyDescent="0.25">
      <c r="AK53" s="778"/>
      <c r="AL53" s="778"/>
      <c r="AM53" s="778"/>
      <c r="AN53" s="778"/>
      <c r="AO53" s="893"/>
      <c r="AP53" s="772" t="s">
        <v>229</v>
      </c>
      <c r="AQ53" s="772">
        <v>3</v>
      </c>
      <c r="AR53" s="898">
        <v>0.7</v>
      </c>
      <c r="AS53" s="898">
        <v>0.76670000000000005</v>
      </c>
      <c r="AT53" s="898">
        <v>0.83330000000000004</v>
      </c>
      <c r="AU53" s="898">
        <v>0.9</v>
      </c>
      <c r="AV53" s="898">
        <v>1</v>
      </c>
      <c r="AW53" s="778"/>
    </row>
    <row r="54" spans="20:56" x14ac:dyDescent="0.25">
      <c r="AP54" s="899" t="s">
        <v>230</v>
      </c>
      <c r="AQ54" s="772">
        <v>11</v>
      </c>
      <c r="AR54" s="898">
        <v>0.6</v>
      </c>
      <c r="AS54" s="898">
        <v>0.9</v>
      </c>
      <c r="AT54" s="898">
        <v>0.93330000000000002</v>
      </c>
      <c r="AU54" s="898">
        <v>0.9667</v>
      </c>
      <c r="AV54" s="898">
        <v>1</v>
      </c>
      <c r="AW54" s="778"/>
    </row>
    <row r="55" spans="20:56" x14ac:dyDescent="0.25">
      <c r="AP55" s="899" t="s">
        <v>231</v>
      </c>
      <c r="AQ55" s="772">
        <v>12</v>
      </c>
      <c r="AR55" s="898">
        <v>0.6</v>
      </c>
      <c r="AS55" s="898">
        <v>0.7</v>
      </c>
      <c r="AT55" s="898">
        <v>0.9</v>
      </c>
      <c r="AU55" s="898">
        <v>0.95</v>
      </c>
      <c r="AV55" s="898">
        <v>1</v>
      </c>
      <c r="AW55" s="778"/>
    </row>
    <row r="56" spans="20:56" x14ac:dyDescent="0.25">
      <c r="AP56" s="899" t="s">
        <v>232</v>
      </c>
      <c r="AQ56" s="772">
        <v>13</v>
      </c>
      <c r="AR56" s="898">
        <v>0.6</v>
      </c>
      <c r="AS56" s="898">
        <v>0.7</v>
      </c>
      <c r="AT56" s="898">
        <v>0.8</v>
      </c>
      <c r="AU56" s="898">
        <v>0.9</v>
      </c>
      <c r="AV56" s="898">
        <v>1</v>
      </c>
      <c r="AW56" s="778"/>
    </row>
    <row r="57" spans="20:56" x14ac:dyDescent="0.25">
      <c r="AP57" s="899" t="s">
        <v>233</v>
      </c>
      <c r="AQ57" s="772">
        <v>22</v>
      </c>
      <c r="AR57" s="898">
        <v>0.3</v>
      </c>
      <c r="AS57" s="898">
        <v>0.6</v>
      </c>
      <c r="AT57" s="898">
        <v>0.9</v>
      </c>
      <c r="AU57" s="898">
        <v>0.95</v>
      </c>
      <c r="AV57" s="898">
        <v>1</v>
      </c>
      <c r="AW57" s="778"/>
    </row>
    <row r="58" spans="20:56" x14ac:dyDescent="0.25">
      <c r="AP58" s="899" t="s">
        <v>234</v>
      </c>
      <c r="AQ58" s="772">
        <v>23</v>
      </c>
      <c r="AR58" s="898">
        <v>0.3</v>
      </c>
      <c r="AS58" s="898">
        <v>0.6</v>
      </c>
      <c r="AT58" s="898">
        <v>0.7</v>
      </c>
      <c r="AU58" s="898">
        <v>0.9</v>
      </c>
      <c r="AV58" s="898">
        <v>1</v>
      </c>
      <c r="AW58" s="778"/>
    </row>
    <row r="59" spans="20:56" x14ac:dyDescent="0.25">
      <c r="AP59" s="899" t="s">
        <v>235</v>
      </c>
      <c r="AQ59" s="772">
        <v>33</v>
      </c>
      <c r="AR59" s="898">
        <v>0</v>
      </c>
      <c r="AS59" s="898">
        <v>0.3</v>
      </c>
      <c r="AT59" s="898">
        <v>0.6</v>
      </c>
      <c r="AU59" s="898">
        <v>0.9</v>
      </c>
      <c r="AV59" s="898">
        <v>1</v>
      </c>
      <c r="AW59" s="83"/>
      <c r="AX59" s="84"/>
      <c r="BC59" s="84"/>
      <c r="BD59" s="84"/>
    </row>
    <row r="60" spans="20:56" x14ac:dyDescent="0.25">
      <c r="AP60" s="778"/>
      <c r="AQ60" s="778"/>
      <c r="AR60" s="778"/>
      <c r="AS60" s="778"/>
      <c r="AT60" s="778"/>
      <c r="AU60" s="778"/>
      <c r="AV60" s="778"/>
      <c r="AW60" s="84"/>
      <c r="AX60" s="84"/>
      <c r="BC60" s="84"/>
      <c r="BD60" s="84"/>
    </row>
    <row r="61" spans="20:56" x14ac:dyDescent="0.25">
      <c r="AP61" s="84"/>
      <c r="AQ61" s="83"/>
      <c r="AR61" s="84"/>
      <c r="AS61" s="84"/>
      <c r="AT61" s="84"/>
      <c r="AU61" s="84"/>
      <c r="AV61" s="84"/>
      <c r="AW61" s="83"/>
      <c r="AX61" s="83"/>
      <c r="BC61" s="84"/>
      <c r="BD61" s="84"/>
    </row>
    <row r="62" spans="20:56" x14ac:dyDescent="0.25">
      <c r="AP62" s="101"/>
      <c r="AQ62" s="83"/>
      <c r="AR62" s="84"/>
      <c r="AS62" s="84"/>
      <c r="AT62" s="84"/>
      <c r="AU62" s="84"/>
      <c r="AV62" s="84"/>
      <c r="AW62" s="83"/>
      <c r="AX62" s="83"/>
      <c r="BC62" s="84"/>
      <c r="BD62" s="84"/>
    </row>
    <row r="63" spans="20:56" x14ac:dyDescent="0.25">
      <c r="AP63" s="83"/>
      <c r="AQ63" s="83"/>
      <c r="AR63" s="84"/>
      <c r="AS63" s="84"/>
      <c r="AT63" s="84"/>
      <c r="AU63" s="84"/>
      <c r="AV63" s="84"/>
      <c r="AW63" s="83"/>
      <c r="AX63" s="83"/>
      <c r="BC63" s="84"/>
      <c r="BD63" s="84"/>
    </row>
    <row r="64" spans="20:56" x14ac:dyDescent="0.25">
      <c r="AP64" s="83"/>
      <c r="AQ64" s="83"/>
      <c r="AR64" s="84"/>
      <c r="AS64" s="84"/>
      <c r="AT64" s="84"/>
      <c r="AU64" s="84"/>
      <c r="AV64" s="84"/>
      <c r="AW64" s="83"/>
      <c r="AX64" s="84"/>
      <c r="BC64" s="84"/>
      <c r="BD64" s="84"/>
    </row>
    <row r="65" spans="42:56" x14ac:dyDescent="0.25">
      <c r="AP65" s="83"/>
      <c r="AQ65" s="83"/>
      <c r="AR65" s="84"/>
      <c r="AS65" s="84"/>
      <c r="AT65" s="84"/>
      <c r="AU65" s="84"/>
      <c r="AV65" s="84"/>
      <c r="AW65" s="83"/>
      <c r="AX65" s="84"/>
      <c r="BC65" s="84"/>
      <c r="BD65" s="84"/>
    </row>
    <row r="66" spans="42:56" x14ac:dyDescent="0.25">
      <c r="AP66" s="83"/>
      <c r="AQ66" s="83"/>
      <c r="AR66" s="84"/>
      <c r="AS66" s="84"/>
      <c r="AT66" s="84"/>
      <c r="AU66" s="84"/>
      <c r="AV66" s="84"/>
    </row>
    <row r="67" spans="42:56" x14ac:dyDescent="0.25">
      <c r="AP67" s="83"/>
      <c r="AQ67" s="83"/>
      <c r="AR67" s="84"/>
      <c r="AS67" s="84"/>
      <c r="AT67" s="84"/>
      <c r="AU67" s="84"/>
      <c r="AV67" s="84"/>
    </row>
  </sheetData>
  <sheetProtection algorithmName="SHA-512" hashValue="hZ1t0yzf8t8bUGCsvqrziyCYnJjkTHfSc5HfZ/3CCulFYUFGXKdIgxBG8Op5x04fkRrHIboAR0FZ2NwruurxeA==" saltValue="qdCKHMj+y7Z4EWCoHAwJzg==" spinCount="100000" sheet="1" objects="1" scenarios="1"/>
  <mergeCells count="83">
    <mergeCell ref="B4:G4"/>
    <mergeCell ref="H4:N4"/>
    <mergeCell ref="O4:P4"/>
    <mergeCell ref="Q4:R4"/>
    <mergeCell ref="B5:G5"/>
    <mergeCell ref="H5:N5"/>
    <mergeCell ref="O5:P5"/>
    <mergeCell ref="Q5:R5"/>
    <mergeCell ref="BH5:BK7"/>
    <mergeCell ref="BL5:BN7"/>
    <mergeCell ref="B6:E6"/>
    <mergeCell ref="F6:G6"/>
    <mergeCell ref="H6:L6"/>
    <mergeCell ref="M6:N6"/>
    <mergeCell ref="O6:P6"/>
    <mergeCell ref="Q6:R6"/>
    <mergeCell ref="B7:E7"/>
    <mergeCell ref="F7:G7"/>
    <mergeCell ref="H7:L7"/>
    <mergeCell ref="M7:N7"/>
    <mergeCell ref="O7:P7"/>
    <mergeCell ref="Q7:R7"/>
    <mergeCell ref="B8:F8"/>
    <mergeCell ref="L8:R8"/>
    <mergeCell ref="C9:F9"/>
    <mergeCell ref="L9:R40"/>
    <mergeCell ref="C10:F10"/>
    <mergeCell ref="C11:F11"/>
    <mergeCell ref="C12:F12"/>
    <mergeCell ref="C13:F13"/>
    <mergeCell ref="C14:F14"/>
    <mergeCell ref="C15:F15"/>
    <mergeCell ref="C19:F19"/>
    <mergeCell ref="C24:F24"/>
    <mergeCell ref="C39:F39"/>
    <mergeCell ref="C40:F40"/>
    <mergeCell ref="CE15:CE16"/>
    <mergeCell ref="CF15:CO16"/>
    <mergeCell ref="C16:F16"/>
    <mergeCell ref="C17:F17"/>
    <mergeCell ref="CE17:CE18"/>
    <mergeCell ref="CF17:CO18"/>
    <mergeCell ref="C18:F18"/>
    <mergeCell ref="CE19:CE20"/>
    <mergeCell ref="CF19:CO20"/>
    <mergeCell ref="C20:F20"/>
    <mergeCell ref="BQ20:BU20"/>
    <mergeCell ref="C21:F21"/>
    <mergeCell ref="CE21:CE22"/>
    <mergeCell ref="CF21:CO22"/>
    <mergeCell ref="C22:F22"/>
    <mergeCell ref="BO22:BO30"/>
    <mergeCell ref="C23:F23"/>
    <mergeCell ref="BO35:BU38"/>
    <mergeCell ref="C36:F36"/>
    <mergeCell ref="C37:F37"/>
    <mergeCell ref="C38:F38"/>
    <mergeCell ref="C25:F25"/>
    <mergeCell ref="C26:F26"/>
    <mergeCell ref="C27:F27"/>
    <mergeCell ref="C28:F28"/>
    <mergeCell ref="C29:F29"/>
    <mergeCell ref="C30:F30"/>
    <mergeCell ref="C31:F31"/>
    <mergeCell ref="C32:F32"/>
    <mergeCell ref="C33:F33"/>
    <mergeCell ref="C34:F34"/>
    <mergeCell ref="C35:F35"/>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s>
  <conditionalFormatting sqref="B9:F40">
    <cfRule type="expression" dxfId="294" priority="10" stopIfTrue="1">
      <formula>IF($Z9=1,TRUE,FALSE)</formula>
    </cfRule>
    <cfRule type="expression" dxfId="293" priority="11">
      <formula>IF($Z9=2,TRUE,FALSE)</formula>
    </cfRule>
  </conditionalFormatting>
  <conditionalFormatting sqref="C9:F40">
    <cfRule type="expression" dxfId="292" priority="3" stopIfTrue="1">
      <formula>IF($AF9=FALSE,TRUE,FALSE)</formula>
    </cfRule>
  </conditionalFormatting>
  <conditionalFormatting sqref="F6:G7 M6:P7">
    <cfRule type="expression" dxfId="291" priority="6" stopIfTrue="1">
      <formula>NOT($AU$5)</formula>
    </cfRule>
  </conditionalFormatting>
  <conditionalFormatting sqref="F7:G7">
    <cfRule type="cellIs" dxfId="290" priority="5" operator="equal">
      <formula>""</formula>
    </cfRule>
  </conditionalFormatting>
  <conditionalFormatting sqref="G9:K40">
    <cfRule type="expression" dxfId="289" priority="8" stopIfTrue="1">
      <formula>IF($Z9=1,TRUE,FALSE)</formula>
    </cfRule>
    <cfRule type="expression" dxfId="288" priority="9" stopIfTrue="1">
      <formula>IF($Z9=2,TRUE,FALSE)</formula>
    </cfRule>
  </conditionalFormatting>
  <conditionalFormatting sqref="H9:H40">
    <cfRule type="expression" dxfId="287" priority="12" stopIfTrue="1">
      <formula>IF($AB9=0,TRUE,FALSE)</formula>
    </cfRule>
  </conditionalFormatting>
  <conditionalFormatting sqref="H41:I42">
    <cfRule type="expression" dxfId="286" priority="4" stopIfTrue="1">
      <formula>IF($H$42="N/A",TRUE,FALSE)</formula>
    </cfRule>
  </conditionalFormatting>
  <conditionalFormatting sqref="H7:P7 O5:R5 B7">
    <cfRule type="containsBlanks" dxfId="285" priority="7">
      <formula>LEN(TRIM(B5))=0</formula>
    </cfRule>
  </conditionalFormatting>
  <conditionalFormatting sqref="J9:J40">
    <cfRule type="expression" dxfId="284" priority="16">
      <formula>IF($Z9=1,FALSE,OR($BE9,$BD9))</formula>
    </cfRule>
  </conditionalFormatting>
  <conditionalFormatting sqref="J9:K40 C9:F40">
    <cfRule type="expression" dxfId="283" priority="15">
      <formula>IF($Z9=1,FALSE,OR($AW9,$AX9,$AY9,$AZ9))</formula>
    </cfRule>
  </conditionalFormatting>
  <conditionalFormatting sqref="J9:K40">
    <cfRule type="expression" dxfId="282" priority="13" stopIfTrue="1">
      <formula>IF(ISNA($Z9),TRUE,FALSE)</formula>
    </cfRule>
  </conditionalFormatting>
  <conditionalFormatting sqref="K9:K40">
    <cfRule type="expression" dxfId="281" priority="14">
      <formula>IF(OR($Z9=1,$Z9=2),FALSE,OR($BC9,$BE9,$BF9))</formula>
    </cfRule>
  </conditionalFormatting>
  <conditionalFormatting sqref="L9">
    <cfRule type="containsBlanks" dxfId="280" priority="1">
      <formula>LEN(TRIM(L9))=0</formula>
    </cfRule>
  </conditionalFormatting>
  <conditionalFormatting sqref="L42">
    <cfRule type="expression" dxfId="279" priority="2">
      <formula>NOT($U$50)</formula>
    </cfRule>
  </conditionalFormatting>
  <dataValidations count="6">
    <dataValidation type="list" allowBlank="1" showInputMessage="1" showErrorMessage="1" sqref="F7:G7" xr:uid="{E88269BC-6CD2-48CF-8A7B-2AC720FE26B4}">
      <formula1>"No,Yes"</formula1>
    </dataValidation>
    <dataValidation type="list" allowBlank="1" showInputMessage="1" showErrorMessage="1" sqref="J9:J40" xr:uid="{4260936B-CB15-4594-8E61-7EF955B88AAA}">
      <formula1>"NA,0,1,2,3,4,5,6,7,8,9,10,11,12,13,14,15"</formula1>
    </dataValidation>
    <dataValidation type="list" allowBlank="1" showInputMessage="1" showErrorMessage="1" sqref="K9:K40" xr:uid="{3B961669-B04B-4B54-A6BB-35DD5BADD780}">
      <formula1>"D,0,1,2,3,4"</formula1>
    </dataValidation>
    <dataValidation type="custom" showInputMessage="1" showErrorMessage="1" sqref="O42:R42" xr:uid="{A4869757-10E9-4EF9-B677-C7C3FA6AA1E7}">
      <formula1>IF(OR(O42="N/A",O42="",ISBLANK(O42)),FALSE,TRUE)</formula1>
    </dataValidation>
    <dataValidation type="decimal" allowBlank="1" showInputMessage="1" showErrorMessage="1" sqref="O7:P7" xr:uid="{2BFE3ABC-71AD-49D6-84F9-084FA1738788}">
      <formula1>0</formula1>
      <formula2>10</formula2>
    </dataValidation>
    <dataValidation type="date" allowBlank="1" showInputMessage="1" showErrorMessage="1" sqref="Q5:R5" xr:uid="{0C62C56B-8B76-4045-A0E6-491274756FC6}">
      <formula1>41151</formula1>
      <formula2>77433</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B80AF-CF38-4694-BD40-79FC0774FB11}">
  <sheetPr codeName="Sheet15">
    <tabColor rgb="FF00B0F0"/>
    <pageSetUpPr autoPageBreaks="0"/>
  </sheetPr>
  <dimension ref="B1:BU66"/>
  <sheetViews>
    <sheetView showGridLines="0" showRowColHeaders="0" topLeftCell="A2" zoomScaleNormal="100" zoomScaleSheetLayoutView="100" workbookViewId="0">
      <selection activeCell="Q4" sqref="Q4:R4"/>
    </sheetView>
  </sheetViews>
  <sheetFormatPr defaultColWidth="9.140625" defaultRowHeight="12.75" x14ac:dyDescent="0.2"/>
  <cols>
    <col min="1" max="1" width="1.5703125" style="103" customWidth="1"/>
    <col min="2" max="2" width="3.5703125" style="103" customWidth="1"/>
    <col min="3" max="3" width="5.5703125" style="103" customWidth="1"/>
    <col min="4" max="4" width="9.140625" style="103" customWidth="1"/>
    <col min="5" max="5" width="14" style="103" customWidth="1"/>
    <col min="6" max="6" width="7.85546875" style="103" customWidth="1"/>
    <col min="7" max="11" width="5.140625" style="103" customWidth="1"/>
    <col min="12" max="12" width="21.5703125" style="103" customWidth="1"/>
    <col min="13" max="13" width="6.5703125" style="103" customWidth="1"/>
    <col min="14" max="14" width="12.5703125" style="103" customWidth="1"/>
    <col min="15" max="15" width="7.85546875" style="103" customWidth="1"/>
    <col min="16" max="16" width="2.7109375" style="103" customWidth="1"/>
    <col min="17" max="17" width="4.85546875" style="103" customWidth="1"/>
    <col min="18" max="18" width="7.28515625" style="103" customWidth="1"/>
    <col min="19" max="19" width="1.7109375" style="103" customWidth="1"/>
    <col min="20" max="20" width="19.140625" style="110" hidden="1" customWidth="1"/>
    <col min="21" max="21" width="31.140625" style="110" hidden="1" customWidth="1"/>
    <col min="22" max="22" width="5.140625" style="110" hidden="1" customWidth="1"/>
    <col min="23" max="24" width="6.28515625" style="110" hidden="1" customWidth="1"/>
    <col min="25" max="25" width="8.42578125" style="110" hidden="1" customWidth="1"/>
    <col min="26" max="26" width="7.85546875" style="110" hidden="1" customWidth="1"/>
    <col min="27" max="27" width="10.7109375" style="110" hidden="1" customWidth="1"/>
    <col min="28" max="28" width="8" style="110" hidden="1" customWidth="1"/>
    <col min="29" max="31" width="5.140625" style="110" hidden="1" customWidth="1"/>
    <col min="32" max="34" width="5.85546875" style="110" hidden="1" customWidth="1"/>
    <col min="35" max="35" width="8.5703125" style="111" hidden="1" customWidth="1"/>
    <col min="36" max="36" width="7" style="110" hidden="1" customWidth="1"/>
    <col min="37" max="38" width="5.28515625" style="110" hidden="1" customWidth="1"/>
    <col min="39" max="40" width="7" style="110" hidden="1" customWidth="1"/>
    <col min="41" max="41" width="5.140625" style="110" hidden="1" customWidth="1"/>
    <col min="42" max="42" width="11.28515625" style="110" hidden="1" customWidth="1"/>
    <col min="43" max="43" width="6.42578125" style="110" hidden="1" customWidth="1"/>
    <col min="44" max="44" width="8.28515625" style="110" hidden="1" customWidth="1"/>
    <col min="45" max="45" width="8.85546875" style="110" hidden="1" customWidth="1"/>
    <col min="46" max="46" width="10.7109375" style="110" hidden="1" customWidth="1"/>
    <col min="47" max="47" width="8.85546875" style="110" hidden="1" customWidth="1"/>
    <col min="48" max="48" width="6.28515625" style="110" hidden="1" customWidth="1"/>
    <col min="49" max="49" width="10" style="110" hidden="1" customWidth="1"/>
    <col min="50" max="50" width="7.5703125" style="110" hidden="1" customWidth="1"/>
    <col min="51" max="51" width="7" style="110" hidden="1" customWidth="1"/>
    <col min="52" max="52" width="8.140625" style="110" hidden="1" customWidth="1"/>
    <col min="53" max="53" width="12.5703125" style="110" hidden="1" customWidth="1"/>
    <col min="54" max="54" width="7.7109375" style="110" hidden="1" customWidth="1"/>
    <col min="55" max="55" width="12.7109375" style="110" hidden="1" customWidth="1"/>
    <col min="56" max="56" width="7" style="110" hidden="1" customWidth="1"/>
    <col min="57" max="57" width="15.5703125" style="110" hidden="1" customWidth="1"/>
    <col min="58" max="58" width="9.140625" style="110" hidden="1" customWidth="1"/>
    <col min="59" max="59" width="10" style="110" hidden="1" customWidth="1"/>
    <col min="60" max="60" width="5.28515625" style="110" hidden="1" customWidth="1"/>
    <col min="61" max="61" width="4" style="110" hidden="1" customWidth="1"/>
    <col min="62" max="62" width="4.7109375" style="110" hidden="1" customWidth="1"/>
    <col min="63" max="63" width="5.5703125" style="110" hidden="1" customWidth="1"/>
    <col min="64" max="64" width="5.28515625" style="110" hidden="1" customWidth="1"/>
    <col min="65" max="65" width="4" style="110" hidden="1" customWidth="1"/>
    <col min="66" max="66" width="5.5703125" style="110" hidden="1" customWidth="1"/>
    <col min="67" max="67" width="5.140625" style="106" customWidth="1"/>
    <col min="68" max="73" width="5.140625" style="103" customWidth="1"/>
    <col min="74" max="16384" width="9.140625" style="103"/>
  </cols>
  <sheetData>
    <row r="1" spans="2:73" s="107" customFormat="1" ht="12" hidden="1" x14ac:dyDescent="0.2">
      <c r="T1" s="108"/>
      <c r="U1" s="108"/>
      <c r="V1" s="108"/>
      <c r="W1" s="108"/>
      <c r="X1" s="108"/>
      <c r="Y1" s="108"/>
      <c r="Z1" s="108"/>
      <c r="AA1" s="108"/>
      <c r="AB1" s="108"/>
      <c r="AC1" s="108"/>
      <c r="AD1" s="108"/>
      <c r="AE1" s="108"/>
      <c r="AF1" s="108"/>
      <c r="AG1" s="108"/>
      <c r="AH1" s="108"/>
      <c r="AI1" s="109"/>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row>
    <row r="2" spans="2:73" ht="13.5" thickBot="1" x14ac:dyDescent="0.25"/>
    <row r="3" spans="2:73" ht="13.5" customHeight="1" thickTop="1" x14ac:dyDescent="0.2">
      <c r="B3" s="1421" t="s">
        <v>141</v>
      </c>
      <c r="C3" s="1422"/>
      <c r="D3" s="1422"/>
      <c r="E3" s="1422"/>
      <c r="F3" s="1422"/>
      <c r="G3" s="1423"/>
      <c r="H3" s="1424" t="s">
        <v>457</v>
      </c>
      <c r="I3" s="1425"/>
      <c r="J3" s="1425"/>
      <c r="K3" s="1425"/>
      <c r="L3" s="1425"/>
      <c r="M3" s="1425"/>
      <c r="N3" s="1426"/>
      <c r="O3" s="1427" t="s">
        <v>142</v>
      </c>
      <c r="P3" s="1428"/>
      <c r="Q3" s="1427" t="s">
        <v>143</v>
      </c>
      <c r="R3" s="1429"/>
      <c r="S3" s="112"/>
      <c r="T3" s="113"/>
      <c r="U3" s="113"/>
      <c r="V3" s="113"/>
      <c r="W3" s="113"/>
      <c r="X3" s="113"/>
      <c r="Y3" s="113"/>
      <c r="Z3" s="113"/>
      <c r="AA3" s="113"/>
      <c r="AB3" s="113"/>
      <c r="AC3" s="113"/>
      <c r="AD3" s="113"/>
      <c r="AE3" s="113"/>
      <c r="AF3" s="113"/>
      <c r="AG3" s="113"/>
      <c r="AH3" s="113"/>
      <c r="AI3" s="114"/>
      <c r="AJ3" s="113"/>
      <c r="AK3" s="113"/>
      <c r="AL3" s="113"/>
      <c r="AM3" s="113"/>
      <c r="AN3" s="113"/>
      <c r="AO3" s="113"/>
      <c r="AP3" s="113"/>
      <c r="AQ3" s="108"/>
      <c r="AR3" s="108"/>
      <c r="AW3" s="110" t="s">
        <v>144</v>
      </c>
      <c r="AX3" s="110" t="s">
        <v>145</v>
      </c>
      <c r="AY3" s="110" t="s">
        <v>146</v>
      </c>
      <c r="AZ3" s="110" t="s">
        <v>147</v>
      </c>
      <c r="BA3" s="110" t="s">
        <v>148</v>
      </c>
      <c r="BB3" s="110" t="s">
        <v>149</v>
      </c>
      <c r="BP3" s="1430" t="s">
        <v>318</v>
      </c>
      <c r="BQ3" s="1430"/>
      <c r="BR3" s="1430"/>
      <c r="BS3" s="1430"/>
      <c r="BT3" s="1430"/>
      <c r="BU3" s="1430"/>
    </row>
    <row r="4" spans="2:73" s="105" customFormat="1" ht="15.75" customHeight="1" x14ac:dyDescent="0.2">
      <c r="B4" s="1431" t="s">
        <v>442</v>
      </c>
      <c r="C4" s="1432"/>
      <c r="D4" s="1432"/>
      <c r="E4" s="1432"/>
      <c r="F4" s="1432"/>
      <c r="G4" s="1433"/>
      <c r="H4" s="1434" t="s">
        <v>316</v>
      </c>
      <c r="I4" s="1435"/>
      <c r="J4" s="1435"/>
      <c r="K4" s="1435"/>
      <c r="L4" s="1435"/>
      <c r="M4" s="1435"/>
      <c r="N4" s="1436"/>
      <c r="O4" s="1437"/>
      <c r="P4" s="1438"/>
      <c r="Q4" s="1439"/>
      <c r="R4" s="1440"/>
      <c r="S4" s="115"/>
      <c r="T4" s="116"/>
      <c r="U4" s="116"/>
      <c r="V4" s="116"/>
      <c r="W4" s="116"/>
      <c r="X4" s="116"/>
      <c r="Y4" s="116"/>
      <c r="Z4" s="116"/>
      <c r="AA4" s="116"/>
      <c r="AB4" s="116"/>
      <c r="AC4" s="116"/>
      <c r="AD4" s="116"/>
      <c r="AE4" s="116"/>
      <c r="AF4" s="116"/>
      <c r="AG4" s="116"/>
      <c r="AH4" s="116"/>
      <c r="AI4" s="117"/>
      <c r="AJ4" s="116"/>
      <c r="AK4" s="116"/>
      <c r="AL4" s="116"/>
      <c r="AM4" s="116"/>
      <c r="AN4" s="116"/>
      <c r="AO4" s="116"/>
      <c r="AP4" s="116"/>
      <c r="AQ4" s="118"/>
      <c r="AR4" s="118"/>
      <c r="AS4" s="119"/>
      <c r="AT4" s="120" t="s">
        <v>151</v>
      </c>
      <c r="AU4" s="121" t="b">
        <v>1</v>
      </c>
      <c r="AV4" s="119">
        <v>5</v>
      </c>
      <c r="AW4" s="119" t="b">
        <f>IF(ISERR(OR(AW8:AW39)),"UNK",IF(AND(graded_aca_events&gt;=1,input_test),FALSE,OR(AW8:AW39)))</f>
        <v>1</v>
      </c>
      <c r="AX4" s="119" t="b">
        <f>IF(ISERR(OR(AX8:AX39)),"UNK",IF(AND(graded_aca_events&gt;=1,input_test),FALSE,OR(AX8:AX39)))</f>
        <v>1</v>
      </c>
      <c r="AY4" s="119" t="b">
        <f>IF(ISERR(OR(AY8:AY39)),"UNK",OR(AY8:AY39))</f>
        <v>0</v>
      </c>
      <c r="AZ4" s="119" t="b">
        <f>IF(ISERR(OR(AZ8:AZ39)),"UNK",OR(AZ8:AZ39))</f>
        <v>0</v>
      </c>
      <c r="BA4" s="119" t="b">
        <f>IF(ISERR(OR(BA8:BA39)),"UNK",OR(BA8:BA39))</f>
        <v>0</v>
      </c>
      <c r="BB4" s="119" t="b">
        <f>IF(ISERR(OR(BB8:BB39)),"UNK",OR(BB8:BB39))</f>
        <v>0</v>
      </c>
      <c r="BC4" s="122" t="b">
        <f>OR(BC8:BC39)</f>
        <v>0</v>
      </c>
      <c r="BD4" s="122" t="b">
        <f>OR(BD8:BD39)</f>
        <v>0</v>
      </c>
      <c r="BE4" s="122" t="b">
        <f>OR(BE8:BE39)</f>
        <v>0</v>
      </c>
      <c r="BF4" s="122"/>
      <c r="BG4" s="119"/>
      <c r="BH4" s="1441" t="s">
        <v>152</v>
      </c>
      <c r="BI4" s="1441"/>
      <c r="BJ4" s="1441"/>
      <c r="BK4" s="1441"/>
      <c r="BL4" s="1393" t="s">
        <v>153</v>
      </c>
      <c r="BM4" s="1393"/>
      <c r="BN4" s="1393"/>
      <c r="BO4" s="106"/>
      <c r="BP4" s="1430"/>
      <c r="BQ4" s="1430"/>
      <c r="BR4" s="1430"/>
      <c r="BS4" s="1430"/>
      <c r="BT4" s="1430"/>
      <c r="BU4" s="1430"/>
    </row>
    <row r="5" spans="2:73" s="112" customFormat="1" ht="7.5" customHeight="1" x14ac:dyDescent="0.25">
      <c r="B5" s="1394" t="s">
        <v>154</v>
      </c>
      <c r="C5" s="1395"/>
      <c r="D5" s="1395"/>
      <c r="E5" s="1396"/>
      <c r="F5" s="1397" t="s">
        <v>155</v>
      </c>
      <c r="G5" s="1396"/>
      <c r="H5" s="1397" t="s">
        <v>156</v>
      </c>
      <c r="I5" s="1395"/>
      <c r="J5" s="1395"/>
      <c r="K5" s="1395"/>
      <c r="L5" s="1396"/>
      <c r="M5" s="1398" t="s">
        <v>157</v>
      </c>
      <c r="N5" s="1399"/>
      <c r="O5" s="1400" t="s">
        <v>158</v>
      </c>
      <c r="P5" s="1401"/>
      <c r="Q5" s="1397" t="str">
        <f>IF(AU41=0,"GRADE","GRADE (inc. bonus)")</f>
        <v>GRADE</v>
      </c>
      <c r="R5" s="1402"/>
      <c r="T5" s="113"/>
      <c r="U5" s="113"/>
      <c r="V5" s="113"/>
      <c r="W5" s="113"/>
      <c r="X5" s="113"/>
      <c r="Y5" s="113"/>
      <c r="Z5" s="113"/>
      <c r="AA5" s="113"/>
      <c r="AB5" s="113"/>
      <c r="AC5" s="113"/>
      <c r="AD5" s="113"/>
      <c r="AE5" s="113"/>
      <c r="AF5" s="113"/>
      <c r="AG5" s="113"/>
      <c r="AH5" s="113"/>
      <c r="AI5" s="114"/>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441"/>
      <c r="BI5" s="1441"/>
      <c r="BJ5" s="1441"/>
      <c r="BK5" s="1441"/>
      <c r="BL5" s="1393"/>
      <c r="BM5" s="1393"/>
      <c r="BN5" s="1393"/>
      <c r="BO5" s="123"/>
    </row>
    <row r="6" spans="2:73" s="105" customFormat="1" ht="15.75" customHeight="1" thickBot="1" x14ac:dyDescent="0.25">
      <c r="B6" s="1403"/>
      <c r="C6" s="1404"/>
      <c r="D6" s="1404"/>
      <c r="E6" s="1405"/>
      <c r="F6" s="1406" t="s">
        <v>270</v>
      </c>
      <c r="G6" s="1407"/>
      <c r="H6" s="1408"/>
      <c r="I6" s="1409"/>
      <c r="J6" s="1409"/>
      <c r="K6" s="1409"/>
      <c r="L6" s="1407"/>
      <c r="M6" s="1410" t="s">
        <v>284</v>
      </c>
      <c r="N6" s="1411"/>
      <c r="O6" s="1412"/>
      <c r="P6" s="1413"/>
      <c r="Q6" s="1414" t="str">
        <f>IF((graded_aca_events+graded_amn_events)&lt;1,"0",IF(ISERROR(AR46),"",IF(F41&lt;&gt;"COMPLETE","INCOMPLETE",AR46)))</f>
        <v>0</v>
      </c>
      <c r="R6" s="1415"/>
      <c r="S6" s="103"/>
      <c r="T6" s="119"/>
      <c r="U6" s="119">
        <v>2</v>
      </c>
      <c r="V6" s="119">
        <v>3</v>
      </c>
      <c r="W6" s="119">
        <v>6</v>
      </c>
      <c r="X6" s="119">
        <v>7</v>
      </c>
      <c r="Y6" s="119">
        <v>11</v>
      </c>
      <c r="Z6" s="119">
        <v>8</v>
      </c>
      <c r="AA6" s="119">
        <v>9</v>
      </c>
      <c r="AB6" s="119">
        <v>10</v>
      </c>
      <c r="AC6" s="119">
        <v>5</v>
      </c>
      <c r="AD6" s="119">
        <v>4</v>
      </c>
      <c r="AE6" s="119">
        <v>12</v>
      </c>
      <c r="AF6" s="119">
        <v>13</v>
      </c>
      <c r="AG6" s="119"/>
      <c r="AH6" s="119"/>
      <c r="AI6" s="124"/>
      <c r="AJ6" s="125"/>
      <c r="AK6" s="125"/>
      <c r="AL6" s="125"/>
      <c r="AM6" s="125" t="b">
        <f>IF(COUNT(AM8:AM39)&gt;0,TRUE,FALSE)</f>
        <v>0</v>
      </c>
      <c r="AN6" s="125" t="b">
        <f>IF(COUNT(AN8:AN39)&gt;0,TRUE,FALSE)</f>
        <v>0</v>
      </c>
      <c r="AO6" s="119"/>
      <c r="AP6" s="119"/>
      <c r="AQ6" s="118"/>
      <c r="AR6" s="118"/>
      <c r="AS6" s="119"/>
      <c r="AT6" s="85">
        <v>0</v>
      </c>
      <c r="AU6" s="119"/>
      <c r="AV6" s="126">
        <f>0.01*input_maxb</f>
        <v>0.05</v>
      </c>
      <c r="AW6" s="127" t="s">
        <v>159</v>
      </c>
      <c r="AX6" s="128"/>
      <c r="AY6" s="127" t="s">
        <v>160</v>
      </c>
      <c r="AZ6" s="128"/>
      <c r="BA6" s="129" t="s">
        <v>161</v>
      </c>
      <c r="BB6" s="129"/>
      <c r="BC6" s="127" t="s">
        <v>162</v>
      </c>
      <c r="BD6" s="129"/>
      <c r="BE6" s="130"/>
      <c r="BF6" s="131"/>
      <c r="BG6" s="119" t="s">
        <v>163</v>
      </c>
      <c r="BH6" s="1441"/>
      <c r="BI6" s="1441"/>
      <c r="BJ6" s="1441"/>
      <c r="BK6" s="1441"/>
      <c r="BL6" s="1393"/>
      <c r="BM6" s="1393"/>
      <c r="BN6" s="1393"/>
      <c r="BO6" s="106"/>
    </row>
    <row r="7" spans="2:73" ht="27" customHeight="1" thickBot="1" x14ac:dyDescent="0.25">
      <c r="B7" s="1416" t="s">
        <v>164</v>
      </c>
      <c r="C7" s="1417"/>
      <c r="D7" s="1417"/>
      <c r="E7" s="1417"/>
      <c r="F7" s="1418"/>
      <c r="G7" s="132" t="s">
        <v>165</v>
      </c>
      <c r="H7" s="133" t="s">
        <v>166</v>
      </c>
      <c r="I7" s="134" t="s">
        <v>167</v>
      </c>
      <c r="J7" s="135" t="s">
        <v>168</v>
      </c>
      <c r="K7" s="136" t="s">
        <v>169</v>
      </c>
      <c r="L7" s="1419" t="s">
        <v>170</v>
      </c>
      <c r="M7" s="1417"/>
      <c r="N7" s="1417"/>
      <c r="O7" s="1417"/>
      <c r="P7" s="1417"/>
      <c r="Q7" s="1417"/>
      <c r="R7" s="1420"/>
      <c r="T7" s="137" t="s">
        <v>171</v>
      </c>
      <c r="U7" s="137"/>
      <c r="V7" s="137" t="s">
        <v>172</v>
      </c>
      <c r="W7" s="137" t="s">
        <v>173</v>
      </c>
      <c r="X7" s="137" t="s">
        <v>174</v>
      </c>
      <c r="Y7" s="137" t="s">
        <v>175</v>
      </c>
      <c r="Z7" s="137" t="s">
        <v>176</v>
      </c>
      <c r="AA7" s="137" t="s">
        <v>177</v>
      </c>
      <c r="AB7" s="137" t="s">
        <v>178</v>
      </c>
      <c r="AC7" s="137" t="s">
        <v>179</v>
      </c>
      <c r="AD7" s="137" t="s">
        <v>180</v>
      </c>
      <c r="AE7" s="137" t="s">
        <v>181</v>
      </c>
      <c r="AF7" s="137" t="s">
        <v>182</v>
      </c>
      <c r="AG7" s="137" t="s">
        <v>183</v>
      </c>
      <c r="AH7" s="137" t="s">
        <v>184</v>
      </c>
      <c r="AI7" s="138" t="s">
        <v>185</v>
      </c>
      <c r="AJ7" s="139" t="s">
        <v>186</v>
      </c>
      <c r="AK7" s="140" t="s">
        <v>187</v>
      </c>
      <c r="AL7" s="140" t="s">
        <v>188</v>
      </c>
      <c r="AM7" s="140" t="s">
        <v>189</v>
      </c>
      <c r="AN7" s="140" t="s">
        <v>190</v>
      </c>
      <c r="AO7" s="139" t="s">
        <v>191</v>
      </c>
      <c r="AP7" s="139" t="s">
        <v>192</v>
      </c>
      <c r="AQ7" s="141" t="s">
        <v>193</v>
      </c>
      <c r="AR7" s="142" t="s">
        <v>1</v>
      </c>
      <c r="AS7" s="141" t="s">
        <v>194</v>
      </c>
      <c r="AT7" s="142" t="s">
        <v>1</v>
      </c>
      <c r="AU7" s="141" t="s">
        <v>195</v>
      </c>
      <c r="AV7" s="143" t="s">
        <v>196</v>
      </c>
      <c r="AW7" s="144" t="s">
        <v>197</v>
      </c>
      <c r="AX7" s="145" t="s">
        <v>198</v>
      </c>
      <c r="AY7" s="144" t="s">
        <v>199</v>
      </c>
      <c r="AZ7" s="145" t="s">
        <v>200</v>
      </c>
      <c r="BA7" s="146" t="s">
        <v>201</v>
      </c>
      <c r="BB7" s="146" t="s">
        <v>202</v>
      </c>
      <c r="BC7" s="147" t="s">
        <v>203</v>
      </c>
      <c r="BD7" s="148" t="s">
        <v>204</v>
      </c>
      <c r="BE7" s="149" t="s">
        <v>205</v>
      </c>
      <c r="BF7" s="150" t="s">
        <v>206</v>
      </c>
      <c r="BH7" s="110" t="s">
        <v>207</v>
      </c>
      <c r="BI7" s="110" t="s">
        <v>208</v>
      </c>
      <c r="BJ7" s="137" t="s">
        <v>209</v>
      </c>
      <c r="BK7" s="110" t="s">
        <v>210</v>
      </c>
      <c r="BL7" s="110" t="s">
        <v>207</v>
      </c>
      <c r="BM7" s="110" t="s">
        <v>208</v>
      </c>
      <c r="BN7" s="110" t="s">
        <v>210</v>
      </c>
    </row>
    <row r="8" spans="2:73" ht="12.95" customHeight="1" x14ac:dyDescent="0.25">
      <c r="B8" s="151" t="str">
        <f>IF(ISNA(Z8),"",IF(OR(Z8=1,Z8=2),"",1))</f>
        <v/>
      </c>
      <c r="C8" s="1391" t="str">
        <f t="shared" ref="C8:C39" si="0">IF(ISNA(Z8),"",CONCATENATE($U8,IF(ISNUMBER(AI8),TEXT(ROUND($AI8,3)," (0.0%)"),""),IF(AU8&gt;0," Bonus","")))</f>
        <v>Ops Skills</v>
      </c>
      <c r="D8" s="1391"/>
      <c r="E8" s="1391"/>
      <c r="F8" s="1392"/>
      <c r="G8" s="152" t="str">
        <f t="shared" ref="G8:G39" si="1">BH8</f>
        <v/>
      </c>
      <c r="H8" s="153" t="str">
        <f t="shared" ref="H8:I39" si="2">BJ8</f>
        <v/>
      </c>
      <c r="I8" s="154" t="str">
        <f t="shared" si="2"/>
        <v/>
      </c>
      <c r="J8" s="155"/>
      <c r="K8" s="156"/>
      <c r="L8" s="267" t="s">
        <v>458</v>
      </c>
      <c r="M8" s="268"/>
      <c r="N8" s="268"/>
      <c r="O8" s="268"/>
      <c r="P8" s="268"/>
      <c r="Q8" s="269"/>
      <c r="R8" s="270"/>
      <c r="T8" s="110">
        <v>1</v>
      </c>
      <c r="U8" s="110" t="s">
        <v>443</v>
      </c>
      <c r="V8" s="206" t="s">
        <v>212</v>
      </c>
      <c r="W8" s="206" t="s">
        <v>212</v>
      </c>
      <c r="X8" s="206" t="s">
        <v>212</v>
      </c>
      <c r="Y8" s="206" t="s">
        <v>212</v>
      </c>
      <c r="Z8" s="206">
        <v>1</v>
      </c>
      <c r="AA8" s="206">
        <v>0</v>
      </c>
      <c r="AB8" s="206" t="s">
        <v>212</v>
      </c>
      <c r="AC8" s="206" t="s">
        <v>212</v>
      </c>
      <c r="AD8" s="206" t="s">
        <v>212</v>
      </c>
      <c r="AE8" s="206">
        <v>0</v>
      </c>
      <c r="AF8" s="206" t="s">
        <v>212</v>
      </c>
      <c r="AG8" s="206" t="str">
        <f t="shared" ref="AG8:AG39" si="3">IF(CrewSoloQual="Yes",$AC8,$AD8)</f>
        <v/>
      </c>
      <c r="AH8" s="206" t="str">
        <f t="shared" ref="AH8:AH39" si="4">IF(ISNUMBER(AC8),IF(CrewSoloQual="Yes",$AC8-1,$AD8-1),"")</f>
        <v/>
      </c>
      <c r="AI8" s="86" t="str">
        <f>IF(NOT(OR(Z8=1,Z8=2)),IF(AQ8&gt;0,$AR$44*AQ8/SUMIF($AQ$8:$AQ$39,"&gt;0"),IF(AU8&gt;0,$AV$44*AU8/SUMIF($AU$8:$AU$39,"&gt;0"),IF(AS8&gt;0,$AT$44*AS8/SUMIF($AS$8:$AS$39,"&gt;0"),""))),IF(SUMIF(AJ9:$AJ$39,"=" &amp; AJ8,AI9:$AI$39)=0,"",SUMIF(AJ9:$AJ$39,"=" &amp; AJ8,AI9:$AI$39)))</f>
        <v/>
      </c>
      <c r="AJ8" s="87">
        <f>0</f>
        <v>0</v>
      </c>
      <c r="AK8" s="206" t="str">
        <f t="shared" ref="AK8:AK39" si="5">BI8</f>
        <v/>
      </c>
      <c r="AL8" s="206" t="str">
        <f t="shared" ref="AL8:AL39" si="6">IF(ISBLANK(K8),"",K8)</f>
        <v/>
      </c>
      <c r="AM8" s="206" t="str">
        <f t="shared" ref="AM8:AM39" si="7">IF(ISNUMBER(AK8),IF(ISNUMBER(AL8),1,""),"")</f>
        <v/>
      </c>
      <c r="AN8" s="206" t="str">
        <f t="shared" ref="AN8:AN39" si="8">IF(ISNUMBER(AH8),IF(AND(AB8=0,ISNUMBER(AC8),ISNUMBER(AL8)),1,""),"")</f>
        <v/>
      </c>
      <c r="AO8" s="206" t="str">
        <f t="shared" ref="AO8:AO39" si="9">IF(AB8=0,IF(CrewSoloQual="No",BI8,BK8),"")</f>
        <v/>
      </c>
      <c r="AP8" s="206" t="str">
        <f t="shared" ref="AP8:AP39" si="10">IF(ISNA(Z8),"",IF(AND(ISNUMBER(B8),G8&gt;=1,H8&lt;&gt;"NG"),IF(K8&lt;BK8,TRUE,FALSE),IF(AND(G8&gt;=1,J8="NA"),TRUE,IF(AND(AM8=1,G8=0,AL8&lt;BI8),TRUE,""))))</f>
        <v/>
      </c>
      <c r="AQ8" s="157">
        <f t="shared" ref="AQ8:AQ39" si="11">IF(ISNA(Z8),0,IF(OR(J8="NA",W8="",AB8=0),0,W8))</f>
        <v>0</v>
      </c>
      <c r="AR8" s="88" t="str">
        <f t="shared" ref="AR8:AR39" si="12">IF(ISNA(Z8),"",IF(AND(NOT(OR(Z8=1,Z8=2,AK8="NG",AB8=0)),IF(ISNUMBER(AL8),AL8&gt;=0,FALSE)),VLOOKUP((10*AD8+AC8),$AQ$50:$AV$58,2+AL8,FALSE),IF(AND(input_test=TRUE,ISNUMBER(AD8),V8&lt;&gt;0),VLOOKUP((10*AD8+AC8),$AQ$50:$AV$58,2,FALSE),"")))</f>
        <v/>
      </c>
      <c r="AS8" s="89">
        <f t="shared" ref="AS8:AS39" si="13">IF(ISNA(Z8),0,IF(OR(J8="NA",X8="",AB8=1),0,X8))</f>
        <v>0</v>
      </c>
      <c r="AT8" s="88" t="str">
        <f t="shared" ref="AT8:AT39" si="14">IF(ISNA(Z8),"",IF(AND(NOT(OR(Z8=1,Z8=2,AK8="NG",AB8=1)),IF(ISNUMBER(AL8),AL8&gt;=0,FALSE)),VLOOKUP((10*AH8+AG8),$AQ$50:$AV$58,2+AL8,FALSE),IF(AND(input_test=TRUE,ISNUMBER(AD8),V8&lt;&gt;0),VLOOKUP((10*AH8+AG8),$AQ$50:$AV$58,2,FALSE),"")))</f>
        <v/>
      </c>
      <c r="AU8" s="158">
        <f t="shared" ref="AU8:AU39" si="15">IF(ISNA(Z8),0,IF(OR(J8="NA",Y8=""),0,Y8))</f>
        <v>0</v>
      </c>
      <c r="AV8" s="90" t="str">
        <f t="shared" ref="AV8:AV39" si="16">AR8</f>
        <v/>
      </c>
      <c r="AW8" s="158" t="b">
        <f t="shared" ref="AW8:AW39" si="17">IF(ISNA(Z8),FALSE,IF(OR(AB8=1,G8=0,Z8=1,Z8=2),FALSE,IF(OR(J8="NA",J8&gt;=G8),FALSE,TRUE)))</f>
        <v>0</v>
      </c>
      <c r="AX8" s="159" t="b">
        <f t="shared" ref="AX8:AX39" si="18">IF(ISNA(Z8),FALSE,IF(OR(AB8=0,G8=0,Z8=1,Z8=2,J8="NA"),FALSE,IF(AK8="NG",IF(NOT(ISBLANK(K8)),FALSE,TRUE),IF(J8&gt;=G8,FALSE,TRUE))))</f>
        <v>0</v>
      </c>
      <c r="AY8" s="158" t="b">
        <f t="shared" ref="AY8:AY39" si="19">IF(ISNA(Z8),FALSE,IF(OR(AB8=1,G8&lt;1,Z8=1,Z8=2,AE8=0,ISBLANK(K8)),FALSE,IF(OR(J8="NA",K8&gt;=BI8),FALSE,TRUE)))</f>
        <v>0</v>
      </c>
      <c r="AZ8" s="159" t="b">
        <f t="shared" ref="AZ8:AZ39" si="20">IF(ISNA(Z8),FALSE,IF(OR(AB8=0,G8=0,Z8=1,Z8=2,AE8=0,BI8="NG",K8="",ISBLANK(K8)),FALSE,IF(OR(J8="NA",K8&gt;=AK8),FALSE,TRUE)))</f>
        <v>0</v>
      </c>
      <c r="BA8" s="206" t="b">
        <f t="shared" ref="BA8:BA39" si="21">IF(ISNA(Z8),FALSE,IF(OR(AB8=1,G8&lt;1,Z8=1,Z8=2,AE8=0),FALSE,IF(J8="NA",TRUE,FALSE)))</f>
        <v>0</v>
      </c>
      <c r="BB8" s="206" t="b">
        <f t="shared" ref="BB8:BB39" si="22">IF(ISNA(Z8),FALSE,IF(OR(AB8=0,G8=0,Z8=1,Z8=2),FALSE,IF(J8="NA",TRUE,FALSE)))</f>
        <v>0</v>
      </c>
      <c r="BC8" s="158" t="b">
        <f t="shared" ref="BC8:BC39" si="23">IF(OR(ISNA($Z8),ISNUMBER($Z8),NOT(ISNUMBER($J8)),K8="D"),FALSE,IF(AND(NOT(ISNUMBER($K8)),J8&gt;0),TRUE,FALSE))</f>
        <v>0</v>
      </c>
      <c r="BD8" s="160" t="b">
        <f t="shared" ref="BD8:BD39" si="24">IF(OR(ISNA($Z8),ISNUMBER($Z8),NOT(ISNUMBER(K8))),FALSE,OR(NOT(ISNUMBER(J8)),J8=0,AND(J8=0,K8&lt;&gt;0)))</f>
        <v>0</v>
      </c>
      <c r="BE8" s="159" t="b">
        <f t="shared" ref="BE8:BE39" si="25">IF(OR(ISNA($Z8),K8&lt;&gt;"D"),FALSE,IF(OR(AND(H8="NG",J8=0),AND(H8&lt;&gt;"NG",NOT(OR(J8="NA",J8=0)))),TRUE,FALSE))</f>
        <v>0</v>
      </c>
      <c r="BF8" s="161" t="b">
        <f t="shared" ref="BF8:BF39" si="26">IF(OR(ISNA($Z8),H8&lt;&gt;"NG"),FALSE,IF(AND(J8="NA",K8&lt;&gt;""),TRUE,FALSE))</f>
        <v>0</v>
      </c>
      <c r="BG8" s="206" t="b">
        <f t="shared" ref="BG8:BG39" si="27">IF(ISNA($Z8),"NA",IF(OR(AZ8,AY8,AX8,AW8,AP8,BA8,BB8),TRUE,FALSE))</f>
        <v>0</v>
      </c>
      <c r="BH8" s="162" t="str">
        <f t="shared" ref="BH8:BH39" si="28">IF(ISNA($Z8),"",IF(OR($Z8=1,$Z8=2),"",$V8))</f>
        <v/>
      </c>
      <c r="BI8" s="206" t="str">
        <f t="shared" ref="BI8:BI39" si="29">IF(ISNA($Z8),"",IF(OR($Z8=1,$Z8=2,$G8=""),"",IF(AB8=0,AH8,$AD8)))</f>
        <v/>
      </c>
      <c r="BJ8" s="206" t="str">
        <f t="shared" ref="BJ8:BJ39" si="30">IF(ISNA(AE8),"",IF(OR(Z8=1,Z8=2),"",IF(OR(AE8=0,AD8="NG"),TEXT(BI8,"0"),CONCATENATE(TEXT(BI8,"0"),"*"))))</f>
        <v/>
      </c>
      <c r="BK8" s="206" t="str">
        <f t="shared" ref="BK8:BK39" si="31">IF(ISNA($Z8),"",IF(OR($Z8=1,$Z8=2,$G8=""),"",IF(AB8=0,AG8,$AC8)))</f>
        <v/>
      </c>
      <c r="BL8" s="162" t="str">
        <f t="shared" ref="BL8:BL39" si="32">IF(ISBLANK(BH8),"",IF(BH8=0,"",BH8))</f>
        <v/>
      </c>
      <c r="BM8" s="206" t="str">
        <f t="shared" ref="BM8:BM39" si="33">IF($BH8=0,"",IF($BI8="NG","D",$BI8))</f>
        <v/>
      </c>
      <c r="BN8" s="206" t="str">
        <f t="shared" ref="BN8:BN39" si="34">IF(ISNA(U8),"",IF($BH8=0,"",IF($BI8="NG","D",BK8)))</f>
        <v/>
      </c>
      <c r="BO8" s="163" t="s">
        <v>213</v>
      </c>
      <c r="BP8" s="164"/>
    </row>
    <row r="9" spans="2:73" s="105" customFormat="1" ht="12.95" customHeight="1" x14ac:dyDescent="0.2">
      <c r="B9" s="165">
        <f>IF(ISNA(Z9),"",IF(OR(Z9=1,Z9=2),"    ",MAX($B$8:B8)+1))</f>
        <v>1</v>
      </c>
      <c r="C9" s="1375" t="str">
        <f t="shared" si="0"/>
        <v>Procedure/CL Use (0.0%)</v>
      </c>
      <c r="D9" s="1375"/>
      <c r="E9" s="1375"/>
      <c r="F9" s="1376"/>
      <c r="G9" s="152">
        <f t="shared" si="1"/>
        <v>1</v>
      </c>
      <c r="H9" s="153" t="str">
        <f t="shared" si="2"/>
        <v>1*</v>
      </c>
      <c r="I9" s="166">
        <f t="shared" si="2"/>
        <v>2</v>
      </c>
      <c r="J9" s="167"/>
      <c r="K9" s="168"/>
      <c r="L9" s="1377"/>
      <c r="M9" s="1378"/>
      <c r="N9" s="1378"/>
      <c r="O9" s="1378"/>
      <c r="P9" s="1378"/>
      <c r="Q9" s="1378"/>
      <c r="R9" s="1379"/>
      <c r="T9" s="119">
        <v>2</v>
      </c>
      <c r="U9" s="110" t="s">
        <v>444</v>
      </c>
      <c r="V9" s="206">
        <v>1</v>
      </c>
      <c r="W9" s="206" t="s">
        <v>212</v>
      </c>
      <c r="X9" s="206">
        <v>2</v>
      </c>
      <c r="Y9" s="206" t="s">
        <v>212</v>
      </c>
      <c r="Z9" s="160" t="s">
        <v>212</v>
      </c>
      <c r="AA9" s="160">
        <v>1</v>
      </c>
      <c r="AB9" s="160">
        <v>0</v>
      </c>
      <c r="AC9" s="206">
        <v>3</v>
      </c>
      <c r="AD9" s="206">
        <v>2</v>
      </c>
      <c r="AE9" s="206">
        <v>1</v>
      </c>
      <c r="AF9" s="206" t="b">
        <v>1</v>
      </c>
      <c r="AG9" s="206">
        <f t="shared" si="3"/>
        <v>2</v>
      </c>
      <c r="AH9" s="206">
        <f t="shared" si="4"/>
        <v>1</v>
      </c>
      <c r="AI9" s="86">
        <f>IF(NOT(OR(Z9=1,Z9=2)),IF(AQ9&gt;0,$AR$44*AQ9/SUMIF($AQ$8:$AQ$39,"&gt;0"),IF(AU9&gt;0,$AV$44*AU9/SUMIF($AU$8:$AU$39,"&gt;0"),IF(AS9&gt;0,$AT$44*AS9/SUMIF($AS$8:$AS$39,"&gt;0"),""))),IF(SUMIF(AJ10:$AJ$39,"=" &amp; AJ9,AI10:$AI$39)=0,"",SUMIF(AJ10:$AJ$39,"=" &amp; AJ9,AI10:$AI$39)))</f>
        <v>0</v>
      </c>
      <c r="AJ9" s="87">
        <f t="shared" ref="AJ9:AJ39" si="35">IF(OR(Z9=1,Z9=2,AA9&lt;AA8),AJ8+1,AJ8)</f>
        <v>0</v>
      </c>
      <c r="AK9" s="206">
        <f t="shared" si="5"/>
        <v>1</v>
      </c>
      <c r="AL9" s="160" t="str">
        <f t="shared" si="6"/>
        <v/>
      </c>
      <c r="AM9" s="160" t="str">
        <f t="shared" si="7"/>
        <v/>
      </c>
      <c r="AN9" s="160" t="str">
        <f t="shared" si="8"/>
        <v/>
      </c>
      <c r="AO9" s="160">
        <f t="shared" si="9"/>
        <v>1</v>
      </c>
      <c r="AP9" s="206" t="b">
        <f t="shared" si="10"/>
        <v>1</v>
      </c>
      <c r="AQ9" s="157">
        <f t="shared" si="11"/>
        <v>0</v>
      </c>
      <c r="AR9" s="88" t="str">
        <f t="shared" si="12"/>
        <v/>
      </c>
      <c r="AS9" s="89">
        <f t="shared" si="13"/>
        <v>2</v>
      </c>
      <c r="AT9" s="88" t="str">
        <f t="shared" si="14"/>
        <v/>
      </c>
      <c r="AU9" s="158">
        <f t="shared" si="15"/>
        <v>0</v>
      </c>
      <c r="AV9" s="90" t="str">
        <f t="shared" si="16"/>
        <v/>
      </c>
      <c r="AW9" s="158" t="b">
        <f t="shared" si="17"/>
        <v>1</v>
      </c>
      <c r="AX9" s="159" t="b">
        <f t="shared" si="18"/>
        <v>0</v>
      </c>
      <c r="AY9" s="158" t="b">
        <f t="shared" si="19"/>
        <v>0</v>
      </c>
      <c r="AZ9" s="159" t="b">
        <f t="shared" si="20"/>
        <v>0</v>
      </c>
      <c r="BA9" s="206" t="b">
        <f t="shared" si="21"/>
        <v>0</v>
      </c>
      <c r="BB9" s="206" t="b">
        <f t="shared" si="22"/>
        <v>0</v>
      </c>
      <c r="BC9" s="158" t="b">
        <f t="shared" si="23"/>
        <v>0</v>
      </c>
      <c r="BD9" s="160" t="b">
        <f t="shared" si="24"/>
        <v>0</v>
      </c>
      <c r="BE9" s="159" t="b">
        <f t="shared" si="25"/>
        <v>0</v>
      </c>
      <c r="BF9" s="161" t="b">
        <f t="shared" si="26"/>
        <v>0</v>
      </c>
      <c r="BG9" s="206" t="b">
        <f t="shared" si="27"/>
        <v>1</v>
      </c>
      <c r="BH9" s="206">
        <f t="shared" si="28"/>
        <v>1</v>
      </c>
      <c r="BI9" s="206">
        <f t="shared" si="29"/>
        <v>1</v>
      </c>
      <c r="BJ9" s="206" t="str">
        <f t="shared" si="30"/>
        <v>1*</v>
      </c>
      <c r="BK9" s="206">
        <f t="shared" si="31"/>
        <v>2</v>
      </c>
      <c r="BL9" s="162">
        <f t="shared" si="32"/>
        <v>1</v>
      </c>
      <c r="BM9" s="206">
        <f t="shared" si="33"/>
        <v>1</v>
      </c>
      <c r="BN9" s="206">
        <f t="shared" si="34"/>
        <v>2</v>
      </c>
      <c r="BO9" s="169" t="s">
        <v>214</v>
      </c>
      <c r="BP9" s="170" t="s">
        <v>215</v>
      </c>
    </row>
    <row r="10" spans="2:73" s="105" customFormat="1" ht="12.95" customHeight="1" x14ac:dyDescent="0.2">
      <c r="B10" s="165">
        <f>IF(ISNA(Z10),"",IF(OR(Z10=1,Z10=2),"    ",MAX($B$8:B9)+1))</f>
        <v>2</v>
      </c>
      <c r="C10" s="1375" t="str">
        <f t="shared" si="0"/>
        <v>Ops Judgement (0.0%)</v>
      </c>
      <c r="D10" s="1375"/>
      <c r="E10" s="1375"/>
      <c r="F10" s="1376"/>
      <c r="G10" s="152">
        <f t="shared" si="1"/>
        <v>1</v>
      </c>
      <c r="H10" s="153" t="str">
        <f t="shared" si="2"/>
        <v>1*</v>
      </c>
      <c r="I10" s="166">
        <f t="shared" si="2"/>
        <v>2</v>
      </c>
      <c r="J10" s="171"/>
      <c r="K10" s="168"/>
      <c r="L10" s="1380"/>
      <c r="M10" s="1381"/>
      <c r="N10" s="1381"/>
      <c r="O10" s="1381"/>
      <c r="P10" s="1381"/>
      <c r="Q10" s="1381"/>
      <c r="R10" s="1382"/>
      <c r="T10" s="119">
        <v>3</v>
      </c>
      <c r="U10" s="110" t="s">
        <v>445</v>
      </c>
      <c r="V10" s="206">
        <v>1</v>
      </c>
      <c r="W10" s="206" t="s">
        <v>212</v>
      </c>
      <c r="X10" s="206">
        <v>2</v>
      </c>
      <c r="Y10" s="206" t="s">
        <v>212</v>
      </c>
      <c r="Z10" s="160" t="s">
        <v>212</v>
      </c>
      <c r="AA10" s="160">
        <v>1</v>
      </c>
      <c r="AB10" s="160">
        <v>0</v>
      </c>
      <c r="AC10" s="206">
        <v>3</v>
      </c>
      <c r="AD10" s="206">
        <v>2</v>
      </c>
      <c r="AE10" s="206">
        <v>1</v>
      </c>
      <c r="AF10" s="206" t="b">
        <v>1</v>
      </c>
      <c r="AG10" s="206">
        <f t="shared" si="3"/>
        <v>2</v>
      </c>
      <c r="AH10" s="206">
        <f t="shared" si="4"/>
        <v>1</v>
      </c>
      <c r="AI10" s="86">
        <f>IF(NOT(OR(Z10=1,Z10=2)),IF(AQ10&gt;0,$AR$44*AQ10/SUMIF($AQ$8:$AQ$39,"&gt;0"),IF(AU10&gt;0,$AV$44*AU10/SUMIF($AU$8:$AU$39,"&gt;0"),IF(AS10&gt;0,$AT$44*AS10/SUMIF($AS$8:$AS$39,"&gt;0"),""))),IF(SUMIF(AJ11:$AJ$39,"=" &amp; AJ10,AI11:$AI$39)=0,"",SUMIF(AJ11:$AJ$39,"=" &amp; AJ10,AI11:$AI$39)))</f>
        <v>0</v>
      </c>
      <c r="AJ10" s="87">
        <f t="shared" si="35"/>
        <v>0</v>
      </c>
      <c r="AK10" s="206">
        <f t="shared" si="5"/>
        <v>1</v>
      </c>
      <c r="AL10" s="160" t="str">
        <f t="shared" si="6"/>
        <v/>
      </c>
      <c r="AM10" s="160" t="str">
        <f t="shared" si="7"/>
        <v/>
      </c>
      <c r="AN10" s="160" t="str">
        <f t="shared" si="8"/>
        <v/>
      </c>
      <c r="AO10" s="160">
        <f t="shared" si="9"/>
        <v>1</v>
      </c>
      <c r="AP10" s="206" t="b">
        <f t="shared" si="10"/>
        <v>1</v>
      </c>
      <c r="AQ10" s="157">
        <f t="shared" si="11"/>
        <v>0</v>
      </c>
      <c r="AR10" s="88" t="str">
        <f t="shared" si="12"/>
        <v/>
      </c>
      <c r="AS10" s="89">
        <f t="shared" si="13"/>
        <v>2</v>
      </c>
      <c r="AT10" s="88" t="str">
        <f t="shared" si="14"/>
        <v/>
      </c>
      <c r="AU10" s="158">
        <f t="shared" si="15"/>
        <v>0</v>
      </c>
      <c r="AV10" s="90" t="str">
        <f t="shared" si="16"/>
        <v/>
      </c>
      <c r="AW10" s="158" t="b">
        <f t="shared" si="17"/>
        <v>1</v>
      </c>
      <c r="AX10" s="159" t="b">
        <f t="shared" si="18"/>
        <v>0</v>
      </c>
      <c r="AY10" s="158" t="b">
        <f t="shared" si="19"/>
        <v>0</v>
      </c>
      <c r="AZ10" s="159" t="b">
        <f t="shared" si="20"/>
        <v>0</v>
      </c>
      <c r="BA10" s="206" t="b">
        <f t="shared" si="21"/>
        <v>0</v>
      </c>
      <c r="BB10" s="206" t="b">
        <f t="shared" si="22"/>
        <v>0</v>
      </c>
      <c r="BC10" s="158" t="b">
        <f t="shared" si="23"/>
        <v>0</v>
      </c>
      <c r="BD10" s="160" t="b">
        <f t="shared" si="24"/>
        <v>0</v>
      </c>
      <c r="BE10" s="159" t="b">
        <f t="shared" si="25"/>
        <v>0</v>
      </c>
      <c r="BF10" s="161" t="b">
        <f t="shared" si="26"/>
        <v>0</v>
      </c>
      <c r="BG10" s="206" t="b">
        <f t="shared" si="27"/>
        <v>1</v>
      </c>
      <c r="BH10" s="206">
        <f t="shared" si="28"/>
        <v>1</v>
      </c>
      <c r="BI10" s="206">
        <f t="shared" si="29"/>
        <v>1</v>
      </c>
      <c r="BJ10" s="206" t="str">
        <f t="shared" si="30"/>
        <v>1*</v>
      </c>
      <c r="BK10" s="206">
        <f t="shared" si="31"/>
        <v>2</v>
      </c>
      <c r="BL10" s="162">
        <f t="shared" si="32"/>
        <v>1</v>
      </c>
      <c r="BM10" s="206">
        <f t="shared" si="33"/>
        <v>1</v>
      </c>
      <c r="BN10" s="206">
        <f t="shared" si="34"/>
        <v>2</v>
      </c>
      <c r="BO10" s="169">
        <v>0</v>
      </c>
      <c r="BP10" s="170" t="s">
        <v>216</v>
      </c>
    </row>
    <row r="11" spans="2:73" s="105" customFormat="1" ht="12.95" customHeight="1" x14ac:dyDescent="0.2">
      <c r="B11" s="165" t="str">
        <f>IF(ISNA(Z11),"",IF(OR(Z11=1,Z11=2),"    ",MAX($B$8:B10)+1))</f>
        <v xml:space="preserve">    </v>
      </c>
      <c r="C11" s="1375" t="str">
        <f t="shared" si="0"/>
        <v>Academic Tasks</v>
      </c>
      <c r="D11" s="1375"/>
      <c r="E11" s="1375"/>
      <c r="F11" s="1376"/>
      <c r="G11" s="152" t="str">
        <f t="shared" si="1"/>
        <v/>
      </c>
      <c r="H11" s="153" t="str">
        <f t="shared" si="2"/>
        <v/>
      </c>
      <c r="I11" s="166" t="str">
        <f t="shared" si="2"/>
        <v/>
      </c>
      <c r="J11" s="172"/>
      <c r="K11" s="173"/>
      <c r="L11" s="1380"/>
      <c r="M11" s="1381"/>
      <c r="N11" s="1381"/>
      <c r="O11" s="1381"/>
      <c r="P11" s="1381"/>
      <c r="Q11" s="1381"/>
      <c r="R11" s="1382"/>
      <c r="T11" s="119">
        <v>4</v>
      </c>
      <c r="U11" s="110" t="s">
        <v>219</v>
      </c>
      <c r="V11" s="206" t="s">
        <v>212</v>
      </c>
      <c r="W11" s="206" t="s">
        <v>212</v>
      </c>
      <c r="X11" s="206" t="s">
        <v>212</v>
      </c>
      <c r="Y11" s="206" t="s">
        <v>212</v>
      </c>
      <c r="Z11" s="160">
        <v>1</v>
      </c>
      <c r="AA11" s="160">
        <v>0</v>
      </c>
      <c r="AB11" s="160" t="s">
        <v>212</v>
      </c>
      <c r="AC11" s="206" t="s">
        <v>212</v>
      </c>
      <c r="AD11" s="206" t="s">
        <v>212</v>
      </c>
      <c r="AE11" s="206">
        <v>0</v>
      </c>
      <c r="AF11" s="206" t="s">
        <v>212</v>
      </c>
      <c r="AG11" s="206" t="str">
        <f t="shared" si="3"/>
        <v/>
      </c>
      <c r="AH11" s="206" t="str">
        <f t="shared" si="4"/>
        <v/>
      </c>
      <c r="AI11" s="86" t="str">
        <f>IF(NOT(OR(Z11=1,Z11=2)),IF(AQ11&gt;0,$AR$44*AQ11/SUMIF($AQ$8:$AQ$39,"&gt;0"),IF(AU11&gt;0,$AV$44*AU11/SUMIF($AU$8:$AU$39,"&gt;0"),IF(AS11&gt;0,$AT$44*AS11/SUMIF($AS$8:$AS$39,"&gt;0"),""))),IF(SUMIF(AJ12:$AJ$39,"=" &amp; AJ11,AI12:$AI$39)=0,"",SUMIF(AJ12:$AJ$39,"=" &amp; AJ11,AI12:$AI$39)))</f>
        <v/>
      </c>
      <c r="AJ11" s="87">
        <f t="shared" si="35"/>
        <v>1</v>
      </c>
      <c r="AK11" s="206" t="str">
        <f t="shared" si="5"/>
        <v/>
      </c>
      <c r="AL11" s="160" t="str">
        <f t="shared" si="6"/>
        <v/>
      </c>
      <c r="AM11" s="160" t="str">
        <f t="shared" si="7"/>
        <v/>
      </c>
      <c r="AN11" s="160" t="str">
        <f t="shared" si="8"/>
        <v/>
      </c>
      <c r="AO11" s="160" t="str">
        <f t="shared" si="9"/>
        <v/>
      </c>
      <c r="AP11" s="206" t="str">
        <f t="shared" si="10"/>
        <v/>
      </c>
      <c r="AQ11" s="157">
        <f t="shared" si="11"/>
        <v>0</v>
      </c>
      <c r="AR11" s="88" t="str">
        <f t="shared" si="12"/>
        <v/>
      </c>
      <c r="AS11" s="89">
        <f t="shared" si="13"/>
        <v>0</v>
      </c>
      <c r="AT11" s="88" t="str">
        <f t="shared" si="14"/>
        <v/>
      </c>
      <c r="AU11" s="158">
        <f t="shared" si="15"/>
        <v>0</v>
      </c>
      <c r="AV11" s="90" t="str">
        <f t="shared" si="16"/>
        <v/>
      </c>
      <c r="AW11" s="158" t="b">
        <f t="shared" si="17"/>
        <v>0</v>
      </c>
      <c r="AX11" s="159" t="b">
        <f t="shared" si="18"/>
        <v>0</v>
      </c>
      <c r="AY11" s="158" t="b">
        <f t="shared" si="19"/>
        <v>0</v>
      </c>
      <c r="AZ11" s="159" t="b">
        <f t="shared" si="20"/>
        <v>0</v>
      </c>
      <c r="BA11" s="206" t="b">
        <f t="shared" si="21"/>
        <v>0</v>
      </c>
      <c r="BB11" s="206" t="b">
        <f t="shared" si="22"/>
        <v>0</v>
      </c>
      <c r="BC11" s="158" t="b">
        <f t="shared" si="23"/>
        <v>0</v>
      </c>
      <c r="BD11" s="160" t="b">
        <f t="shared" si="24"/>
        <v>0</v>
      </c>
      <c r="BE11" s="159" t="b">
        <f t="shared" si="25"/>
        <v>0</v>
      </c>
      <c r="BF11" s="161" t="b">
        <f t="shared" si="26"/>
        <v>0</v>
      </c>
      <c r="BG11" s="206" t="b">
        <f t="shared" si="27"/>
        <v>0</v>
      </c>
      <c r="BH11" s="206" t="str">
        <f t="shared" si="28"/>
        <v/>
      </c>
      <c r="BI11" s="206" t="str">
        <f t="shared" si="29"/>
        <v/>
      </c>
      <c r="BJ11" s="206" t="str">
        <f t="shared" si="30"/>
        <v/>
      </c>
      <c r="BK11" s="206" t="str">
        <f t="shared" si="31"/>
        <v/>
      </c>
      <c r="BL11" s="162" t="str">
        <f t="shared" si="32"/>
        <v/>
      </c>
      <c r="BM11" s="206" t="str">
        <f t="shared" si="33"/>
        <v/>
      </c>
      <c r="BN11" s="206" t="str">
        <f t="shared" si="34"/>
        <v/>
      </c>
      <c r="BO11" s="169">
        <v>1</v>
      </c>
      <c r="BP11" s="170" t="s">
        <v>217</v>
      </c>
    </row>
    <row r="12" spans="2:73" s="105" customFormat="1" ht="12.95" customHeight="1" x14ac:dyDescent="0.2">
      <c r="B12" s="165" t="str">
        <f>IF(ISNA(Z12),"",IF(OR(Z12=1,Z12=2),"    ",MAX($B$8:B11)+1))</f>
        <v xml:space="preserve">    </v>
      </c>
      <c r="C12" s="1375" t="str">
        <f t="shared" si="0"/>
        <v>Test Conduct (100.0%)</v>
      </c>
      <c r="D12" s="1375"/>
      <c r="E12" s="1375"/>
      <c r="F12" s="1376"/>
      <c r="G12" s="152" t="str">
        <f t="shared" si="1"/>
        <v/>
      </c>
      <c r="H12" s="153" t="str">
        <f t="shared" si="2"/>
        <v/>
      </c>
      <c r="I12" s="166" t="str">
        <f t="shared" si="2"/>
        <v/>
      </c>
      <c r="J12" s="172"/>
      <c r="K12" s="173"/>
      <c r="L12" s="1380"/>
      <c r="M12" s="1381"/>
      <c r="N12" s="1381"/>
      <c r="O12" s="1381"/>
      <c r="P12" s="1381"/>
      <c r="Q12" s="1381"/>
      <c r="R12" s="1382"/>
      <c r="T12" s="119">
        <v>5</v>
      </c>
      <c r="U12" s="110" t="s">
        <v>221</v>
      </c>
      <c r="V12" s="206" t="s">
        <v>212</v>
      </c>
      <c r="W12" s="206" t="s">
        <v>212</v>
      </c>
      <c r="X12" s="206" t="s">
        <v>212</v>
      </c>
      <c r="Y12" s="206" t="s">
        <v>212</v>
      </c>
      <c r="Z12" s="160">
        <v>2</v>
      </c>
      <c r="AA12" s="160">
        <v>1</v>
      </c>
      <c r="AB12" s="160">
        <v>1</v>
      </c>
      <c r="AC12" s="206" t="s">
        <v>212</v>
      </c>
      <c r="AD12" s="206" t="s">
        <v>212</v>
      </c>
      <c r="AE12" s="206" t="s">
        <v>212</v>
      </c>
      <c r="AF12" s="206" t="s">
        <v>212</v>
      </c>
      <c r="AG12" s="206" t="str">
        <f t="shared" si="3"/>
        <v/>
      </c>
      <c r="AH12" s="206" t="str">
        <f t="shared" si="4"/>
        <v/>
      </c>
      <c r="AI12" s="86">
        <f>IF(NOT(OR(Z12=1,Z12=2)),IF(AQ12&gt;0,$AR$44*AQ12/SUMIF($AQ$8:$AQ$39,"&gt;0"),IF(AU12&gt;0,$AV$44*AU12/SUMIF($AU$8:$AU$39,"&gt;0"),IF(AS12&gt;0,$AT$44*AS12/SUMIF($AS$8:$AS$39,"&gt;0"),""))),IF(SUMIF(AJ13:$AJ$39,"=" &amp; AJ12,AI13:$AI$39)=0,"",SUMIF(AJ13:$AJ$39,"=" &amp; AJ12,AI13:$AI$39)))</f>
        <v>1</v>
      </c>
      <c r="AJ12" s="87">
        <f t="shared" si="35"/>
        <v>2</v>
      </c>
      <c r="AK12" s="206" t="str">
        <f t="shared" si="5"/>
        <v/>
      </c>
      <c r="AL12" s="160" t="str">
        <f t="shared" si="6"/>
        <v/>
      </c>
      <c r="AM12" s="160" t="str">
        <f t="shared" si="7"/>
        <v/>
      </c>
      <c r="AN12" s="160" t="str">
        <f t="shared" si="8"/>
        <v/>
      </c>
      <c r="AO12" s="160" t="str">
        <f t="shared" si="9"/>
        <v/>
      </c>
      <c r="AP12" s="206" t="str">
        <f t="shared" si="10"/>
        <v/>
      </c>
      <c r="AQ12" s="157">
        <f t="shared" si="11"/>
        <v>0</v>
      </c>
      <c r="AR12" s="88" t="str">
        <f t="shared" si="12"/>
        <v/>
      </c>
      <c r="AS12" s="89">
        <f t="shared" si="13"/>
        <v>0</v>
      </c>
      <c r="AT12" s="88" t="str">
        <f t="shared" si="14"/>
        <v/>
      </c>
      <c r="AU12" s="158">
        <f t="shared" si="15"/>
        <v>0</v>
      </c>
      <c r="AV12" s="90" t="str">
        <f t="shared" si="16"/>
        <v/>
      </c>
      <c r="AW12" s="158" t="b">
        <f t="shared" si="17"/>
        <v>0</v>
      </c>
      <c r="AX12" s="159" t="b">
        <f t="shared" si="18"/>
        <v>0</v>
      </c>
      <c r="AY12" s="158" t="b">
        <f t="shared" si="19"/>
        <v>0</v>
      </c>
      <c r="AZ12" s="159" t="b">
        <f t="shared" si="20"/>
        <v>0</v>
      </c>
      <c r="BA12" s="206" t="b">
        <f t="shared" si="21"/>
        <v>0</v>
      </c>
      <c r="BB12" s="206" t="b">
        <f t="shared" si="22"/>
        <v>0</v>
      </c>
      <c r="BC12" s="158" t="b">
        <f t="shared" si="23"/>
        <v>0</v>
      </c>
      <c r="BD12" s="160" t="b">
        <f t="shared" si="24"/>
        <v>0</v>
      </c>
      <c r="BE12" s="159" t="b">
        <f t="shared" si="25"/>
        <v>0</v>
      </c>
      <c r="BF12" s="161" t="b">
        <f t="shared" si="26"/>
        <v>0</v>
      </c>
      <c r="BG12" s="206" t="b">
        <f t="shared" si="27"/>
        <v>0</v>
      </c>
      <c r="BH12" s="206" t="str">
        <f t="shared" si="28"/>
        <v/>
      </c>
      <c r="BI12" s="206" t="str">
        <f t="shared" si="29"/>
        <v/>
      </c>
      <c r="BJ12" s="206" t="str">
        <f t="shared" si="30"/>
        <v/>
      </c>
      <c r="BK12" s="206" t="str">
        <f t="shared" si="31"/>
        <v/>
      </c>
      <c r="BL12" s="162" t="str">
        <f t="shared" si="32"/>
        <v/>
      </c>
      <c r="BM12" s="206" t="str">
        <f t="shared" si="33"/>
        <v/>
      </c>
      <c r="BN12" s="206" t="str">
        <f t="shared" si="34"/>
        <v/>
      </c>
      <c r="BO12" s="169">
        <v>2</v>
      </c>
      <c r="BP12" s="170" t="s">
        <v>218</v>
      </c>
    </row>
    <row r="13" spans="2:73" s="105" customFormat="1" ht="12.95" customHeight="1" x14ac:dyDescent="0.2">
      <c r="B13" s="165">
        <f>IF(ISNA(Z13),"",IF(OR(Z13=1,Z13=2),"    ",MAX($B$8:B12)+1))</f>
        <v>3</v>
      </c>
      <c r="C13" s="1375" t="str">
        <f t="shared" si="0"/>
        <v xml:space="preserve">      - Crew Resource Management (20.0%)</v>
      </c>
      <c r="D13" s="1375"/>
      <c r="E13" s="1375"/>
      <c r="F13" s="1376"/>
      <c r="G13" s="152">
        <f t="shared" si="1"/>
        <v>1</v>
      </c>
      <c r="H13" s="153" t="str">
        <f t="shared" si="2"/>
        <v>2*</v>
      </c>
      <c r="I13" s="166">
        <f t="shared" si="2"/>
        <v>3</v>
      </c>
      <c r="J13" s="171"/>
      <c r="K13" s="168"/>
      <c r="L13" s="1380"/>
      <c r="M13" s="1381"/>
      <c r="N13" s="1381"/>
      <c r="O13" s="1381"/>
      <c r="P13" s="1381"/>
      <c r="Q13" s="1381"/>
      <c r="R13" s="1382"/>
      <c r="T13" s="119">
        <v>6</v>
      </c>
      <c r="U13" s="110" t="s">
        <v>446</v>
      </c>
      <c r="V13" s="206">
        <v>1</v>
      </c>
      <c r="W13" s="206">
        <v>1</v>
      </c>
      <c r="X13" s="206" t="s">
        <v>212</v>
      </c>
      <c r="Y13" s="206" t="s">
        <v>212</v>
      </c>
      <c r="Z13" s="160" t="s">
        <v>212</v>
      </c>
      <c r="AA13" s="160">
        <v>2</v>
      </c>
      <c r="AB13" s="160">
        <v>1</v>
      </c>
      <c r="AC13" s="206">
        <v>3</v>
      </c>
      <c r="AD13" s="206">
        <v>2</v>
      </c>
      <c r="AE13" s="206">
        <v>1</v>
      </c>
      <c r="AF13" s="206" t="b">
        <v>1</v>
      </c>
      <c r="AG13" s="206">
        <f t="shared" si="3"/>
        <v>2</v>
      </c>
      <c r="AH13" s="206">
        <f t="shared" si="4"/>
        <v>1</v>
      </c>
      <c r="AI13" s="86">
        <f>IF(NOT(OR(Z13=1,Z13=2)),IF(AQ13&gt;0,$AR$44*AQ13/SUMIF($AQ$8:$AQ$39,"&gt;0"),IF(AU13&gt;0,$AV$44*AU13/SUMIF($AU$8:$AU$39,"&gt;0"),IF(AS13&gt;0,$AT$44*AS13/SUMIF($AS$8:$AS$39,"&gt;0"),""))),IF(SUMIF(AJ14:$AJ$39,"=" &amp; AJ13,AI14:$AI$39)=0,"",SUMIF(AJ14:$AJ$39,"=" &amp; AJ13,AI14:$AI$39)))</f>
        <v>0.2</v>
      </c>
      <c r="AJ13" s="87">
        <f t="shared" si="35"/>
        <v>2</v>
      </c>
      <c r="AK13" s="206">
        <f t="shared" si="5"/>
        <v>2</v>
      </c>
      <c r="AL13" s="160" t="str">
        <f t="shared" si="6"/>
        <v/>
      </c>
      <c r="AM13" s="160" t="str">
        <f t="shared" si="7"/>
        <v/>
      </c>
      <c r="AN13" s="160" t="str">
        <f t="shared" si="8"/>
        <v/>
      </c>
      <c r="AO13" s="160" t="str">
        <f t="shared" si="9"/>
        <v/>
      </c>
      <c r="AP13" s="206" t="b">
        <f t="shared" si="10"/>
        <v>1</v>
      </c>
      <c r="AQ13" s="157">
        <f t="shared" si="11"/>
        <v>1</v>
      </c>
      <c r="AR13" s="88" t="str">
        <f t="shared" si="12"/>
        <v/>
      </c>
      <c r="AS13" s="89">
        <f t="shared" si="13"/>
        <v>0</v>
      </c>
      <c r="AT13" s="88" t="str">
        <f t="shared" si="14"/>
        <v/>
      </c>
      <c r="AU13" s="158">
        <f t="shared" si="15"/>
        <v>0</v>
      </c>
      <c r="AV13" s="90" t="str">
        <f t="shared" si="16"/>
        <v/>
      </c>
      <c r="AW13" s="158" t="b">
        <f t="shared" si="17"/>
        <v>0</v>
      </c>
      <c r="AX13" s="159" t="b">
        <f t="shared" si="18"/>
        <v>1</v>
      </c>
      <c r="AY13" s="158" t="b">
        <f t="shared" si="19"/>
        <v>0</v>
      </c>
      <c r="AZ13" s="159" t="b">
        <f t="shared" si="20"/>
        <v>0</v>
      </c>
      <c r="BA13" s="206" t="b">
        <f t="shared" si="21"/>
        <v>0</v>
      </c>
      <c r="BB13" s="206" t="b">
        <f t="shared" si="22"/>
        <v>0</v>
      </c>
      <c r="BC13" s="158" t="b">
        <f t="shared" si="23"/>
        <v>0</v>
      </c>
      <c r="BD13" s="160" t="b">
        <f t="shared" si="24"/>
        <v>0</v>
      </c>
      <c r="BE13" s="159" t="b">
        <f t="shared" si="25"/>
        <v>0</v>
      </c>
      <c r="BF13" s="161" t="b">
        <f t="shared" si="26"/>
        <v>0</v>
      </c>
      <c r="BG13" s="206" t="b">
        <f t="shared" si="27"/>
        <v>1</v>
      </c>
      <c r="BH13" s="206">
        <f t="shared" si="28"/>
        <v>1</v>
      </c>
      <c r="BI13" s="206">
        <f t="shared" si="29"/>
        <v>2</v>
      </c>
      <c r="BJ13" s="206" t="str">
        <f t="shared" si="30"/>
        <v>2*</v>
      </c>
      <c r="BK13" s="206">
        <f t="shared" si="31"/>
        <v>3</v>
      </c>
      <c r="BL13" s="162">
        <f t="shared" si="32"/>
        <v>1</v>
      </c>
      <c r="BM13" s="206">
        <f t="shared" si="33"/>
        <v>2</v>
      </c>
      <c r="BN13" s="206">
        <f t="shared" si="34"/>
        <v>3</v>
      </c>
      <c r="BO13" s="169">
        <v>3</v>
      </c>
      <c r="BP13" s="170" t="s">
        <v>220</v>
      </c>
    </row>
    <row r="14" spans="2:73" s="105" customFormat="1" ht="12.95" customHeight="1" x14ac:dyDescent="0.2">
      <c r="B14" s="165">
        <f>IF(ISNA(Z14),"",IF(OR(Z14=1,Z14=2),"    ",MAX($B$8:B13)+1))</f>
        <v>4</v>
      </c>
      <c r="C14" s="1375" t="str">
        <f t="shared" si="0"/>
        <v xml:space="preserve">      - Communication (20.0%)</v>
      </c>
      <c r="D14" s="1375"/>
      <c r="E14" s="1375"/>
      <c r="F14" s="1376"/>
      <c r="G14" s="152">
        <f t="shared" si="1"/>
        <v>1</v>
      </c>
      <c r="H14" s="153" t="str">
        <f t="shared" si="2"/>
        <v>2*</v>
      </c>
      <c r="I14" s="166">
        <f t="shared" si="2"/>
        <v>3</v>
      </c>
      <c r="J14" s="171"/>
      <c r="K14" s="168"/>
      <c r="L14" s="1380"/>
      <c r="M14" s="1381"/>
      <c r="N14" s="1381"/>
      <c r="O14" s="1381"/>
      <c r="P14" s="1381"/>
      <c r="Q14" s="1381"/>
      <c r="R14" s="1382"/>
      <c r="T14" s="119">
        <v>7</v>
      </c>
      <c r="U14" s="110" t="s">
        <v>447</v>
      </c>
      <c r="V14" s="206">
        <v>1</v>
      </c>
      <c r="W14" s="206">
        <v>1</v>
      </c>
      <c r="X14" s="206" t="s">
        <v>212</v>
      </c>
      <c r="Y14" s="206" t="s">
        <v>212</v>
      </c>
      <c r="Z14" s="160" t="s">
        <v>212</v>
      </c>
      <c r="AA14" s="160">
        <v>2</v>
      </c>
      <c r="AB14" s="160">
        <v>1</v>
      </c>
      <c r="AC14" s="206">
        <v>3</v>
      </c>
      <c r="AD14" s="206">
        <v>2</v>
      </c>
      <c r="AE14" s="206">
        <v>1</v>
      </c>
      <c r="AF14" s="206" t="b">
        <v>1</v>
      </c>
      <c r="AG14" s="206">
        <f t="shared" si="3"/>
        <v>2</v>
      </c>
      <c r="AH14" s="206">
        <f t="shared" si="4"/>
        <v>1</v>
      </c>
      <c r="AI14" s="86">
        <f>IF(NOT(OR(Z14=1,Z14=2)),IF(AQ14&gt;0,$AR$44*AQ14/SUMIF($AQ$8:$AQ$39,"&gt;0"),IF(AU14&gt;0,$AV$44*AU14/SUMIF($AU$8:$AU$39,"&gt;0"),IF(AS14&gt;0,$AT$44*AS14/SUMIF($AS$8:$AS$39,"&gt;0"),""))),IF(SUMIF(AJ15:$AJ$39,"=" &amp; AJ14,AI15:$AI$39)=0,"",SUMIF(AJ15:$AJ$39,"=" &amp; AJ14,AI15:$AI$39)))</f>
        <v>0.2</v>
      </c>
      <c r="AJ14" s="87">
        <f t="shared" si="35"/>
        <v>2</v>
      </c>
      <c r="AK14" s="206">
        <f t="shared" si="5"/>
        <v>2</v>
      </c>
      <c r="AL14" s="160" t="str">
        <f t="shared" si="6"/>
        <v/>
      </c>
      <c r="AM14" s="160" t="str">
        <f t="shared" si="7"/>
        <v/>
      </c>
      <c r="AN14" s="160" t="str">
        <f t="shared" si="8"/>
        <v/>
      </c>
      <c r="AO14" s="160" t="str">
        <f t="shared" si="9"/>
        <v/>
      </c>
      <c r="AP14" s="206" t="b">
        <f t="shared" si="10"/>
        <v>1</v>
      </c>
      <c r="AQ14" s="157">
        <f t="shared" si="11"/>
        <v>1</v>
      </c>
      <c r="AR14" s="88" t="str">
        <f t="shared" si="12"/>
        <v/>
      </c>
      <c r="AS14" s="89">
        <f t="shared" si="13"/>
        <v>0</v>
      </c>
      <c r="AT14" s="88" t="str">
        <f t="shared" si="14"/>
        <v/>
      </c>
      <c r="AU14" s="158">
        <f t="shared" si="15"/>
        <v>0</v>
      </c>
      <c r="AV14" s="90" t="str">
        <f t="shared" si="16"/>
        <v/>
      </c>
      <c r="AW14" s="158" t="b">
        <f t="shared" si="17"/>
        <v>0</v>
      </c>
      <c r="AX14" s="159" t="b">
        <f t="shared" si="18"/>
        <v>1</v>
      </c>
      <c r="AY14" s="158" t="b">
        <f t="shared" si="19"/>
        <v>0</v>
      </c>
      <c r="AZ14" s="159" t="b">
        <f t="shared" si="20"/>
        <v>0</v>
      </c>
      <c r="BA14" s="206" t="b">
        <f t="shared" si="21"/>
        <v>0</v>
      </c>
      <c r="BB14" s="206" t="b">
        <f t="shared" si="22"/>
        <v>0</v>
      </c>
      <c r="BC14" s="158" t="b">
        <f t="shared" si="23"/>
        <v>0</v>
      </c>
      <c r="BD14" s="160" t="b">
        <f t="shared" si="24"/>
        <v>0</v>
      </c>
      <c r="BE14" s="159" t="b">
        <f t="shared" si="25"/>
        <v>0</v>
      </c>
      <c r="BF14" s="161" t="b">
        <f t="shared" si="26"/>
        <v>0</v>
      </c>
      <c r="BG14" s="206" t="b">
        <f t="shared" si="27"/>
        <v>1</v>
      </c>
      <c r="BH14" s="206">
        <f t="shared" si="28"/>
        <v>1</v>
      </c>
      <c r="BI14" s="206">
        <f t="shared" si="29"/>
        <v>2</v>
      </c>
      <c r="BJ14" s="206" t="str">
        <f t="shared" si="30"/>
        <v>2*</v>
      </c>
      <c r="BK14" s="206">
        <f t="shared" si="31"/>
        <v>3</v>
      </c>
      <c r="BL14" s="162">
        <f t="shared" si="32"/>
        <v>1</v>
      </c>
      <c r="BM14" s="206">
        <f t="shared" si="33"/>
        <v>2</v>
      </c>
      <c r="BN14" s="206">
        <f t="shared" si="34"/>
        <v>3</v>
      </c>
      <c r="BO14" s="169">
        <v>4</v>
      </c>
      <c r="BP14" s="170" t="s">
        <v>222</v>
      </c>
    </row>
    <row r="15" spans="2:73" s="105" customFormat="1" ht="12.95" customHeight="1" x14ac:dyDescent="0.2">
      <c r="B15" s="165">
        <f>IF(ISNA(Z15),"",IF(OR(Z15=1,Z15=2),"    ",MAX($B$8:B14)+1))</f>
        <v>5</v>
      </c>
      <c r="C15" s="1375" t="str">
        <f t="shared" si="0"/>
        <v xml:space="preserve">      - Test Judgement (20.0%)</v>
      </c>
      <c r="D15" s="1375"/>
      <c r="E15" s="1375"/>
      <c r="F15" s="1376"/>
      <c r="G15" s="152">
        <f t="shared" si="1"/>
        <v>1</v>
      </c>
      <c r="H15" s="153" t="str">
        <f t="shared" si="2"/>
        <v>2*</v>
      </c>
      <c r="I15" s="166">
        <f t="shared" si="2"/>
        <v>3</v>
      </c>
      <c r="J15" s="171"/>
      <c r="K15" s="168"/>
      <c r="L15" s="1380"/>
      <c r="M15" s="1381"/>
      <c r="N15" s="1381"/>
      <c r="O15" s="1381"/>
      <c r="P15" s="1381"/>
      <c r="Q15" s="1381"/>
      <c r="R15" s="1382"/>
      <c r="T15" s="119">
        <v>8</v>
      </c>
      <c r="U15" s="110" t="s">
        <v>448</v>
      </c>
      <c r="V15" s="206">
        <v>1</v>
      </c>
      <c r="W15" s="206">
        <v>1</v>
      </c>
      <c r="X15" s="206" t="s">
        <v>212</v>
      </c>
      <c r="Y15" s="206" t="s">
        <v>212</v>
      </c>
      <c r="Z15" s="160" t="s">
        <v>212</v>
      </c>
      <c r="AA15" s="160">
        <v>2</v>
      </c>
      <c r="AB15" s="160">
        <v>1</v>
      </c>
      <c r="AC15" s="206">
        <v>3</v>
      </c>
      <c r="AD15" s="206">
        <v>2</v>
      </c>
      <c r="AE15" s="206">
        <v>1</v>
      </c>
      <c r="AF15" s="206" t="b">
        <v>1</v>
      </c>
      <c r="AG15" s="206">
        <f t="shared" si="3"/>
        <v>2</v>
      </c>
      <c r="AH15" s="206">
        <f t="shared" si="4"/>
        <v>1</v>
      </c>
      <c r="AI15" s="86">
        <f>IF(NOT(OR(Z15=1,Z15=2)),IF(AQ15&gt;0,$AR$44*AQ15/SUMIF($AQ$8:$AQ$39,"&gt;0"),IF(AU15&gt;0,$AV$44*AU15/SUMIF($AU$8:$AU$39,"&gt;0"),IF(AS15&gt;0,$AT$44*AS15/SUMIF($AS$8:$AS$39,"&gt;0"),""))),IF(SUMIF(AJ16:$AJ$39,"=" &amp; AJ15,AI16:$AI$39)=0,"",SUMIF(AJ16:$AJ$39,"=" &amp; AJ15,AI16:$AI$39)))</f>
        <v>0.2</v>
      </c>
      <c r="AJ15" s="87">
        <f t="shared" si="35"/>
        <v>2</v>
      </c>
      <c r="AK15" s="206">
        <f t="shared" si="5"/>
        <v>2</v>
      </c>
      <c r="AL15" s="160" t="str">
        <f t="shared" si="6"/>
        <v/>
      </c>
      <c r="AM15" s="160" t="str">
        <f t="shared" si="7"/>
        <v/>
      </c>
      <c r="AN15" s="160" t="str">
        <f t="shared" si="8"/>
        <v/>
      </c>
      <c r="AO15" s="160" t="str">
        <f t="shared" si="9"/>
        <v/>
      </c>
      <c r="AP15" s="206" t="b">
        <f t="shared" si="10"/>
        <v>1</v>
      </c>
      <c r="AQ15" s="157">
        <f t="shared" si="11"/>
        <v>1</v>
      </c>
      <c r="AR15" s="88" t="str">
        <f t="shared" si="12"/>
        <v/>
      </c>
      <c r="AS15" s="89">
        <f t="shared" si="13"/>
        <v>0</v>
      </c>
      <c r="AT15" s="88" t="str">
        <f t="shared" si="14"/>
        <v/>
      </c>
      <c r="AU15" s="158">
        <f t="shared" si="15"/>
        <v>0</v>
      </c>
      <c r="AV15" s="90" t="str">
        <f t="shared" si="16"/>
        <v/>
      </c>
      <c r="AW15" s="158" t="b">
        <f t="shared" si="17"/>
        <v>0</v>
      </c>
      <c r="AX15" s="159" t="b">
        <f t="shared" si="18"/>
        <v>1</v>
      </c>
      <c r="AY15" s="158" t="b">
        <f t="shared" si="19"/>
        <v>0</v>
      </c>
      <c r="AZ15" s="159" t="b">
        <f t="shared" si="20"/>
        <v>0</v>
      </c>
      <c r="BA15" s="206" t="b">
        <f t="shared" si="21"/>
        <v>0</v>
      </c>
      <c r="BB15" s="206" t="b">
        <f t="shared" si="22"/>
        <v>0</v>
      </c>
      <c r="BC15" s="158" t="b">
        <f t="shared" si="23"/>
        <v>0</v>
      </c>
      <c r="BD15" s="160" t="b">
        <f t="shared" si="24"/>
        <v>0</v>
      </c>
      <c r="BE15" s="159" t="b">
        <f t="shared" si="25"/>
        <v>0</v>
      </c>
      <c r="BF15" s="161" t="b">
        <f t="shared" si="26"/>
        <v>0</v>
      </c>
      <c r="BG15" s="206" t="b">
        <f t="shared" si="27"/>
        <v>1</v>
      </c>
      <c r="BH15" s="206">
        <f t="shared" si="28"/>
        <v>1</v>
      </c>
      <c r="BI15" s="206">
        <f t="shared" si="29"/>
        <v>2</v>
      </c>
      <c r="BJ15" s="206" t="str">
        <f t="shared" si="30"/>
        <v>2*</v>
      </c>
      <c r="BK15" s="206">
        <f t="shared" si="31"/>
        <v>3</v>
      </c>
      <c r="BL15" s="162">
        <f t="shared" si="32"/>
        <v>1</v>
      </c>
      <c r="BM15" s="206">
        <f t="shared" si="33"/>
        <v>2</v>
      </c>
      <c r="BN15" s="206">
        <f t="shared" si="34"/>
        <v>3</v>
      </c>
      <c r="BO15" s="106"/>
    </row>
    <row r="16" spans="2:73" s="105" customFormat="1" ht="12.95" customHeight="1" x14ac:dyDescent="0.2">
      <c r="B16" s="165">
        <f>IF(ISNA(Z16),"",IF(OR(Z16=1,Z16=2),"    ",MAX($B$8:B15)+1))</f>
        <v>6</v>
      </c>
      <c r="C16" s="1375" t="str">
        <f t="shared" si="0"/>
        <v xml:space="preserve">      - Discipline (20.0%)</v>
      </c>
      <c r="D16" s="1375"/>
      <c r="E16" s="1375"/>
      <c r="F16" s="1376"/>
      <c r="G16" s="152">
        <f t="shared" si="1"/>
        <v>1</v>
      </c>
      <c r="H16" s="153" t="str">
        <f t="shared" si="2"/>
        <v>2*</v>
      </c>
      <c r="I16" s="166">
        <f t="shared" si="2"/>
        <v>3</v>
      </c>
      <c r="J16" s="171"/>
      <c r="K16" s="168"/>
      <c r="L16" s="1383"/>
      <c r="M16" s="1384"/>
      <c r="N16" s="1384"/>
      <c r="O16" s="1384"/>
      <c r="P16" s="1384"/>
      <c r="Q16" s="1384"/>
      <c r="R16" s="1385"/>
      <c r="T16" s="119">
        <v>9</v>
      </c>
      <c r="U16" s="110" t="s">
        <v>449</v>
      </c>
      <c r="V16" s="206">
        <v>1</v>
      </c>
      <c r="W16" s="206">
        <v>1</v>
      </c>
      <c r="X16" s="206" t="s">
        <v>212</v>
      </c>
      <c r="Y16" s="206" t="s">
        <v>212</v>
      </c>
      <c r="Z16" s="160" t="s">
        <v>212</v>
      </c>
      <c r="AA16" s="160">
        <v>2</v>
      </c>
      <c r="AB16" s="160">
        <v>1</v>
      </c>
      <c r="AC16" s="206">
        <v>3</v>
      </c>
      <c r="AD16" s="206">
        <v>2</v>
      </c>
      <c r="AE16" s="206">
        <v>1</v>
      </c>
      <c r="AF16" s="206" t="b">
        <v>1</v>
      </c>
      <c r="AG16" s="206">
        <f t="shared" si="3"/>
        <v>2</v>
      </c>
      <c r="AH16" s="206">
        <f t="shared" si="4"/>
        <v>1</v>
      </c>
      <c r="AI16" s="86">
        <f>IF(NOT(OR(Z16=1,Z16=2)),IF(AQ16&gt;0,$AR$44*AQ16/SUMIF($AQ$8:$AQ$39,"&gt;0"),IF(AU16&gt;0,$AV$44*AU16/SUMIF($AU$8:$AU$39,"&gt;0"),IF(AS16&gt;0,$AT$44*AS16/SUMIF($AS$8:$AS$39,"&gt;0"),""))),IF(SUMIF(AJ17:$AJ$39,"=" &amp; AJ16,AI17:$AI$39)=0,"",SUMIF(AJ17:$AJ$39,"=" &amp; AJ16,AI17:$AI$39)))</f>
        <v>0.2</v>
      </c>
      <c r="AJ16" s="87">
        <f t="shared" si="35"/>
        <v>2</v>
      </c>
      <c r="AK16" s="206">
        <f t="shared" si="5"/>
        <v>2</v>
      </c>
      <c r="AL16" s="160" t="str">
        <f t="shared" si="6"/>
        <v/>
      </c>
      <c r="AM16" s="160" t="str">
        <f t="shared" si="7"/>
        <v/>
      </c>
      <c r="AN16" s="160" t="str">
        <f t="shared" si="8"/>
        <v/>
      </c>
      <c r="AO16" s="160" t="str">
        <f t="shared" si="9"/>
        <v/>
      </c>
      <c r="AP16" s="206" t="b">
        <f t="shared" si="10"/>
        <v>1</v>
      </c>
      <c r="AQ16" s="157">
        <f t="shared" si="11"/>
        <v>1</v>
      </c>
      <c r="AR16" s="88" t="str">
        <f t="shared" si="12"/>
        <v/>
      </c>
      <c r="AS16" s="89">
        <f t="shared" si="13"/>
        <v>0</v>
      </c>
      <c r="AT16" s="88" t="str">
        <f t="shared" si="14"/>
        <v/>
      </c>
      <c r="AU16" s="158">
        <f t="shared" si="15"/>
        <v>0</v>
      </c>
      <c r="AV16" s="90" t="str">
        <f t="shared" si="16"/>
        <v/>
      </c>
      <c r="AW16" s="158" t="b">
        <f t="shared" si="17"/>
        <v>0</v>
      </c>
      <c r="AX16" s="159" t="b">
        <f t="shared" si="18"/>
        <v>1</v>
      </c>
      <c r="AY16" s="158" t="b">
        <f t="shared" si="19"/>
        <v>0</v>
      </c>
      <c r="AZ16" s="159" t="b">
        <f t="shared" si="20"/>
        <v>0</v>
      </c>
      <c r="BA16" s="206" t="b">
        <f t="shared" si="21"/>
        <v>0</v>
      </c>
      <c r="BB16" s="206" t="b">
        <f t="shared" si="22"/>
        <v>0</v>
      </c>
      <c r="BC16" s="158" t="b">
        <f t="shared" si="23"/>
        <v>0</v>
      </c>
      <c r="BD16" s="160" t="b">
        <f t="shared" si="24"/>
        <v>0</v>
      </c>
      <c r="BE16" s="159" t="b">
        <f t="shared" si="25"/>
        <v>0</v>
      </c>
      <c r="BF16" s="161" t="b">
        <f t="shared" si="26"/>
        <v>0</v>
      </c>
      <c r="BG16" s="206" t="b">
        <f t="shared" si="27"/>
        <v>1</v>
      </c>
      <c r="BH16" s="206">
        <f t="shared" si="28"/>
        <v>1</v>
      </c>
      <c r="BI16" s="206">
        <f t="shared" si="29"/>
        <v>2</v>
      </c>
      <c r="BJ16" s="206" t="str">
        <f t="shared" si="30"/>
        <v>2*</v>
      </c>
      <c r="BK16" s="206">
        <f t="shared" si="31"/>
        <v>3</v>
      </c>
      <c r="BL16" s="162">
        <f t="shared" si="32"/>
        <v>1</v>
      </c>
      <c r="BM16" s="206">
        <f t="shared" si="33"/>
        <v>2</v>
      </c>
      <c r="BN16" s="206">
        <f t="shared" si="34"/>
        <v>3</v>
      </c>
      <c r="BO16" s="169"/>
      <c r="BP16" s="174"/>
    </row>
    <row r="17" spans="2:73" s="105" customFormat="1" ht="12.95" customHeight="1" x14ac:dyDescent="0.25">
      <c r="B17" s="165">
        <f>IF(ISNA(Z17),"",IF(OR(Z17=1,Z17=2),"    ",MAX($B$8:B16)+1))</f>
        <v>7</v>
      </c>
      <c r="C17" s="1375" t="str">
        <f t="shared" si="0"/>
        <v xml:space="preserve">      - Safety (10.0%)</v>
      </c>
      <c r="D17" s="1375"/>
      <c r="E17" s="1375"/>
      <c r="F17" s="1376"/>
      <c r="G17" s="152">
        <f t="shared" si="1"/>
        <v>1</v>
      </c>
      <c r="H17" s="153" t="str">
        <f t="shared" si="2"/>
        <v>2*</v>
      </c>
      <c r="I17" s="166">
        <f t="shared" si="2"/>
        <v>3</v>
      </c>
      <c r="J17" s="171"/>
      <c r="K17" s="168"/>
      <c r="L17" s="271" t="s">
        <v>459</v>
      </c>
      <c r="M17" s="268"/>
      <c r="N17" s="268"/>
      <c r="O17" s="268"/>
      <c r="P17" s="268"/>
      <c r="Q17" s="269"/>
      <c r="R17" s="270"/>
      <c r="T17" s="119">
        <v>10</v>
      </c>
      <c r="U17" s="110" t="s">
        <v>450</v>
      </c>
      <c r="V17" s="206">
        <v>1</v>
      </c>
      <c r="W17" s="206">
        <v>0.5</v>
      </c>
      <c r="X17" s="206" t="s">
        <v>212</v>
      </c>
      <c r="Y17" s="206" t="s">
        <v>212</v>
      </c>
      <c r="Z17" s="160" t="s">
        <v>212</v>
      </c>
      <c r="AA17" s="160">
        <v>2</v>
      </c>
      <c r="AB17" s="160">
        <v>1</v>
      </c>
      <c r="AC17" s="206">
        <v>3</v>
      </c>
      <c r="AD17" s="206">
        <v>2</v>
      </c>
      <c r="AE17" s="206">
        <v>1</v>
      </c>
      <c r="AF17" s="206" t="b">
        <v>1</v>
      </c>
      <c r="AG17" s="206">
        <f t="shared" si="3"/>
        <v>2</v>
      </c>
      <c r="AH17" s="206">
        <f t="shared" si="4"/>
        <v>1</v>
      </c>
      <c r="AI17" s="86">
        <f>IF(NOT(OR(Z17=1,Z17=2)),IF(AQ17&gt;0,$AR$44*AQ17/SUMIF($AQ$8:$AQ$39,"&gt;0"),IF(AU17&gt;0,$AV$44*AU17/SUMIF($AU$8:$AU$39,"&gt;0"),IF(AS17&gt;0,$AT$44*AS17/SUMIF($AS$8:$AS$39,"&gt;0"),""))),IF(SUMIF(AJ18:$AJ$39,"=" &amp; AJ17,AI18:$AI$39)=0,"",SUMIF(AJ18:$AJ$39,"=" &amp; AJ17,AI18:$AI$39)))</f>
        <v>0.1</v>
      </c>
      <c r="AJ17" s="87">
        <f t="shared" si="35"/>
        <v>2</v>
      </c>
      <c r="AK17" s="206">
        <f t="shared" si="5"/>
        <v>2</v>
      </c>
      <c r="AL17" s="160" t="str">
        <f t="shared" si="6"/>
        <v/>
      </c>
      <c r="AM17" s="160" t="str">
        <f t="shared" si="7"/>
        <v/>
      </c>
      <c r="AN17" s="160" t="str">
        <f t="shared" si="8"/>
        <v/>
      </c>
      <c r="AO17" s="160" t="str">
        <f t="shared" si="9"/>
        <v/>
      </c>
      <c r="AP17" s="206" t="b">
        <f t="shared" si="10"/>
        <v>1</v>
      </c>
      <c r="AQ17" s="157">
        <f t="shared" si="11"/>
        <v>0.5</v>
      </c>
      <c r="AR17" s="88" t="str">
        <f t="shared" si="12"/>
        <v/>
      </c>
      <c r="AS17" s="89">
        <f t="shared" si="13"/>
        <v>0</v>
      </c>
      <c r="AT17" s="88" t="str">
        <f t="shared" si="14"/>
        <v/>
      </c>
      <c r="AU17" s="158">
        <f t="shared" si="15"/>
        <v>0</v>
      </c>
      <c r="AV17" s="90" t="str">
        <f t="shared" si="16"/>
        <v/>
      </c>
      <c r="AW17" s="158" t="b">
        <f t="shared" si="17"/>
        <v>0</v>
      </c>
      <c r="AX17" s="159" t="b">
        <f t="shared" si="18"/>
        <v>1</v>
      </c>
      <c r="AY17" s="158" t="b">
        <f t="shared" si="19"/>
        <v>0</v>
      </c>
      <c r="AZ17" s="159" t="b">
        <f t="shared" si="20"/>
        <v>0</v>
      </c>
      <c r="BA17" s="206" t="b">
        <f t="shared" si="21"/>
        <v>0</v>
      </c>
      <c r="BB17" s="206" t="b">
        <f t="shared" si="22"/>
        <v>0</v>
      </c>
      <c r="BC17" s="158" t="b">
        <f t="shared" si="23"/>
        <v>0</v>
      </c>
      <c r="BD17" s="160" t="b">
        <f t="shared" si="24"/>
        <v>0</v>
      </c>
      <c r="BE17" s="159" t="b">
        <f t="shared" si="25"/>
        <v>0</v>
      </c>
      <c r="BF17" s="161" t="b">
        <f t="shared" si="26"/>
        <v>0</v>
      </c>
      <c r="BG17" s="206" t="b">
        <f t="shared" si="27"/>
        <v>1</v>
      </c>
      <c r="BH17" s="206">
        <f t="shared" si="28"/>
        <v>1</v>
      </c>
      <c r="BI17" s="206">
        <f t="shared" si="29"/>
        <v>2</v>
      </c>
      <c r="BJ17" s="206" t="str">
        <f t="shared" si="30"/>
        <v>2*</v>
      </c>
      <c r="BK17" s="206">
        <f t="shared" si="31"/>
        <v>3</v>
      </c>
      <c r="BL17" s="162">
        <f t="shared" si="32"/>
        <v>1</v>
      </c>
      <c r="BM17" s="206">
        <f t="shared" si="33"/>
        <v>2</v>
      </c>
      <c r="BN17" s="206">
        <f t="shared" si="34"/>
        <v>3</v>
      </c>
      <c r="BO17" s="106"/>
    </row>
    <row r="18" spans="2:73" s="105" customFormat="1" ht="12.95" customHeight="1" x14ac:dyDescent="0.2">
      <c r="B18" s="165">
        <f>IF(ISNA(Z18),"",IF(OR(Z18=1,Z18=2),"    ",MAX($B$8:B17)+1))</f>
        <v>8</v>
      </c>
      <c r="C18" s="1375" t="str">
        <f t="shared" si="0"/>
        <v xml:space="preserve">      - Time Management (10.0%)</v>
      </c>
      <c r="D18" s="1375"/>
      <c r="E18" s="1375"/>
      <c r="F18" s="1376"/>
      <c r="G18" s="152">
        <f t="shared" si="1"/>
        <v>1</v>
      </c>
      <c r="H18" s="153" t="str">
        <f t="shared" si="2"/>
        <v>2*</v>
      </c>
      <c r="I18" s="166">
        <f t="shared" si="2"/>
        <v>3</v>
      </c>
      <c r="J18" s="171"/>
      <c r="K18" s="168"/>
      <c r="L18" s="1377"/>
      <c r="M18" s="1378"/>
      <c r="N18" s="1378"/>
      <c r="O18" s="1378"/>
      <c r="P18" s="1378"/>
      <c r="Q18" s="1378"/>
      <c r="R18" s="1379"/>
      <c r="T18" s="119">
        <v>11</v>
      </c>
      <c r="U18" s="110" t="s">
        <v>451</v>
      </c>
      <c r="V18" s="206">
        <v>1</v>
      </c>
      <c r="W18" s="206">
        <v>0.5</v>
      </c>
      <c r="X18" s="206" t="s">
        <v>212</v>
      </c>
      <c r="Y18" s="206" t="s">
        <v>212</v>
      </c>
      <c r="Z18" s="160" t="s">
        <v>212</v>
      </c>
      <c r="AA18" s="160">
        <v>2</v>
      </c>
      <c r="AB18" s="160">
        <v>1</v>
      </c>
      <c r="AC18" s="206">
        <v>3</v>
      </c>
      <c r="AD18" s="206">
        <v>2</v>
      </c>
      <c r="AE18" s="206">
        <v>1</v>
      </c>
      <c r="AF18" s="206" t="b">
        <v>1</v>
      </c>
      <c r="AG18" s="206">
        <f t="shared" si="3"/>
        <v>2</v>
      </c>
      <c r="AH18" s="206">
        <f t="shared" si="4"/>
        <v>1</v>
      </c>
      <c r="AI18" s="86">
        <f>IF(NOT(OR(Z18=1,Z18=2)),IF(AQ18&gt;0,$AR$44*AQ18/SUMIF($AQ$8:$AQ$39,"&gt;0"),IF(AU18&gt;0,$AV$44*AU18/SUMIF($AU$8:$AU$39,"&gt;0"),IF(AS18&gt;0,$AT$44*AS18/SUMIF($AS$8:$AS$39,"&gt;0"),""))),IF(SUMIF(AJ19:$AJ$39,"=" &amp; AJ18,AI19:$AI$39)=0,"",SUMIF(AJ19:$AJ$39,"=" &amp; AJ18,AI19:$AI$39)))</f>
        <v>0.1</v>
      </c>
      <c r="AJ18" s="87">
        <f t="shared" si="35"/>
        <v>2</v>
      </c>
      <c r="AK18" s="206">
        <f t="shared" si="5"/>
        <v>2</v>
      </c>
      <c r="AL18" s="160" t="str">
        <f t="shared" si="6"/>
        <v/>
      </c>
      <c r="AM18" s="160" t="str">
        <f t="shared" si="7"/>
        <v/>
      </c>
      <c r="AN18" s="160" t="str">
        <f t="shared" si="8"/>
        <v/>
      </c>
      <c r="AO18" s="160" t="str">
        <f t="shared" si="9"/>
        <v/>
      </c>
      <c r="AP18" s="206" t="b">
        <f t="shared" si="10"/>
        <v>1</v>
      </c>
      <c r="AQ18" s="157">
        <f t="shared" si="11"/>
        <v>0.5</v>
      </c>
      <c r="AR18" s="88" t="str">
        <f t="shared" si="12"/>
        <v/>
      </c>
      <c r="AS18" s="89">
        <f t="shared" si="13"/>
        <v>0</v>
      </c>
      <c r="AT18" s="88" t="str">
        <f t="shared" si="14"/>
        <v/>
      </c>
      <c r="AU18" s="158">
        <f t="shared" si="15"/>
        <v>0</v>
      </c>
      <c r="AV18" s="90" t="str">
        <f t="shared" si="16"/>
        <v/>
      </c>
      <c r="AW18" s="158" t="b">
        <f t="shared" si="17"/>
        <v>0</v>
      </c>
      <c r="AX18" s="159" t="b">
        <f t="shared" si="18"/>
        <v>1</v>
      </c>
      <c r="AY18" s="158" t="b">
        <f t="shared" si="19"/>
        <v>0</v>
      </c>
      <c r="AZ18" s="159" t="b">
        <f t="shared" si="20"/>
        <v>0</v>
      </c>
      <c r="BA18" s="206" t="b">
        <f t="shared" si="21"/>
        <v>0</v>
      </c>
      <c r="BB18" s="206" t="b">
        <f t="shared" si="22"/>
        <v>0</v>
      </c>
      <c r="BC18" s="158" t="b">
        <f t="shared" si="23"/>
        <v>0</v>
      </c>
      <c r="BD18" s="160" t="b">
        <f t="shared" si="24"/>
        <v>0</v>
      </c>
      <c r="BE18" s="159" t="b">
        <f t="shared" si="25"/>
        <v>0</v>
      </c>
      <c r="BF18" s="161" t="b">
        <f t="shared" si="26"/>
        <v>0</v>
      </c>
      <c r="BG18" s="206" t="b">
        <f t="shared" si="27"/>
        <v>1</v>
      </c>
      <c r="BH18" s="206">
        <f t="shared" si="28"/>
        <v>1</v>
      </c>
      <c r="BI18" s="206">
        <f t="shared" si="29"/>
        <v>2</v>
      </c>
      <c r="BJ18" s="206" t="str">
        <f t="shared" si="30"/>
        <v>2*</v>
      </c>
      <c r="BK18" s="206">
        <f t="shared" si="31"/>
        <v>3</v>
      </c>
      <c r="BL18" s="162">
        <f t="shared" si="32"/>
        <v>1</v>
      </c>
      <c r="BM18" s="206">
        <f t="shared" si="33"/>
        <v>2</v>
      </c>
      <c r="BN18" s="206">
        <f t="shared" si="34"/>
        <v>3</v>
      </c>
      <c r="BO18" s="104"/>
      <c r="BP18" s="174" t="s">
        <v>223</v>
      </c>
      <c r="BQ18" s="175"/>
      <c r="BR18" s="175"/>
      <c r="BS18" s="175"/>
      <c r="BT18" s="175"/>
      <c r="BU18" s="175"/>
    </row>
    <row r="19" spans="2:73" s="105" customFormat="1" ht="12.95" customHeight="1" x14ac:dyDescent="0.2">
      <c r="B19" s="165" t="str">
        <f>IF(ISNA(Z19),"",IF(OR(Z19=1,Z19=2),"    ",MAX($B$8:B18)+1))</f>
        <v xml:space="preserve">    </v>
      </c>
      <c r="C19" s="1375" t="str">
        <f t="shared" si="0"/>
        <v>Specific Learning Objective Items</v>
      </c>
      <c r="D19" s="1375"/>
      <c r="E19" s="1375"/>
      <c r="F19" s="1376"/>
      <c r="G19" s="152" t="str">
        <f t="shared" si="1"/>
        <v/>
      </c>
      <c r="H19" s="153" t="str">
        <f t="shared" si="2"/>
        <v/>
      </c>
      <c r="I19" s="166" t="str">
        <f t="shared" si="2"/>
        <v/>
      </c>
      <c r="J19" s="172"/>
      <c r="K19" s="173"/>
      <c r="L19" s="1380"/>
      <c r="M19" s="1381"/>
      <c r="N19" s="1381"/>
      <c r="O19" s="1381"/>
      <c r="P19" s="1381"/>
      <c r="Q19" s="1381"/>
      <c r="R19" s="1382"/>
      <c r="T19" s="119">
        <v>12</v>
      </c>
      <c r="U19" s="110" t="s">
        <v>281</v>
      </c>
      <c r="V19" s="206" t="s">
        <v>212</v>
      </c>
      <c r="W19" s="206" t="s">
        <v>212</v>
      </c>
      <c r="X19" s="206" t="s">
        <v>212</v>
      </c>
      <c r="Y19" s="206" t="s">
        <v>212</v>
      </c>
      <c r="Z19" s="160">
        <v>2</v>
      </c>
      <c r="AA19" s="160">
        <v>1</v>
      </c>
      <c r="AB19" s="160">
        <v>1</v>
      </c>
      <c r="AC19" s="206" t="s">
        <v>212</v>
      </c>
      <c r="AD19" s="206" t="s">
        <v>212</v>
      </c>
      <c r="AE19" s="206" t="s">
        <v>212</v>
      </c>
      <c r="AF19" s="206" t="s">
        <v>212</v>
      </c>
      <c r="AG19" s="206" t="str">
        <f t="shared" si="3"/>
        <v/>
      </c>
      <c r="AH19" s="206" t="str">
        <f t="shared" si="4"/>
        <v/>
      </c>
      <c r="AI19" s="86" t="str">
        <f>IF(NOT(OR(Z19=1,Z19=2)),IF(AQ19&gt;0,$AR$44*AQ19/SUMIF($AQ$8:$AQ$39,"&gt;0"),IF(AU19&gt;0,$AV$44*AU19/SUMIF($AU$8:$AU$39,"&gt;0"),IF(AS19&gt;0,$AT$44*AS19/SUMIF($AS$8:$AS$39,"&gt;0"),""))),IF(SUMIF(AJ20:$AJ$39,"=" &amp; AJ19,AI20:$AI$39)=0,"",SUMIF(AJ20:$AJ$39,"=" &amp; AJ19,AI20:$AI$39)))</f>
        <v/>
      </c>
      <c r="AJ19" s="87">
        <f t="shared" si="35"/>
        <v>3</v>
      </c>
      <c r="AK19" s="206" t="str">
        <f t="shared" si="5"/>
        <v/>
      </c>
      <c r="AL19" s="160" t="str">
        <f t="shared" si="6"/>
        <v/>
      </c>
      <c r="AM19" s="160" t="str">
        <f t="shared" si="7"/>
        <v/>
      </c>
      <c r="AN19" s="160" t="str">
        <f t="shared" si="8"/>
        <v/>
      </c>
      <c r="AO19" s="160" t="str">
        <f t="shared" si="9"/>
        <v/>
      </c>
      <c r="AP19" s="206" t="str">
        <f t="shared" si="10"/>
        <v/>
      </c>
      <c r="AQ19" s="157">
        <f t="shared" si="11"/>
        <v>0</v>
      </c>
      <c r="AR19" s="88" t="str">
        <f t="shared" si="12"/>
        <v/>
      </c>
      <c r="AS19" s="89">
        <f t="shared" si="13"/>
        <v>0</v>
      </c>
      <c r="AT19" s="88" t="str">
        <f t="shared" si="14"/>
        <v/>
      </c>
      <c r="AU19" s="158">
        <f t="shared" si="15"/>
        <v>0</v>
      </c>
      <c r="AV19" s="90" t="str">
        <f t="shared" si="16"/>
        <v/>
      </c>
      <c r="AW19" s="158" t="b">
        <f t="shared" si="17"/>
        <v>0</v>
      </c>
      <c r="AX19" s="159" t="b">
        <f t="shared" si="18"/>
        <v>0</v>
      </c>
      <c r="AY19" s="158" t="b">
        <f t="shared" si="19"/>
        <v>0</v>
      </c>
      <c r="AZ19" s="159" t="b">
        <f t="shared" si="20"/>
        <v>0</v>
      </c>
      <c r="BA19" s="206" t="b">
        <f t="shared" si="21"/>
        <v>0</v>
      </c>
      <c r="BB19" s="206" t="b">
        <f t="shared" si="22"/>
        <v>0</v>
      </c>
      <c r="BC19" s="158" t="b">
        <f t="shared" si="23"/>
        <v>0</v>
      </c>
      <c r="BD19" s="160" t="b">
        <f t="shared" si="24"/>
        <v>0</v>
      </c>
      <c r="BE19" s="159" t="b">
        <f t="shared" si="25"/>
        <v>0</v>
      </c>
      <c r="BF19" s="161" t="b">
        <f t="shared" si="26"/>
        <v>0</v>
      </c>
      <c r="BG19" s="206" t="b">
        <f t="shared" si="27"/>
        <v>0</v>
      </c>
      <c r="BH19" s="206" t="str">
        <f t="shared" si="28"/>
        <v/>
      </c>
      <c r="BI19" s="206" t="str">
        <f t="shared" si="29"/>
        <v/>
      </c>
      <c r="BJ19" s="206" t="str">
        <f t="shared" si="30"/>
        <v/>
      </c>
      <c r="BK19" s="206" t="str">
        <f t="shared" si="31"/>
        <v/>
      </c>
      <c r="BL19" s="162" t="str">
        <f t="shared" si="32"/>
        <v/>
      </c>
      <c r="BM19" s="206" t="str">
        <f t="shared" si="33"/>
        <v/>
      </c>
      <c r="BN19" s="206" t="str">
        <f t="shared" si="34"/>
        <v/>
      </c>
      <c r="BO19" s="104"/>
      <c r="BP19" s="164"/>
      <c r="BQ19" s="1386" t="s">
        <v>224</v>
      </c>
      <c r="BR19" s="1386"/>
      <c r="BS19" s="1386"/>
      <c r="BT19" s="1386"/>
      <c r="BU19" s="1386"/>
    </row>
    <row r="20" spans="2:73" s="105" customFormat="1" ht="12.95" customHeight="1" x14ac:dyDescent="0.2">
      <c r="B20" s="165">
        <f>IF(ISNA(Z20),"",IF(OR(Z20=1,Z20=2),"    ",MAX($B$8:B19)+1))</f>
        <v>9</v>
      </c>
      <c r="C20" s="1375" t="str">
        <f t="shared" si="0"/>
        <v xml:space="preserve">      - Subsystems - ADCS</v>
      </c>
      <c r="D20" s="1375"/>
      <c r="E20" s="1375"/>
      <c r="F20" s="1376"/>
      <c r="G20" s="152">
        <f t="shared" si="1"/>
        <v>1</v>
      </c>
      <c r="H20" s="153" t="str">
        <f t="shared" si="2"/>
        <v>NG</v>
      </c>
      <c r="I20" s="166" t="str">
        <f t="shared" si="2"/>
        <v/>
      </c>
      <c r="J20" s="171"/>
      <c r="K20" s="168"/>
      <c r="L20" s="1380"/>
      <c r="M20" s="1381"/>
      <c r="N20" s="1381"/>
      <c r="O20" s="1381"/>
      <c r="P20" s="1381"/>
      <c r="Q20" s="1381"/>
      <c r="R20" s="1382"/>
      <c r="T20" s="119">
        <v>13</v>
      </c>
      <c r="U20" s="110" t="s">
        <v>452</v>
      </c>
      <c r="V20" s="206">
        <v>1</v>
      </c>
      <c r="W20" s="206" t="s">
        <v>212</v>
      </c>
      <c r="X20" s="206" t="s">
        <v>212</v>
      </c>
      <c r="Y20" s="206" t="s">
        <v>212</v>
      </c>
      <c r="Z20" s="160" t="s">
        <v>212</v>
      </c>
      <c r="AA20" s="160">
        <v>2</v>
      </c>
      <c r="AB20" s="160">
        <v>1</v>
      </c>
      <c r="AC20" s="206" t="s">
        <v>212</v>
      </c>
      <c r="AD20" s="206" t="s">
        <v>225</v>
      </c>
      <c r="AE20" s="206" t="s">
        <v>212</v>
      </c>
      <c r="AF20" s="206" t="b">
        <v>1</v>
      </c>
      <c r="AG20" s="206" t="str">
        <f t="shared" si="3"/>
        <v>NG</v>
      </c>
      <c r="AH20" s="206" t="str">
        <f t="shared" si="4"/>
        <v/>
      </c>
      <c r="AI20" s="86" t="str">
        <f>IF(NOT(OR(Z20=1,Z20=2)),IF(AQ20&gt;0,$AR$44*AQ20/SUMIF($AQ$8:$AQ$39,"&gt;0"),IF(AU20&gt;0,$AV$44*AU20/SUMIF($AU$8:$AU$39,"&gt;0"),IF(AS20&gt;0,$AT$44*AS20/SUMIF($AS$8:$AS$39,"&gt;0"),""))),IF(SUMIF(AJ21:$AJ$39,"=" &amp; AJ20,AI21:$AI$39)=0,"",SUMIF(AJ21:$AJ$39,"=" &amp; AJ20,AI21:$AI$39)))</f>
        <v/>
      </c>
      <c r="AJ20" s="87">
        <f t="shared" si="35"/>
        <v>3</v>
      </c>
      <c r="AK20" s="206" t="str">
        <f t="shared" si="5"/>
        <v>NG</v>
      </c>
      <c r="AL20" s="160" t="str">
        <f t="shared" si="6"/>
        <v/>
      </c>
      <c r="AM20" s="160" t="str">
        <f t="shared" si="7"/>
        <v/>
      </c>
      <c r="AN20" s="160" t="str">
        <f t="shared" si="8"/>
        <v/>
      </c>
      <c r="AO20" s="160" t="str">
        <f t="shared" si="9"/>
        <v/>
      </c>
      <c r="AP20" s="206" t="str">
        <f t="shared" si="10"/>
        <v/>
      </c>
      <c r="AQ20" s="157">
        <f t="shared" si="11"/>
        <v>0</v>
      </c>
      <c r="AR20" s="88" t="str">
        <f t="shared" si="12"/>
        <v/>
      </c>
      <c r="AS20" s="89">
        <f t="shared" si="13"/>
        <v>0</v>
      </c>
      <c r="AT20" s="88" t="str">
        <f t="shared" si="14"/>
        <v/>
      </c>
      <c r="AU20" s="158">
        <f t="shared" si="15"/>
        <v>0</v>
      </c>
      <c r="AV20" s="90" t="str">
        <f t="shared" si="16"/>
        <v/>
      </c>
      <c r="AW20" s="158" t="b">
        <f t="shared" si="17"/>
        <v>0</v>
      </c>
      <c r="AX20" s="159" t="b">
        <f t="shared" si="18"/>
        <v>1</v>
      </c>
      <c r="AY20" s="158" t="b">
        <f t="shared" si="19"/>
        <v>0</v>
      </c>
      <c r="AZ20" s="159" t="b">
        <f t="shared" si="20"/>
        <v>0</v>
      </c>
      <c r="BA20" s="206" t="b">
        <f t="shared" si="21"/>
        <v>0</v>
      </c>
      <c r="BB20" s="206" t="b">
        <f t="shared" si="22"/>
        <v>0</v>
      </c>
      <c r="BC20" s="158" t="b">
        <f t="shared" si="23"/>
        <v>0</v>
      </c>
      <c r="BD20" s="160" t="b">
        <f t="shared" si="24"/>
        <v>0</v>
      </c>
      <c r="BE20" s="159" t="b">
        <f t="shared" si="25"/>
        <v>0</v>
      </c>
      <c r="BF20" s="161" t="b">
        <f t="shared" si="26"/>
        <v>0</v>
      </c>
      <c r="BG20" s="206" t="b">
        <f t="shared" si="27"/>
        <v>1</v>
      </c>
      <c r="BH20" s="206">
        <f t="shared" si="28"/>
        <v>1</v>
      </c>
      <c r="BI20" s="206" t="str">
        <f t="shared" si="29"/>
        <v>NG</v>
      </c>
      <c r="BJ20" s="206" t="str">
        <f t="shared" si="30"/>
        <v>NG</v>
      </c>
      <c r="BK20" s="206" t="str">
        <f t="shared" si="31"/>
        <v/>
      </c>
      <c r="BL20" s="162">
        <f t="shared" si="32"/>
        <v>1</v>
      </c>
      <c r="BM20" s="206" t="str">
        <f t="shared" si="33"/>
        <v>D</v>
      </c>
      <c r="BN20" s="206" t="str">
        <f t="shared" si="34"/>
        <v>D</v>
      </c>
      <c r="BO20" s="104"/>
      <c r="BP20" s="104"/>
      <c r="BQ20" s="104">
        <v>0</v>
      </c>
      <c r="BR20" s="104">
        <v>1</v>
      </c>
      <c r="BS20" s="104">
        <v>2</v>
      </c>
      <c r="BT20" s="104">
        <v>3</v>
      </c>
      <c r="BU20" s="104">
        <v>4</v>
      </c>
    </row>
    <row r="21" spans="2:73" s="105" customFormat="1" ht="12.95" customHeight="1" x14ac:dyDescent="0.2">
      <c r="B21" s="165" t="str">
        <f>IF(ISNA(Z21),"",IF(OR(Z21=1,Z21=2),"    ",MAX($B$8:B20)+1))</f>
        <v xml:space="preserve">    </v>
      </c>
      <c r="C21" s="1375" t="str">
        <f t="shared" si="0"/>
        <v>Demonstration Events (if req'd)</v>
      </c>
      <c r="D21" s="1375"/>
      <c r="E21" s="1375"/>
      <c r="F21" s="1376"/>
      <c r="G21" s="152" t="str">
        <f t="shared" si="1"/>
        <v/>
      </c>
      <c r="H21" s="153" t="str">
        <f t="shared" si="2"/>
        <v/>
      </c>
      <c r="I21" s="166" t="str">
        <f t="shared" si="2"/>
        <v/>
      </c>
      <c r="J21" s="172"/>
      <c r="K21" s="173"/>
      <c r="L21" s="1380"/>
      <c r="M21" s="1381"/>
      <c r="N21" s="1381"/>
      <c r="O21" s="1381"/>
      <c r="P21" s="1381"/>
      <c r="Q21" s="1381"/>
      <c r="R21" s="1382"/>
      <c r="T21" s="119">
        <v>14</v>
      </c>
      <c r="U21" s="110" t="s">
        <v>453</v>
      </c>
      <c r="V21" s="206" t="s">
        <v>212</v>
      </c>
      <c r="W21" s="206" t="s">
        <v>212</v>
      </c>
      <c r="X21" s="206" t="s">
        <v>212</v>
      </c>
      <c r="Y21" s="206" t="s">
        <v>212</v>
      </c>
      <c r="Z21" s="160">
        <v>2</v>
      </c>
      <c r="AA21" s="160">
        <v>1</v>
      </c>
      <c r="AB21" s="160">
        <v>1</v>
      </c>
      <c r="AC21" s="206" t="s">
        <v>212</v>
      </c>
      <c r="AD21" s="206" t="s">
        <v>212</v>
      </c>
      <c r="AE21" s="206" t="s">
        <v>212</v>
      </c>
      <c r="AF21" s="206" t="s">
        <v>212</v>
      </c>
      <c r="AG21" s="206" t="str">
        <f t="shared" si="3"/>
        <v/>
      </c>
      <c r="AH21" s="206" t="str">
        <f t="shared" si="4"/>
        <v/>
      </c>
      <c r="AI21" s="86" t="str">
        <f>IF(NOT(OR(Z21=1,Z21=2)),IF(AQ21&gt;0,$AR$44*AQ21/SUMIF($AQ$8:$AQ$39,"&gt;0"),IF(AU21&gt;0,$AV$44*AU21/SUMIF($AU$8:$AU$39,"&gt;0"),IF(AS21&gt;0,$AT$44*AS21/SUMIF($AS$8:$AS$39,"&gt;0"),""))),IF(SUMIF(AJ22:$AJ$39,"=" &amp; AJ21,AI22:$AI$39)=0,"",SUMIF(AJ22:$AJ$39,"=" &amp; AJ21,AI22:$AI$39)))</f>
        <v/>
      </c>
      <c r="AJ21" s="87">
        <f t="shared" si="35"/>
        <v>4</v>
      </c>
      <c r="AK21" s="206" t="str">
        <f t="shared" si="5"/>
        <v/>
      </c>
      <c r="AL21" s="160" t="str">
        <f t="shared" si="6"/>
        <v/>
      </c>
      <c r="AM21" s="160" t="str">
        <f t="shared" si="7"/>
        <v/>
      </c>
      <c r="AN21" s="160" t="str">
        <f t="shared" si="8"/>
        <v/>
      </c>
      <c r="AO21" s="160" t="str">
        <f t="shared" si="9"/>
        <v/>
      </c>
      <c r="AP21" s="206" t="str">
        <f t="shared" si="10"/>
        <v/>
      </c>
      <c r="AQ21" s="157">
        <f t="shared" si="11"/>
        <v>0</v>
      </c>
      <c r="AR21" s="88" t="str">
        <f t="shared" si="12"/>
        <v/>
      </c>
      <c r="AS21" s="89">
        <f t="shared" si="13"/>
        <v>0</v>
      </c>
      <c r="AT21" s="88" t="str">
        <f t="shared" si="14"/>
        <v/>
      </c>
      <c r="AU21" s="158">
        <f t="shared" si="15"/>
        <v>0</v>
      </c>
      <c r="AV21" s="90" t="str">
        <f t="shared" si="16"/>
        <v/>
      </c>
      <c r="AW21" s="158" t="b">
        <f t="shared" si="17"/>
        <v>0</v>
      </c>
      <c r="AX21" s="159" t="b">
        <f t="shared" si="18"/>
        <v>0</v>
      </c>
      <c r="AY21" s="158" t="b">
        <f t="shared" si="19"/>
        <v>0</v>
      </c>
      <c r="AZ21" s="159" t="b">
        <f t="shared" si="20"/>
        <v>0</v>
      </c>
      <c r="BA21" s="206" t="b">
        <f t="shared" si="21"/>
        <v>0</v>
      </c>
      <c r="BB21" s="206" t="b">
        <f t="shared" si="22"/>
        <v>0</v>
      </c>
      <c r="BC21" s="158" t="b">
        <f t="shared" si="23"/>
        <v>0</v>
      </c>
      <c r="BD21" s="160" t="b">
        <f t="shared" si="24"/>
        <v>0</v>
      </c>
      <c r="BE21" s="159" t="b">
        <f t="shared" si="25"/>
        <v>0</v>
      </c>
      <c r="BF21" s="161" t="b">
        <f t="shared" si="26"/>
        <v>0</v>
      </c>
      <c r="BG21" s="206" t="b">
        <f t="shared" si="27"/>
        <v>0</v>
      </c>
      <c r="BH21" s="206" t="str">
        <f t="shared" si="28"/>
        <v/>
      </c>
      <c r="BI21" s="206" t="str">
        <f t="shared" si="29"/>
        <v/>
      </c>
      <c r="BJ21" s="206" t="str">
        <f t="shared" si="30"/>
        <v/>
      </c>
      <c r="BK21" s="206" t="str">
        <f t="shared" si="31"/>
        <v/>
      </c>
      <c r="BL21" s="162" t="str">
        <f t="shared" si="32"/>
        <v/>
      </c>
      <c r="BM21" s="206" t="str">
        <f t="shared" si="33"/>
        <v/>
      </c>
      <c r="BN21" s="206" t="str">
        <f t="shared" si="34"/>
        <v/>
      </c>
      <c r="BO21" s="1387" t="s">
        <v>226</v>
      </c>
      <c r="BP21" s="104" t="s">
        <v>227</v>
      </c>
      <c r="BQ21" s="91">
        <f t="shared" ref="BQ21:BU29" si="36">AR50</f>
        <v>0.7</v>
      </c>
      <c r="BR21" s="92">
        <f t="shared" si="36"/>
        <v>0.9</v>
      </c>
      <c r="BS21" s="92">
        <f t="shared" si="36"/>
        <v>0.93330000000000002</v>
      </c>
      <c r="BT21" s="92">
        <f t="shared" si="36"/>
        <v>0.9667</v>
      </c>
      <c r="BU21" s="93">
        <f t="shared" si="36"/>
        <v>1</v>
      </c>
    </row>
    <row r="22" spans="2:73" s="105" customFormat="1" ht="12.95" customHeight="1" x14ac:dyDescent="0.2">
      <c r="B22" s="165">
        <f>IF(ISNA(Z22),"",IF(OR(Z22=1,Z22=2),"    ",MAX($B$8:B21)+1))</f>
        <v>10</v>
      </c>
      <c r="C22" s="1375" t="str">
        <f t="shared" si="0"/>
        <v xml:space="preserve">      - DE 1</v>
      </c>
      <c r="D22" s="1375"/>
      <c r="E22" s="1375"/>
      <c r="F22" s="1376"/>
      <c r="G22" s="152">
        <f t="shared" si="1"/>
        <v>1</v>
      </c>
      <c r="H22" s="153" t="str">
        <f t="shared" si="2"/>
        <v>NG</v>
      </c>
      <c r="I22" s="166" t="str">
        <f t="shared" si="2"/>
        <v/>
      </c>
      <c r="J22" s="171"/>
      <c r="K22" s="168"/>
      <c r="L22" s="1380"/>
      <c r="M22" s="1381"/>
      <c r="N22" s="1381"/>
      <c r="O22" s="1381"/>
      <c r="P22" s="1381"/>
      <c r="Q22" s="1381"/>
      <c r="R22" s="1382"/>
      <c r="T22" s="119">
        <v>15</v>
      </c>
      <c r="U22" s="110" t="s">
        <v>454</v>
      </c>
      <c r="V22" s="206">
        <v>1</v>
      </c>
      <c r="W22" s="206" t="s">
        <v>212</v>
      </c>
      <c r="X22" s="206" t="s">
        <v>212</v>
      </c>
      <c r="Y22" s="206" t="s">
        <v>212</v>
      </c>
      <c r="Z22" s="160" t="s">
        <v>212</v>
      </c>
      <c r="AA22" s="160">
        <v>2</v>
      </c>
      <c r="AB22" s="160">
        <v>1</v>
      </c>
      <c r="AC22" s="206" t="s">
        <v>212</v>
      </c>
      <c r="AD22" s="206" t="s">
        <v>225</v>
      </c>
      <c r="AE22" s="206" t="s">
        <v>212</v>
      </c>
      <c r="AF22" s="206" t="b">
        <v>1</v>
      </c>
      <c r="AG22" s="206" t="str">
        <f t="shared" si="3"/>
        <v>NG</v>
      </c>
      <c r="AH22" s="206" t="str">
        <f t="shared" si="4"/>
        <v/>
      </c>
      <c r="AI22" s="86" t="str">
        <f>IF(NOT(OR(Z22=1,Z22=2)),IF(AQ22&gt;0,$AR$44*AQ22/SUMIF($AQ$8:$AQ$39,"&gt;0"),IF(AU22&gt;0,$AV$44*AU22/SUMIF($AU$8:$AU$39,"&gt;0"),IF(AS22&gt;0,$AT$44*AS22/SUMIF($AS$8:$AS$39,"&gt;0"),""))),IF(SUMIF(AJ23:$AJ$39,"=" &amp; AJ22,AI23:$AI$39)=0,"",SUMIF(AJ23:$AJ$39,"=" &amp; AJ22,AI23:$AI$39)))</f>
        <v/>
      </c>
      <c r="AJ22" s="87">
        <f t="shared" si="35"/>
        <v>4</v>
      </c>
      <c r="AK22" s="206" t="str">
        <f t="shared" si="5"/>
        <v>NG</v>
      </c>
      <c r="AL22" s="160" t="str">
        <f t="shared" si="6"/>
        <v/>
      </c>
      <c r="AM22" s="160" t="str">
        <f t="shared" si="7"/>
        <v/>
      </c>
      <c r="AN22" s="160" t="str">
        <f t="shared" si="8"/>
        <v/>
      </c>
      <c r="AO22" s="160" t="str">
        <f t="shared" si="9"/>
        <v/>
      </c>
      <c r="AP22" s="206" t="str">
        <f t="shared" si="10"/>
        <v/>
      </c>
      <c r="AQ22" s="157">
        <f t="shared" si="11"/>
        <v>0</v>
      </c>
      <c r="AR22" s="88" t="str">
        <f t="shared" si="12"/>
        <v/>
      </c>
      <c r="AS22" s="89">
        <f t="shared" si="13"/>
        <v>0</v>
      </c>
      <c r="AT22" s="88" t="str">
        <f t="shared" si="14"/>
        <v/>
      </c>
      <c r="AU22" s="158">
        <f t="shared" si="15"/>
        <v>0</v>
      </c>
      <c r="AV22" s="90" t="str">
        <f t="shared" si="16"/>
        <v/>
      </c>
      <c r="AW22" s="158" t="b">
        <f t="shared" si="17"/>
        <v>0</v>
      </c>
      <c r="AX22" s="159" t="b">
        <f t="shared" si="18"/>
        <v>1</v>
      </c>
      <c r="AY22" s="158" t="b">
        <f t="shared" si="19"/>
        <v>0</v>
      </c>
      <c r="AZ22" s="159" t="b">
        <f t="shared" si="20"/>
        <v>0</v>
      </c>
      <c r="BA22" s="206" t="b">
        <f t="shared" si="21"/>
        <v>0</v>
      </c>
      <c r="BB22" s="206" t="b">
        <f t="shared" si="22"/>
        <v>0</v>
      </c>
      <c r="BC22" s="158" t="b">
        <f t="shared" si="23"/>
        <v>0</v>
      </c>
      <c r="BD22" s="160" t="b">
        <f t="shared" si="24"/>
        <v>0</v>
      </c>
      <c r="BE22" s="159" t="b">
        <f t="shared" si="25"/>
        <v>0</v>
      </c>
      <c r="BF22" s="161" t="b">
        <f t="shared" si="26"/>
        <v>0</v>
      </c>
      <c r="BG22" s="206" t="b">
        <f t="shared" si="27"/>
        <v>1</v>
      </c>
      <c r="BH22" s="206">
        <f t="shared" si="28"/>
        <v>1</v>
      </c>
      <c r="BI22" s="206" t="str">
        <f t="shared" si="29"/>
        <v>NG</v>
      </c>
      <c r="BJ22" s="206" t="str">
        <f t="shared" si="30"/>
        <v>NG</v>
      </c>
      <c r="BK22" s="206" t="str">
        <f t="shared" si="31"/>
        <v/>
      </c>
      <c r="BL22" s="162">
        <f t="shared" si="32"/>
        <v>1</v>
      </c>
      <c r="BM22" s="206" t="str">
        <f t="shared" si="33"/>
        <v>D</v>
      </c>
      <c r="BN22" s="206" t="str">
        <f t="shared" si="34"/>
        <v>D</v>
      </c>
      <c r="BO22" s="1387"/>
      <c r="BP22" s="104" t="s">
        <v>228</v>
      </c>
      <c r="BQ22" s="94">
        <f t="shared" si="36"/>
        <v>0.7</v>
      </c>
      <c r="BR22" s="95">
        <f t="shared" si="36"/>
        <v>0.8</v>
      </c>
      <c r="BS22" s="95">
        <f t="shared" si="36"/>
        <v>0.9</v>
      </c>
      <c r="BT22" s="95">
        <f t="shared" si="36"/>
        <v>0.95</v>
      </c>
      <c r="BU22" s="96">
        <f t="shared" si="36"/>
        <v>1</v>
      </c>
    </row>
    <row r="23" spans="2:73" s="105" customFormat="1" ht="12.95" customHeight="1" x14ac:dyDescent="0.2">
      <c r="B23" s="165">
        <f>IF(ISNA(Z23),"",IF(OR(Z23=1,Z23=2),"    ",MAX($B$8:B22)+1))</f>
        <v>11</v>
      </c>
      <c r="C23" s="1375" t="str">
        <f t="shared" si="0"/>
        <v xml:space="preserve">      - DE 2</v>
      </c>
      <c r="D23" s="1375"/>
      <c r="E23" s="1375"/>
      <c r="F23" s="1376"/>
      <c r="G23" s="152">
        <f t="shared" si="1"/>
        <v>1</v>
      </c>
      <c r="H23" s="153" t="str">
        <f t="shared" si="2"/>
        <v>NG</v>
      </c>
      <c r="I23" s="166" t="str">
        <f t="shared" si="2"/>
        <v/>
      </c>
      <c r="J23" s="171"/>
      <c r="K23" s="168"/>
      <c r="L23" s="1380"/>
      <c r="M23" s="1381"/>
      <c r="N23" s="1381"/>
      <c r="O23" s="1381"/>
      <c r="P23" s="1381"/>
      <c r="Q23" s="1381"/>
      <c r="R23" s="1382"/>
      <c r="T23" s="119">
        <v>16</v>
      </c>
      <c r="U23" s="110" t="s">
        <v>455</v>
      </c>
      <c r="V23" s="206">
        <v>1</v>
      </c>
      <c r="W23" s="206" t="s">
        <v>212</v>
      </c>
      <c r="X23" s="206" t="s">
        <v>212</v>
      </c>
      <c r="Y23" s="206" t="s">
        <v>212</v>
      </c>
      <c r="Z23" s="160" t="s">
        <v>212</v>
      </c>
      <c r="AA23" s="160">
        <v>2</v>
      </c>
      <c r="AB23" s="160">
        <v>1</v>
      </c>
      <c r="AC23" s="206" t="s">
        <v>212</v>
      </c>
      <c r="AD23" s="206" t="s">
        <v>225</v>
      </c>
      <c r="AE23" s="206" t="s">
        <v>212</v>
      </c>
      <c r="AF23" s="206" t="b">
        <v>1</v>
      </c>
      <c r="AG23" s="206" t="str">
        <f t="shared" si="3"/>
        <v>NG</v>
      </c>
      <c r="AH23" s="206" t="str">
        <f t="shared" si="4"/>
        <v/>
      </c>
      <c r="AI23" s="86" t="str">
        <f>IF(NOT(OR(Z23=1,Z23=2)),IF(AQ23&gt;0,$AR$44*AQ23/SUMIF($AQ$8:$AQ$39,"&gt;0"),IF(AU23&gt;0,$AV$44*AU23/SUMIF($AU$8:$AU$39,"&gt;0"),IF(AS23&gt;0,$AT$44*AS23/SUMIF($AS$8:$AS$39,"&gt;0"),""))),IF(SUMIF(AJ24:$AJ$39,"=" &amp; AJ23,AI24:$AI$39)=0,"",SUMIF(AJ24:$AJ$39,"=" &amp; AJ23,AI24:$AI$39)))</f>
        <v/>
      </c>
      <c r="AJ23" s="87">
        <f t="shared" si="35"/>
        <v>4</v>
      </c>
      <c r="AK23" s="206" t="str">
        <f t="shared" si="5"/>
        <v>NG</v>
      </c>
      <c r="AL23" s="160" t="str">
        <f t="shared" si="6"/>
        <v/>
      </c>
      <c r="AM23" s="160" t="str">
        <f t="shared" si="7"/>
        <v/>
      </c>
      <c r="AN23" s="160" t="str">
        <f t="shared" si="8"/>
        <v/>
      </c>
      <c r="AO23" s="160" t="str">
        <f t="shared" si="9"/>
        <v/>
      </c>
      <c r="AP23" s="206" t="str">
        <f t="shared" si="10"/>
        <v/>
      </c>
      <c r="AQ23" s="157">
        <f t="shared" si="11"/>
        <v>0</v>
      </c>
      <c r="AR23" s="88" t="str">
        <f t="shared" si="12"/>
        <v/>
      </c>
      <c r="AS23" s="89">
        <f t="shared" si="13"/>
        <v>0</v>
      </c>
      <c r="AT23" s="88" t="str">
        <f t="shared" si="14"/>
        <v/>
      </c>
      <c r="AU23" s="158">
        <f t="shared" si="15"/>
        <v>0</v>
      </c>
      <c r="AV23" s="90" t="str">
        <f t="shared" si="16"/>
        <v/>
      </c>
      <c r="AW23" s="158" t="b">
        <f t="shared" si="17"/>
        <v>0</v>
      </c>
      <c r="AX23" s="159" t="b">
        <f t="shared" si="18"/>
        <v>1</v>
      </c>
      <c r="AY23" s="158" t="b">
        <f t="shared" si="19"/>
        <v>0</v>
      </c>
      <c r="AZ23" s="159" t="b">
        <f t="shared" si="20"/>
        <v>0</v>
      </c>
      <c r="BA23" s="206" t="b">
        <f t="shared" si="21"/>
        <v>0</v>
      </c>
      <c r="BB23" s="206" t="b">
        <f t="shared" si="22"/>
        <v>0</v>
      </c>
      <c r="BC23" s="158" t="b">
        <f t="shared" si="23"/>
        <v>0</v>
      </c>
      <c r="BD23" s="160" t="b">
        <f t="shared" si="24"/>
        <v>0</v>
      </c>
      <c r="BE23" s="159" t="b">
        <f t="shared" si="25"/>
        <v>0</v>
      </c>
      <c r="BF23" s="161" t="b">
        <f t="shared" si="26"/>
        <v>0</v>
      </c>
      <c r="BG23" s="206" t="b">
        <f t="shared" si="27"/>
        <v>1</v>
      </c>
      <c r="BH23" s="206">
        <f t="shared" si="28"/>
        <v>1</v>
      </c>
      <c r="BI23" s="206" t="str">
        <f t="shared" si="29"/>
        <v>NG</v>
      </c>
      <c r="BJ23" s="206" t="str">
        <f t="shared" si="30"/>
        <v>NG</v>
      </c>
      <c r="BK23" s="206" t="str">
        <f t="shared" si="31"/>
        <v/>
      </c>
      <c r="BL23" s="162">
        <f t="shared" si="32"/>
        <v>1</v>
      </c>
      <c r="BM23" s="206" t="str">
        <f t="shared" si="33"/>
        <v>D</v>
      </c>
      <c r="BN23" s="206" t="str">
        <f t="shared" si="34"/>
        <v>D</v>
      </c>
      <c r="BO23" s="1387"/>
      <c r="BP23" s="104" t="s">
        <v>229</v>
      </c>
      <c r="BQ23" s="94">
        <f t="shared" si="36"/>
        <v>0.7</v>
      </c>
      <c r="BR23" s="95">
        <f t="shared" si="36"/>
        <v>0.76670000000000005</v>
      </c>
      <c r="BS23" s="95">
        <f t="shared" si="36"/>
        <v>0.83330000000000004</v>
      </c>
      <c r="BT23" s="95">
        <f t="shared" si="36"/>
        <v>0.9</v>
      </c>
      <c r="BU23" s="96">
        <f t="shared" si="36"/>
        <v>1</v>
      </c>
    </row>
    <row r="24" spans="2:73" s="105" customFormat="1" ht="12.95" customHeight="1" x14ac:dyDescent="0.2">
      <c r="B24" s="165" t="str">
        <f>IF(ISNA(Z24),"",IF(OR(Z24=1,Z24=2),"    ",MAX($B$8:B23)+1))</f>
        <v/>
      </c>
      <c r="C24" s="1375" t="str">
        <f t="shared" si="0"/>
        <v/>
      </c>
      <c r="D24" s="1375"/>
      <c r="E24" s="1375"/>
      <c r="F24" s="1376"/>
      <c r="G24" s="152" t="str">
        <f t="shared" si="1"/>
        <v/>
      </c>
      <c r="H24" s="153" t="str">
        <f t="shared" si="2"/>
        <v/>
      </c>
      <c r="I24" s="166" t="str">
        <f t="shared" si="2"/>
        <v/>
      </c>
      <c r="J24" s="172"/>
      <c r="K24" s="173"/>
      <c r="L24" s="1380"/>
      <c r="M24" s="1381"/>
      <c r="N24" s="1381"/>
      <c r="O24" s="1381"/>
      <c r="P24" s="1381"/>
      <c r="Q24" s="1381"/>
      <c r="R24" s="1382"/>
      <c r="T24" s="119">
        <v>17</v>
      </c>
      <c r="U24" s="110" t="e">
        <v>#N/A</v>
      </c>
      <c r="V24" s="206" t="e">
        <v>#N/A</v>
      </c>
      <c r="W24" s="206" t="e">
        <v>#N/A</v>
      </c>
      <c r="X24" s="206" t="e">
        <v>#N/A</v>
      </c>
      <c r="Y24" s="206" t="e">
        <v>#N/A</v>
      </c>
      <c r="Z24" s="160" t="e">
        <v>#N/A</v>
      </c>
      <c r="AA24" s="160" t="e">
        <v>#N/A</v>
      </c>
      <c r="AB24" s="160" t="e">
        <v>#N/A</v>
      </c>
      <c r="AC24" s="206" t="e">
        <v>#N/A</v>
      </c>
      <c r="AD24" s="206" t="e">
        <v>#N/A</v>
      </c>
      <c r="AE24" s="206" t="e">
        <v>#N/A</v>
      </c>
      <c r="AF24" s="206" t="e">
        <v>#N/A</v>
      </c>
      <c r="AG24" s="206" t="e">
        <f t="shared" si="3"/>
        <v>#N/A</v>
      </c>
      <c r="AH24" s="206" t="str">
        <f t="shared" si="4"/>
        <v/>
      </c>
      <c r="AI24" s="86" t="e">
        <f>IF(NOT(OR(Z24=1,Z24=2)),IF(AQ24&gt;0,$AR$44*AQ24/SUMIF($AQ$8:$AQ$39,"&gt;0"),IF(AU24&gt;0,$AV$44*AU24/SUMIF($AU$8:$AU$39,"&gt;0"),IF(AS24&gt;0,$AT$44*AS24/SUMIF($AS$8:$AS$39,"&gt;0"),""))),IF(SUMIF(AJ25:$AJ$39,"=" &amp; AJ24,AI25:$AI$39)=0,"",SUMIF(AJ25:$AJ$39,"=" &amp; AJ24,AI25:$AI$39)))</f>
        <v>#N/A</v>
      </c>
      <c r="AJ24" s="87" t="e">
        <f t="shared" si="35"/>
        <v>#N/A</v>
      </c>
      <c r="AK24" s="206" t="str">
        <f t="shared" si="5"/>
        <v/>
      </c>
      <c r="AL24" s="160" t="str">
        <f t="shared" si="6"/>
        <v/>
      </c>
      <c r="AM24" s="160" t="str">
        <f t="shared" si="7"/>
        <v/>
      </c>
      <c r="AN24" s="160" t="str">
        <f t="shared" si="8"/>
        <v/>
      </c>
      <c r="AO24" s="160" t="e">
        <f t="shared" si="9"/>
        <v>#N/A</v>
      </c>
      <c r="AP24" s="206" t="str">
        <f t="shared" si="10"/>
        <v/>
      </c>
      <c r="AQ24" s="157">
        <f t="shared" si="11"/>
        <v>0</v>
      </c>
      <c r="AR24" s="88" t="str">
        <f t="shared" si="12"/>
        <v/>
      </c>
      <c r="AS24" s="89">
        <f t="shared" si="13"/>
        <v>0</v>
      </c>
      <c r="AT24" s="88" t="str">
        <f t="shared" si="14"/>
        <v/>
      </c>
      <c r="AU24" s="158">
        <f t="shared" si="15"/>
        <v>0</v>
      </c>
      <c r="AV24" s="90" t="str">
        <f t="shared" si="16"/>
        <v/>
      </c>
      <c r="AW24" s="158" t="b">
        <f t="shared" si="17"/>
        <v>0</v>
      </c>
      <c r="AX24" s="159" t="b">
        <f t="shared" si="18"/>
        <v>0</v>
      </c>
      <c r="AY24" s="158" t="b">
        <f t="shared" si="19"/>
        <v>0</v>
      </c>
      <c r="AZ24" s="159" t="b">
        <f t="shared" si="20"/>
        <v>0</v>
      </c>
      <c r="BA24" s="206" t="b">
        <f t="shared" si="21"/>
        <v>0</v>
      </c>
      <c r="BB24" s="206" t="b">
        <f t="shared" si="22"/>
        <v>0</v>
      </c>
      <c r="BC24" s="158" t="b">
        <f t="shared" si="23"/>
        <v>0</v>
      </c>
      <c r="BD24" s="160" t="b">
        <f t="shared" si="24"/>
        <v>0</v>
      </c>
      <c r="BE24" s="159" t="b">
        <f t="shared" si="25"/>
        <v>0</v>
      </c>
      <c r="BF24" s="161" t="b">
        <f t="shared" si="26"/>
        <v>0</v>
      </c>
      <c r="BG24" s="206" t="str">
        <f t="shared" si="27"/>
        <v>NA</v>
      </c>
      <c r="BH24" s="206" t="str">
        <f t="shared" si="28"/>
        <v/>
      </c>
      <c r="BI24" s="206" t="str">
        <f t="shared" si="29"/>
        <v/>
      </c>
      <c r="BJ24" s="206" t="str">
        <f t="shared" si="30"/>
        <v/>
      </c>
      <c r="BK24" s="206" t="str">
        <f t="shared" si="31"/>
        <v/>
      </c>
      <c r="BL24" s="162" t="str">
        <f t="shared" si="32"/>
        <v/>
      </c>
      <c r="BM24" s="206" t="str">
        <f t="shared" si="33"/>
        <v/>
      </c>
      <c r="BN24" s="206" t="str">
        <f t="shared" si="34"/>
        <v/>
      </c>
      <c r="BO24" s="1387"/>
      <c r="BP24" s="104" t="s">
        <v>230</v>
      </c>
      <c r="BQ24" s="94">
        <f t="shared" si="36"/>
        <v>0.6</v>
      </c>
      <c r="BR24" s="95">
        <f t="shared" si="36"/>
        <v>0.9</v>
      </c>
      <c r="BS24" s="95">
        <f t="shared" si="36"/>
        <v>0.93330000000000002</v>
      </c>
      <c r="BT24" s="95">
        <f t="shared" si="36"/>
        <v>0.9667</v>
      </c>
      <c r="BU24" s="96">
        <f t="shared" si="36"/>
        <v>1</v>
      </c>
    </row>
    <row r="25" spans="2:73" s="105" customFormat="1" ht="12.95" customHeight="1" x14ac:dyDescent="0.2">
      <c r="B25" s="165" t="str">
        <f>IF(ISNA(Z25),"",IF(OR(Z25=1,Z25=2),"    ",MAX($B$8:B24)+1))</f>
        <v/>
      </c>
      <c r="C25" s="1375" t="str">
        <f t="shared" si="0"/>
        <v/>
      </c>
      <c r="D25" s="1375"/>
      <c r="E25" s="1375"/>
      <c r="F25" s="1376"/>
      <c r="G25" s="152" t="str">
        <f t="shared" si="1"/>
        <v/>
      </c>
      <c r="H25" s="153" t="str">
        <f t="shared" si="2"/>
        <v/>
      </c>
      <c r="I25" s="166" t="str">
        <f t="shared" si="2"/>
        <v/>
      </c>
      <c r="J25" s="172"/>
      <c r="K25" s="173"/>
      <c r="L25" s="1383"/>
      <c r="M25" s="1384"/>
      <c r="N25" s="1384"/>
      <c r="O25" s="1384"/>
      <c r="P25" s="1384"/>
      <c r="Q25" s="1384"/>
      <c r="R25" s="1385"/>
      <c r="T25" s="119">
        <v>18</v>
      </c>
      <c r="U25" s="110" t="e">
        <v>#N/A</v>
      </c>
      <c r="V25" s="206" t="e">
        <v>#N/A</v>
      </c>
      <c r="W25" s="206" t="e">
        <v>#N/A</v>
      </c>
      <c r="X25" s="206" t="e">
        <v>#N/A</v>
      </c>
      <c r="Y25" s="206" t="e">
        <v>#N/A</v>
      </c>
      <c r="Z25" s="160" t="e">
        <v>#N/A</v>
      </c>
      <c r="AA25" s="160" t="e">
        <v>#N/A</v>
      </c>
      <c r="AB25" s="160" t="e">
        <v>#N/A</v>
      </c>
      <c r="AC25" s="206" t="e">
        <v>#N/A</v>
      </c>
      <c r="AD25" s="206" t="e">
        <v>#N/A</v>
      </c>
      <c r="AE25" s="206" t="e">
        <v>#N/A</v>
      </c>
      <c r="AF25" s="206" t="e">
        <v>#N/A</v>
      </c>
      <c r="AG25" s="206" t="e">
        <f t="shared" si="3"/>
        <v>#N/A</v>
      </c>
      <c r="AH25" s="206" t="str">
        <f t="shared" si="4"/>
        <v/>
      </c>
      <c r="AI25" s="86" t="e">
        <f>IF(NOT(OR(Z25=1,Z25=2)),IF(AQ25&gt;0,$AR$44*AQ25/SUMIF($AQ$8:$AQ$39,"&gt;0"),IF(AU25&gt;0,$AV$44*AU25/SUMIF($AU$8:$AU$39,"&gt;0"),IF(AS25&gt;0,$AT$44*AS25/SUMIF($AS$8:$AS$39,"&gt;0"),""))),IF(SUMIF(AJ26:$AJ$39,"=" &amp; AJ25,AI26:$AI$39)=0,"",SUMIF(AJ26:$AJ$39,"=" &amp; AJ25,AI26:$AI$39)))</f>
        <v>#N/A</v>
      </c>
      <c r="AJ25" s="87" t="e">
        <f t="shared" si="35"/>
        <v>#N/A</v>
      </c>
      <c r="AK25" s="206" t="str">
        <f t="shared" si="5"/>
        <v/>
      </c>
      <c r="AL25" s="160" t="str">
        <f t="shared" si="6"/>
        <v/>
      </c>
      <c r="AM25" s="160" t="str">
        <f t="shared" si="7"/>
        <v/>
      </c>
      <c r="AN25" s="160" t="str">
        <f t="shared" si="8"/>
        <v/>
      </c>
      <c r="AO25" s="160" t="e">
        <f t="shared" si="9"/>
        <v>#N/A</v>
      </c>
      <c r="AP25" s="206" t="str">
        <f t="shared" si="10"/>
        <v/>
      </c>
      <c r="AQ25" s="157">
        <f t="shared" si="11"/>
        <v>0</v>
      </c>
      <c r="AR25" s="88" t="str">
        <f t="shared" si="12"/>
        <v/>
      </c>
      <c r="AS25" s="89">
        <f t="shared" si="13"/>
        <v>0</v>
      </c>
      <c r="AT25" s="88" t="str">
        <f t="shared" si="14"/>
        <v/>
      </c>
      <c r="AU25" s="158">
        <f t="shared" si="15"/>
        <v>0</v>
      </c>
      <c r="AV25" s="90" t="str">
        <f t="shared" si="16"/>
        <v/>
      </c>
      <c r="AW25" s="158" t="b">
        <f t="shared" si="17"/>
        <v>0</v>
      </c>
      <c r="AX25" s="159" t="b">
        <f t="shared" si="18"/>
        <v>0</v>
      </c>
      <c r="AY25" s="158" t="b">
        <f t="shared" si="19"/>
        <v>0</v>
      </c>
      <c r="AZ25" s="159" t="b">
        <f t="shared" si="20"/>
        <v>0</v>
      </c>
      <c r="BA25" s="206" t="b">
        <f t="shared" si="21"/>
        <v>0</v>
      </c>
      <c r="BB25" s="206" t="b">
        <f t="shared" si="22"/>
        <v>0</v>
      </c>
      <c r="BC25" s="158" t="b">
        <f t="shared" si="23"/>
        <v>0</v>
      </c>
      <c r="BD25" s="160" t="b">
        <f t="shared" si="24"/>
        <v>0</v>
      </c>
      <c r="BE25" s="159" t="b">
        <f t="shared" si="25"/>
        <v>0</v>
      </c>
      <c r="BF25" s="161" t="b">
        <f t="shared" si="26"/>
        <v>0</v>
      </c>
      <c r="BG25" s="206" t="str">
        <f t="shared" si="27"/>
        <v>NA</v>
      </c>
      <c r="BH25" s="206" t="str">
        <f t="shared" si="28"/>
        <v/>
      </c>
      <c r="BI25" s="206" t="str">
        <f t="shared" si="29"/>
        <v/>
      </c>
      <c r="BJ25" s="206" t="str">
        <f t="shared" si="30"/>
        <v/>
      </c>
      <c r="BK25" s="206" t="str">
        <f t="shared" si="31"/>
        <v/>
      </c>
      <c r="BL25" s="162" t="str">
        <f t="shared" si="32"/>
        <v/>
      </c>
      <c r="BM25" s="206" t="str">
        <f t="shared" si="33"/>
        <v/>
      </c>
      <c r="BN25" s="206" t="str">
        <f t="shared" si="34"/>
        <v/>
      </c>
      <c r="BO25" s="1387"/>
      <c r="BP25" s="104" t="s">
        <v>231</v>
      </c>
      <c r="BQ25" s="94">
        <f t="shared" si="36"/>
        <v>0.6</v>
      </c>
      <c r="BR25" s="95">
        <f t="shared" si="36"/>
        <v>0.7</v>
      </c>
      <c r="BS25" s="95">
        <f t="shared" si="36"/>
        <v>0.9</v>
      </c>
      <c r="BT25" s="95">
        <f t="shared" si="36"/>
        <v>0.95</v>
      </c>
      <c r="BU25" s="96">
        <f t="shared" si="36"/>
        <v>1</v>
      </c>
    </row>
    <row r="26" spans="2:73" s="105" customFormat="1" ht="12.95" customHeight="1" x14ac:dyDescent="0.25">
      <c r="B26" s="165" t="str">
        <f>IF(ISNA(Z26),"",IF(OR(Z26=1,Z26=2),"    ",MAX($B$8:B25)+1))</f>
        <v/>
      </c>
      <c r="C26" s="1375" t="str">
        <f t="shared" si="0"/>
        <v/>
      </c>
      <c r="D26" s="1375"/>
      <c r="E26" s="1375"/>
      <c r="F26" s="1376"/>
      <c r="G26" s="152" t="str">
        <f t="shared" si="1"/>
        <v/>
      </c>
      <c r="H26" s="153" t="str">
        <f t="shared" si="2"/>
        <v/>
      </c>
      <c r="I26" s="166" t="str">
        <f t="shared" si="2"/>
        <v/>
      </c>
      <c r="J26" s="172"/>
      <c r="K26" s="173"/>
      <c r="L26" s="268" t="s">
        <v>460</v>
      </c>
      <c r="M26" s="268"/>
      <c r="N26" s="268"/>
      <c r="O26" s="268"/>
      <c r="P26" s="268"/>
      <c r="Q26" s="269"/>
      <c r="R26" s="270"/>
      <c r="T26" s="119">
        <v>19</v>
      </c>
      <c r="U26" s="110" t="e">
        <v>#N/A</v>
      </c>
      <c r="V26" s="206" t="e">
        <v>#N/A</v>
      </c>
      <c r="W26" s="206" t="e">
        <v>#N/A</v>
      </c>
      <c r="X26" s="206" t="e">
        <v>#N/A</v>
      </c>
      <c r="Y26" s="206" t="e">
        <v>#N/A</v>
      </c>
      <c r="Z26" s="160" t="e">
        <v>#N/A</v>
      </c>
      <c r="AA26" s="160" t="e">
        <v>#N/A</v>
      </c>
      <c r="AB26" s="160" t="e">
        <v>#N/A</v>
      </c>
      <c r="AC26" s="206" t="e">
        <v>#N/A</v>
      </c>
      <c r="AD26" s="206" t="e">
        <v>#N/A</v>
      </c>
      <c r="AE26" s="206" t="e">
        <v>#N/A</v>
      </c>
      <c r="AF26" s="206" t="e">
        <v>#N/A</v>
      </c>
      <c r="AG26" s="206" t="e">
        <f t="shared" si="3"/>
        <v>#N/A</v>
      </c>
      <c r="AH26" s="206" t="str">
        <f t="shared" si="4"/>
        <v/>
      </c>
      <c r="AI26" s="86" t="e">
        <f>IF(NOT(OR(Z26=1,Z26=2)),IF(AQ26&gt;0,$AR$44*AQ26/SUMIF($AQ$8:$AQ$39,"&gt;0"),IF(AU26&gt;0,$AV$44*AU26/SUMIF($AU$8:$AU$39,"&gt;0"),IF(AS26&gt;0,$AT$44*AS26/SUMIF($AS$8:$AS$39,"&gt;0"),""))),IF(SUMIF(AJ27:$AJ$39,"=" &amp; AJ26,AI27:$AI$39)=0,"",SUMIF(AJ27:$AJ$39,"=" &amp; AJ26,AI27:$AI$39)))</f>
        <v>#N/A</v>
      </c>
      <c r="AJ26" s="87" t="e">
        <f t="shared" si="35"/>
        <v>#N/A</v>
      </c>
      <c r="AK26" s="206" t="str">
        <f t="shared" si="5"/>
        <v/>
      </c>
      <c r="AL26" s="160" t="str">
        <f t="shared" si="6"/>
        <v/>
      </c>
      <c r="AM26" s="160" t="str">
        <f t="shared" si="7"/>
        <v/>
      </c>
      <c r="AN26" s="160" t="str">
        <f t="shared" si="8"/>
        <v/>
      </c>
      <c r="AO26" s="160" t="e">
        <f t="shared" si="9"/>
        <v>#N/A</v>
      </c>
      <c r="AP26" s="206" t="str">
        <f t="shared" si="10"/>
        <v/>
      </c>
      <c r="AQ26" s="157">
        <f t="shared" si="11"/>
        <v>0</v>
      </c>
      <c r="AR26" s="88" t="str">
        <f t="shared" si="12"/>
        <v/>
      </c>
      <c r="AS26" s="89">
        <f t="shared" si="13"/>
        <v>0</v>
      </c>
      <c r="AT26" s="88" t="str">
        <f t="shared" si="14"/>
        <v/>
      </c>
      <c r="AU26" s="158">
        <f t="shared" si="15"/>
        <v>0</v>
      </c>
      <c r="AV26" s="90" t="str">
        <f t="shared" si="16"/>
        <v/>
      </c>
      <c r="AW26" s="158" t="b">
        <f t="shared" si="17"/>
        <v>0</v>
      </c>
      <c r="AX26" s="159" t="b">
        <f t="shared" si="18"/>
        <v>0</v>
      </c>
      <c r="AY26" s="158" t="b">
        <f t="shared" si="19"/>
        <v>0</v>
      </c>
      <c r="AZ26" s="159" t="b">
        <f t="shared" si="20"/>
        <v>0</v>
      </c>
      <c r="BA26" s="206" t="b">
        <f t="shared" si="21"/>
        <v>0</v>
      </c>
      <c r="BB26" s="206" t="b">
        <f t="shared" si="22"/>
        <v>0</v>
      </c>
      <c r="BC26" s="158" t="b">
        <f t="shared" si="23"/>
        <v>0</v>
      </c>
      <c r="BD26" s="160" t="b">
        <f t="shared" si="24"/>
        <v>0</v>
      </c>
      <c r="BE26" s="159" t="b">
        <f t="shared" si="25"/>
        <v>0</v>
      </c>
      <c r="BF26" s="161" t="b">
        <f t="shared" si="26"/>
        <v>0</v>
      </c>
      <c r="BG26" s="206" t="str">
        <f t="shared" si="27"/>
        <v>NA</v>
      </c>
      <c r="BH26" s="206" t="str">
        <f t="shared" si="28"/>
        <v/>
      </c>
      <c r="BI26" s="206" t="str">
        <f t="shared" si="29"/>
        <v/>
      </c>
      <c r="BJ26" s="206" t="str">
        <f t="shared" si="30"/>
        <v/>
      </c>
      <c r="BK26" s="206" t="str">
        <f t="shared" si="31"/>
        <v/>
      </c>
      <c r="BL26" s="162" t="str">
        <f t="shared" si="32"/>
        <v/>
      </c>
      <c r="BM26" s="206" t="str">
        <f t="shared" si="33"/>
        <v/>
      </c>
      <c r="BN26" s="206" t="str">
        <f t="shared" si="34"/>
        <v/>
      </c>
      <c r="BO26" s="1387"/>
      <c r="BP26" s="104" t="s">
        <v>232</v>
      </c>
      <c r="BQ26" s="94">
        <f t="shared" si="36"/>
        <v>0.6</v>
      </c>
      <c r="BR26" s="95">
        <f t="shared" si="36"/>
        <v>0.7</v>
      </c>
      <c r="BS26" s="95">
        <f t="shared" si="36"/>
        <v>0.8</v>
      </c>
      <c r="BT26" s="95">
        <f t="shared" si="36"/>
        <v>0.9</v>
      </c>
      <c r="BU26" s="96">
        <f t="shared" si="36"/>
        <v>1</v>
      </c>
    </row>
    <row r="27" spans="2:73" s="105" customFormat="1" ht="12.95" customHeight="1" x14ac:dyDescent="0.2">
      <c r="B27" s="165" t="str">
        <f>IF(ISNA(Z27),"",IF(OR(Z27=1,Z27=2),"    ",MAX($B$8:B26)+1))</f>
        <v/>
      </c>
      <c r="C27" s="1375" t="str">
        <f t="shared" si="0"/>
        <v/>
      </c>
      <c r="D27" s="1375"/>
      <c r="E27" s="1375"/>
      <c r="F27" s="1376"/>
      <c r="G27" s="152" t="str">
        <f t="shared" si="1"/>
        <v/>
      </c>
      <c r="H27" s="153" t="str">
        <f t="shared" si="2"/>
        <v/>
      </c>
      <c r="I27" s="166" t="str">
        <f t="shared" si="2"/>
        <v/>
      </c>
      <c r="J27" s="172"/>
      <c r="K27" s="173"/>
      <c r="L27" s="1377"/>
      <c r="M27" s="1378"/>
      <c r="N27" s="1378"/>
      <c r="O27" s="1378"/>
      <c r="P27" s="1378"/>
      <c r="Q27" s="1378"/>
      <c r="R27" s="1379"/>
      <c r="T27" s="119">
        <v>20</v>
      </c>
      <c r="U27" s="110" t="e">
        <v>#N/A</v>
      </c>
      <c r="V27" s="206" t="e">
        <v>#N/A</v>
      </c>
      <c r="W27" s="206" t="e">
        <v>#N/A</v>
      </c>
      <c r="X27" s="206" t="e">
        <v>#N/A</v>
      </c>
      <c r="Y27" s="206" t="e">
        <v>#N/A</v>
      </c>
      <c r="Z27" s="160" t="e">
        <v>#N/A</v>
      </c>
      <c r="AA27" s="160" t="e">
        <v>#N/A</v>
      </c>
      <c r="AB27" s="160" t="e">
        <v>#N/A</v>
      </c>
      <c r="AC27" s="206" t="e">
        <v>#N/A</v>
      </c>
      <c r="AD27" s="206" t="e">
        <v>#N/A</v>
      </c>
      <c r="AE27" s="206" t="e">
        <v>#N/A</v>
      </c>
      <c r="AF27" s="206" t="e">
        <v>#N/A</v>
      </c>
      <c r="AG27" s="206" t="e">
        <f t="shared" si="3"/>
        <v>#N/A</v>
      </c>
      <c r="AH27" s="206" t="str">
        <f t="shared" si="4"/>
        <v/>
      </c>
      <c r="AI27" s="86" t="e">
        <f>IF(NOT(OR(Z27=1,Z27=2)),IF(AQ27&gt;0,$AR$44*AQ27/SUMIF($AQ$8:$AQ$39,"&gt;0"),IF(AU27&gt;0,$AV$44*AU27/SUMIF($AU$8:$AU$39,"&gt;0"),IF(AS27&gt;0,$AT$44*AS27/SUMIF($AS$8:$AS$39,"&gt;0"),""))),IF(SUMIF(AJ28:$AJ$39,"=" &amp; AJ27,AI28:$AI$39)=0,"",SUMIF(AJ28:$AJ$39,"=" &amp; AJ27,AI28:$AI$39)))</f>
        <v>#N/A</v>
      </c>
      <c r="AJ27" s="87" t="e">
        <f t="shared" si="35"/>
        <v>#N/A</v>
      </c>
      <c r="AK27" s="206" t="str">
        <f t="shared" si="5"/>
        <v/>
      </c>
      <c r="AL27" s="160" t="str">
        <f t="shared" si="6"/>
        <v/>
      </c>
      <c r="AM27" s="160" t="str">
        <f t="shared" si="7"/>
        <v/>
      </c>
      <c r="AN27" s="160" t="str">
        <f t="shared" si="8"/>
        <v/>
      </c>
      <c r="AO27" s="160" t="e">
        <f t="shared" si="9"/>
        <v>#N/A</v>
      </c>
      <c r="AP27" s="206" t="str">
        <f t="shared" si="10"/>
        <v/>
      </c>
      <c r="AQ27" s="157">
        <f t="shared" si="11"/>
        <v>0</v>
      </c>
      <c r="AR27" s="88" t="str">
        <f t="shared" si="12"/>
        <v/>
      </c>
      <c r="AS27" s="89">
        <f t="shared" si="13"/>
        <v>0</v>
      </c>
      <c r="AT27" s="88" t="str">
        <f t="shared" si="14"/>
        <v/>
      </c>
      <c r="AU27" s="158">
        <f t="shared" si="15"/>
        <v>0</v>
      </c>
      <c r="AV27" s="90" t="str">
        <f t="shared" si="16"/>
        <v/>
      </c>
      <c r="AW27" s="158" t="b">
        <f t="shared" si="17"/>
        <v>0</v>
      </c>
      <c r="AX27" s="159" t="b">
        <f t="shared" si="18"/>
        <v>0</v>
      </c>
      <c r="AY27" s="158" t="b">
        <f t="shared" si="19"/>
        <v>0</v>
      </c>
      <c r="AZ27" s="159" t="b">
        <f t="shared" si="20"/>
        <v>0</v>
      </c>
      <c r="BA27" s="206" t="b">
        <f t="shared" si="21"/>
        <v>0</v>
      </c>
      <c r="BB27" s="206" t="b">
        <f t="shared" si="22"/>
        <v>0</v>
      </c>
      <c r="BC27" s="158" t="b">
        <f t="shared" si="23"/>
        <v>0</v>
      </c>
      <c r="BD27" s="160" t="b">
        <f t="shared" si="24"/>
        <v>0</v>
      </c>
      <c r="BE27" s="159" t="b">
        <f t="shared" si="25"/>
        <v>0</v>
      </c>
      <c r="BF27" s="161" t="b">
        <f t="shared" si="26"/>
        <v>0</v>
      </c>
      <c r="BG27" s="206" t="str">
        <f t="shared" si="27"/>
        <v>NA</v>
      </c>
      <c r="BH27" s="206" t="str">
        <f t="shared" si="28"/>
        <v/>
      </c>
      <c r="BI27" s="206" t="str">
        <f t="shared" si="29"/>
        <v/>
      </c>
      <c r="BJ27" s="206" t="str">
        <f t="shared" si="30"/>
        <v/>
      </c>
      <c r="BK27" s="206" t="str">
        <f t="shared" si="31"/>
        <v/>
      </c>
      <c r="BL27" s="162" t="str">
        <f t="shared" si="32"/>
        <v/>
      </c>
      <c r="BM27" s="206" t="str">
        <f t="shared" si="33"/>
        <v/>
      </c>
      <c r="BN27" s="206" t="str">
        <f t="shared" si="34"/>
        <v/>
      </c>
      <c r="BO27" s="1387"/>
      <c r="BP27" s="104" t="s">
        <v>233</v>
      </c>
      <c r="BQ27" s="94">
        <f t="shared" si="36"/>
        <v>0.3</v>
      </c>
      <c r="BR27" s="95">
        <f t="shared" si="36"/>
        <v>0.6</v>
      </c>
      <c r="BS27" s="95">
        <f t="shared" si="36"/>
        <v>0.9</v>
      </c>
      <c r="BT27" s="95">
        <f t="shared" si="36"/>
        <v>0.95</v>
      </c>
      <c r="BU27" s="96">
        <f t="shared" si="36"/>
        <v>1</v>
      </c>
    </row>
    <row r="28" spans="2:73" s="105" customFormat="1" ht="12.95" customHeight="1" x14ac:dyDescent="0.2">
      <c r="B28" s="165" t="str">
        <f>IF(ISNA(Z28),"",IF(OR(Z28=1,Z28=2),"    ",MAX($B$8:B27)+1))</f>
        <v/>
      </c>
      <c r="C28" s="1375" t="str">
        <f t="shared" si="0"/>
        <v/>
      </c>
      <c r="D28" s="1375"/>
      <c r="E28" s="1375"/>
      <c r="F28" s="1376"/>
      <c r="G28" s="152" t="str">
        <f t="shared" si="1"/>
        <v/>
      </c>
      <c r="H28" s="153" t="str">
        <f t="shared" si="2"/>
        <v/>
      </c>
      <c r="I28" s="166" t="str">
        <f t="shared" si="2"/>
        <v/>
      </c>
      <c r="J28" s="172"/>
      <c r="K28" s="173"/>
      <c r="L28" s="1380"/>
      <c r="M28" s="1381"/>
      <c r="N28" s="1381"/>
      <c r="O28" s="1381"/>
      <c r="P28" s="1381"/>
      <c r="Q28" s="1381"/>
      <c r="R28" s="1382"/>
      <c r="T28" s="119">
        <v>21</v>
      </c>
      <c r="U28" s="110" t="e">
        <v>#N/A</v>
      </c>
      <c r="V28" s="206" t="e">
        <v>#N/A</v>
      </c>
      <c r="W28" s="206" t="e">
        <v>#N/A</v>
      </c>
      <c r="X28" s="206" t="e">
        <v>#N/A</v>
      </c>
      <c r="Y28" s="206" t="e">
        <v>#N/A</v>
      </c>
      <c r="Z28" s="160" t="e">
        <v>#N/A</v>
      </c>
      <c r="AA28" s="160" t="e">
        <v>#N/A</v>
      </c>
      <c r="AB28" s="160" t="e">
        <v>#N/A</v>
      </c>
      <c r="AC28" s="206" t="e">
        <v>#N/A</v>
      </c>
      <c r="AD28" s="206" t="e">
        <v>#N/A</v>
      </c>
      <c r="AE28" s="206" t="e">
        <v>#N/A</v>
      </c>
      <c r="AF28" s="206" t="e">
        <v>#N/A</v>
      </c>
      <c r="AG28" s="206" t="e">
        <f t="shared" si="3"/>
        <v>#N/A</v>
      </c>
      <c r="AH28" s="206" t="str">
        <f t="shared" si="4"/>
        <v/>
      </c>
      <c r="AI28" s="86" t="e">
        <f>IF(NOT(OR(Z28=1,Z28=2)),IF(AQ28&gt;0,$AR$44*AQ28/SUMIF($AQ$8:$AQ$39,"&gt;0"),IF(AU28&gt;0,$AV$44*AU28/SUMIF($AU$8:$AU$39,"&gt;0"),IF(AS28&gt;0,$AT$44*AS28/SUMIF($AS$8:$AS$39,"&gt;0"),""))),IF(SUMIF(AJ29:$AJ$39,"=" &amp; AJ28,AI29:$AI$39)=0,"",SUMIF(AJ29:$AJ$39,"=" &amp; AJ28,AI29:$AI$39)))</f>
        <v>#N/A</v>
      </c>
      <c r="AJ28" s="87" t="e">
        <f t="shared" si="35"/>
        <v>#N/A</v>
      </c>
      <c r="AK28" s="206" t="str">
        <f t="shared" si="5"/>
        <v/>
      </c>
      <c r="AL28" s="160" t="str">
        <f t="shared" si="6"/>
        <v/>
      </c>
      <c r="AM28" s="160" t="str">
        <f t="shared" si="7"/>
        <v/>
      </c>
      <c r="AN28" s="160" t="str">
        <f t="shared" si="8"/>
        <v/>
      </c>
      <c r="AO28" s="160" t="e">
        <f t="shared" si="9"/>
        <v>#N/A</v>
      </c>
      <c r="AP28" s="206" t="str">
        <f t="shared" si="10"/>
        <v/>
      </c>
      <c r="AQ28" s="157">
        <f t="shared" si="11"/>
        <v>0</v>
      </c>
      <c r="AR28" s="88" t="str">
        <f t="shared" si="12"/>
        <v/>
      </c>
      <c r="AS28" s="89">
        <f t="shared" si="13"/>
        <v>0</v>
      </c>
      <c r="AT28" s="88" t="str">
        <f t="shared" si="14"/>
        <v/>
      </c>
      <c r="AU28" s="158">
        <f t="shared" si="15"/>
        <v>0</v>
      </c>
      <c r="AV28" s="90" t="str">
        <f t="shared" si="16"/>
        <v/>
      </c>
      <c r="AW28" s="158" t="b">
        <f t="shared" si="17"/>
        <v>0</v>
      </c>
      <c r="AX28" s="159" t="b">
        <f t="shared" si="18"/>
        <v>0</v>
      </c>
      <c r="AY28" s="158" t="b">
        <f t="shared" si="19"/>
        <v>0</v>
      </c>
      <c r="AZ28" s="159" t="b">
        <f t="shared" si="20"/>
        <v>0</v>
      </c>
      <c r="BA28" s="206" t="b">
        <f t="shared" si="21"/>
        <v>0</v>
      </c>
      <c r="BB28" s="206" t="b">
        <f t="shared" si="22"/>
        <v>0</v>
      </c>
      <c r="BC28" s="158" t="b">
        <f t="shared" si="23"/>
        <v>0</v>
      </c>
      <c r="BD28" s="160" t="b">
        <f t="shared" si="24"/>
        <v>0</v>
      </c>
      <c r="BE28" s="159" t="b">
        <f t="shared" si="25"/>
        <v>0</v>
      </c>
      <c r="BF28" s="161" t="b">
        <f t="shared" si="26"/>
        <v>0</v>
      </c>
      <c r="BG28" s="206" t="str">
        <f t="shared" si="27"/>
        <v>NA</v>
      </c>
      <c r="BH28" s="206" t="str">
        <f t="shared" si="28"/>
        <v/>
      </c>
      <c r="BI28" s="206" t="str">
        <f t="shared" si="29"/>
        <v/>
      </c>
      <c r="BJ28" s="206" t="str">
        <f t="shared" si="30"/>
        <v/>
      </c>
      <c r="BK28" s="206" t="str">
        <f t="shared" si="31"/>
        <v/>
      </c>
      <c r="BL28" s="162" t="str">
        <f t="shared" si="32"/>
        <v/>
      </c>
      <c r="BM28" s="206" t="str">
        <f t="shared" si="33"/>
        <v/>
      </c>
      <c r="BN28" s="206" t="str">
        <f t="shared" si="34"/>
        <v/>
      </c>
      <c r="BO28" s="1387"/>
      <c r="BP28" s="104" t="s">
        <v>234</v>
      </c>
      <c r="BQ28" s="94">
        <f t="shared" si="36"/>
        <v>0.3</v>
      </c>
      <c r="BR28" s="95">
        <f t="shared" si="36"/>
        <v>0.6</v>
      </c>
      <c r="BS28" s="95">
        <f t="shared" si="36"/>
        <v>0.7</v>
      </c>
      <c r="BT28" s="95">
        <f t="shared" si="36"/>
        <v>0.9</v>
      </c>
      <c r="BU28" s="96">
        <f t="shared" si="36"/>
        <v>1</v>
      </c>
    </row>
    <row r="29" spans="2:73" s="105" customFormat="1" ht="12.95" customHeight="1" x14ac:dyDescent="0.2">
      <c r="B29" s="165" t="str">
        <f>IF(ISNA(Z29),"",IF(OR(Z29=1,Z29=2),"    ",MAX($B$8:B28)+1))</f>
        <v/>
      </c>
      <c r="C29" s="1375" t="str">
        <f t="shared" si="0"/>
        <v/>
      </c>
      <c r="D29" s="1375"/>
      <c r="E29" s="1375"/>
      <c r="F29" s="1376"/>
      <c r="G29" s="152" t="str">
        <f t="shared" si="1"/>
        <v/>
      </c>
      <c r="H29" s="153" t="str">
        <f t="shared" si="2"/>
        <v/>
      </c>
      <c r="I29" s="166" t="str">
        <f t="shared" si="2"/>
        <v/>
      </c>
      <c r="J29" s="172"/>
      <c r="K29" s="173"/>
      <c r="L29" s="1380"/>
      <c r="M29" s="1381"/>
      <c r="N29" s="1381"/>
      <c r="O29" s="1381"/>
      <c r="P29" s="1381"/>
      <c r="Q29" s="1381"/>
      <c r="R29" s="1382"/>
      <c r="T29" s="119">
        <v>22</v>
      </c>
      <c r="U29" s="110" t="e">
        <v>#N/A</v>
      </c>
      <c r="V29" s="206" t="e">
        <v>#N/A</v>
      </c>
      <c r="W29" s="206" t="e">
        <v>#N/A</v>
      </c>
      <c r="X29" s="206" t="e">
        <v>#N/A</v>
      </c>
      <c r="Y29" s="206" t="e">
        <v>#N/A</v>
      </c>
      <c r="Z29" s="160" t="e">
        <v>#N/A</v>
      </c>
      <c r="AA29" s="160" t="e">
        <v>#N/A</v>
      </c>
      <c r="AB29" s="160" t="e">
        <v>#N/A</v>
      </c>
      <c r="AC29" s="206" t="e">
        <v>#N/A</v>
      </c>
      <c r="AD29" s="206" t="e">
        <v>#N/A</v>
      </c>
      <c r="AE29" s="206" t="e">
        <v>#N/A</v>
      </c>
      <c r="AF29" s="206" t="e">
        <v>#N/A</v>
      </c>
      <c r="AG29" s="206" t="e">
        <f t="shared" si="3"/>
        <v>#N/A</v>
      </c>
      <c r="AH29" s="206" t="str">
        <f t="shared" si="4"/>
        <v/>
      </c>
      <c r="AI29" s="86" t="e">
        <f>IF(NOT(OR(Z29=1,Z29=2)),IF(AQ29&gt;0,$AR$44*AQ29/SUMIF($AQ$8:$AQ$39,"&gt;0"),IF(AU29&gt;0,$AV$44*AU29/SUMIF($AU$8:$AU$39,"&gt;0"),IF(AS29&gt;0,$AT$44*AS29/SUMIF($AS$8:$AS$39,"&gt;0"),""))),IF(SUMIF(AJ30:$AJ$39,"=" &amp; AJ29,AI30:$AI$39)=0,"",SUMIF(AJ30:$AJ$39,"=" &amp; AJ29,AI30:$AI$39)))</f>
        <v>#N/A</v>
      </c>
      <c r="AJ29" s="87" t="e">
        <f t="shared" si="35"/>
        <v>#N/A</v>
      </c>
      <c r="AK29" s="206" t="str">
        <f t="shared" si="5"/>
        <v/>
      </c>
      <c r="AL29" s="160" t="str">
        <f t="shared" si="6"/>
        <v/>
      </c>
      <c r="AM29" s="160" t="str">
        <f t="shared" si="7"/>
        <v/>
      </c>
      <c r="AN29" s="160" t="str">
        <f t="shared" si="8"/>
        <v/>
      </c>
      <c r="AO29" s="160" t="e">
        <f t="shared" si="9"/>
        <v>#N/A</v>
      </c>
      <c r="AP29" s="206" t="str">
        <f t="shared" si="10"/>
        <v/>
      </c>
      <c r="AQ29" s="157">
        <f t="shared" si="11"/>
        <v>0</v>
      </c>
      <c r="AR29" s="88" t="str">
        <f t="shared" si="12"/>
        <v/>
      </c>
      <c r="AS29" s="89">
        <f t="shared" si="13"/>
        <v>0</v>
      </c>
      <c r="AT29" s="88" t="str">
        <f t="shared" si="14"/>
        <v/>
      </c>
      <c r="AU29" s="158">
        <f t="shared" si="15"/>
        <v>0</v>
      </c>
      <c r="AV29" s="90" t="str">
        <f t="shared" si="16"/>
        <v/>
      </c>
      <c r="AW29" s="158" t="b">
        <f t="shared" si="17"/>
        <v>0</v>
      </c>
      <c r="AX29" s="159" t="b">
        <f t="shared" si="18"/>
        <v>0</v>
      </c>
      <c r="AY29" s="158" t="b">
        <f t="shared" si="19"/>
        <v>0</v>
      </c>
      <c r="AZ29" s="159" t="b">
        <f t="shared" si="20"/>
        <v>0</v>
      </c>
      <c r="BA29" s="206" t="b">
        <f t="shared" si="21"/>
        <v>0</v>
      </c>
      <c r="BB29" s="206" t="b">
        <f t="shared" si="22"/>
        <v>0</v>
      </c>
      <c r="BC29" s="158" t="b">
        <f t="shared" si="23"/>
        <v>0</v>
      </c>
      <c r="BD29" s="160" t="b">
        <f t="shared" si="24"/>
        <v>0</v>
      </c>
      <c r="BE29" s="159" t="b">
        <f t="shared" si="25"/>
        <v>0</v>
      </c>
      <c r="BF29" s="161" t="b">
        <f t="shared" si="26"/>
        <v>0</v>
      </c>
      <c r="BG29" s="206" t="str">
        <f t="shared" si="27"/>
        <v>NA</v>
      </c>
      <c r="BH29" s="206" t="str">
        <f t="shared" si="28"/>
        <v/>
      </c>
      <c r="BI29" s="206" t="str">
        <f t="shared" si="29"/>
        <v/>
      </c>
      <c r="BJ29" s="206" t="str">
        <f t="shared" si="30"/>
        <v/>
      </c>
      <c r="BK29" s="206" t="str">
        <f t="shared" si="31"/>
        <v/>
      </c>
      <c r="BL29" s="162" t="str">
        <f t="shared" si="32"/>
        <v/>
      </c>
      <c r="BM29" s="206" t="str">
        <f t="shared" si="33"/>
        <v/>
      </c>
      <c r="BN29" s="206" t="str">
        <f t="shared" si="34"/>
        <v/>
      </c>
      <c r="BO29" s="1387"/>
      <c r="BP29" s="104" t="s">
        <v>235</v>
      </c>
      <c r="BQ29" s="97">
        <f t="shared" si="36"/>
        <v>0</v>
      </c>
      <c r="BR29" s="98">
        <f t="shared" si="36"/>
        <v>0.3</v>
      </c>
      <c r="BS29" s="98">
        <f t="shared" si="36"/>
        <v>0.6</v>
      </c>
      <c r="BT29" s="98">
        <f t="shared" si="36"/>
        <v>0.9</v>
      </c>
      <c r="BU29" s="99">
        <f t="shared" si="36"/>
        <v>1</v>
      </c>
    </row>
    <row r="30" spans="2:73" s="105" customFormat="1" ht="12.95" customHeight="1" x14ac:dyDescent="0.2">
      <c r="B30" s="165" t="str">
        <f>IF(ISNA(Z30),"",IF(OR(Z30=1,Z30=2),"    ",MAX($B$8:B29)+1))</f>
        <v/>
      </c>
      <c r="C30" s="1375" t="str">
        <f t="shared" si="0"/>
        <v/>
      </c>
      <c r="D30" s="1375"/>
      <c r="E30" s="1375"/>
      <c r="F30" s="1376"/>
      <c r="G30" s="152" t="str">
        <f t="shared" si="1"/>
        <v/>
      </c>
      <c r="H30" s="153" t="str">
        <f t="shared" si="2"/>
        <v/>
      </c>
      <c r="I30" s="166" t="str">
        <f t="shared" si="2"/>
        <v/>
      </c>
      <c r="J30" s="172"/>
      <c r="K30" s="173"/>
      <c r="L30" s="1380"/>
      <c r="M30" s="1381"/>
      <c r="N30" s="1381"/>
      <c r="O30" s="1381"/>
      <c r="P30" s="1381"/>
      <c r="Q30" s="1381"/>
      <c r="R30" s="1382"/>
      <c r="T30" s="119">
        <v>23</v>
      </c>
      <c r="U30" s="110" t="e">
        <v>#N/A</v>
      </c>
      <c r="V30" s="206" t="e">
        <v>#N/A</v>
      </c>
      <c r="W30" s="206" t="e">
        <v>#N/A</v>
      </c>
      <c r="X30" s="206" t="e">
        <v>#N/A</v>
      </c>
      <c r="Y30" s="206" t="e">
        <v>#N/A</v>
      </c>
      <c r="Z30" s="160" t="e">
        <v>#N/A</v>
      </c>
      <c r="AA30" s="160" t="e">
        <v>#N/A</v>
      </c>
      <c r="AB30" s="160" t="e">
        <v>#N/A</v>
      </c>
      <c r="AC30" s="206" t="e">
        <v>#N/A</v>
      </c>
      <c r="AD30" s="206" t="e">
        <v>#N/A</v>
      </c>
      <c r="AE30" s="206" t="e">
        <v>#N/A</v>
      </c>
      <c r="AF30" s="206" t="e">
        <v>#N/A</v>
      </c>
      <c r="AG30" s="206" t="e">
        <f t="shared" si="3"/>
        <v>#N/A</v>
      </c>
      <c r="AH30" s="206" t="str">
        <f t="shared" si="4"/>
        <v/>
      </c>
      <c r="AI30" s="86" t="e">
        <f>IF(NOT(OR(Z30=1,Z30=2)),IF(AQ30&gt;0,$AR$44*AQ30/SUMIF($AQ$8:$AQ$39,"&gt;0"),IF(AU30&gt;0,$AV$44*AU30/SUMIF($AU$8:$AU$39,"&gt;0"),IF(AS30&gt;0,$AT$44*AS30/SUMIF($AS$8:$AS$39,"&gt;0"),""))),IF(SUMIF(AJ31:$AJ$39,"=" &amp; AJ30,AI31:$AI$39)=0,"",SUMIF(AJ31:$AJ$39,"=" &amp; AJ30,AI31:$AI$39)))</f>
        <v>#N/A</v>
      </c>
      <c r="AJ30" s="87" t="e">
        <f t="shared" si="35"/>
        <v>#N/A</v>
      </c>
      <c r="AK30" s="206" t="str">
        <f t="shared" si="5"/>
        <v/>
      </c>
      <c r="AL30" s="160" t="str">
        <f t="shared" si="6"/>
        <v/>
      </c>
      <c r="AM30" s="160" t="str">
        <f t="shared" si="7"/>
        <v/>
      </c>
      <c r="AN30" s="160" t="str">
        <f t="shared" si="8"/>
        <v/>
      </c>
      <c r="AO30" s="160" t="e">
        <f t="shared" si="9"/>
        <v>#N/A</v>
      </c>
      <c r="AP30" s="206" t="str">
        <f t="shared" si="10"/>
        <v/>
      </c>
      <c r="AQ30" s="157">
        <f t="shared" si="11"/>
        <v>0</v>
      </c>
      <c r="AR30" s="88" t="str">
        <f t="shared" si="12"/>
        <v/>
      </c>
      <c r="AS30" s="89">
        <f t="shared" si="13"/>
        <v>0</v>
      </c>
      <c r="AT30" s="88" t="str">
        <f t="shared" si="14"/>
        <v/>
      </c>
      <c r="AU30" s="158">
        <f t="shared" si="15"/>
        <v>0</v>
      </c>
      <c r="AV30" s="90" t="str">
        <f t="shared" si="16"/>
        <v/>
      </c>
      <c r="AW30" s="158" t="b">
        <f t="shared" si="17"/>
        <v>0</v>
      </c>
      <c r="AX30" s="159" t="b">
        <f t="shared" si="18"/>
        <v>0</v>
      </c>
      <c r="AY30" s="158" t="b">
        <f t="shared" si="19"/>
        <v>0</v>
      </c>
      <c r="AZ30" s="159" t="b">
        <f t="shared" si="20"/>
        <v>0</v>
      </c>
      <c r="BA30" s="206" t="b">
        <f t="shared" si="21"/>
        <v>0</v>
      </c>
      <c r="BB30" s="206" t="b">
        <f t="shared" si="22"/>
        <v>0</v>
      </c>
      <c r="BC30" s="158" t="b">
        <f t="shared" si="23"/>
        <v>0</v>
      </c>
      <c r="BD30" s="160" t="b">
        <f t="shared" si="24"/>
        <v>0</v>
      </c>
      <c r="BE30" s="159" t="b">
        <f t="shared" si="25"/>
        <v>0</v>
      </c>
      <c r="BF30" s="161" t="b">
        <f t="shared" si="26"/>
        <v>0</v>
      </c>
      <c r="BG30" s="206" t="str">
        <f t="shared" si="27"/>
        <v>NA</v>
      </c>
      <c r="BH30" s="206" t="str">
        <f t="shared" si="28"/>
        <v/>
      </c>
      <c r="BI30" s="206" t="str">
        <f t="shared" si="29"/>
        <v/>
      </c>
      <c r="BJ30" s="206" t="str">
        <f t="shared" si="30"/>
        <v/>
      </c>
      <c r="BK30" s="206" t="str">
        <f t="shared" si="31"/>
        <v/>
      </c>
      <c r="BL30" s="162" t="str">
        <f t="shared" si="32"/>
        <v/>
      </c>
      <c r="BM30" s="206" t="str">
        <f t="shared" si="33"/>
        <v/>
      </c>
      <c r="BN30" s="206" t="str">
        <f t="shared" si="34"/>
        <v/>
      </c>
      <c r="BO30" s="106"/>
    </row>
    <row r="31" spans="2:73" s="105" customFormat="1" ht="12.95" customHeight="1" x14ac:dyDescent="0.2">
      <c r="B31" s="165" t="str">
        <f>IF(ISNA(Z31),"",IF(OR(Z31=1,Z31=2),"    ",MAX($B$8:B30)+1))</f>
        <v/>
      </c>
      <c r="C31" s="1375" t="str">
        <f t="shared" si="0"/>
        <v/>
      </c>
      <c r="D31" s="1375"/>
      <c r="E31" s="1375"/>
      <c r="F31" s="1376"/>
      <c r="G31" s="152" t="str">
        <f t="shared" si="1"/>
        <v/>
      </c>
      <c r="H31" s="153" t="str">
        <f t="shared" si="2"/>
        <v/>
      </c>
      <c r="I31" s="166" t="str">
        <f t="shared" si="2"/>
        <v/>
      </c>
      <c r="J31" s="172"/>
      <c r="K31" s="173"/>
      <c r="L31" s="1380"/>
      <c r="M31" s="1381"/>
      <c r="N31" s="1381"/>
      <c r="O31" s="1381"/>
      <c r="P31" s="1381"/>
      <c r="Q31" s="1381"/>
      <c r="R31" s="1382"/>
      <c r="T31" s="119">
        <v>24</v>
      </c>
      <c r="U31" s="110" t="e">
        <v>#N/A</v>
      </c>
      <c r="V31" s="206" t="e">
        <v>#N/A</v>
      </c>
      <c r="W31" s="206" t="e">
        <v>#N/A</v>
      </c>
      <c r="X31" s="206" t="e">
        <v>#N/A</v>
      </c>
      <c r="Y31" s="206" t="e">
        <v>#N/A</v>
      </c>
      <c r="Z31" s="160" t="e">
        <v>#N/A</v>
      </c>
      <c r="AA31" s="160" t="e">
        <v>#N/A</v>
      </c>
      <c r="AB31" s="160" t="e">
        <v>#N/A</v>
      </c>
      <c r="AC31" s="206" t="e">
        <v>#N/A</v>
      </c>
      <c r="AD31" s="206" t="e">
        <v>#N/A</v>
      </c>
      <c r="AE31" s="206" t="e">
        <v>#N/A</v>
      </c>
      <c r="AF31" s="206" t="e">
        <v>#N/A</v>
      </c>
      <c r="AG31" s="206" t="e">
        <f t="shared" si="3"/>
        <v>#N/A</v>
      </c>
      <c r="AH31" s="206" t="str">
        <f t="shared" si="4"/>
        <v/>
      </c>
      <c r="AI31" s="86" t="e">
        <f>IF(NOT(OR(Z31=1,Z31=2)),IF(AQ31&gt;0,$AR$44*AQ31/SUMIF($AQ$8:$AQ$39,"&gt;0"),IF(AU31&gt;0,$AV$44*AU31/SUMIF($AU$8:$AU$39,"&gt;0"),IF(AS31&gt;0,$AT$44*AS31/SUMIF($AS$8:$AS$39,"&gt;0"),""))),IF(SUMIF(AJ32:$AJ$39,"=" &amp; AJ31,AI32:$AI$39)=0,"",SUMIF(AJ32:$AJ$39,"=" &amp; AJ31,AI32:$AI$39)))</f>
        <v>#N/A</v>
      </c>
      <c r="AJ31" s="87" t="e">
        <f t="shared" si="35"/>
        <v>#N/A</v>
      </c>
      <c r="AK31" s="206" t="str">
        <f t="shared" si="5"/>
        <v/>
      </c>
      <c r="AL31" s="160" t="str">
        <f t="shared" si="6"/>
        <v/>
      </c>
      <c r="AM31" s="160" t="str">
        <f t="shared" si="7"/>
        <v/>
      </c>
      <c r="AN31" s="160" t="str">
        <f t="shared" si="8"/>
        <v/>
      </c>
      <c r="AO31" s="160" t="e">
        <f t="shared" si="9"/>
        <v>#N/A</v>
      </c>
      <c r="AP31" s="206" t="str">
        <f t="shared" si="10"/>
        <v/>
      </c>
      <c r="AQ31" s="157">
        <f t="shared" si="11"/>
        <v>0</v>
      </c>
      <c r="AR31" s="88" t="str">
        <f t="shared" si="12"/>
        <v/>
      </c>
      <c r="AS31" s="89">
        <f t="shared" si="13"/>
        <v>0</v>
      </c>
      <c r="AT31" s="88" t="str">
        <f t="shared" si="14"/>
        <v/>
      </c>
      <c r="AU31" s="158">
        <f t="shared" si="15"/>
        <v>0</v>
      </c>
      <c r="AV31" s="90" t="str">
        <f t="shared" si="16"/>
        <v/>
      </c>
      <c r="AW31" s="158" t="b">
        <f t="shared" si="17"/>
        <v>0</v>
      </c>
      <c r="AX31" s="159" t="b">
        <f t="shared" si="18"/>
        <v>0</v>
      </c>
      <c r="AY31" s="158" t="b">
        <f t="shared" si="19"/>
        <v>0</v>
      </c>
      <c r="AZ31" s="159" t="b">
        <f t="shared" si="20"/>
        <v>0</v>
      </c>
      <c r="BA31" s="206" t="b">
        <f t="shared" si="21"/>
        <v>0</v>
      </c>
      <c r="BB31" s="206" t="b">
        <f t="shared" si="22"/>
        <v>0</v>
      </c>
      <c r="BC31" s="158" t="b">
        <f t="shared" si="23"/>
        <v>0</v>
      </c>
      <c r="BD31" s="160" t="b">
        <f t="shared" si="24"/>
        <v>0</v>
      </c>
      <c r="BE31" s="159" t="b">
        <f t="shared" si="25"/>
        <v>0</v>
      </c>
      <c r="BF31" s="161" t="b">
        <f t="shared" si="26"/>
        <v>0</v>
      </c>
      <c r="BG31" s="206" t="str">
        <f t="shared" si="27"/>
        <v>NA</v>
      </c>
      <c r="BH31" s="206" t="str">
        <f t="shared" si="28"/>
        <v/>
      </c>
      <c r="BI31" s="206" t="str">
        <f t="shared" si="29"/>
        <v/>
      </c>
      <c r="BJ31" s="206" t="str">
        <f t="shared" si="30"/>
        <v/>
      </c>
      <c r="BK31" s="206" t="str">
        <f t="shared" si="31"/>
        <v/>
      </c>
      <c r="BL31" s="162" t="str">
        <f t="shared" si="32"/>
        <v/>
      </c>
      <c r="BM31" s="206" t="str">
        <f t="shared" si="33"/>
        <v/>
      </c>
      <c r="BN31" s="206" t="str">
        <f t="shared" si="34"/>
        <v/>
      </c>
      <c r="BO31" s="169" t="s">
        <v>236</v>
      </c>
      <c r="BP31" s="175" t="s">
        <v>237</v>
      </c>
    </row>
    <row r="32" spans="2:73" s="105" customFormat="1" ht="12.95" customHeight="1" x14ac:dyDescent="0.2">
      <c r="B32" s="165" t="str">
        <f>IF(ISNA(Z32),"",IF(OR(Z32=1,Z32=2),"    ",MAX($B$8:B31)+1))</f>
        <v/>
      </c>
      <c r="C32" s="1375" t="str">
        <f t="shared" si="0"/>
        <v/>
      </c>
      <c r="D32" s="1375"/>
      <c r="E32" s="1375"/>
      <c r="F32" s="1376"/>
      <c r="G32" s="152" t="str">
        <f t="shared" si="1"/>
        <v/>
      </c>
      <c r="H32" s="153" t="str">
        <f t="shared" si="2"/>
        <v/>
      </c>
      <c r="I32" s="166" t="str">
        <f t="shared" si="2"/>
        <v/>
      </c>
      <c r="J32" s="172"/>
      <c r="K32" s="173"/>
      <c r="L32" s="1380"/>
      <c r="M32" s="1381"/>
      <c r="N32" s="1381"/>
      <c r="O32" s="1381"/>
      <c r="P32" s="1381"/>
      <c r="Q32" s="1381"/>
      <c r="R32" s="1382"/>
      <c r="T32" s="119">
        <v>25</v>
      </c>
      <c r="U32" s="110" t="e">
        <v>#N/A</v>
      </c>
      <c r="V32" s="206" t="e">
        <v>#N/A</v>
      </c>
      <c r="W32" s="206" t="e">
        <v>#N/A</v>
      </c>
      <c r="X32" s="206" t="e">
        <v>#N/A</v>
      </c>
      <c r="Y32" s="206" t="e">
        <v>#N/A</v>
      </c>
      <c r="Z32" s="160" t="e">
        <v>#N/A</v>
      </c>
      <c r="AA32" s="160" t="e">
        <v>#N/A</v>
      </c>
      <c r="AB32" s="160" t="e">
        <v>#N/A</v>
      </c>
      <c r="AC32" s="206" t="e">
        <v>#N/A</v>
      </c>
      <c r="AD32" s="206" t="e">
        <v>#N/A</v>
      </c>
      <c r="AE32" s="206" t="e">
        <v>#N/A</v>
      </c>
      <c r="AF32" s="206" t="e">
        <v>#N/A</v>
      </c>
      <c r="AG32" s="206" t="e">
        <f t="shared" si="3"/>
        <v>#N/A</v>
      </c>
      <c r="AH32" s="206" t="str">
        <f t="shared" si="4"/>
        <v/>
      </c>
      <c r="AI32" s="86" t="e">
        <f>IF(NOT(OR(Z32=1,Z32=2)),IF(AQ32&gt;0,$AR$44*AQ32/SUMIF($AQ$8:$AQ$39,"&gt;0"),IF(AU32&gt;0,$AV$44*AU32/SUMIF($AU$8:$AU$39,"&gt;0"),IF(AS32&gt;0,$AT$44*AS32/SUMIF($AS$8:$AS$39,"&gt;0"),""))),IF(SUMIF(AJ33:$AJ$39,"=" &amp; AJ32,AI33:$AI$39)=0,"",SUMIF(AJ33:$AJ$39,"=" &amp; AJ32,AI33:$AI$39)))</f>
        <v>#N/A</v>
      </c>
      <c r="AJ32" s="87" t="e">
        <f t="shared" si="35"/>
        <v>#N/A</v>
      </c>
      <c r="AK32" s="206" t="str">
        <f t="shared" si="5"/>
        <v/>
      </c>
      <c r="AL32" s="160" t="str">
        <f t="shared" si="6"/>
        <v/>
      </c>
      <c r="AM32" s="160" t="str">
        <f t="shared" si="7"/>
        <v/>
      </c>
      <c r="AN32" s="160" t="str">
        <f t="shared" si="8"/>
        <v/>
      </c>
      <c r="AO32" s="160" t="e">
        <f t="shared" si="9"/>
        <v>#N/A</v>
      </c>
      <c r="AP32" s="206" t="str">
        <f t="shared" si="10"/>
        <v/>
      </c>
      <c r="AQ32" s="157">
        <f t="shared" si="11"/>
        <v>0</v>
      </c>
      <c r="AR32" s="88" t="str">
        <f t="shared" si="12"/>
        <v/>
      </c>
      <c r="AS32" s="89">
        <f t="shared" si="13"/>
        <v>0</v>
      </c>
      <c r="AT32" s="88" t="str">
        <f t="shared" si="14"/>
        <v/>
      </c>
      <c r="AU32" s="158">
        <f t="shared" si="15"/>
        <v>0</v>
      </c>
      <c r="AV32" s="90" t="str">
        <f t="shared" si="16"/>
        <v/>
      </c>
      <c r="AW32" s="158" t="b">
        <f t="shared" si="17"/>
        <v>0</v>
      </c>
      <c r="AX32" s="159" t="b">
        <f t="shared" si="18"/>
        <v>0</v>
      </c>
      <c r="AY32" s="158" t="b">
        <f t="shared" si="19"/>
        <v>0</v>
      </c>
      <c r="AZ32" s="159" t="b">
        <f t="shared" si="20"/>
        <v>0</v>
      </c>
      <c r="BA32" s="206" t="b">
        <f t="shared" si="21"/>
        <v>0</v>
      </c>
      <c r="BB32" s="206" t="b">
        <f t="shared" si="22"/>
        <v>0</v>
      </c>
      <c r="BC32" s="158" t="b">
        <f t="shared" si="23"/>
        <v>0</v>
      </c>
      <c r="BD32" s="160" t="b">
        <f t="shared" si="24"/>
        <v>0</v>
      </c>
      <c r="BE32" s="159" t="b">
        <f t="shared" si="25"/>
        <v>0</v>
      </c>
      <c r="BF32" s="161" t="b">
        <f t="shared" si="26"/>
        <v>0</v>
      </c>
      <c r="BG32" s="206" t="str">
        <f t="shared" si="27"/>
        <v>NA</v>
      </c>
      <c r="BH32" s="206" t="str">
        <f t="shared" si="28"/>
        <v/>
      </c>
      <c r="BI32" s="206" t="str">
        <f t="shared" si="29"/>
        <v/>
      </c>
      <c r="BJ32" s="206" t="str">
        <f t="shared" si="30"/>
        <v/>
      </c>
      <c r="BK32" s="206" t="str">
        <f t="shared" si="31"/>
        <v/>
      </c>
      <c r="BL32" s="162" t="str">
        <f t="shared" si="32"/>
        <v/>
      </c>
      <c r="BM32" s="206" t="str">
        <f t="shared" si="33"/>
        <v/>
      </c>
      <c r="BN32" s="206" t="str">
        <f t="shared" si="34"/>
        <v/>
      </c>
      <c r="BO32" s="169" t="s">
        <v>238</v>
      </c>
      <c r="BP32" s="175" t="s">
        <v>239</v>
      </c>
    </row>
    <row r="33" spans="2:73" s="105" customFormat="1" ht="12.95" customHeight="1" x14ac:dyDescent="0.2">
      <c r="B33" s="165" t="str">
        <f>IF(ISNA(Z33),"",IF(OR(Z33=1,Z33=2),"    ",MAX($B$8:B32)+1))</f>
        <v/>
      </c>
      <c r="C33" s="1375" t="str">
        <f t="shared" si="0"/>
        <v/>
      </c>
      <c r="D33" s="1375"/>
      <c r="E33" s="1375"/>
      <c r="F33" s="1376"/>
      <c r="G33" s="152" t="str">
        <f t="shared" si="1"/>
        <v/>
      </c>
      <c r="H33" s="153" t="str">
        <f t="shared" si="2"/>
        <v/>
      </c>
      <c r="I33" s="166" t="str">
        <f t="shared" si="2"/>
        <v/>
      </c>
      <c r="J33" s="172"/>
      <c r="K33" s="173"/>
      <c r="L33" s="1380"/>
      <c r="M33" s="1381"/>
      <c r="N33" s="1381"/>
      <c r="O33" s="1381"/>
      <c r="P33" s="1381"/>
      <c r="Q33" s="1381"/>
      <c r="R33" s="1382"/>
      <c r="T33" s="119">
        <v>26</v>
      </c>
      <c r="U33" s="110" t="e">
        <v>#N/A</v>
      </c>
      <c r="V33" s="206" t="e">
        <v>#N/A</v>
      </c>
      <c r="W33" s="206" t="e">
        <v>#N/A</v>
      </c>
      <c r="X33" s="206" t="e">
        <v>#N/A</v>
      </c>
      <c r="Y33" s="206" t="e">
        <v>#N/A</v>
      </c>
      <c r="Z33" s="160" t="e">
        <v>#N/A</v>
      </c>
      <c r="AA33" s="160" t="e">
        <v>#N/A</v>
      </c>
      <c r="AB33" s="160" t="e">
        <v>#N/A</v>
      </c>
      <c r="AC33" s="206" t="e">
        <v>#N/A</v>
      </c>
      <c r="AD33" s="206" t="e">
        <v>#N/A</v>
      </c>
      <c r="AE33" s="206" t="e">
        <v>#N/A</v>
      </c>
      <c r="AF33" s="206" t="e">
        <v>#N/A</v>
      </c>
      <c r="AG33" s="206" t="e">
        <f t="shared" si="3"/>
        <v>#N/A</v>
      </c>
      <c r="AH33" s="206" t="str">
        <f t="shared" si="4"/>
        <v/>
      </c>
      <c r="AI33" s="86" t="e">
        <f>IF(NOT(OR(Z33=1,Z33=2)),IF(AQ33&gt;0,$AR$44*AQ33/SUMIF($AQ$8:$AQ$39,"&gt;0"),IF(AU33&gt;0,$AV$44*AU33/SUMIF($AU$8:$AU$39,"&gt;0"),IF(AS33&gt;0,$AT$44*AS33/SUMIF($AS$8:$AS$39,"&gt;0"),""))),IF(SUMIF(AJ34:$AJ$39,"=" &amp; AJ33,AI34:$AI$39)=0,"",SUMIF(AJ34:$AJ$39,"=" &amp; AJ33,AI34:$AI$39)))</f>
        <v>#N/A</v>
      </c>
      <c r="AJ33" s="87" t="e">
        <f t="shared" si="35"/>
        <v>#N/A</v>
      </c>
      <c r="AK33" s="206" t="str">
        <f t="shared" si="5"/>
        <v/>
      </c>
      <c r="AL33" s="160" t="str">
        <f t="shared" si="6"/>
        <v/>
      </c>
      <c r="AM33" s="160" t="str">
        <f t="shared" si="7"/>
        <v/>
      </c>
      <c r="AN33" s="160" t="str">
        <f t="shared" si="8"/>
        <v/>
      </c>
      <c r="AO33" s="160" t="e">
        <f t="shared" si="9"/>
        <v>#N/A</v>
      </c>
      <c r="AP33" s="206" t="str">
        <f t="shared" si="10"/>
        <v/>
      </c>
      <c r="AQ33" s="157">
        <f t="shared" si="11"/>
        <v>0</v>
      </c>
      <c r="AR33" s="88" t="str">
        <f t="shared" si="12"/>
        <v/>
      </c>
      <c r="AS33" s="89">
        <f t="shared" si="13"/>
        <v>0</v>
      </c>
      <c r="AT33" s="88" t="str">
        <f t="shared" si="14"/>
        <v/>
      </c>
      <c r="AU33" s="158">
        <f t="shared" si="15"/>
        <v>0</v>
      </c>
      <c r="AV33" s="90" t="str">
        <f t="shared" si="16"/>
        <v/>
      </c>
      <c r="AW33" s="158" t="b">
        <f t="shared" si="17"/>
        <v>0</v>
      </c>
      <c r="AX33" s="159" t="b">
        <f t="shared" si="18"/>
        <v>0</v>
      </c>
      <c r="AY33" s="158" t="b">
        <f t="shared" si="19"/>
        <v>0</v>
      </c>
      <c r="AZ33" s="159" t="b">
        <f t="shared" si="20"/>
        <v>0</v>
      </c>
      <c r="BA33" s="206" t="b">
        <f t="shared" si="21"/>
        <v>0</v>
      </c>
      <c r="BB33" s="206" t="b">
        <f t="shared" si="22"/>
        <v>0</v>
      </c>
      <c r="BC33" s="158" t="b">
        <f t="shared" si="23"/>
        <v>0</v>
      </c>
      <c r="BD33" s="160" t="b">
        <f t="shared" si="24"/>
        <v>0</v>
      </c>
      <c r="BE33" s="159" t="b">
        <f t="shared" si="25"/>
        <v>0</v>
      </c>
      <c r="BF33" s="161" t="b">
        <f t="shared" si="26"/>
        <v>0</v>
      </c>
      <c r="BG33" s="206" t="str">
        <f t="shared" si="27"/>
        <v>NA</v>
      </c>
      <c r="BH33" s="206" t="str">
        <f t="shared" si="28"/>
        <v/>
      </c>
      <c r="BI33" s="206" t="str">
        <f t="shared" si="29"/>
        <v/>
      </c>
      <c r="BJ33" s="206" t="str">
        <f t="shared" si="30"/>
        <v/>
      </c>
      <c r="BK33" s="206" t="str">
        <f t="shared" si="31"/>
        <v/>
      </c>
      <c r="BL33" s="162" t="str">
        <f t="shared" si="32"/>
        <v/>
      </c>
      <c r="BM33" s="206" t="str">
        <f t="shared" si="33"/>
        <v/>
      </c>
      <c r="BN33" s="206" t="str">
        <f t="shared" si="34"/>
        <v/>
      </c>
      <c r="BO33" s="164" t="s">
        <v>240</v>
      </c>
      <c r="BP33" s="175"/>
      <c r="BQ33" s="175"/>
      <c r="BR33" s="175"/>
      <c r="BS33" s="175"/>
      <c r="BT33" s="175"/>
      <c r="BU33" s="175"/>
    </row>
    <row r="34" spans="2:73" s="105" customFormat="1" ht="12.95" customHeight="1" thickBot="1" x14ac:dyDescent="0.25">
      <c r="B34" s="165" t="str">
        <f>IF(ISNA(Z34),"",IF(OR(Z34=1,Z34=2),"    ",MAX($B$8:B33)+1))</f>
        <v/>
      </c>
      <c r="C34" s="1375" t="str">
        <f t="shared" si="0"/>
        <v/>
      </c>
      <c r="D34" s="1375"/>
      <c r="E34" s="1375"/>
      <c r="F34" s="1376"/>
      <c r="G34" s="152" t="str">
        <f t="shared" si="1"/>
        <v/>
      </c>
      <c r="H34" s="153" t="str">
        <f t="shared" si="2"/>
        <v/>
      </c>
      <c r="I34" s="166" t="str">
        <f t="shared" si="2"/>
        <v/>
      </c>
      <c r="J34" s="172"/>
      <c r="K34" s="173"/>
      <c r="L34" s="1388"/>
      <c r="M34" s="1389"/>
      <c r="N34" s="1389"/>
      <c r="O34" s="1389"/>
      <c r="P34" s="1389"/>
      <c r="Q34" s="1389"/>
      <c r="R34" s="1390"/>
      <c r="T34" s="119">
        <v>27</v>
      </c>
      <c r="U34" s="110" t="e">
        <v>#N/A</v>
      </c>
      <c r="V34" s="206" t="e">
        <v>#N/A</v>
      </c>
      <c r="W34" s="206" t="e">
        <v>#N/A</v>
      </c>
      <c r="X34" s="206" t="e">
        <v>#N/A</v>
      </c>
      <c r="Y34" s="206" t="e">
        <v>#N/A</v>
      </c>
      <c r="Z34" s="160" t="e">
        <v>#N/A</v>
      </c>
      <c r="AA34" s="160" t="e">
        <v>#N/A</v>
      </c>
      <c r="AB34" s="160" t="e">
        <v>#N/A</v>
      </c>
      <c r="AC34" s="206" t="e">
        <v>#N/A</v>
      </c>
      <c r="AD34" s="206" t="e">
        <v>#N/A</v>
      </c>
      <c r="AE34" s="206" t="e">
        <v>#N/A</v>
      </c>
      <c r="AF34" s="206" t="e">
        <v>#N/A</v>
      </c>
      <c r="AG34" s="206" t="e">
        <f t="shared" si="3"/>
        <v>#N/A</v>
      </c>
      <c r="AH34" s="206" t="str">
        <f t="shared" si="4"/>
        <v/>
      </c>
      <c r="AI34" s="86" t="e">
        <f>IF(NOT(OR(Z34=1,Z34=2)),IF(AQ34&gt;0,$AR$44*AQ34/SUMIF($AQ$8:$AQ$39,"&gt;0"),IF(AU34&gt;0,$AV$44*AU34/SUMIF($AU$8:$AU$39,"&gt;0"),IF(AS34&gt;0,$AT$44*AS34/SUMIF($AS$8:$AS$39,"&gt;0"),""))),IF(SUMIF(AJ35:$AJ$39,"=" &amp; AJ34,AI35:$AI$39)=0,"",SUMIF(AJ35:$AJ$39,"=" &amp; AJ34,AI35:$AI$39)))</f>
        <v>#N/A</v>
      </c>
      <c r="AJ34" s="87" t="e">
        <f t="shared" si="35"/>
        <v>#N/A</v>
      </c>
      <c r="AK34" s="206" t="str">
        <f t="shared" si="5"/>
        <v/>
      </c>
      <c r="AL34" s="160" t="str">
        <f t="shared" si="6"/>
        <v/>
      </c>
      <c r="AM34" s="160" t="str">
        <f t="shared" si="7"/>
        <v/>
      </c>
      <c r="AN34" s="160" t="str">
        <f t="shared" si="8"/>
        <v/>
      </c>
      <c r="AO34" s="160" t="e">
        <f t="shared" si="9"/>
        <v>#N/A</v>
      </c>
      <c r="AP34" s="206" t="str">
        <f t="shared" si="10"/>
        <v/>
      </c>
      <c r="AQ34" s="157">
        <f t="shared" si="11"/>
        <v>0</v>
      </c>
      <c r="AR34" s="88" t="str">
        <f t="shared" si="12"/>
        <v/>
      </c>
      <c r="AS34" s="89">
        <f t="shared" si="13"/>
        <v>0</v>
      </c>
      <c r="AT34" s="88" t="str">
        <f t="shared" si="14"/>
        <v/>
      </c>
      <c r="AU34" s="158">
        <f t="shared" si="15"/>
        <v>0</v>
      </c>
      <c r="AV34" s="90" t="str">
        <f t="shared" si="16"/>
        <v/>
      </c>
      <c r="AW34" s="158" t="b">
        <f t="shared" si="17"/>
        <v>0</v>
      </c>
      <c r="AX34" s="159" t="b">
        <f t="shared" si="18"/>
        <v>0</v>
      </c>
      <c r="AY34" s="158" t="b">
        <f t="shared" si="19"/>
        <v>0</v>
      </c>
      <c r="AZ34" s="159" t="b">
        <f t="shared" si="20"/>
        <v>0</v>
      </c>
      <c r="BA34" s="206" t="b">
        <f t="shared" si="21"/>
        <v>0</v>
      </c>
      <c r="BB34" s="206" t="b">
        <f t="shared" si="22"/>
        <v>0</v>
      </c>
      <c r="BC34" s="158" t="b">
        <f t="shared" si="23"/>
        <v>0</v>
      </c>
      <c r="BD34" s="160" t="b">
        <f t="shared" si="24"/>
        <v>0</v>
      </c>
      <c r="BE34" s="159" t="b">
        <f t="shared" si="25"/>
        <v>0</v>
      </c>
      <c r="BF34" s="161" t="b">
        <f t="shared" si="26"/>
        <v>0</v>
      </c>
      <c r="BG34" s="206" t="str">
        <f t="shared" si="27"/>
        <v>NA</v>
      </c>
      <c r="BH34" s="206" t="str">
        <f t="shared" si="28"/>
        <v/>
      </c>
      <c r="BI34" s="206" t="str">
        <f t="shared" si="29"/>
        <v/>
      </c>
      <c r="BJ34" s="206" t="str">
        <f t="shared" si="30"/>
        <v/>
      </c>
      <c r="BK34" s="206" t="str">
        <f t="shared" si="31"/>
        <v/>
      </c>
      <c r="BL34" s="162" t="str">
        <f t="shared" si="32"/>
        <v/>
      </c>
      <c r="BM34" s="206" t="str">
        <f t="shared" si="33"/>
        <v/>
      </c>
      <c r="BN34" s="206" t="str">
        <f t="shared" si="34"/>
        <v/>
      </c>
      <c r="BO34" s="1346"/>
      <c r="BP34" s="1347"/>
      <c r="BQ34" s="1347"/>
      <c r="BR34" s="1347"/>
      <c r="BS34" s="1347"/>
      <c r="BT34" s="1347"/>
      <c r="BU34" s="1348"/>
    </row>
    <row r="35" spans="2:73" s="105" customFormat="1" ht="12.95" customHeight="1" thickTop="1" x14ac:dyDescent="0.2">
      <c r="B35" s="165" t="str">
        <f>IF(ISNA(Z35),"",IF(OR(Z35=1,Z35=2),"    ",MAX($B$8:B34)+1))</f>
        <v/>
      </c>
      <c r="C35" s="1375" t="str">
        <f t="shared" si="0"/>
        <v/>
      </c>
      <c r="D35" s="1375"/>
      <c r="E35" s="1375"/>
      <c r="F35" s="1376"/>
      <c r="G35" s="152" t="str">
        <f t="shared" si="1"/>
        <v/>
      </c>
      <c r="H35" s="153" t="str">
        <f t="shared" si="2"/>
        <v/>
      </c>
      <c r="I35" s="166" t="str">
        <f t="shared" si="2"/>
        <v/>
      </c>
      <c r="J35" s="172"/>
      <c r="K35" s="173"/>
      <c r="L35" s="272"/>
      <c r="M35" s="273"/>
      <c r="N35" s="273"/>
      <c r="O35" s="273"/>
      <c r="P35" s="273"/>
      <c r="Q35" s="273"/>
      <c r="R35" s="274"/>
      <c r="T35" s="119">
        <v>28</v>
      </c>
      <c r="U35" s="110" t="e">
        <v>#N/A</v>
      </c>
      <c r="V35" s="206" t="e">
        <v>#N/A</v>
      </c>
      <c r="W35" s="206" t="e">
        <v>#N/A</v>
      </c>
      <c r="X35" s="206" t="e">
        <v>#N/A</v>
      </c>
      <c r="Y35" s="206" t="e">
        <v>#N/A</v>
      </c>
      <c r="Z35" s="160" t="e">
        <v>#N/A</v>
      </c>
      <c r="AA35" s="160" t="e">
        <v>#N/A</v>
      </c>
      <c r="AB35" s="160" t="e">
        <v>#N/A</v>
      </c>
      <c r="AC35" s="206" t="e">
        <v>#N/A</v>
      </c>
      <c r="AD35" s="206" t="e">
        <v>#N/A</v>
      </c>
      <c r="AE35" s="206" t="e">
        <v>#N/A</v>
      </c>
      <c r="AF35" s="206" t="e">
        <v>#N/A</v>
      </c>
      <c r="AG35" s="206" t="e">
        <f t="shared" si="3"/>
        <v>#N/A</v>
      </c>
      <c r="AH35" s="206" t="str">
        <f t="shared" si="4"/>
        <v/>
      </c>
      <c r="AI35" s="86" t="e">
        <f>IF(NOT(OR(Z35=1,Z35=2)),IF(AQ35&gt;0,$AR$44*AQ35/SUMIF($AQ$8:$AQ$39,"&gt;0"),IF(AU35&gt;0,$AV$44*AU35/SUMIF($AU$8:$AU$39,"&gt;0"),IF(AS35&gt;0,$AT$44*AS35/SUMIF($AS$8:$AS$39,"&gt;0"),""))),IF(SUMIF(AJ36:$AJ$39,"=" &amp; AJ35,AI36:$AI$39)=0,"",SUMIF(AJ36:$AJ$39,"=" &amp; AJ35,AI36:$AI$39)))</f>
        <v>#N/A</v>
      </c>
      <c r="AJ35" s="87" t="e">
        <f t="shared" si="35"/>
        <v>#N/A</v>
      </c>
      <c r="AK35" s="206" t="str">
        <f t="shared" si="5"/>
        <v/>
      </c>
      <c r="AL35" s="160" t="str">
        <f t="shared" si="6"/>
        <v/>
      </c>
      <c r="AM35" s="160" t="str">
        <f t="shared" si="7"/>
        <v/>
      </c>
      <c r="AN35" s="160" t="str">
        <f t="shared" si="8"/>
        <v/>
      </c>
      <c r="AO35" s="160" t="e">
        <f t="shared" si="9"/>
        <v>#N/A</v>
      </c>
      <c r="AP35" s="206" t="str">
        <f t="shared" si="10"/>
        <v/>
      </c>
      <c r="AQ35" s="157">
        <f t="shared" si="11"/>
        <v>0</v>
      </c>
      <c r="AR35" s="88" t="str">
        <f t="shared" si="12"/>
        <v/>
      </c>
      <c r="AS35" s="89">
        <f t="shared" si="13"/>
        <v>0</v>
      </c>
      <c r="AT35" s="88" t="str">
        <f t="shared" si="14"/>
        <v/>
      </c>
      <c r="AU35" s="158">
        <f t="shared" si="15"/>
        <v>0</v>
      </c>
      <c r="AV35" s="90" t="str">
        <f t="shared" si="16"/>
        <v/>
      </c>
      <c r="AW35" s="158" t="b">
        <f t="shared" si="17"/>
        <v>0</v>
      </c>
      <c r="AX35" s="159" t="b">
        <f t="shared" si="18"/>
        <v>0</v>
      </c>
      <c r="AY35" s="158" t="b">
        <f t="shared" si="19"/>
        <v>0</v>
      </c>
      <c r="AZ35" s="159" t="b">
        <f t="shared" si="20"/>
        <v>0</v>
      </c>
      <c r="BA35" s="206" t="b">
        <f t="shared" si="21"/>
        <v>0</v>
      </c>
      <c r="BB35" s="206" t="b">
        <f t="shared" si="22"/>
        <v>0</v>
      </c>
      <c r="BC35" s="158" t="b">
        <f t="shared" si="23"/>
        <v>0</v>
      </c>
      <c r="BD35" s="160" t="b">
        <f t="shared" si="24"/>
        <v>0</v>
      </c>
      <c r="BE35" s="159" t="b">
        <f t="shared" si="25"/>
        <v>0</v>
      </c>
      <c r="BF35" s="161" t="b">
        <f t="shared" si="26"/>
        <v>0</v>
      </c>
      <c r="BG35" s="206" t="str">
        <f t="shared" si="27"/>
        <v>NA</v>
      </c>
      <c r="BH35" s="206" t="str">
        <f t="shared" si="28"/>
        <v/>
      </c>
      <c r="BI35" s="206" t="str">
        <f t="shared" si="29"/>
        <v/>
      </c>
      <c r="BJ35" s="206" t="str">
        <f t="shared" si="30"/>
        <v/>
      </c>
      <c r="BK35" s="206" t="str">
        <f t="shared" si="31"/>
        <v/>
      </c>
      <c r="BL35" s="162" t="str">
        <f t="shared" si="32"/>
        <v/>
      </c>
      <c r="BM35" s="206" t="str">
        <f t="shared" si="33"/>
        <v/>
      </c>
      <c r="BN35" s="206" t="str">
        <f t="shared" si="34"/>
        <v/>
      </c>
      <c r="BO35" s="1349"/>
      <c r="BP35" s="1350"/>
      <c r="BQ35" s="1350"/>
      <c r="BR35" s="1350"/>
      <c r="BS35" s="1350"/>
      <c r="BT35" s="1350"/>
      <c r="BU35" s="1351"/>
    </row>
    <row r="36" spans="2:73" s="105" customFormat="1" ht="12.95" customHeight="1" x14ac:dyDescent="0.2">
      <c r="B36" s="165" t="str">
        <f>IF(ISNA(Z36),"",IF(OR(Z36=1,Z36=2),"    ",MAX($B$8:B35)+1))</f>
        <v/>
      </c>
      <c r="C36" s="1375" t="str">
        <f t="shared" si="0"/>
        <v/>
      </c>
      <c r="D36" s="1375"/>
      <c r="E36" s="1375"/>
      <c r="F36" s="1376"/>
      <c r="G36" s="152" t="str">
        <f t="shared" si="1"/>
        <v/>
      </c>
      <c r="H36" s="153" t="str">
        <f t="shared" si="2"/>
        <v/>
      </c>
      <c r="I36" s="166" t="str">
        <f t="shared" si="2"/>
        <v/>
      </c>
      <c r="J36" s="172"/>
      <c r="K36" s="173"/>
      <c r="L36" s="272"/>
      <c r="M36" s="273"/>
      <c r="N36" s="273"/>
      <c r="O36" s="273"/>
      <c r="P36" s="273"/>
      <c r="Q36" s="273"/>
      <c r="R36" s="274"/>
      <c r="T36" s="119">
        <v>29</v>
      </c>
      <c r="U36" s="110" t="e">
        <v>#N/A</v>
      </c>
      <c r="V36" s="206" t="e">
        <v>#N/A</v>
      </c>
      <c r="W36" s="206" t="e">
        <v>#N/A</v>
      </c>
      <c r="X36" s="206" t="e">
        <v>#N/A</v>
      </c>
      <c r="Y36" s="206" t="e">
        <v>#N/A</v>
      </c>
      <c r="Z36" s="160" t="e">
        <v>#N/A</v>
      </c>
      <c r="AA36" s="160" t="e">
        <v>#N/A</v>
      </c>
      <c r="AB36" s="160" t="e">
        <v>#N/A</v>
      </c>
      <c r="AC36" s="206" t="e">
        <v>#N/A</v>
      </c>
      <c r="AD36" s="206" t="e">
        <v>#N/A</v>
      </c>
      <c r="AE36" s="206" t="e">
        <v>#N/A</v>
      </c>
      <c r="AF36" s="206" t="e">
        <v>#N/A</v>
      </c>
      <c r="AG36" s="206" t="e">
        <f t="shared" si="3"/>
        <v>#N/A</v>
      </c>
      <c r="AH36" s="206" t="str">
        <f t="shared" si="4"/>
        <v/>
      </c>
      <c r="AI36" s="86" t="e">
        <f>IF(NOT(OR(Z36=1,Z36=2)),IF(AQ36&gt;0,$AR$44*AQ36/SUMIF($AQ$8:$AQ$39,"&gt;0"),IF(AU36&gt;0,$AV$44*AU36/SUMIF($AU$8:$AU$39,"&gt;0"),IF(AS36&gt;0,$AT$44*AS36/SUMIF($AS$8:$AS$39,"&gt;0"),""))),IF(SUMIF(AJ37:$AJ$39,"=" &amp; AJ36,AI37:$AI$39)=0,"",SUMIF(AJ37:$AJ$39,"=" &amp; AJ36,AI37:$AI$39)))</f>
        <v>#N/A</v>
      </c>
      <c r="AJ36" s="87" t="e">
        <f t="shared" si="35"/>
        <v>#N/A</v>
      </c>
      <c r="AK36" s="206" t="str">
        <f t="shared" si="5"/>
        <v/>
      </c>
      <c r="AL36" s="160" t="str">
        <f t="shared" si="6"/>
        <v/>
      </c>
      <c r="AM36" s="160" t="str">
        <f t="shared" si="7"/>
        <v/>
      </c>
      <c r="AN36" s="160" t="str">
        <f t="shared" si="8"/>
        <v/>
      </c>
      <c r="AO36" s="160" t="e">
        <f t="shared" si="9"/>
        <v>#N/A</v>
      </c>
      <c r="AP36" s="206" t="str">
        <f t="shared" si="10"/>
        <v/>
      </c>
      <c r="AQ36" s="157">
        <f t="shared" si="11"/>
        <v>0</v>
      </c>
      <c r="AR36" s="88" t="str">
        <f t="shared" si="12"/>
        <v/>
      </c>
      <c r="AS36" s="89">
        <f t="shared" si="13"/>
        <v>0</v>
      </c>
      <c r="AT36" s="88" t="str">
        <f t="shared" si="14"/>
        <v/>
      </c>
      <c r="AU36" s="158">
        <f t="shared" si="15"/>
        <v>0</v>
      </c>
      <c r="AV36" s="90" t="str">
        <f t="shared" si="16"/>
        <v/>
      </c>
      <c r="AW36" s="158" t="b">
        <f t="shared" si="17"/>
        <v>0</v>
      </c>
      <c r="AX36" s="159" t="b">
        <f t="shared" si="18"/>
        <v>0</v>
      </c>
      <c r="AY36" s="158" t="b">
        <f t="shared" si="19"/>
        <v>0</v>
      </c>
      <c r="AZ36" s="159" t="b">
        <f t="shared" si="20"/>
        <v>0</v>
      </c>
      <c r="BA36" s="206" t="b">
        <f t="shared" si="21"/>
        <v>0</v>
      </c>
      <c r="BB36" s="206" t="b">
        <f t="shared" si="22"/>
        <v>0</v>
      </c>
      <c r="BC36" s="158" t="b">
        <f t="shared" si="23"/>
        <v>0</v>
      </c>
      <c r="BD36" s="160" t="b">
        <f t="shared" si="24"/>
        <v>0</v>
      </c>
      <c r="BE36" s="159" t="b">
        <f t="shared" si="25"/>
        <v>0</v>
      </c>
      <c r="BF36" s="161" t="b">
        <f t="shared" si="26"/>
        <v>0</v>
      </c>
      <c r="BG36" s="206" t="str">
        <f t="shared" si="27"/>
        <v>NA</v>
      </c>
      <c r="BH36" s="206" t="str">
        <f t="shared" si="28"/>
        <v/>
      </c>
      <c r="BI36" s="206" t="str">
        <f t="shared" si="29"/>
        <v/>
      </c>
      <c r="BJ36" s="206" t="str">
        <f t="shared" si="30"/>
        <v/>
      </c>
      <c r="BK36" s="206" t="str">
        <f t="shared" si="31"/>
        <v/>
      </c>
      <c r="BL36" s="162" t="str">
        <f t="shared" si="32"/>
        <v/>
      </c>
      <c r="BM36" s="206" t="str">
        <f t="shared" si="33"/>
        <v/>
      </c>
      <c r="BN36" s="206" t="str">
        <f t="shared" si="34"/>
        <v/>
      </c>
      <c r="BO36" s="1349"/>
      <c r="BP36" s="1350"/>
      <c r="BQ36" s="1350"/>
      <c r="BR36" s="1350"/>
      <c r="BS36" s="1350"/>
      <c r="BT36" s="1350"/>
      <c r="BU36" s="1351"/>
    </row>
    <row r="37" spans="2:73" s="105" customFormat="1" ht="12.95" customHeight="1" x14ac:dyDescent="0.2">
      <c r="B37" s="165" t="str">
        <f>IF(ISNA(Z37),"",IF(OR(Z37=1,Z37=2),"    ",MAX($B$8:B36)+1))</f>
        <v/>
      </c>
      <c r="C37" s="1375" t="str">
        <f t="shared" si="0"/>
        <v/>
      </c>
      <c r="D37" s="1375"/>
      <c r="E37" s="1375"/>
      <c r="F37" s="1376"/>
      <c r="G37" s="152" t="str">
        <f t="shared" si="1"/>
        <v/>
      </c>
      <c r="H37" s="153" t="str">
        <f t="shared" si="2"/>
        <v/>
      </c>
      <c r="I37" s="166" t="str">
        <f t="shared" si="2"/>
        <v/>
      </c>
      <c r="J37" s="172"/>
      <c r="K37" s="173"/>
      <c r="L37" s="272"/>
      <c r="M37" s="273"/>
      <c r="N37" s="273"/>
      <c r="O37" s="273"/>
      <c r="P37" s="273"/>
      <c r="Q37" s="273"/>
      <c r="R37" s="274"/>
      <c r="T37" s="119">
        <v>30</v>
      </c>
      <c r="U37" s="110" t="e">
        <v>#N/A</v>
      </c>
      <c r="V37" s="206" t="e">
        <v>#N/A</v>
      </c>
      <c r="W37" s="206" t="e">
        <v>#N/A</v>
      </c>
      <c r="X37" s="206" t="e">
        <v>#N/A</v>
      </c>
      <c r="Y37" s="206" t="e">
        <v>#N/A</v>
      </c>
      <c r="Z37" s="160" t="e">
        <v>#N/A</v>
      </c>
      <c r="AA37" s="160" t="e">
        <v>#N/A</v>
      </c>
      <c r="AB37" s="160" t="e">
        <v>#N/A</v>
      </c>
      <c r="AC37" s="206" t="e">
        <v>#N/A</v>
      </c>
      <c r="AD37" s="206" t="e">
        <v>#N/A</v>
      </c>
      <c r="AE37" s="206" t="e">
        <v>#N/A</v>
      </c>
      <c r="AF37" s="206" t="e">
        <v>#N/A</v>
      </c>
      <c r="AG37" s="206" t="e">
        <f t="shared" si="3"/>
        <v>#N/A</v>
      </c>
      <c r="AH37" s="206" t="str">
        <f t="shared" si="4"/>
        <v/>
      </c>
      <c r="AI37" s="86" t="e">
        <f>IF(NOT(OR(Z37=1,Z37=2)),IF(AQ37&gt;0,$AR$44*AQ37/SUMIF($AQ$8:$AQ$39,"&gt;0"),IF(AU37&gt;0,$AV$44*AU37/SUMIF($AU$8:$AU$39,"&gt;0"),IF(AS37&gt;0,$AT$44*AS37/SUMIF($AS$8:$AS$39,"&gt;0"),""))),IF(SUMIF(AJ38:$AJ$39,"=" &amp; AJ37,AI38:$AI$39)=0,"",SUMIF(AJ38:$AJ$39,"=" &amp; AJ37,AI38:$AI$39)))</f>
        <v>#N/A</v>
      </c>
      <c r="AJ37" s="87" t="e">
        <f t="shared" si="35"/>
        <v>#N/A</v>
      </c>
      <c r="AK37" s="206" t="str">
        <f t="shared" si="5"/>
        <v/>
      </c>
      <c r="AL37" s="160" t="str">
        <f t="shared" si="6"/>
        <v/>
      </c>
      <c r="AM37" s="160" t="str">
        <f t="shared" si="7"/>
        <v/>
      </c>
      <c r="AN37" s="160" t="str">
        <f t="shared" si="8"/>
        <v/>
      </c>
      <c r="AO37" s="160" t="e">
        <f t="shared" si="9"/>
        <v>#N/A</v>
      </c>
      <c r="AP37" s="206" t="str">
        <f t="shared" si="10"/>
        <v/>
      </c>
      <c r="AQ37" s="157">
        <f t="shared" si="11"/>
        <v>0</v>
      </c>
      <c r="AR37" s="88" t="str">
        <f t="shared" si="12"/>
        <v/>
      </c>
      <c r="AS37" s="89">
        <f t="shared" si="13"/>
        <v>0</v>
      </c>
      <c r="AT37" s="88" t="str">
        <f t="shared" si="14"/>
        <v/>
      </c>
      <c r="AU37" s="158">
        <f t="shared" si="15"/>
        <v>0</v>
      </c>
      <c r="AV37" s="90" t="str">
        <f t="shared" si="16"/>
        <v/>
      </c>
      <c r="AW37" s="158" t="b">
        <f t="shared" si="17"/>
        <v>0</v>
      </c>
      <c r="AX37" s="159" t="b">
        <f t="shared" si="18"/>
        <v>0</v>
      </c>
      <c r="AY37" s="158" t="b">
        <f t="shared" si="19"/>
        <v>0</v>
      </c>
      <c r="AZ37" s="159" t="b">
        <f t="shared" si="20"/>
        <v>0</v>
      </c>
      <c r="BA37" s="206" t="b">
        <f t="shared" si="21"/>
        <v>0</v>
      </c>
      <c r="BB37" s="206" t="b">
        <f t="shared" si="22"/>
        <v>0</v>
      </c>
      <c r="BC37" s="158" t="b">
        <f t="shared" si="23"/>
        <v>0</v>
      </c>
      <c r="BD37" s="160" t="b">
        <f t="shared" si="24"/>
        <v>0</v>
      </c>
      <c r="BE37" s="159" t="b">
        <f t="shared" si="25"/>
        <v>0</v>
      </c>
      <c r="BF37" s="161" t="b">
        <f t="shared" si="26"/>
        <v>0</v>
      </c>
      <c r="BG37" s="206" t="str">
        <f t="shared" si="27"/>
        <v>NA</v>
      </c>
      <c r="BH37" s="206" t="str">
        <f t="shared" si="28"/>
        <v/>
      </c>
      <c r="BI37" s="206" t="str">
        <f t="shared" si="29"/>
        <v/>
      </c>
      <c r="BJ37" s="206" t="str">
        <f t="shared" si="30"/>
        <v/>
      </c>
      <c r="BK37" s="206" t="str">
        <f t="shared" si="31"/>
        <v/>
      </c>
      <c r="BL37" s="162" t="str">
        <f t="shared" si="32"/>
        <v/>
      </c>
      <c r="BM37" s="206" t="str">
        <f t="shared" si="33"/>
        <v/>
      </c>
      <c r="BN37" s="206" t="str">
        <f t="shared" si="34"/>
        <v/>
      </c>
      <c r="BO37" s="1352"/>
      <c r="BP37" s="1353"/>
      <c r="BQ37" s="1353"/>
      <c r="BR37" s="1353"/>
      <c r="BS37" s="1353"/>
      <c r="BT37" s="1353"/>
      <c r="BU37" s="1354"/>
    </row>
    <row r="38" spans="2:73" s="105" customFormat="1" ht="12.95" customHeight="1" x14ac:dyDescent="0.2">
      <c r="B38" s="165" t="str">
        <f>IF(ISNA(Z38),"",IF(OR(Z38=1,Z38=2),"    ",MAX($B$8:B37)+1))</f>
        <v/>
      </c>
      <c r="C38" s="1375" t="str">
        <f t="shared" si="0"/>
        <v/>
      </c>
      <c r="D38" s="1375"/>
      <c r="E38" s="1375"/>
      <c r="F38" s="1376"/>
      <c r="G38" s="152" t="str">
        <f t="shared" si="1"/>
        <v/>
      </c>
      <c r="H38" s="153" t="str">
        <f t="shared" si="2"/>
        <v/>
      </c>
      <c r="I38" s="166" t="str">
        <f t="shared" si="2"/>
        <v/>
      </c>
      <c r="J38" s="172"/>
      <c r="K38" s="173"/>
      <c r="L38" s="272"/>
      <c r="M38" s="273"/>
      <c r="N38" s="273"/>
      <c r="O38" s="273"/>
      <c r="P38" s="273"/>
      <c r="Q38" s="273"/>
      <c r="R38" s="274"/>
      <c r="T38" s="119">
        <v>31</v>
      </c>
      <c r="U38" s="110" t="e">
        <v>#N/A</v>
      </c>
      <c r="V38" s="206" t="e">
        <v>#N/A</v>
      </c>
      <c r="W38" s="206" t="e">
        <v>#N/A</v>
      </c>
      <c r="X38" s="206" t="e">
        <v>#N/A</v>
      </c>
      <c r="Y38" s="206" t="e">
        <v>#N/A</v>
      </c>
      <c r="Z38" s="160" t="e">
        <v>#N/A</v>
      </c>
      <c r="AA38" s="160" t="e">
        <v>#N/A</v>
      </c>
      <c r="AB38" s="160" t="e">
        <v>#N/A</v>
      </c>
      <c r="AC38" s="206" t="e">
        <v>#N/A</v>
      </c>
      <c r="AD38" s="206" t="e">
        <v>#N/A</v>
      </c>
      <c r="AE38" s="206" t="e">
        <v>#N/A</v>
      </c>
      <c r="AF38" s="206" t="e">
        <v>#N/A</v>
      </c>
      <c r="AG38" s="206" t="e">
        <f t="shared" si="3"/>
        <v>#N/A</v>
      </c>
      <c r="AH38" s="206" t="str">
        <f t="shared" si="4"/>
        <v/>
      </c>
      <c r="AI38" s="86" t="e">
        <f>IF(NOT(OR(Z38=1,Z38=2)),IF(AQ38&gt;0,$AR$44*AQ38/SUMIF($AQ$8:$AQ$39,"&gt;0"),IF(AU38&gt;0,$AV$44*AU38/SUMIF($AU$8:$AU$39,"&gt;0"),IF(AS38&gt;0,$AT$44*AS38/SUMIF($AS$8:$AS$39,"&gt;0"),""))),IF(SUMIF(AJ39:$AJ$39,"=" &amp; AJ38,AI39:$AI$39)=0,"",SUMIF(AJ39:$AJ$39,"=" &amp; AJ38,AI39:$AI$39)))</f>
        <v>#N/A</v>
      </c>
      <c r="AJ38" s="87" t="e">
        <f t="shared" si="35"/>
        <v>#N/A</v>
      </c>
      <c r="AK38" s="206" t="str">
        <f t="shared" si="5"/>
        <v/>
      </c>
      <c r="AL38" s="160" t="str">
        <f t="shared" si="6"/>
        <v/>
      </c>
      <c r="AM38" s="160" t="str">
        <f t="shared" si="7"/>
        <v/>
      </c>
      <c r="AN38" s="160" t="str">
        <f t="shared" si="8"/>
        <v/>
      </c>
      <c r="AO38" s="160" t="e">
        <f t="shared" si="9"/>
        <v>#N/A</v>
      </c>
      <c r="AP38" s="206" t="str">
        <f t="shared" si="10"/>
        <v/>
      </c>
      <c r="AQ38" s="157">
        <f t="shared" si="11"/>
        <v>0</v>
      </c>
      <c r="AR38" s="88" t="str">
        <f t="shared" si="12"/>
        <v/>
      </c>
      <c r="AS38" s="89">
        <f t="shared" si="13"/>
        <v>0</v>
      </c>
      <c r="AT38" s="88" t="str">
        <f t="shared" si="14"/>
        <v/>
      </c>
      <c r="AU38" s="158">
        <f t="shared" si="15"/>
        <v>0</v>
      </c>
      <c r="AV38" s="90" t="str">
        <f t="shared" si="16"/>
        <v/>
      </c>
      <c r="AW38" s="158" t="b">
        <f t="shared" si="17"/>
        <v>0</v>
      </c>
      <c r="AX38" s="159" t="b">
        <f t="shared" si="18"/>
        <v>0</v>
      </c>
      <c r="AY38" s="158" t="b">
        <f t="shared" si="19"/>
        <v>0</v>
      </c>
      <c r="AZ38" s="159" t="b">
        <f t="shared" si="20"/>
        <v>0</v>
      </c>
      <c r="BA38" s="206" t="b">
        <f t="shared" si="21"/>
        <v>0</v>
      </c>
      <c r="BB38" s="206" t="b">
        <f t="shared" si="22"/>
        <v>0</v>
      </c>
      <c r="BC38" s="158" t="b">
        <f t="shared" si="23"/>
        <v>0</v>
      </c>
      <c r="BD38" s="160" t="b">
        <f t="shared" si="24"/>
        <v>0</v>
      </c>
      <c r="BE38" s="159" t="b">
        <f t="shared" si="25"/>
        <v>0</v>
      </c>
      <c r="BF38" s="161" t="b">
        <f t="shared" si="26"/>
        <v>0</v>
      </c>
      <c r="BG38" s="206" t="str">
        <f t="shared" si="27"/>
        <v>NA</v>
      </c>
      <c r="BH38" s="206" t="str">
        <f t="shared" si="28"/>
        <v/>
      </c>
      <c r="BI38" s="206" t="str">
        <f t="shared" si="29"/>
        <v/>
      </c>
      <c r="BJ38" s="206" t="str">
        <f t="shared" si="30"/>
        <v/>
      </c>
      <c r="BK38" s="206" t="str">
        <f t="shared" si="31"/>
        <v/>
      </c>
      <c r="BL38" s="162" t="str">
        <f t="shared" si="32"/>
        <v/>
      </c>
      <c r="BM38" s="206" t="str">
        <f t="shared" si="33"/>
        <v/>
      </c>
      <c r="BN38" s="206" t="str">
        <f t="shared" si="34"/>
        <v/>
      </c>
      <c r="BO38" s="164" t="s">
        <v>241</v>
      </c>
      <c r="BP38" s="164"/>
      <c r="BQ38" s="164"/>
      <c r="BR38" s="164"/>
      <c r="BS38" s="164"/>
      <c r="BT38" s="164"/>
      <c r="BU38" s="164"/>
    </row>
    <row r="39" spans="2:73" s="105" customFormat="1" ht="12.95" customHeight="1" thickBot="1" x14ac:dyDescent="0.25">
      <c r="B39" s="165" t="str">
        <f>IF(ISNA(Z39),"",IF(OR(Z39=1,Z39=2),"    ",MAX($B$8:B38)+1))</f>
        <v/>
      </c>
      <c r="C39" s="1375" t="str">
        <f t="shared" si="0"/>
        <v/>
      </c>
      <c r="D39" s="1375"/>
      <c r="E39" s="1375"/>
      <c r="F39" s="1376"/>
      <c r="G39" s="176" t="str">
        <f t="shared" si="1"/>
        <v/>
      </c>
      <c r="H39" s="153" t="str">
        <f t="shared" si="2"/>
        <v/>
      </c>
      <c r="I39" s="177" t="str">
        <f t="shared" si="2"/>
        <v/>
      </c>
      <c r="J39" s="178"/>
      <c r="K39" s="179"/>
      <c r="L39" s="275"/>
      <c r="M39" s="276"/>
      <c r="N39" s="276"/>
      <c r="O39" s="276"/>
      <c r="P39" s="276"/>
      <c r="Q39" s="276"/>
      <c r="R39" s="277"/>
      <c r="T39" s="119">
        <v>32</v>
      </c>
      <c r="U39" s="110" t="e">
        <v>#N/A</v>
      </c>
      <c r="V39" s="206" t="e">
        <v>#N/A</v>
      </c>
      <c r="W39" s="206" t="e">
        <v>#N/A</v>
      </c>
      <c r="X39" s="206" t="e">
        <v>#N/A</v>
      </c>
      <c r="Y39" s="206" t="e">
        <v>#N/A</v>
      </c>
      <c r="Z39" s="160" t="e">
        <v>#N/A</v>
      </c>
      <c r="AA39" s="160" t="e">
        <v>#N/A</v>
      </c>
      <c r="AB39" s="160" t="e">
        <v>#N/A</v>
      </c>
      <c r="AC39" s="206" t="e">
        <v>#N/A</v>
      </c>
      <c r="AD39" s="206" t="e">
        <v>#N/A</v>
      </c>
      <c r="AE39" s="206" t="e">
        <v>#N/A</v>
      </c>
      <c r="AF39" s="206" t="e">
        <v>#N/A</v>
      </c>
      <c r="AG39" s="206" t="e">
        <f t="shared" si="3"/>
        <v>#N/A</v>
      </c>
      <c r="AH39" s="206" t="str">
        <f t="shared" si="4"/>
        <v/>
      </c>
      <c r="AI39" s="86" t="e">
        <f>IF(NOT(OR(Z39=1,Z39=2)),IF(AQ39&gt;0,$AR$44*AQ39/SUMIF($AQ$8:$AQ$39,"&gt;0"),IF(AU39&gt;0,$AV$44*AU39/SUMIF($AU$8:$AU$39,"&gt;0"),IF(AS39&gt;0,$AT$44*AS39/SUMIF($AS$8:$AS$39,"&gt;0"),""))),IF(SUMIF(AJ$39:$AJ40,"=" &amp; AJ39,AI$39:$AI40)=0,"",SUMIF(AJ$39:$AJ40,"=" &amp; AJ39,AI$39:$AI40)))</f>
        <v>#N/A</v>
      </c>
      <c r="AJ39" s="87" t="e">
        <f t="shared" si="35"/>
        <v>#N/A</v>
      </c>
      <c r="AK39" s="206" t="str">
        <f t="shared" si="5"/>
        <v/>
      </c>
      <c r="AL39" s="160" t="str">
        <f t="shared" si="6"/>
        <v/>
      </c>
      <c r="AM39" s="160" t="str">
        <f t="shared" si="7"/>
        <v/>
      </c>
      <c r="AN39" s="160" t="str">
        <f t="shared" si="8"/>
        <v/>
      </c>
      <c r="AO39" s="160" t="e">
        <f t="shared" si="9"/>
        <v>#N/A</v>
      </c>
      <c r="AP39" s="206" t="str">
        <f t="shared" si="10"/>
        <v/>
      </c>
      <c r="AQ39" s="157">
        <f t="shared" si="11"/>
        <v>0</v>
      </c>
      <c r="AR39" s="88" t="str">
        <f t="shared" si="12"/>
        <v/>
      </c>
      <c r="AS39" s="89">
        <f t="shared" si="13"/>
        <v>0</v>
      </c>
      <c r="AT39" s="88" t="str">
        <f t="shared" si="14"/>
        <v/>
      </c>
      <c r="AU39" s="158">
        <f t="shared" si="15"/>
        <v>0</v>
      </c>
      <c r="AV39" s="90" t="str">
        <f t="shared" si="16"/>
        <v/>
      </c>
      <c r="AW39" s="158" t="b">
        <f t="shared" si="17"/>
        <v>0</v>
      </c>
      <c r="AX39" s="159" t="b">
        <f t="shared" si="18"/>
        <v>0</v>
      </c>
      <c r="AY39" s="158" t="b">
        <f t="shared" si="19"/>
        <v>0</v>
      </c>
      <c r="AZ39" s="159" t="b">
        <f t="shared" si="20"/>
        <v>0</v>
      </c>
      <c r="BA39" s="206" t="b">
        <f t="shared" si="21"/>
        <v>0</v>
      </c>
      <c r="BB39" s="206" t="b">
        <f t="shared" si="22"/>
        <v>0</v>
      </c>
      <c r="BC39" s="158" t="b">
        <f t="shared" si="23"/>
        <v>0</v>
      </c>
      <c r="BD39" s="160" t="b">
        <f t="shared" si="24"/>
        <v>0</v>
      </c>
      <c r="BE39" s="159" t="b">
        <f t="shared" si="25"/>
        <v>0</v>
      </c>
      <c r="BF39" s="161" t="b">
        <f t="shared" si="26"/>
        <v>0</v>
      </c>
      <c r="BG39" s="206" t="str">
        <f t="shared" si="27"/>
        <v>NA</v>
      </c>
      <c r="BH39" s="206" t="str">
        <f t="shared" si="28"/>
        <v/>
      </c>
      <c r="BI39" s="206" t="str">
        <f t="shared" si="29"/>
        <v/>
      </c>
      <c r="BJ39" s="206" t="str">
        <f t="shared" si="30"/>
        <v/>
      </c>
      <c r="BK39" s="206" t="str">
        <f t="shared" si="31"/>
        <v/>
      </c>
      <c r="BL39" s="206" t="str">
        <f t="shared" si="32"/>
        <v/>
      </c>
      <c r="BM39" s="206" t="str">
        <f t="shared" si="33"/>
        <v/>
      </c>
      <c r="BN39" s="206" t="str">
        <f t="shared" si="34"/>
        <v/>
      </c>
      <c r="BO39" s="1346"/>
      <c r="BP39" s="1347"/>
      <c r="BQ39" s="1347"/>
      <c r="BR39" s="1347"/>
      <c r="BS39" s="1347"/>
      <c r="BT39" s="1347"/>
      <c r="BU39" s="1348"/>
    </row>
    <row r="40" spans="2:73" s="112" customFormat="1" ht="8.25" customHeight="1" x14ac:dyDescent="0.2">
      <c r="B40" s="1355" t="s">
        <v>242</v>
      </c>
      <c r="C40" s="1356"/>
      <c r="D40" s="1357"/>
      <c r="E40" s="205" t="s">
        <v>243</v>
      </c>
      <c r="F40" s="1358" t="s">
        <v>244</v>
      </c>
      <c r="G40" s="1359"/>
      <c r="H40" s="1359" t="s">
        <v>245</v>
      </c>
      <c r="I40" s="1359"/>
      <c r="J40" s="1360" t="s">
        <v>246</v>
      </c>
      <c r="K40" s="1361"/>
      <c r="L40" s="180" t="s">
        <v>247</v>
      </c>
      <c r="M40" s="1362" t="s">
        <v>248</v>
      </c>
      <c r="N40" s="1362"/>
      <c r="O40" s="1363" t="str">
        <f>IF(U44,"DO REVIEW","DO REV N/A")</f>
        <v>DO REVIEW</v>
      </c>
      <c r="P40" s="1364"/>
      <c r="Q40" s="181" t="str">
        <f>IF(U45,"ED REVIEW","ED REV N/A")</f>
        <v>ED REVIEW</v>
      </c>
      <c r="R40" s="182"/>
      <c r="S40" s="183">
        <v>0</v>
      </c>
      <c r="AI40" s="184"/>
      <c r="AJ40" s="113"/>
      <c r="AK40" s="113"/>
      <c r="AL40" s="113"/>
      <c r="AM40" s="113"/>
      <c r="AN40" s="113"/>
      <c r="AO40" s="110"/>
      <c r="AP40" s="113"/>
      <c r="AQ40" s="185"/>
      <c r="AR40" s="113"/>
      <c r="AS40" s="185"/>
      <c r="AT40" s="113"/>
      <c r="AU40" s="185"/>
      <c r="AV40" s="186"/>
      <c r="AW40" s="113"/>
      <c r="AX40" s="113"/>
      <c r="AY40" s="113"/>
      <c r="AZ40" s="113"/>
      <c r="BA40" s="113"/>
      <c r="BB40" s="113"/>
      <c r="BC40" s="113"/>
      <c r="BD40" s="113"/>
      <c r="BE40" s="113"/>
      <c r="BF40" s="113"/>
      <c r="BG40" s="113"/>
      <c r="BH40" s="110"/>
      <c r="BI40" s="110"/>
      <c r="BJ40" s="110"/>
      <c r="BK40" s="110"/>
      <c r="BL40" s="110"/>
      <c r="BM40" s="110"/>
      <c r="BN40" s="110"/>
      <c r="BO40" s="1349"/>
      <c r="BP40" s="1350"/>
      <c r="BQ40" s="1350"/>
      <c r="BR40" s="1350"/>
      <c r="BS40" s="1350"/>
      <c r="BT40" s="1350"/>
      <c r="BU40" s="1351"/>
    </row>
    <row r="41" spans="2:73" ht="18.75" customHeight="1" thickBot="1" x14ac:dyDescent="0.25">
      <c r="B41" s="1365" t="str">
        <f>IF(ISERROR(AR46),"",TEXT(AR45,"0.0%"))</f>
        <v>0.0%</v>
      </c>
      <c r="C41" s="1366"/>
      <c r="D41" s="1367"/>
      <c r="E41" s="187" t="str">
        <f>IF(AU41=0,"N/A",CONCATENATE(TEXT(AV45,"0.0%")," of ",TEXT(AV44,"0.0%")))</f>
        <v>N/A</v>
      </c>
      <c r="F41" s="1369" t="str">
        <f>IF((graded_aca_events+graded_amn_events)&lt;1,"---",IF(AND(AW4,AX4),"INCOMPLETE",IF(AND(NOT(AW4),AX4),"ACA INC",IF(AND(AW4,NOT(AX4)),"AMN INC","COMPLETE"))))</f>
        <v>---</v>
      </c>
      <c r="G41" s="1369"/>
      <c r="H41" s="1369" t="str">
        <f>IF(AU4,IF(OR(AY4="UNK",NOT(AN6)),"---",IF(AY4,"UNSAT",IF(AVERAGEIFS(AT8:AT39,AS8:AS39,"&gt;0")&lt;0.9,"MARG","SAT"))),"N/A")</f>
        <v>---</v>
      </c>
      <c r="I41" s="1369"/>
      <c r="J41" s="1370" t="str">
        <f>IF(OR(AZ4="UNK",NOT(AM6)),"---",IF(OR(AZ4,AR45&lt;0.7),"FAIL","PASS"))</f>
        <v>---</v>
      </c>
      <c r="K41" s="1371"/>
      <c r="L41" s="188"/>
      <c r="M41" s="1372"/>
      <c r="N41" s="1372"/>
      <c r="O41" s="1373" t="s">
        <v>139</v>
      </c>
      <c r="P41" s="1373"/>
      <c r="Q41" s="1373" t="s">
        <v>139</v>
      </c>
      <c r="R41" s="1374"/>
      <c r="S41" s="189"/>
      <c r="T41" s="119" t="s">
        <v>249</v>
      </c>
      <c r="U41" s="160" t="s">
        <v>250</v>
      </c>
      <c r="V41" s="190"/>
      <c r="W41" s="190"/>
      <c r="X41" s="190"/>
      <c r="Y41" s="190"/>
      <c r="Z41" s="190"/>
      <c r="AA41" s="190"/>
      <c r="AB41" s="190"/>
      <c r="AC41" s="190"/>
      <c r="AD41" s="190"/>
      <c r="AE41" s="190"/>
      <c r="AF41" s="190"/>
      <c r="AG41" s="190"/>
      <c r="AH41" s="190"/>
      <c r="AI41" s="109"/>
      <c r="AJ41" s="108"/>
      <c r="AK41" s="190"/>
      <c r="AL41" s="190"/>
      <c r="AM41" s="190">
        <f>SUM(AM8:AM39)</f>
        <v>0</v>
      </c>
      <c r="AN41" s="190">
        <f>SUM(AN8:AN39)</f>
        <v>0</v>
      </c>
      <c r="AO41" s="119"/>
      <c r="AP41" s="108"/>
      <c r="AQ41" s="191">
        <f>SUMIF(AQ8:AQ39,"&gt;0")</f>
        <v>5</v>
      </c>
      <c r="AR41" s="192">
        <f>IF(AQ41=0,0,SUMPRODUCT($AQ$8:$AQ$39,AR8:AR39)/SUM($AQ$8:$AQ$39))</f>
        <v>0</v>
      </c>
      <c r="AS41" s="193">
        <f>SUMIF(AS8:AS39,"&gt;0")</f>
        <v>4</v>
      </c>
      <c r="AT41" s="192">
        <f>IF(AS41=0,0,SUMPRODUCT($AS$8:$AS$39,AT8:AT39)/SUM($AS$8:$AS$39))</f>
        <v>0</v>
      </c>
      <c r="AU41" s="193">
        <f>SUM(AU9:AU39)</f>
        <v>0</v>
      </c>
      <c r="AV41" s="192">
        <f>IF(AU41=0,0,SUMPRODUCT($AU$8:$AU$39,AV8:AV39)/SUM($AU$8:$AU$39))</f>
        <v>0</v>
      </c>
      <c r="AW41" s="194"/>
      <c r="AX41" s="194"/>
      <c r="AY41" s="194"/>
      <c r="AZ41" s="194"/>
      <c r="BA41" s="194"/>
      <c r="BB41" s="194"/>
      <c r="BC41" s="110" t="s">
        <v>251</v>
      </c>
      <c r="BD41" s="110" t="s">
        <v>252</v>
      </c>
      <c r="BE41" s="110" t="s">
        <v>253</v>
      </c>
      <c r="BO41" s="1349"/>
      <c r="BP41" s="1350"/>
      <c r="BQ41" s="1350"/>
      <c r="BR41" s="1350"/>
      <c r="BS41" s="1350"/>
      <c r="BT41" s="1350"/>
      <c r="BU41" s="1351"/>
    </row>
    <row r="42" spans="2:73" ht="7.5" customHeight="1" thickTop="1" x14ac:dyDescent="0.2">
      <c r="L42" s="1368" t="s">
        <v>456</v>
      </c>
      <c r="M42" s="1368"/>
      <c r="N42" s="1368"/>
      <c r="O42" s="1368"/>
      <c r="P42" s="1368"/>
      <c r="Q42" s="1368"/>
      <c r="R42" s="1368"/>
      <c r="AP42" s="190"/>
      <c r="AQ42" s="108"/>
      <c r="AR42" s="108"/>
      <c r="AT42" s="192"/>
      <c r="AU42" s="192"/>
      <c r="AV42" s="192"/>
      <c r="AW42" s="108"/>
      <c r="AX42" s="192"/>
      <c r="BO42" s="1352"/>
      <c r="BP42" s="1353"/>
      <c r="BQ42" s="1353"/>
      <c r="BR42" s="1353"/>
      <c r="BS42" s="1353"/>
      <c r="BT42" s="1353"/>
      <c r="BU42" s="1354"/>
    </row>
    <row r="43" spans="2:73" ht="30.75" customHeight="1" x14ac:dyDescent="0.2">
      <c r="T43" s="195" t="s">
        <v>254</v>
      </c>
      <c r="U43" s="160" t="b">
        <v>0</v>
      </c>
      <c r="AI43" s="111">
        <f ca="1">SUMIF(AJ8:$AJ$39,"=" &amp; AJ8,AI9:$AI$39)</f>
        <v>0</v>
      </c>
      <c r="AO43" s="196"/>
      <c r="AS43" s="137" t="s">
        <v>255</v>
      </c>
      <c r="AT43" s="197">
        <f>SUMIF(X8:X39,"&gt;0")/SUMIF(W8:W39,"&gt;0")</f>
        <v>0.8</v>
      </c>
      <c r="AU43" s="137" t="s">
        <v>256</v>
      </c>
      <c r="AV43" s="100">
        <f>SUMIF(AU8:AU39,"&gt;0")/SUMIF(AQ8:AQ39,"&gt;0")</f>
        <v>0</v>
      </c>
      <c r="AW43" s="198"/>
      <c r="BE43" s="110" t="b">
        <f>AND(ISBLANK($K30),J30&gt;0)</f>
        <v>0</v>
      </c>
      <c r="BO43" s="110"/>
      <c r="BP43" s="110"/>
      <c r="BQ43" s="106"/>
    </row>
    <row r="44" spans="2:73" ht="30.75" customHeight="1" x14ac:dyDescent="0.2">
      <c r="J44" s="199"/>
      <c r="T44" s="200" t="s">
        <v>257</v>
      </c>
      <c r="U44" s="110" t="b">
        <f>IF(AND(Flight?,OR(AW4,AY4,BA4,AZ4,AR45&lt;0.7,H41="MARG")),TRUE,FALSE)</f>
        <v>1</v>
      </c>
      <c r="AO44" s="201"/>
      <c r="AQ44" s="137" t="s">
        <v>258</v>
      </c>
      <c r="AR44" s="197">
        <f>1-AT44</f>
        <v>1</v>
      </c>
      <c r="AS44" s="137" t="s">
        <v>259</v>
      </c>
      <c r="AT44" s="197">
        <f>MIN(AT43,AT6)</f>
        <v>0</v>
      </c>
      <c r="AU44" s="137" t="s">
        <v>260</v>
      </c>
      <c r="AV44" s="111">
        <f>MIN(AV43,AV6)</f>
        <v>0</v>
      </c>
      <c r="BO44" s="110"/>
      <c r="BP44" s="110"/>
      <c r="BQ44" s="106"/>
    </row>
    <row r="45" spans="2:73" ht="25.5" x14ac:dyDescent="0.2">
      <c r="T45" s="200" t="s">
        <v>261</v>
      </c>
      <c r="U45" s="110" t="b">
        <f>IF(OR(AX4,AY4,AZ4,BB4,AR45&lt;0.7),TRUE,FALSE)</f>
        <v>1</v>
      </c>
      <c r="AO45" s="202"/>
      <c r="AQ45" s="137" t="s">
        <v>262</v>
      </c>
      <c r="AR45" s="111">
        <f>AR41*(1-AT44)+(AT41*AT44)</f>
        <v>0</v>
      </c>
      <c r="AU45" s="110" t="s">
        <v>196</v>
      </c>
      <c r="AV45" s="111">
        <f>AV41*AV44</f>
        <v>0</v>
      </c>
      <c r="BO45" s="110"/>
      <c r="BP45" s="110"/>
      <c r="BQ45" s="106"/>
    </row>
    <row r="46" spans="2:73" ht="25.5" x14ac:dyDescent="0.2">
      <c r="T46" s="200" t="s">
        <v>263</v>
      </c>
      <c r="U46" s="110" t="b">
        <v>0</v>
      </c>
      <c r="AO46" s="202"/>
      <c r="AQ46" s="137" t="s">
        <v>264</v>
      </c>
      <c r="AR46" s="111">
        <f>MIN(1,IF(NOT(OR(AY4,AZ4)),AR45+AV45,MIN(0.69,AR45+AV45)))</f>
        <v>0</v>
      </c>
      <c r="BO46" s="110"/>
      <c r="BP46" s="110"/>
      <c r="BQ46" s="106"/>
    </row>
    <row r="47" spans="2:73" x14ac:dyDescent="0.2">
      <c r="T47" s="200" t="s">
        <v>265</v>
      </c>
      <c r="U47" s="110" t="b">
        <f>IF(NOT(Flight?),TRUE,NOT(OR(ISBLANK(comments),ISBLANK(hdr_class),ISBLANK(hdr_date),ISBLANK(hdr_stud),ISBLANK(hdr_instr),ISBLANK(hdr_acft),ISBLANK(hdr_time),F41="---")))</f>
        <v>0</v>
      </c>
      <c r="AO47" s="202"/>
      <c r="AR47" s="137"/>
      <c r="AS47" s="111"/>
    </row>
    <row r="48" spans="2:73" x14ac:dyDescent="0.2">
      <c r="T48" s="200" t="s">
        <v>266</v>
      </c>
      <c r="U48" s="110" t="b">
        <f>IF(Flight?,TRUE,NOT(OR(ISBLANK(comments),ISBLANK(hdr_class),ISBLANK(hdr_date),ISBLANK(hdr_stud),ISBLANK(hdr_instr),F41="---")))</f>
        <v>1</v>
      </c>
      <c r="AO48" s="201"/>
      <c r="AP48" s="108" t="s">
        <v>267</v>
      </c>
      <c r="AQ48" s="108"/>
      <c r="AR48" s="108"/>
      <c r="AS48" s="108"/>
      <c r="AT48" s="108"/>
    </row>
    <row r="49" spans="20:56" x14ac:dyDescent="0.2">
      <c r="T49" s="200" t="s">
        <v>268</v>
      </c>
      <c r="U49" s="110" t="b">
        <f>AND(U47:U48)</f>
        <v>0</v>
      </c>
      <c r="AO49" s="201"/>
      <c r="AP49" s="108"/>
      <c r="AQ49" s="108"/>
      <c r="AR49" s="108">
        <v>0</v>
      </c>
      <c r="AS49" s="108">
        <v>1</v>
      </c>
      <c r="AT49" s="108">
        <v>2</v>
      </c>
      <c r="AU49" s="108">
        <v>3</v>
      </c>
      <c r="AV49" s="108">
        <v>4</v>
      </c>
    </row>
    <row r="50" spans="20:56" x14ac:dyDescent="0.2">
      <c r="AO50" s="201"/>
      <c r="AP50" s="108" t="s">
        <v>227</v>
      </c>
      <c r="AQ50" s="108">
        <v>1</v>
      </c>
      <c r="AR50" s="203">
        <v>0.7</v>
      </c>
      <c r="AS50" s="203">
        <v>0.9</v>
      </c>
      <c r="AT50" s="203">
        <v>0.93330000000000002</v>
      </c>
      <c r="AU50" s="203">
        <v>0.9667</v>
      </c>
      <c r="AV50" s="203">
        <v>1</v>
      </c>
    </row>
    <row r="51" spans="20:56" x14ac:dyDescent="0.2">
      <c r="AO51" s="201"/>
      <c r="AP51" s="108" t="s">
        <v>228</v>
      </c>
      <c r="AQ51" s="108">
        <v>2</v>
      </c>
      <c r="AR51" s="203">
        <v>0.7</v>
      </c>
      <c r="AS51" s="203">
        <v>0.8</v>
      </c>
      <c r="AT51" s="203">
        <v>0.9</v>
      </c>
      <c r="AU51" s="203">
        <v>0.95</v>
      </c>
      <c r="AV51" s="203">
        <v>1</v>
      </c>
    </row>
    <row r="52" spans="20:56" x14ac:dyDescent="0.2">
      <c r="AO52" s="201"/>
      <c r="AP52" s="108" t="s">
        <v>229</v>
      </c>
      <c r="AQ52" s="108">
        <v>3</v>
      </c>
      <c r="AR52" s="203">
        <v>0.7</v>
      </c>
      <c r="AS52" s="203">
        <v>0.76670000000000005</v>
      </c>
      <c r="AT52" s="203">
        <v>0.83330000000000004</v>
      </c>
      <c r="AU52" s="203">
        <v>0.9</v>
      </c>
      <c r="AV52" s="203">
        <v>1</v>
      </c>
    </row>
    <row r="53" spans="20:56" x14ac:dyDescent="0.2">
      <c r="AP53" s="204" t="s">
        <v>230</v>
      </c>
      <c r="AQ53" s="108">
        <v>11</v>
      </c>
      <c r="AR53" s="203">
        <v>0.6</v>
      </c>
      <c r="AS53" s="203">
        <v>0.9</v>
      </c>
      <c r="AT53" s="203">
        <v>0.93330000000000002</v>
      </c>
      <c r="AU53" s="203">
        <v>0.9667</v>
      </c>
      <c r="AV53" s="203">
        <v>1</v>
      </c>
    </row>
    <row r="54" spans="20:56" x14ac:dyDescent="0.2">
      <c r="AP54" s="204" t="s">
        <v>231</v>
      </c>
      <c r="AQ54" s="108">
        <v>12</v>
      </c>
      <c r="AR54" s="203">
        <v>0.6</v>
      </c>
      <c r="AS54" s="203">
        <v>0.7</v>
      </c>
      <c r="AT54" s="203">
        <v>0.9</v>
      </c>
      <c r="AU54" s="203">
        <v>0.95</v>
      </c>
      <c r="AV54" s="203">
        <v>1</v>
      </c>
    </row>
    <row r="55" spans="20:56" x14ac:dyDescent="0.2">
      <c r="AP55" s="204" t="s">
        <v>232</v>
      </c>
      <c r="AQ55" s="108">
        <v>13</v>
      </c>
      <c r="AR55" s="203">
        <v>0.6</v>
      </c>
      <c r="AS55" s="203">
        <v>0.7</v>
      </c>
      <c r="AT55" s="203">
        <v>0.8</v>
      </c>
      <c r="AU55" s="203">
        <v>0.9</v>
      </c>
      <c r="AV55" s="203">
        <v>1</v>
      </c>
    </row>
    <row r="56" spans="20:56" x14ac:dyDescent="0.2">
      <c r="AP56" s="204" t="s">
        <v>233</v>
      </c>
      <c r="AQ56" s="108">
        <v>22</v>
      </c>
      <c r="AR56" s="203">
        <v>0.3</v>
      </c>
      <c r="AS56" s="203">
        <v>0.6</v>
      </c>
      <c r="AT56" s="203">
        <v>0.9</v>
      </c>
      <c r="AU56" s="203">
        <v>0.95</v>
      </c>
      <c r="AV56" s="203">
        <v>1</v>
      </c>
    </row>
    <row r="57" spans="20:56" x14ac:dyDescent="0.2">
      <c r="AP57" s="204" t="s">
        <v>234</v>
      </c>
      <c r="AQ57" s="108">
        <v>23</v>
      </c>
      <c r="AR57" s="203">
        <v>0.3</v>
      </c>
      <c r="AS57" s="203">
        <v>0.6</v>
      </c>
      <c r="AT57" s="203">
        <v>0.7</v>
      </c>
      <c r="AU57" s="203">
        <v>0.9</v>
      </c>
      <c r="AV57" s="203">
        <v>1</v>
      </c>
    </row>
    <row r="58" spans="20:56" x14ac:dyDescent="0.2">
      <c r="AP58" s="204" t="s">
        <v>235</v>
      </c>
      <c r="AQ58" s="108">
        <v>33</v>
      </c>
      <c r="AR58" s="203">
        <v>0</v>
      </c>
      <c r="AS58" s="203">
        <v>0.3</v>
      </c>
      <c r="AT58" s="203">
        <v>0.6</v>
      </c>
      <c r="AU58" s="203">
        <v>0.9</v>
      </c>
      <c r="AV58" s="203">
        <v>1</v>
      </c>
      <c r="AW58" s="83"/>
      <c r="AX58" s="84"/>
      <c r="BC58" s="84"/>
      <c r="BD58" s="84"/>
    </row>
    <row r="59" spans="20:56" x14ac:dyDescent="0.2">
      <c r="AW59" s="84"/>
      <c r="AX59" s="84"/>
      <c r="BC59" s="84"/>
      <c r="BD59" s="84"/>
    </row>
    <row r="60" spans="20:56" x14ac:dyDescent="0.2">
      <c r="AP60" s="84"/>
      <c r="AQ60" s="83"/>
      <c r="AR60" s="84"/>
      <c r="AS60" s="84"/>
      <c r="AT60" s="84"/>
      <c r="AU60" s="84"/>
      <c r="AV60" s="84"/>
      <c r="AW60" s="83"/>
      <c r="AX60" s="83"/>
      <c r="BC60" s="84"/>
      <c r="BD60" s="84"/>
    </row>
    <row r="61" spans="20:56" x14ac:dyDescent="0.2">
      <c r="AP61" s="101"/>
      <c r="AQ61" s="83"/>
      <c r="AR61" s="84"/>
      <c r="AS61" s="84"/>
      <c r="AT61" s="84"/>
      <c r="AU61" s="84"/>
      <c r="AV61" s="84"/>
      <c r="AW61" s="83"/>
      <c r="AX61" s="83"/>
      <c r="BC61" s="84"/>
      <c r="BD61" s="84"/>
    </row>
    <row r="62" spans="20:56" x14ac:dyDescent="0.2">
      <c r="AP62" s="83"/>
      <c r="AQ62" s="83"/>
      <c r="AR62" s="84"/>
      <c r="AS62" s="84"/>
      <c r="AT62" s="84"/>
      <c r="AU62" s="84"/>
      <c r="AV62" s="84"/>
      <c r="AW62" s="83"/>
      <c r="AX62" s="83"/>
      <c r="BC62" s="84"/>
      <c r="BD62" s="84"/>
    </row>
    <row r="63" spans="20:56" x14ac:dyDescent="0.2">
      <c r="AP63" s="83"/>
      <c r="AQ63" s="83"/>
      <c r="AR63" s="84"/>
      <c r="AS63" s="84"/>
      <c r="AT63" s="84"/>
      <c r="AU63" s="84"/>
      <c r="AV63" s="84"/>
      <c r="AW63" s="83"/>
      <c r="AX63" s="84"/>
      <c r="BC63" s="84"/>
      <c r="BD63" s="84"/>
    </row>
    <row r="64" spans="20:56" x14ac:dyDescent="0.2">
      <c r="AP64" s="83"/>
      <c r="AQ64" s="83"/>
      <c r="AR64" s="84"/>
      <c r="AS64" s="84"/>
      <c r="AT64" s="84"/>
      <c r="AU64" s="84"/>
      <c r="AV64" s="84"/>
      <c r="AW64" s="83"/>
      <c r="AX64" s="84"/>
      <c r="BC64" s="84"/>
      <c r="BD64" s="84"/>
    </row>
    <row r="65" spans="42:48" x14ac:dyDescent="0.2">
      <c r="AP65" s="83"/>
      <c r="AQ65" s="83"/>
      <c r="AR65" s="84"/>
      <c r="AS65" s="84"/>
      <c r="AT65" s="84"/>
      <c r="AU65" s="84"/>
      <c r="AV65" s="84"/>
    </row>
    <row r="66" spans="42:48" x14ac:dyDescent="0.2">
      <c r="AP66" s="83"/>
      <c r="AQ66" s="83"/>
      <c r="AR66" s="84"/>
      <c r="AS66" s="84"/>
      <c r="AT66" s="84"/>
      <c r="AU66" s="84"/>
      <c r="AV66" s="84"/>
    </row>
  </sheetData>
  <sheetProtection algorithmName="SHA-512" hashValue="6FG7UzqnLk0GiN8FUFhezjBnvgNoDInVYu+3qDq7b7uc+bKvGNEbE0ha19cC3UafpTGscGfFbOXI53YosQ0gzQ==" saltValue="qvU639t/eW1EXbTMAOmyMw==" spinCount="100000" sheet="1" selectLockedCells="1"/>
  <mergeCells count="78">
    <mergeCell ref="B3:G3"/>
    <mergeCell ref="H3:N3"/>
    <mergeCell ref="O3:P3"/>
    <mergeCell ref="Q3:R3"/>
    <mergeCell ref="BP3:BU4"/>
    <mergeCell ref="B4:G4"/>
    <mergeCell ref="H4:N4"/>
    <mergeCell ref="O4:P4"/>
    <mergeCell ref="Q4:R4"/>
    <mergeCell ref="BH4:BK6"/>
    <mergeCell ref="C8:F8"/>
    <mergeCell ref="BL4:BN6"/>
    <mergeCell ref="B5:E5"/>
    <mergeCell ref="F5:G5"/>
    <mergeCell ref="H5:L5"/>
    <mergeCell ref="M5:N5"/>
    <mergeCell ref="O5:P5"/>
    <mergeCell ref="Q5:R5"/>
    <mergeCell ref="B6:E6"/>
    <mergeCell ref="F6:G6"/>
    <mergeCell ref="H6:L6"/>
    <mergeCell ref="M6:N6"/>
    <mergeCell ref="O6:P6"/>
    <mergeCell ref="Q6:R6"/>
    <mergeCell ref="B7:F7"/>
    <mergeCell ref="L7:R7"/>
    <mergeCell ref="C9:F9"/>
    <mergeCell ref="L9:R16"/>
    <mergeCell ref="C10:F10"/>
    <mergeCell ref="C11:F11"/>
    <mergeCell ref="C12:F12"/>
    <mergeCell ref="C13:F13"/>
    <mergeCell ref="C14:F14"/>
    <mergeCell ref="C15:F15"/>
    <mergeCell ref="C16:F16"/>
    <mergeCell ref="C17:F17"/>
    <mergeCell ref="C18:F18"/>
    <mergeCell ref="L18:R25"/>
    <mergeCell ref="C19:F19"/>
    <mergeCell ref="BQ19:BU19"/>
    <mergeCell ref="C20:F20"/>
    <mergeCell ref="C21:F21"/>
    <mergeCell ref="BO21:BO29"/>
    <mergeCell ref="C22:F22"/>
    <mergeCell ref="C23:F23"/>
    <mergeCell ref="C24:F24"/>
    <mergeCell ref="C25:F25"/>
    <mergeCell ref="C26:F26"/>
    <mergeCell ref="C27:F27"/>
    <mergeCell ref="L27:R34"/>
    <mergeCell ref="C28:F28"/>
    <mergeCell ref="C29:F29"/>
    <mergeCell ref="C30:F30"/>
    <mergeCell ref="C31:F31"/>
    <mergeCell ref="C32:F32"/>
    <mergeCell ref="C33:F33"/>
    <mergeCell ref="BO34:BU37"/>
    <mergeCell ref="C35:F35"/>
    <mergeCell ref="C36:F36"/>
    <mergeCell ref="C37:F37"/>
    <mergeCell ref="C38:F38"/>
    <mergeCell ref="C34:F34"/>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C39:F39"/>
  </mergeCells>
  <conditionalFormatting sqref="B8:F39">
    <cfRule type="expression" dxfId="278" priority="8" stopIfTrue="1">
      <formula>IF($Z8=1,TRUE,FALSE)</formula>
    </cfRule>
    <cfRule type="expression" dxfId="277" priority="9">
      <formula>IF($Z8=2,TRUE,FALSE)</formula>
    </cfRule>
  </conditionalFormatting>
  <conditionalFormatting sqref="C8:F39">
    <cfRule type="expression" dxfId="276" priority="1" stopIfTrue="1">
      <formula>IF($AF8=FALSE,TRUE,FALSE)</formula>
    </cfRule>
  </conditionalFormatting>
  <conditionalFormatting sqref="F5:G6 M5:P6">
    <cfRule type="expression" dxfId="275" priority="4" stopIfTrue="1">
      <formula>NOT($AU$4)</formula>
    </cfRule>
  </conditionalFormatting>
  <conditionalFormatting sqref="F6:G6">
    <cfRule type="cellIs" dxfId="274" priority="3" operator="equal">
      <formula>""</formula>
    </cfRule>
  </conditionalFormatting>
  <conditionalFormatting sqref="G8:K39">
    <cfRule type="expression" dxfId="273" priority="6" stopIfTrue="1">
      <formula>IF($Z8=1,TRUE,FALSE)</formula>
    </cfRule>
    <cfRule type="expression" dxfId="272" priority="7" stopIfTrue="1">
      <formula>IF($Z8=2,TRUE,FALSE)</formula>
    </cfRule>
  </conditionalFormatting>
  <conditionalFormatting sqref="H8:H39">
    <cfRule type="expression" dxfId="271" priority="10" stopIfTrue="1">
      <formula>IF($AB8=0,TRUE,FALSE)</formula>
    </cfRule>
  </conditionalFormatting>
  <conditionalFormatting sqref="H40:I41">
    <cfRule type="expression" dxfId="270" priority="2" stopIfTrue="1">
      <formula>IF($H$41="N/A",TRUE,FALSE)</formula>
    </cfRule>
  </conditionalFormatting>
  <conditionalFormatting sqref="H6:P6 O4:R4 B6 L9 L18 L27 L41 O41 Q41">
    <cfRule type="containsBlanks" dxfId="269" priority="5">
      <formula>LEN(TRIM(B4))=0</formula>
    </cfRule>
  </conditionalFormatting>
  <conditionalFormatting sqref="J8:J39">
    <cfRule type="expression" dxfId="268" priority="14">
      <formula>IF($Z8=1,FALSE,OR($BE8,$BD8))</formula>
    </cfRule>
  </conditionalFormatting>
  <conditionalFormatting sqref="J8:K39 C8:F39">
    <cfRule type="expression" dxfId="267" priority="13">
      <formula>IF($Z8=1,FALSE,OR($AW8,$AX8,$AY8,$AZ8))</formula>
    </cfRule>
  </conditionalFormatting>
  <conditionalFormatting sqref="J8:K39">
    <cfRule type="expression" dxfId="266" priority="11" stopIfTrue="1">
      <formula>IF(ISNA($Z8),TRUE,FALSE)</formula>
    </cfRule>
  </conditionalFormatting>
  <conditionalFormatting sqref="K8:K39">
    <cfRule type="expression" dxfId="265" priority="12">
      <formula>IF(OR($Z8=1,$Z8=2),FALSE,OR($BC8,$BE8,$BF8))</formula>
    </cfRule>
  </conditionalFormatting>
  <dataValidations count="6">
    <dataValidation type="list" allowBlank="1" showInputMessage="1" showErrorMessage="1" sqref="F6:G6" xr:uid="{D9F60CAA-383F-4B5E-8BD9-E581F3AC0899}">
      <formula1>"No,Yes"</formula1>
    </dataValidation>
    <dataValidation type="list" allowBlank="1" showInputMessage="1" showErrorMessage="1" sqref="J8:J39" xr:uid="{06569769-9216-4C6F-8FA8-FBB8FE3CE130}">
      <formula1>"NA,0,1,2,3,4,5,6,7,8,9,10,11,12,13,14,15"</formula1>
    </dataValidation>
    <dataValidation type="list" allowBlank="1" showInputMessage="1" showErrorMessage="1" sqref="K8:K39" xr:uid="{C83DD673-104B-4FE9-8FD1-EF7E1B630290}">
      <formula1>"D,0,1,2,3,4"</formula1>
    </dataValidation>
    <dataValidation showInputMessage="1" showErrorMessage="1" sqref="O41:R41" xr:uid="{0532509A-1C5E-4EF2-9523-D075771F4583}"/>
    <dataValidation type="decimal" allowBlank="1" showInputMessage="1" showErrorMessage="1" sqref="O6:P6" xr:uid="{04DBBC04-C5E6-4077-AEA0-2A0284D8AF24}">
      <formula1>0</formula1>
      <formula2>10</formula2>
    </dataValidation>
    <dataValidation type="date" allowBlank="1" showInputMessage="1" showErrorMessage="1" sqref="Q4:R4" xr:uid="{8FF7E617-1539-4883-8DEE-684C7EFEA234}">
      <formula1>41151</formula1>
      <formula2>77433</formula2>
    </dataValidation>
  </dataValidations>
  <hyperlinks>
    <hyperlink ref="BP3:BU4" location="AS!A1" display="AS Summary Page" xr:uid="{D76234A8-8CE7-46EC-B1CE-3AE54AB78A3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3778"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3779"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3780"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3781"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3782"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C3BF1-0734-4E97-A1E3-416C856495BE}">
  <sheetPr>
    <tabColor rgb="FF00B0F0"/>
    <pageSetUpPr autoPageBreaks="0"/>
  </sheetPr>
  <dimension ref="A1:AVW67"/>
  <sheetViews>
    <sheetView topLeftCell="G3" workbookViewId="0">
      <selection activeCell="H4" sqref="H4:N4"/>
    </sheetView>
  </sheetViews>
  <sheetFormatPr defaultColWidth="9.140625" defaultRowHeight="15" x14ac:dyDescent="0.25"/>
  <cols>
    <col min="1" max="1" width="1.5703125" style="903" customWidth="1"/>
    <col min="2" max="2" width="3.5703125" style="903" customWidth="1"/>
    <col min="3" max="3" width="5.5703125" style="904" customWidth="1"/>
    <col min="4" max="4" width="9.140625" style="904"/>
    <col min="5" max="5" width="14" style="904" customWidth="1"/>
    <col min="6" max="6" width="7.85546875" style="904" customWidth="1"/>
    <col min="7" max="11" width="5.140625" style="904" customWidth="1"/>
    <col min="12" max="12" width="21.5703125" style="904" customWidth="1"/>
    <col min="13" max="13" width="6.5703125" style="904" customWidth="1"/>
    <col min="14" max="14" width="12.5703125" style="904" customWidth="1"/>
    <col min="15" max="15" width="7.85546875" style="904" customWidth="1"/>
    <col min="16" max="16" width="2.7109375" style="904" customWidth="1"/>
    <col min="17" max="17" width="4.85546875" style="904" customWidth="1"/>
    <col min="18" max="18" width="7.28515625" style="904" customWidth="1"/>
    <col min="19" max="19" width="1.7109375" style="904" customWidth="1"/>
    <col min="20" max="20" width="19.140625" style="905" hidden="1" customWidth="1"/>
    <col min="21" max="21" width="31.140625" style="905" hidden="1" customWidth="1"/>
    <col min="22" max="22" width="5.140625" style="905" hidden="1" customWidth="1"/>
    <col min="23" max="24" width="6.28515625" style="905" hidden="1" customWidth="1"/>
    <col min="25" max="25" width="8.42578125" style="905" hidden="1" customWidth="1"/>
    <col min="26" max="26" width="7.85546875" style="905" hidden="1" customWidth="1"/>
    <col min="27" max="27" width="10.7109375" style="905" hidden="1" customWidth="1"/>
    <col min="28" max="28" width="8" style="905" hidden="1" customWidth="1"/>
    <col min="29" max="31" width="5.140625" style="905" hidden="1" customWidth="1"/>
    <col min="32" max="34" width="5.85546875" style="905" hidden="1" customWidth="1"/>
    <col min="35" max="35" width="8.5703125" style="906" hidden="1" customWidth="1"/>
    <col min="36" max="36" width="7" style="905" hidden="1" customWidth="1"/>
    <col min="37" max="38" width="5.28515625" style="905" hidden="1" customWidth="1"/>
    <col min="39" max="40" width="7" style="905" hidden="1" customWidth="1"/>
    <col min="41" max="41" width="5.140625" style="905" hidden="1" customWidth="1"/>
    <col min="42" max="42" width="11.28515625" style="905" hidden="1" customWidth="1"/>
    <col min="43" max="43" width="6.42578125" style="905" hidden="1" customWidth="1"/>
    <col min="44" max="44" width="8.28515625" style="905" hidden="1" customWidth="1"/>
    <col min="45" max="45" width="8.85546875" style="905" hidden="1" customWidth="1"/>
    <col min="46" max="46" width="10.7109375" style="905" hidden="1" customWidth="1"/>
    <col min="47" max="47" width="8.85546875" style="905" hidden="1" customWidth="1"/>
    <col min="48" max="48" width="6.28515625" style="905" hidden="1" customWidth="1"/>
    <col min="49" max="49" width="10" style="905" hidden="1" customWidth="1"/>
    <col min="50" max="50" width="7.5703125" style="905" hidden="1" customWidth="1"/>
    <col min="51" max="51" width="7" style="905" hidden="1" customWidth="1"/>
    <col min="52" max="52" width="8.140625" style="905" hidden="1" customWidth="1"/>
    <col min="53" max="53" width="12.5703125" style="905" hidden="1" customWidth="1"/>
    <col min="54" max="54" width="7.7109375" style="905" hidden="1" customWidth="1"/>
    <col min="55" max="55" width="12.7109375" style="905" hidden="1" customWidth="1"/>
    <col min="56" max="56" width="7" style="905" hidden="1" customWidth="1"/>
    <col min="57" max="57" width="15.5703125" style="907" hidden="1" customWidth="1"/>
    <col min="58" max="58" width="9.140625" style="907" hidden="1" customWidth="1"/>
    <col min="59" max="59" width="10" style="905" hidden="1" customWidth="1"/>
    <col min="60" max="60" width="5.28515625" style="907" hidden="1" customWidth="1"/>
    <col min="61" max="61" width="4" style="907" hidden="1" customWidth="1"/>
    <col min="62" max="62" width="4.7109375" style="907" hidden="1" customWidth="1"/>
    <col min="63" max="63" width="5.5703125" style="907" hidden="1" customWidth="1"/>
    <col min="64" max="64" width="5.28515625" style="907" hidden="1" customWidth="1"/>
    <col min="65" max="65" width="4" style="907" hidden="1" customWidth="1"/>
    <col min="66" max="66" width="5.5703125" style="907" hidden="1" customWidth="1"/>
    <col min="67" max="67" width="5.140625" style="908" customWidth="1"/>
    <col min="68" max="73" width="5.140625" style="904" customWidth="1"/>
    <col min="74" max="79" width="9.140625" style="904"/>
    <col min="80" max="82" width="9.140625" style="904" customWidth="1"/>
    <col min="83" max="83" width="5.140625" style="904" customWidth="1"/>
    <col min="84" max="16384" width="9.140625" style="904"/>
  </cols>
  <sheetData>
    <row r="1" spans="2:93" s="900" customFormat="1" ht="12" hidden="1" x14ac:dyDescent="0.2">
      <c r="C1" s="900">
        <v>3</v>
      </c>
      <c r="D1" s="900" t="s">
        <v>556</v>
      </c>
      <c r="E1" s="900" t="s">
        <v>557</v>
      </c>
      <c r="F1" s="900" t="s">
        <v>558</v>
      </c>
      <c r="G1" s="900" t="s">
        <v>559</v>
      </c>
      <c r="H1" s="900" t="s">
        <v>560</v>
      </c>
      <c r="T1" s="901"/>
      <c r="U1" s="901"/>
      <c r="V1" s="901"/>
      <c r="W1" s="901"/>
      <c r="X1" s="901"/>
      <c r="Y1" s="901"/>
      <c r="Z1" s="901"/>
      <c r="AA1" s="901"/>
      <c r="AB1" s="901"/>
      <c r="AC1" s="901"/>
      <c r="AD1" s="901"/>
      <c r="AE1" s="901"/>
      <c r="AF1" s="901"/>
      <c r="AG1" s="901"/>
      <c r="AH1" s="901"/>
      <c r="AI1" s="902"/>
      <c r="AJ1" s="901"/>
      <c r="AK1" s="901"/>
      <c r="AL1" s="901"/>
      <c r="AM1" s="901"/>
      <c r="AN1" s="901"/>
      <c r="AO1" s="901"/>
      <c r="AP1" s="901"/>
      <c r="AQ1" s="901"/>
      <c r="AR1" s="901"/>
      <c r="AS1" s="901"/>
      <c r="AT1" s="901"/>
      <c r="AU1" s="901"/>
      <c r="AV1" s="901"/>
      <c r="AW1" s="901"/>
      <c r="AX1" s="901"/>
      <c r="AY1" s="901"/>
      <c r="AZ1" s="901"/>
      <c r="BA1" s="901"/>
      <c r="BB1" s="901"/>
      <c r="BC1" s="901"/>
      <c r="BD1" s="901"/>
      <c r="BE1" s="901"/>
      <c r="BF1" s="901"/>
      <c r="BG1" s="901"/>
      <c r="BH1" s="901"/>
      <c r="BI1" s="901"/>
      <c r="BJ1" s="901"/>
      <c r="BK1" s="901"/>
      <c r="BL1" s="901"/>
      <c r="BM1" s="901"/>
      <c r="BN1" s="901"/>
    </row>
    <row r="2" spans="2:93" s="900" customFormat="1" ht="12" hidden="1" x14ac:dyDescent="0.2">
      <c r="C2" s="900">
        <v>4</v>
      </c>
      <c r="D2" s="900" t="s">
        <v>561</v>
      </c>
      <c r="E2" s="900" t="s">
        <v>562</v>
      </c>
      <c r="F2" s="900" t="s">
        <v>563</v>
      </c>
      <c r="G2" s="900" t="s">
        <v>564</v>
      </c>
      <c r="H2" s="900" t="s">
        <v>565</v>
      </c>
      <c r="T2" s="901"/>
      <c r="U2" s="901"/>
      <c r="V2" s="901"/>
      <c r="W2" s="901"/>
      <c r="X2" s="901"/>
      <c r="Y2" s="901"/>
      <c r="Z2" s="901"/>
      <c r="AA2" s="901"/>
      <c r="AB2" s="901"/>
      <c r="AC2" s="901"/>
      <c r="AD2" s="901"/>
      <c r="AE2" s="901"/>
      <c r="AF2" s="901"/>
      <c r="AG2" s="901"/>
      <c r="AH2" s="901"/>
      <c r="AI2" s="902"/>
      <c r="AJ2" s="901"/>
      <c r="AK2" s="901"/>
      <c r="AL2" s="901"/>
      <c r="AM2" s="901"/>
      <c r="AN2" s="901"/>
      <c r="AO2" s="901"/>
      <c r="AP2" s="901"/>
      <c r="AQ2" s="901"/>
      <c r="AR2" s="901"/>
      <c r="AS2" s="901"/>
      <c r="AT2" s="901"/>
      <c r="AU2" s="901"/>
      <c r="AV2" s="901"/>
      <c r="AW2" s="901"/>
      <c r="AX2" s="901"/>
      <c r="AY2" s="901"/>
      <c r="AZ2" s="901"/>
      <c r="BA2" s="901"/>
      <c r="BB2" s="901"/>
      <c r="BC2" s="901"/>
      <c r="BD2" s="901"/>
      <c r="BE2" s="901"/>
      <c r="BF2" s="901"/>
      <c r="BG2" s="901"/>
      <c r="BH2" s="901"/>
      <c r="BI2" s="901"/>
      <c r="BJ2" s="901"/>
      <c r="BK2" s="901"/>
      <c r="BL2" s="901"/>
      <c r="BM2" s="901"/>
      <c r="BN2" s="901"/>
    </row>
    <row r="3" spans="2:93" ht="15.75" thickBot="1" x14ac:dyDescent="0.3">
      <c r="BE3" s="905"/>
      <c r="BF3" s="905"/>
      <c r="BG3" s="907"/>
    </row>
    <row r="4" spans="2:93" ht="13.5" customHeight="1" thickTop="1" x14ac:dyDescent="0.25">
      <c r="B4" s="1442" t="s">
        <v>141</v>
      </c>
      <c r="C4" s="1443"/>
      <c r="D4" s="1443"/>
      <c r="E4" s="1443"/>
      <c r="F4" s="1443"/>
      <c r="G4" s="1444"/>
      <c r="H4" s="1445" t="s">
        <v>689</v>
      </c>
      <c r="I4" s="1446"/>
      <c r="J4" s="1446"/>
      <c r="K4" s="1446"/>
      <c r="L4" s="1446"/>
      <c r="M4" s="1446"/>
      <c r="N4" s="1447"/>
      <c r="O4" s="1448" t="s">
        <v>142</v>
      </c>
      <c r="P4" s="1449"/>
      <c r="Q4" s="1448" t="s">
        <v>143</v>
      </c>
      <c r="R4" s="1450"/>
      <c r="S4" s="909"/>
      <c r="T4" s="910"/>
      <c r="U4" s="910"/>
      <c r="V4" s="910"/>
      <c r="W4" s="910"/>
      <c r="X4" s="910"/>
      <c r="Y4" s="910"/>
      <c r="Z4" s="910"/>
      <c r="AA4" s="910"/>
      <c r="AB4" s="910"/>
      <c r="AC4" s="910"/>
      <c r="AD4" s="910"/>
      <c r="AE4" s="910"/>
      <c r="AF4" s="910"/>
      <c r="AG4" s="910"/>
      <c r="AH4" s="910"/>
      <c r="AI4" s="911"/>
      <c r="AJ4" s="910"/>
      <c r="AK4" s="910"/>
      <c r="AL4" s="910"/>
      <c r="AM4" s="910"/>
      <c r="AN4" s="910"/>
      <c r="AO4" s="910"/>
      <c r="AP4" s="910"/>
      <c r="AQ4" s="901"/>
      <c r="AR4" s="901"/>
      <c r="AW4" s="905" t="s">
        <v>144</v>
      </c>
      <c r="AX4" s="905" t="s">
        <v>145</v>
      </c>
      <c r="AY4" s="905" t="s">
        <v>146</v>
      </c>
      <c r="AZ4" s="905" t="s">
        <v>147</v>
      </c>
      <c r="BA4" s="905" t="s">
        <v>148</v>
      </c>
      <c r="BB4" s="905" t="s">
        <v>149</v>
      </c>
      <c r="BE4" s="905"/>
      <c r="BF4" s="905"/>
      <c r="BG4" s="907"/>
      <c r="BO4" s="912" t="s">
        <v>213</v>
      </c>
    </row>
    <row r="5" spans="2:93" s="923" customFormat="1" ht="15.75" customHeight="1" x14ac:dyDescent="0.2">
      <c r="B5" s="1451" t="s">
        <v>442</v>
      </c>
      <c r="C5" s="1452"/>
      <c r="D5" s="1452"/>
      <c r="E5" s="1452"/>
      <c r="F5" s="1452"/>
      <c r="G5" s="1453"/>
      <c r="H5" s="1454" t="s">
        <v>567</v>
      </c>
      <c r="I5" s="1455"/>
      <c r="J5" s="1455"/>
      <c r="K5" s="1455"/>
      <c r="L5" s="1455"/>
      <c r="M5" s="1455"/>
      <c r="N5" s="1456"/>
      <c r="O5" s="1457"/>
      <c r="P5" s="1458"/>
      <c r="Q5" s="1459"/>
      <c r="R5" s="1460"/>
      <c r="S5" s="913"/>
      <c r="T5" s="914"/>
      <c r="U5" s="914"/>
      <c r="V5" s="914"/>
      <c r="W5" s="914"/>
      <c r="X5" s="914"/>
      <c r="Y5" s="914"/>
      <c r="Z5" s="914"/>
      <c r="AA5" s="914"/>
      <c r="AB5" s="914"/>
      <c r="AC5" s="914"/>
      <c r="AD5" s="914"/>
      <c r="AE5" s="914"/>
      <c r="AF5" s="914"/>
      <c r="AG5" s="914"/>
      <c r="AH5" s="914"/>
      <c r="AI5" s="915"/>
      <c r="AJ5" s="914"/>
      <c r="AK5" s="914"/>
      <c r="AL5" s="914"/>
      <c r="AM5" s="914"/>
      <c r="AN5" s="914"/>
      <c r="AO5" s="914"/>
      <c r="AP5" s="914"/>
      <c r="AQ5" s="916"/>
      <c r="AR5" s="916"/>
      <c r="AS5" s="917"/>
      <c r="AT5" s="918" t="s">
        <v>151</v>
      </c>
      <c r="AU5" s="919" t="b">
        <v>1</v>
      </c>
      <c r="AV5" s="917">
        <v>5</v>
      </c>
      <c r="AW5" s="917" t="b">
        <f>IF(ISERR(OR(AW9:AW40)),"UNK",IF(AND(graded_aca_events&gt;=1,input_test),FALSE,OR(AW9:AW40)))</f>
        <v>0</v>
      </c>
      <c r="AX5" s="917" t="b">
        <f>IF(ISERR(OR(AX9:AX40)),"UNK",IF(AND(graded_aca_events&gt;=1,input_test),FALSE,OR(AX9:AX40)))</f>
        <v>1</v>
      </c>
      <c r="AY5" s="917" t="b">
        <f>IF(ISERR(OR(AY9:AY40)),"UNK",OR(AY9:AY40))</f>
        <v>0</v>
      </c>
      <c r="AZ5" s="917" t="b">
        <f>IF(ISERR(OR(AZ9:AZ40)),"UNK",OR(AZ9:AZ40))</f>
        <v>0</v>
      </c>
      <c r="BA5" s="917" t="b">
        <f>IF(ISERR(OR(BA9:BA40)),"UNK",OR(BA9:BA40))</f>
        <v>0</v>
      </c>
      <c r="BB5" s="917" t="b">
        <f>IF(ISERR(OR(BB9:BB40)),"UNK",OR(BB9:BB40))</f>
        <v>0</v>
      </c>
      <c r="BC5" s="920" t="b">
        <f>OR(BC9:BC40)</f>
        <v>0</v>
      </c>
      <c r="BD5" s="920" t="b">
        <f>OR(BD9:BD40)</f>
        <v>0</v>
      </c>
      <c r="BE5" s="920" t="b">
        <f>OR(BE9:BE40)</f>
        <v>0</v>
      </c>
      <c r="BF5" s="920"/>
      <c r="BG5" s="917"/>
      <c r="BH5" s="1461" t="s">
        <v>152</v>
      </c>
      <c r="BI5" s="1461"/>
      <c r="BJ5" s="1461"/>
      <c r="BK5" s="1461"/>
      <c r="BL5" s="1462" t="s">
        <v>153</v>
      </c>
      <c r="BM5" s="1462"/>
      <c r="BN5" s="1462"/>
      <c r="BO5" s="922" t="s">
        <v>568</v>
      </c>
    </row>
    <row r="6" spans="2:93" s="909" customFormat="1" ht="11.25" customHeight="1" x14ac:dyDescent="0.25">
      <c r="B6" s="1463" t="s">
        <v>154</v>
      </c>
      <c r="C6" s="1464"/>
      <c r="D6" s="1464"/>
      <c r="E6" s="1465"/>
      <c r="F6" s="1466" t="s">
        <v>155</v>
      </c>
      <c r="G6" s="1465"/>
      <c r="H6" s="1466" t="s">
        <v>156</v>
      </c>
      <c r="I6" s="1464"/>
      <c r="J6" s="1464"/>
      <c r="K6" s="1464"/>
      <c r="L6" s="1465"/>
      <c r="M6" s="1467" t="s">
        <v>157</v>
      </c>
      <c r="N6" s="1468"/>
      <c r="O6" s="1469" t="s">
        <v>158</v>
      </c>
      <c r="P6" s="1470"/>
      <c r="Q6" s="1466" t="str">
        <f>IF(AU42=0,"GRADE","GRADE (inc. bonus)")</f>
        <v>GRADE</v>
      </c>
      <c r="R6" s="1471"/>
      <c r="T6" s="910"/>
      <c r="U6" s="910"/>
      <c r="V6" s="910"/>
      <c r="W6" s="910"/>
      <c r="X6" s="910"/>
      <c r="Y6" s="910"/>
      <c r="Z6" s="910"/>
      <c r="AA6" s="910"/>
      <c r="AB6" s="910"/>
      <c r="AC6" s="910"/>
      <c r="AD6" s="910"/>
      <c r="AE6" s="910"/>
      <c r="AF6" s="910"/>
      <c r="AG6" s="910"/>
      <c r="AH6" s="910"/>
      <c r="AI6" s="911"/>
      <c r="AJ6" s="910"/>
      <c r="AK6" s="910"/>
      <c r="AL6" s="910"/>
      <c r="AM6" s="910"/>
      <c r="AN6" s="910"/>
      <c r="AO6" s="910"/>
      <c r="AP6" s="910"/>
      <c r="AQ6" s="910"/>
      <c r="AR6" s="910"/>
      <c r="AS6" s="910"/>
      <c r="AT6" s="910"/>
      <c r="AU6" s="910"/>
      <c r="AV6" s="910"/>
      <c r="AW6" s="910"/>
      <c r="AX6" s="910"/>
      <c r="AY6" s="910"/>
      <c r="AZ6" s="910"/>
      <c r="BA6" s="910"/>
      <c r="BB6" s="910"/>
      <c r="BC6" s="910"/>
      <c r="BD6" s="910"/>
      <c r="BE6" s="910"/>
      <c r="BF6" s="910"/>
      <c r="BG6" s="910"/>
      <c r="BH6" s="1461"/>
      <c r="BI6" s="1461"/>
      <c r="BJ6" s="1461"/>
      <c r="BK6" s="1461"/>
      <c r="BL6" s="1462"/>
      <c r="BM6" s="1462"/>
      <c r="BN6" s="1462"/>
      <c r="BO6" s="924" t="s">
        <v>214</v>
      </c>
      <c r="BP6" s="925" t="s">
        <v>215</v>
      </c>
    </row>
    <row r="7" spans="2:93" s="923" customFormat="1" ht="15.75" customHeight="1" thickBot="1" x14ac:dyDescent="0.25">
      <c r="B7" s="1472"/>
      <c r="C7" s="1473"/>
      <c r="D7" s="1473"/>
      <c r="E7" s="1474"/>
      <c r="F7" s="1475" t="s">
        <v>270</v>
      </c>
      <c r="G7" s="1476"/>
      <c r="H7" s="1477"/>
      <c r="I7" s="1478"/>
      <c r="J7" s="1478"/>
      <c r="K7" s="1478"/>
      <c r="L7" s="1476"/>
      <c r="M7" s="1479"/>
      <c r="N7" s="1480"/>
      <c r="O7" s="1481"/>
      <c r="P7" s="1482"/>
      <c r="Q7" s="1483" t="str">
        <f>IF((graded_aca_events+graded_amn_events)&lt;1,"---",IF(ISERROR(AR47),"",IF(F42&lt;&gt;"COMPLETE","INCOMPLETE",AR47)))</f>
        <v>---</v>
      </c>
      <c r="R7" s="1484"/>
      <c r="S7" s="904"/>
      <c r="T7" s="917"/>
      <c r="U7" s="917">
        <v>2</v>
      </c>
      <c r="V7" s="917">
        <v>3</v>
      </c>
      <c r="W7" s="917">
        <v>6</v>
      </c>
      <c r="X7" s="917">
        <v>7</v>
      </c>
      <c r="Y7" s="917">
        <v>11</v>
      </c>
      <c r="Z7" s="917">
        <v>8</v>
      </c>
      <c r="AA7" s="926">
        <v>9</v>
      </c>
      <c r="AB7" s="926">
        <v>10</v>
      </c>
      <c r="AC7" s="926">
        <v>5</v>
      </c>
      <c r="AD7" s="926">
        <v>4</v>
      </c>
      <c r="AE7" s="926">
        <v>12</v>
      </c>
      <c r="AF7" s="926">
        <v>13</v>
      </c>
      <c r="AG7" s="926"/>
      <c r="AH7" s="926"/>
      <c r="AI7" s="927"/>
      <c r="AJ7" s="928"/>
      <c r="AK7" s="928"/>
      <c r="AL7" s="928"/>
      <c r="AM7" s="928" t="b">
        <f>IF(COUNT(AM9:AM40)&gt;0,TRUE,FALSE)</f>
        <v>0</v>
      </c>
      <c r="AN7" s="928" t="b">
        <f>IF(COUNT(AN9:AN40)&gt;0,TRUE,FALSE)</f>
        <v>0</v>
      </c>
      <c r="AO7" s="917"/>
      <c r="AP7" s="917"/>
      <c r="AQ7" s="916"/>
      <c r="AR7" s="916"/>
      <c r="AS7" s="917"/>
      <c r="AT7" s="929">
        <v>0.5</v>
      </c>
      <c r="AU7" s="917"/>
      <c r="AV7" s="930">
        <f>0.01*input_maxb</f>
        <v>0.05</v>
      </c>
      <c r="AW7" s="931" t="s">
        <v>159</v>
      </c>
      <c r="AX7" s="932"/>
      <c r="AY7" s="931" t="s">
        <v>160</v>
      </c>
      <c r="AZ7" s="932"/>
      <c r="BA7" s="933" t="s">
        <v>161</v>
      </c>
      <c r="BB7" s="933"/>
      <c r="BC7" s="931" t="s">
        <v>162</v>
      </c>
      <c r="BD7" s="933"/>
      <c r="BE7" s="934"/>
      <c r="BF7" s="935"/>
      <c r="BG7" s="917" t="s">
        <v>163</v>
      </c>
      <c r="BH7" s="1461"/>
      <c r="BI7" s="1461"/>
      <c r="BJ7" s="1461"/>
      <c r="BK7" s="1461"/>
      <c r="BL7" s="1462"/>
      <c r="BM7" s="1462"/>
      <c r="BN7" s="1462"/>
      <c r="BO7" s="924">
        <v>0</v>
      </c>
      <c r="BP7" s="925" t="s">
        <v>216</v>
      </c>
    </row>
    <row r="8" spans="2:93" ht="27" customHeight="1" thickBot="1" x14ac:dyDescent="0.3">
      <c r="B8" s="1485" t="s">
        <v>164</v>
      </c>
      <c r="C8" s="1486"/>
      <c r="D8" s="1486"/>
      <c r="E8" s="1486"/>
      <c r="F8" s="1487"/>
      <c r="G8" s="936" t="s">
        <v>165</v>
      </c>
      <c r="H8" s="937" t="s">
        <v>166</v>
      </c>
      <c r="I8" s="938" t="s">
        <v>167</v>
      </c>
      <c r="J8" s="939" t="s">
        <v>168</v>
      </c>
      <c r="K8" s="940" t="s">
        <v>169</v>
      </c>
      <c r="L8" s="1488" t="s">
        <v>170</v>
      </c>
      <c r="M8" s="1486"/>
      <c r="N8" s="1486"/>
      <c r="O8" s="1486"/>
      <c r="P8" s="1486"/>
      <c r="Q8" s="1486"/>
      <c r="R8" s="1489"/>
      <c r="S8" s="903"/>
      <c r="T8" s="941" t="s">
        <v>171</v>
      </c>
      <c r="U8" s="941"/>
      <c r="V8" s="941" t="s">
        <v>172</v>
      </c>
      <c r="W8" s="941" t="s">
        <v>173</v>
      </c>
      <c r="X8" s="941" t="s">
        <v>174</v>
      </c>
      <c r="Y8" s="941" t="s">
        <v>175</v>
      </c>
      <c r="Z8" s="941" t="s">
        <v>176</v>
      </c>
      <c r="AA8" s="941" t="s">
        <v>177</v>
      </c>
      <c r="AB8" s="941" t="s">
        <v>178</v>
      </c>
      <c r="AC8" s="941" t="s">
        <v>179</v>
      </c>
      <c r="AD8" s="941" t="s">
        <v>180</v>
      </c>
      <c r="AE8" s="941" t="s">
        <v>181</v>
      </c>
      <c r="AF8" s="941" t="s">
        <v>182</v>
      </c>
      <c r="AG8" s="941" t="s">
        <v>183</v>
      </c>
      <c r="AH8" s="941" t="s">
        <v>184</v>
      </c>
      <c r="AI8" s="942" t="s">
        <v>185</v>
      </c>
      <c r="AJ8" s="943" t="s">
        <v>186</v>
      </c>
      <c r="AK8" s="944" t="s">
        <v>187</v>
      </c>
      <c r="AL8" s="944" t="s">
        <v>188</v>
      </c>
      <c r="AM8" s="944" t="s">
        <v>189</v>
      </c>
      <c r="AN8" s="944" t="s">
        <v>190</v>
      </c>
      <c r="AO8" s="943" t="s">
        <v>191</v>
      </c>
      <c r="AP8" s="943" t="s">
        <v>192</v>
      </c>
      <c r="AQ8" s="945" t="s">
        <v>193</v>
      </c>
      <c r="AR8" s="946" t="s">
        <v>1</v>
      </c>
      <c r="AS8" s="945" t="s">
        <v>194</v>
      </c>
      <c r="AT8" s="946" t="s">
        <v>1</v>
      </c>
      <c r="AU8" s="945" t="s">
        <v>195</v>
      </c>
      <c r="AV8" s="947" t="s">
        <v>196</v>
      </c>
      <c r="AW8" s="948" t="s">
        <v>197</v>
      </c>
      <c r="AX8" s="949" t="s">
        <v>198</v>
      </c>
      <c r="AY8" s="948" t="s">
        <v>199</v>
      </c>
      <c r="AZ8" s="949" t="s">
        <v>200</v>
      </c>
      <c r="BA8" s="950" t="s">
        <v>201</v>
      </c>
      <c r="BB8" s="950" t="s">
        <v>202</v>
      </c>
      <c r="BC8" s="951" t="s">
        <v>203</v>
      </c>
      <c r="BD8" s="952" t="s">
        <v>204</v>
      </c>
      <c r="BE8" s="953" t="s">
        <v>205</v>
      </c>
      <c r="BF8" s="954" t="s">
        <v>206</v>
      </c>
      <c r="BG8" s="907"/>
      <c r="BH8" s="907" t="s">
        <v>207</v>
      </c>
      <c r="BI8" s="907" t="s">
        <v>208</v>
      </c>
      <c r="BJ8" s="941" t="s">
        <v>209</v>
      </c>
      <c r="BK8" s="907" t="s">
        <v>210</v>
      </c>
      <c r="BL8" s="907" t="s">
        <v>207</v>
      </c>
      <c r="BM8" s="907" t="s">
        <v>208</v>
      </c>
      <c r="BN8" s="907" t="s">
        <v>210</v>
      </c>
      <c r="BO8" s="924">
        <v>1</v>
      </c>
      <c r="BP8" s="955" t="s">
        <v>569</v>
      </c>
      <c r="BX8" s="956"/>
      <c r="BY8" s="900"/>
      <c r="BZ8" s="900"/>
      <c r="CA8" s="900"/>
      <c r="CB8" s="900"/>
      <c r="CC8" s="900"/>
    </row>
    <row r="9" spans="2:93" ht="12.95" customHeight="1" x14ac:dyDescent="0.25">
      <c r="B9" s="957">
        <f>IF(ISNA(Z9),"",IF(OR(Z9=1,Z9=2),"",1))</f>
        <v>1</v>
      </c>
      <c r="C9" s="1490" t="str">
        <f t="shared" ref="C9:C40" si="0">IF(ISNA(Z9),"",CONCATENATE($U9,IF(ISNUMBER(AI9),TEXT(ROUND($AI9,3)," (0.0%)"),""),IF(AU9&gt;0," Bonus","")))</f>
        <v xml:space="preserve">      - Test Planning and Methodology (16.7%)</v>
      </c>
      <c r="D9" s="1490"/>
      <c r="E9" s="1490"/>
      <c r="F9" s="1491"/>
      <c r="G9" s="958">
        <f t="shared" ref="G9:G40" si="1">BH9</f>
        <v>1</v>
      </c>
      <c r="H9" s="959" t="str">
        <f t="shared" ref="H9:I40" si="2">BJ9</f>
        <v>3*</v>
      </c>
      <c r="I9" s="960">
        <f t="shared" si="2"/>
        <v>3</v>
      </c>
      <c r="J9" s="961"/>
      <c r="K9" s="962"/>
      <c r="L9" s="1072"/>
      <c r="M9" s="1073"/>
      <c r="N9" s="1073"/>
      <c r="O9" s="1073"/>
      <c r="P9" s="1073"/>
      <c r="Q9" s="1073"/>
      <c r="R9" s="1074"/>
      <c r="T9" s="905">
        <v>1</v>
      </c>
      <c r="U9" s="905" t="s">
        <v>570</v>
      </c>
      <c r="V9" s="963">
        <v>1</v>
      </c>
      <c r="W9" s="963">
        <v>1</v>
      </c>
      <c r="X9" s="963" t="s">
        <v>212</v>
      </c>
      <c r="Y9" s="963" t="s">
        <v>212</v>
      </c>
      <c r="Z9" s="963" t="s">
        <v>212</v>
      </c>
      <c r="AA9" s="963">
        <v>2</v>
      </c>
      <c r="AB9" s="963">
        <v>1</v>
      </c>
      <c r="AC9" s="963">
        <v>3</v>
      </c>
      <c r="AD9" s="963">
        <v>3</v>
      </c>
      <c r="AE9" s="963">
        <v>1</v>
      </c>
      <c r="AF9" s="963" t="b">
        <v>1</v>
      </c>
      <c r="AG9" s="963">
        <f t="shared" ref="AG9:AG13" si="3">IF(CrewSoloQual="Yes",$AC9,$AD9)</f>
        <v>3</v>
      </c>
      <c r="AH9" s="963">
        <f t="shared" ref="AH9:AH13" si="4">IF(ISNUMBER(AC9),IF(CrewSoloQual="Yes",$AC9-1,$AD9-1),"")</f>
        <v>2</v>
      </c>
      <c r="AI9" s="964">
        <f>IF(NOT(OR(Z9=1,Z9=2)),IF(AQ9&gt;0,$AR$45*AQ9/SUMIF($AQ$9:$AQ$40,"&gt;0"),IF(AU9&gt;0,$AV$45*AU9/SUMIF($AU$9:$AU$40,"&gt;0"),IF(AS9&gt;0,$AT$45*AS9/SUMIF($AS$9:$AS$40,"&gt;0"),""))),IF(SUMIF(AJ10:$AJ$40,"=" &amp; AJ9,AI10:$AI$40)=0,"",SUMIF(AJ10:$AJ$40,"=" &amp; AJ9,AI10:$AI$40)))</f>
        <v>0.16666666666666666</v>
      </c>
      <c r="AJ9" s="965">
        <f>0</f>
        <v>0</v>
      </c>
      <c r="AK9" s="963">
        <f t="shared" ref="AK9:AK40" si="5">BI9</f>
        <v>3</v>
      </c>
      <c r="AL9" s="963" t="str">
        <f t="shared" ref="AL9:AL40" si="6">IF(ISBLANK(K9),"",K9)</f>
        <v/>
      </c>
      <c r="AM9" s="963" t="str">
        <f t="shared" ref="AM9:AM40" si="7">IF(ISNUMBER(AK9),IF(ISNUMBER(AL9),1,""),"")</f>
        <v/>
      </c>
      <c r="AN9" s="963" t="str">
        <f t="shared" ref="AN9:AN40" si="8">IF(ISNUMBER(AH9),IF(AND(AB9=0,ISNUMBER(AC9),ISNUMBER(AL9)),1,""),"")</f>
        <v/>
      </c>
      <c r="AO9" s="963" t="str">
        <f t="shared" ref="AO9:AO40" si="9">IF(AB9=0,IF(CrewSoloQual="No",BI9,BK9),"")</f>
        <v/>
      </c>
      <c r="AP9" s="963" t="b">
        <f t="shared" ref="AP9:AP40" si="10">IF(ISNA(Z9),"",IF(AND(ISNUMBER(B9),G9&gt;=1,H9&lt;&gt;"NG"),IF(K9&lt;BK9,TRUE,FALSE),IF(AND(G9&gt;=1,J9="NA"),TRUE,IF(AND(AM9=1,G9=0,AL9&lt;BI9),TRUE,""))))</f>
        <v>1</v>
      </c>
      <c r="AQ9" s="966">
        <f t="shared" ref="AQ9:AQ40" si="11">IF(ISNA(Z9),0,IF(OR(J9="NA",W9="",AB9=0),0,W9))</f>
        <v>1</v>
      </c>
      <c r="AR9" s="967" t="str">
        <f t="shared" ref="AR9:AR40" si="12">IF(ISNA(Z9),"",IF(AND(NOT(OR(Z9=1,Z9=2,AK9="NG",AB9=0)),IF(ISNUMBER(AL9),AL9&gt;=0,FALSE)),VLOOKUP((10*AD9+AC9),$AQ$51:$AV$59,2+AL9,FALSE),IF(AND(input_test=TRUE,ISNUMBER(AD9),V9&lt;&gt;0),VLOOKUP((10*AD9+AC9),$AQ$51:$AV$59,2,FALSE),"")))</f>
        <v/>
      </c>
      <c r="AS9" s="968">
        <f t="shared" ref="AS9:AS40" si="13">IF(ISNA(Z9),0,IF(OR(J9="NA",X9="",AB9=1),0,X9))</f>
        <v>0</v>
      </c>
      <c r="AT9" s="967" t="str">
        <f t="shared" ref="AT9:AT40" si="14">IF(ISNA(Z9),"",IF(AND(NOT(OR(Z9=1,Z9=2,AK9="NG",AB9=1)),IF(ISNUMBER(AL9),AL9&gt;=0,FALSE)),VLOOKUP((10*AH9+AG9),$AQ$51:$AV$59,2+AL9,FALSE),IF(AND(input_test=TRUE,ISNUMBER(AD9),V9&lt;&gt;0),VLOOKUP((10*AH9+AG9),$AQ$51:$AV$59,2,FALSE),"")))</f>
        <v/>
      </c>
      <c r="AU9" s="969">
        <f t="shared" ref="AU9:AU40" si="15">IF(ISNA(Z9),0,IF(OR(J9="NA",Y9=""),0,Y9))</f>
        <v>0</v>
      </c>
      <c r="AV9" s="970" t="str">
        <f t="shared" ref="AV9:AV40" si="16">AR9</f>
        <v/>
      </c>
      <c r="AW9" s="969" t="b">
        <f t="shared" ref="AW9:AW40" si="17">IF(ISNA(Z9),FALSE,IF(OR(AB9=1,G9=0,Z9=1,Z9=2),FALSE,IF(OR(J9="NA",J9&gt;=G9),FALSE,TRUE)))</f>
        <v>0</v>
      </c>
      <c r="AX9" s="971" t="b">
        <f t="shared" ref="AX9:AX40" si="18">IF(ISNA(Z9),FALSE,IF(OR(AB9=0,G9=0,Z9=1,Z9=2,J9="NA"),FALSE,IF(AK9="NG",IF(NOT(ISBLANK(K9)),FALSE,TRUE),IF(J9&gt;=G9,FALSE,TRUE))))</f>
        <v>1</v>
      </c>
      <c r="AY9" s="969" t="b">
        <f t="shared" ref="AY9:AY40" si="19">IF(ISNA(Z9),FALSE,IF(OR(AB9=1,G9&lt;1,Z9=1,Z9=2,AE9=0,ISBLANK(K9)),FALSE,IF(OR(J9="NA",K9&gt;=BI9),FALSE,TRUE)))</f>
        <v>0</v>
      </c>
      <c r="AZ9" s="971" t="b">
        <f t="shared" ref="AZ9:AZ40" si="20">IF(ISNA(Z9),FALSE,IF(OR(AB9=0,G9=0,Z9=1,Z9=2,AE9=0,BI9="NG",K9="",ISBLANK(K9)),FALSE,IF(OR(J9="NA",K9&gt;=AK9),FALSE,TRUE)))</f>
        <v>0</v>
      </c>
      <c r="BA9" s="963" t="b">
        <f t="shared" ref="BA9:BA40" si="21">IF(ISNA(Z9),FALSE,IF(OR(AB9=1,G9&lt;1,Z9=1,Z9=2,AE9=0),FALSE,IF(J9="NA",TRUE,FALSE)))</f>
        <v>0</v>
      </c>
      <c r="BB9" s="963" t="b">
        <f t="shared" ref="BB9:BB40" si="22">IF(ISNA(Z9),FALSE,IF(OR(AB9=0,G9=0,Z9=1,Z9=2),FALSE,IF(J9="NA",TRUE,FALSE)))</f>
        <v>0</v>
      </c>
      <c r="BC9" s="969" t="b">
        <f t="shared" ref="BC9:BC40" si="23">IF(OR(ISNA($Z9),ISNUMBER($Z9),NOT(ISNUMBER($J9)),K9="D"),FALSE,IF(AND(NOT(ISNUMBER($K9)),J9&gt;0),TRUE,FALSE))</f>
        <v>0</v>
      </c>
      <c r="BD9" s="972" t="b">
        <f t="shared" ref="BD9:BD40" si="24">IF(OR(ISNA($Z9),ISNUMBER($Z9),NOT(ISNUMBER(K9))),FALSE,OR(NOT(ISNUMBER(J9)),J9=0,AND(J9=0,K9&lt;&gt;0)))</f>
        <v>0</v>
      </c>
      <c r="BE9" s="971" t="b">
        <f t="shared" ref="BE9:BE40" si="25">IF(OR(ISNA($Z9),K9&lt;&gt;"D"),FALSE,IF(OR(AND(H9="NG",J9=0),AND(H9&lt;&gt;"NG",NOT(OR(J9="NA",J9=0)))),TRUE,FALSE))</f>
        <v>0</v>
      </c>
      <c r="BF9" s="973" t="b">
        <f t="shared" ref="BF9:BF40" si="26">IF(OR(ISNA($Z9),H9&lt;&gt;"NG"),FALSE,IF(AND(J9="NA",K9&lt;&gt;""),TRUE,FALSE))</f>
        <v>0</v>
      </c>
      <c r="BG9" s="921" t="b">
        <f t="shared" ref="BG9:BG40" si="27">IF(ISNA($Z9),"NA",IF(OR(AZ9,AY9,AX9,AW9,AP9,BA9,BB9),TRUE,FALSE))</f>
        <v>1</v>
      </c>
      <c r="BH9" s="974">
        <f t="shared" ref="BH9:BH40" si="28">IF(ISNA($Z9),"",IF(OR($Z9=1,$Z9=2),"",$V9))</f>
        <v>1</v>
      </c>
      <c r="BI9" s="921">
        <f t="shared" ref="BI9:BI40" si="29">IF(ISNA($Z9),"",IF(OR($Z9=1,$Z9=2,$G9=""),"",IF(AB9=0,AH9,$AD9)))</f>
        <v>3</v>
      </c>
      <c r="BJ9" s="921" t="str">
        <f t="shared" ref="BJ9:BJ40" si="30">IF(ISNA(AE9),"",IF(OR(Z9=1,Z9=2),"",IF(OR(AE9=0,AD9="NG"),TEXT(BI9,"0"),CONCATENATE(TEXT(BI9,"0"),"*"))))</f>
        <v>3*</v>
      </c>
      <c r="BK9" s="921">
        <f t="shared" ref="BK9:BK40" si="31">IF(ISNA($Z9),"",IF(OR($Z9=1,$Z9=2,$G9=""),"",IF(AB9=0,AG9,$AC9)))</f>
        <v>3</v>
      </c>
      <c r="BL9" s="974">
        <f t="shared" ref="BL9:BL40" si="32">IF(ISBLANK(BH9),"",IF(BH9=0,"",BH9))</f>
        <v>1</v>
      </c>
      <c r="BM9" s="921">
        <f t="shared" ref="BM9:BM40" si="33">IF($BH9=0,"",IF($BI9="NG","D",$BI9))</f>
        <v>3</v>
      </c>
      <c r="BN9" s="921">
        <f t="shared" ref="BN9:BN40" si="34">IF(ISNA(U9),"",IF($BH9=0,"",IF($BI9="NG","D",BK9)))</f>
        <v>3</v>
      </c>
      <c r="BO9" s="924">
        <v>2</v>
      </c>
      <c r="BP9" s="975" t="s">
        <v>571</v>
      </c>
      <c r="BX9" s="976"/>
      <c r="BY9" s="900"/>
      <c r="BZ9" s="900"/>
      <c r="CA9" s="900"/>
      <c r="CB9" s="900"/>
      <c r="CC9" s="900"/>
    </row>
    <row r="10" spans="2:93" s="923" customFormat="1" ht="12.95" customHeight="1" x14ac:dyDescent="0.25">
      <c r="B10" s="977">
        <f>IF(ISNA(Z10),"",IF(OR(Z10=1,Z10=2),"    ",MAX($B$9:B9)+1))</f>
        <v>2</v>
      </c>
      <c r="C10" s="1492" t="str">
        <f t="shared" si="0"/>
        <v xml:space="preserve">      - Test Conduct (16.7%)</v>
      </c>
      <c r="D10" s="1492"/>
      <c r="E10" s="1492"/>
      <c r="F10" s="1493"/>
      <c r="G10" s="958">
        <f t="shared" si="1"/>
        <v>1</v>
      </c>
      <c r="H10" s="959" t="str">
        <f t="shared" si="2"/>
        <v>3*</v>
      </c>
      <c r="I10" s="978">
        <f t="shared" si="2"/>
        <v>3</v>
      </c>
      <c r="J10" s="979"/>
      <c r="K10" s="980"/>
      <c r="L10" s="1075"/>
      <c r="M10" s="1076"/>
      <c r="N10" s="1076"/>
      <c r="O10" s="1076"/>
      <c r="P10" s="1076"/>
      <c r="Q10" s="1076"/>
      <c r="R10" s="1077"/>
      <c r="T10" s="917">
        <v>2</v>
      </c>
      <c r="U10" s="905" t="s">
        <v>572</v>
      </c>
      <c r="V10" s="963">
        <v>1</v>
      </c>
      <c r="W10" s="963">
        <v>1</v>
      </c>
      <c r="X10" s="963" t="s">
        <v>212</v>
      </c>
      <c r="Y10" s="963" t="s">
        <v>212</v>
      </c>
      <c r="Z10" s="972" t="s">
        <v>212</v>
      </c>
      <c r="AA10" s="972">
        <v>2</v>
      </c>
      <c r="AB10" s="972">
        <v>1</v>
      </c>
      <c r="AC10" s="963">
        <v>3</v>
      </c>
      <c r="AD10" s="963">
        <v>3</v>
      </c>
      <c r="AE10" s="963">
        <v>1</v>
      </c>
      <c r="AF10" s="963" t="b">
        <v>1</v>
      </c>
      <c r="AG10" s="963">
        <f t="shared" si="3"/>
        <v>3</v>
      </c>
      <c r="AH10" s="963">
        <f t="shared" si="4"/>
        <v>2</v>
      </c>
      <c r="AI10" s="964">
        <f>IF(NOT(OR(Z10=1,Z10=2)),IF(AQ10&gt;0,$AR$45*AQ10/SUMIF($AQ$9:$AQ$40,"&gt;0"),IF(AU10&gt;0,$AV$45*AU10/SUMIF($AU$9:$AU$40,"&gt;0"),IF(AS10&gt;0,$AT$45*AS10/SUMIF($AS$9:$AS$40,"&gt;0"),""))),IF(SUMIF(AJ11:$AJ$40,"=" &amp; AJ10,AI11:$AI$40)=0,"",SUMIF(AJ11:$AJ$40,"=" &amp; AJ10,AI11:$AI$40)))</f>
        <v>0.16666666666666666</v>
      </c>
      <c r="AJ10" s="965">
        <f t="shared" ref="AJ10:AJ40" si="35">IF(OR(Z10=1,Z10=2,AA10&lt;AA9),AJ9+1,AJ9)</f>
        <v>0</v>
      </c>
      <c r="AK10" s="963">
        <f t="shared" si="5"/>
        <v>3</v>
      </c>
      <c r="AL10" s="972" t="str">
        <f t="shared" si="6"/>
        <v/>
      </c>
      <c r="AM10" s="972" t="str">
        <f t="shared" si="7"/>
        <v/>
      </c>
      <c r="AN10" s="972" t="str">
        <f t="shared" si="8"/>
        <v/>
      </c>
      <c r="AO10" s="972" t="str">
        <f t="shared" si="9"/>
        <v/>
      </c>
      <c r="AP10" s="963" t="b">
        <f t="shared" si="10"/>
        <v>1</v>
      </c>
      <c r="AQ10" s="966">
        <f t="shared" si="11"/>
        <v>1</v>
      </c>
      <c r="AR10" s="967" t="str">
        <f t="shared" si="12"/>
        <v/>
      </c>
      <c r="AS10" s="968">
        <f t="shared" si="13"/>
        <v>0</v>
      </c>
      <c r="AT10" s="967" t="str">
        <f t="shared" si="14"/>
        <v/>
      </c>
      <c r="AU10" s="969">
        <f t="shared" si="15"/>
        <v>0</v>
      </c>
      <c r="AV10" s="970" t="str">
        <f t="shared" si="16"/>
        <v/>
      </c>
      <c r="AW10" s="969" t="b">
        <f t="shared" si="17"/>
        <v>0</v>
      </c>
      <c r="AX10" s="971" t="b">
        <f t="shared" si="18"/>
        <v>1</v>
      </c>
      <c r="AY10" s="969" t="b">
        <f t="shared" si="19"/>
        <v>0</v>
      </c>
      <c r="AZ10" s="971" t="b">
        <f t="shared" si="20"/>
        <v>0</v>
      </c>
      <c r="BA10" s="963" t="b">
        <f t="shared" si="21"/>
        <v>0</v>
      </c>
      <c r="BB10" s="963" t="b">
        <f t="shared" si="22"/>
        <v>0</v>
      </c>
      <c r="BC10" s="969" t="b">
        <f t="shared" si="23"/>
        <v>0</v>
      </c>
      <c r="BD10" s="972" t="b">
        <f t="shared" si="24"/>
        <v>0</v>
      </c>
      <c r="BE10" s="971" t="b">
        <f t="shared" si="25"/>
        <v>0</v>
      </c>
      <c r="BF10" s="973" t="b">
        <f t="shared" si="26"/>
        <v>0</v>
      </c>
      <c r="BG10" s="921" t="b">
        <f t="shared" si="27"/>
        <v>1</v>
      </c>
      <c r="BH10" s="921">
        <f t="shared" si="28"/>
        <v>1</v>
      </c>
      <c r="BI10" s="921">
        <f t="shared" si="29"/>
        <v>3</v>
      </c>
      <c r="BJ10" s="921" t="str">
        <f t="shared" si="30"/>
        <v>3*</v>
      </c>
      <c r="BK10" s="921">
        <f t="shared" si="31"/>
        <v>3</v>
      </c>
      <c r="BL10" s="974">
        <f t="shared" si="32"/>
        <v>1</v>
      </c>
      <c r="BM10" s="921">
        <f t="shared" si="33"/>
        <v>3</v>
      </c>
      <c r="BN10" s="921">
        <f t="shared" si="34"/>
        <v>3</v>
      </c>
      <c r="BO10" s="924">
        <v>3</v>
      </c>
      <c r="BP10" s="975" t="s">
        <v>556</v>
      </c>
      <c r="BX10" s="900"/>
      <c r="BY10" s="900"/>
      <c r="BZ10" s="900"/>
      <c r="CA10" s="900"/>
      <c r="CB10" s="900"/>
      <c r="CC10" s="900"/>
    </row>
    <row r="11" spans="2:93" s="923" customFormat="1" ht="12.95" customHeight="1" x14ac:dyDescent="0.25">
      <c r="B11" s="977">
        <f>IF(ISNA(Z11),"",IF(OR(Z11=1,Z11=2),"    ",MAX($B$9:B10)+1))</f>
        <v>3</v>
      </c>
      <c r="C11" s="1492" t="str">
        <f t="shared" si="0"/>
        <v xml:space="preserve">      -  Data Collection (16.7%)</v>
      </c>
      <c r="D11" s="1492"/>
      <c r="E11" s="1492"/>
      <c r="F11" s="1493"/>
      <c r="G11" s="958">
        <f t="shared" si="1"/>
        <v>1</v>
      </c>
      <c r="H11" s="959" t="str">
        <f t="shared" si="2"/>
        <v>2*</v>
      </c>
      <c r="I11" s="978">
        <f t="shared" si="2"/>
        <v>3</v>
      </c>
      <c r="J11" s="981"/>
      <c r="K11" s="980"/>
      <c r="L11" s="1075"/>
      <c r="M11" s="1076"/>
      <c r="N11" s="1076"/>
      <c r="O11" s="1076"/>
      <c r="P11" s="1076"/>
      <c r="Q11" s="1076"/>
      <c r="R11" s="1077"/>
      <c r="T11" s="917">
        <v>3</v>
      </c>
      <c r="U11" s="905" t="s">
        <v>573</v>
      </c>
      <c r="V11" s="963">
        <v>1</v>
      </c>
      <c r="W11" s="963">
        <v>1</v>
      </c>
      <c r="X11" s="963" t="s">
        <v>212</v>
      </c>
      <c r="Y11" s="963" t="s">
        <v>212</v>
      </c>
      <c r="Z11" s="972" t="s">
        <v>212</v>
      </c>
      <c r="AA11" s="972">
        <v>2</v>
      </c>
      <c r="AB11" s="972">
        <v>1</v>
      </c>
      <c r="AC11" s="963">
        <v>3</v>
      </c>
      <c r="AD11" s="963">
        <v>2</v>
      </c>
      <c r="AE11" s="963">
        <v>1</v>
      </c>
      <c r="AF11" s="963" t="b">
        <v>1</v>
      </c>
      <c r="AG11" s="963">
        <f t="shared" si="3"/>
        <v>2</v>
      </c>
      <c r="AH11" s="963">
        <f t="shared" si="4"/>
        <v>1</v>
      </c>
      <c r="AI11" s="964">
        <f>IF(NOT(OR(Z11=1,Z11=2)),IF(AQ11&gt;0,$AR$45*AQ11/SUMIF($AQ$9:$AQ$40,"&gt;0"),IF(AU11&gt;0,$AV$45*AU11/SUMIF($AU$9:$AU$40,"&gt;0"),IF(AS11&gt;0,$AT$45*AS11/SUMIF($AS$9:$AS$40,"&gt;0"),""))),IF(SUMIF(AJ12:$AJ$40,"=" &amp; AJ11,AI12:$AI$40)=0,"",SUMIF(AJ12:$AJ$40,"=" &amp; AJ11,AI12:$AI$40)))</f>
        <v>0.16666666666666666</v>
      </c>
      <c r="AJ11" s="965">
        <f t="shared" si="35"/>
        <v>0</v>
      </c>
      <c r="AK11" s="963">
        <f t="shared" si="5"/>
        <v>2</v>
      </c>
      <c r="AL11" s="972" t="str">
        <f t="shared" si="6"/>
        <v/>
      </c>
      <c r="AM11" s="972" t="str">
        <f t="shared" si="7"/>
        <v/>
      </c>
      <c r="AN11" s="972" t="str">
        <f t="shared" si="8"/>
        <v/>
      </c>
      <c r="AO11" s="972" t="str">
        <f t="shared" si="9"/>
        <v/>
      </c>
      <c r="AP11" s="963" t="b">
        <f t="shared" si="10"/>
        <v>1</v>
      </c>
      <c r="AQ11" s="966">
        <f t="shared" si="11"/>
        <v>1</v>
      </c>
      <c r="AR11" s="967" t="str">
        <f t="shared" si="12"/>
        <v/>
      </c>
      <c r="AS11" s="968">
        <f t="shared" si="13"/>
        <v>0</v>
      </c>
      <c r="AT11" s="967" t="str">
        <f t="shared" si="14"/>
        <v/>
      </c>
      <c r="AU11" s="969">
        <f t="shared" si="15"/>
        <v>0</v>
      </c>
      <c r="AV11" s="970" t="str">
        <f t="shared" si="16"/>
        <v/>
      </c>
      <c r="AW11" s="969" t="b">
        <f t="shared" si="17"/>
        <v>0</v>
      </c>
      <c r="AX11" s="971" t="b">
        <f t="shared" si="18"/>
        <v>1</v>
      </c>
      <c r="AY11" s="969" t="b">
        <f t="shared" si="19"/>
        <v>0</v>
      </c>
      <c r="AZ11" s="971" t="b">
        <f t="shared" si="20"/>
        <v>0</v>
      </c>
      <c r="BA11" s="963" t="b">
        <f t="shared" si="21"/>
        <v>0</v>
      </c>
      <c r="BB11" s="963" t="b">
        <f t="shared" si="22"/>
        <v>0</v>
      </c>
      <c r="BC11" s="969" t="b">
        <f t="shared" si="23"/>
        <v>0</v>
      </c>
      <c r="BD11" s="972" t="b">
        <f t="shared" si="24"/>
        <v>0</v>
      </c>
      <c r="BE11" s="971" t="b">
        <f t="shared" si="25"/>
        <v>0</v>
      </c>
      <c r="BF11" s="973" t="b">
        <f t="shared" si="26"/>
        <v>0</v>
      </c>
      <c r="BG11" s="921" t="b">
        <f t="shared" si="27"/>
        <v>1</v>
      </c>
      <c r="BH11" s="921">
        <f t="shared" si="28"/>
        <v>1</v>
      </c>
      <c r="BI11" s="921">
        <f t="shared" si="29"/>
        <v>2</v>
      </c>
      <c r="BJ11" s="921" t="str">
        <f t="shared" si="30"/>
        <v>2*</v>
      </c>
      <c r="BK11" s="921">
        <f t="shared" si="31"/>
        <v>3</v>
      </c>
      <c r="BL11" s="974">
        <f t="shared" si="32"/>
        <v>1</v>
      </c>
      <c r="BM11" s="921">
        <f t="shared" si="33"/>
        <v>2</v>
      </c>
      <c r="BN11" s="921">
        <f t="shared" si="34"/>
        <v>3</v>
      </c>
      <c r="BO11" s="924">
        <v>4</v>
      </c>
      <c r="BP11" s="975" t="s">
        <v>561</v>
      </c>
      <c r="BX11" s="982"/>
      <c r="BY11" s="975"/>
      <c r="BZ11" s="975"/>
      <c r="CB11" s="975"/>
    </row>
    <row r="12" spans="2:93" s="923" customFormat="1" ht="12.95" customHeight="1" x14ac:dyDescent="0.25">
      <c r="B12" s="977">
        <f>IF(ISNA(Z12),"",IF(OR(Z12=1,Z12=2),"    ",MAX($B$9:B11)+1))</f>
        <v>4</v>
      </c>
      <c r="C12" s="1492" t="str">
        <f t="shared" si="0"/>
        <v xml:space="preserve">      - Critical Thinking (16.7%)</v>
      </c>
      <c r="D12" s="1492"/>
      <c r="E12" s="1492"/>
      <c r="F12" s="1493"/>
      <c r="G12" s="958">
        <f t="shared" si="1"/>
        <v>1</v>
      </c>
      <c r="H12" s="959" t="str">
        <f t="shared" si="2"/>
        <v>2*</v>
      </c>
      <c r="I12" s="978">
        <f t="shared" si="2"/>
        <v>3</v>
      </c>
      <c r="J12" s="981"/>
      <c r="K12" s="980"/>
      <c r="L12" s="1075"/>
      <c r="M12" s="1076"/>
      <c r="N12" s="1076"/>
      <c r="O12" s="1076"/>
      <c r="P12" s="1076"/>
      <c r="Q12" s="1076"/>
      <c r="R12" s="1077"/>
      <c r="T12" s="917">
        <v>4</v>
      </c>
      <c r="U12" s="905" t="s">
        <v>574</v>
      </c>
      <c r="V12" s="963">
        <v>1</v>
      </c>
      <c r="W12" s="963">
        <v>1</v>
      </c>
      <c r="X12" s="963" t="s">
        <v>212</v>
      </c>
      <c r="Y12" s="963" t="s">
        <v>212</v>
      </c>
      <c r="Z12" s="972" t="s">
        <v>212</v>
      </c>
      <c r="AA12" s="972">
        <v>2</v>
      </c>
      <c r="AB12" s="972">
        <v>1</v>
      </c>
      <c r="AC12" s="963">
        <v>3</v>
      </c>
      <c r="AD12" s="963">
        <v>2</v>
      </c>
      <c r="AE12" s="963">
        <v>1</v>
      </c>
      <c r="AF12" s="963" t="b">
        <v>1</v>
      </c>
      <c r="AG12" s="963">
        <f t="shared" si="3"/>
        <v>2</v>
      </c>
      <c r="AH12" s="963">
        <f t="shared" si="4"/>
        <v>1</v>
      </c>
      <c r="AI12" s="964">
        <f>IF(NOT(OR(Z12=1,Z12=2)),IF(AQ12&gt;0,$AR$45*AQ12/SUMIF($AQ$9:$AQ$40,"&gt;0"),IF(AU12&gt;0,$AV$45*AU12/SUMIF($AU$9:$AU$40,"&gt;0"),IF(AS12&gt;0,$AT$45*AS12/SUMIF($AS$9:$AS$40,"&gt;0"),""))),IF(SUMIF(AJ13:$AJ$40,"=" &amp; AJ12,AI13:$AI$40)=0,"",SUMIF(AJ13:$AJ$40,"=" &amp; AJ12,AI13:$AI$40)))</f>
        <v>0.16666666666666666</v>
      </c>
      <c r="AJ12" s="965">
        <f t="shared" si="35"/>
        <v>0</v>
      </c>
      <c r="AK12" s="963">
        <f t="shared" si="5"/>
        <v>2</v>
      </c>
      <c r="AL12" s="972" t="str">
        <f t="shared" si="6"/>
        <v/>
      </c>
      <c r="AM12" s="972" t="str">
        <f t="shared" si="7"/>
        <v/>
      </c>
      <c r="AN12" s="972" t="str">
        <f t="shared" si="8"/>
        <v/>
      </c>
      <c r="AO12" s="972" t="str">
        <f t="shared" si="9"/>
        <v/>
      </c>
      <c r="AP12" s="963" t="b">
        <f t="shared" si="10"/>
        <v>1</v>
      </c>
      <c r="AQ12" s="966">
        <f t="shared" si="11"/>
        <v>1</v>
      </c>
      <c r="AR12" s="967" t="str">
        <f t="shared" si="12"/>
        <v/>
      </c>
      <c r="AS12" s="968">
        <f t="shared" si="13"/>
        <v>0</v>
      </c>
      <c r="AT12" s="967" t="str">
        <f t="shared" si="14"/>
        <v/>
      </c>
      <c r="AU12" s="969">
        <f t="shared" si="15"/>
        <v>0</v>
      </c>
      <c r="AV12" s="970" t="str">
        <f t="shared" si="16"/>
        <v/>
      </c>
      <c r="AW12" s="969" t="b">
        <f t="shared" si="17"/>
        <v>0</v>
      </c>
      <c r="AX12" s="971" t="b">
        <f t="shared" si="18"/>
        <v>1</v>
      </c>
      <c r="AY12" s="969" t="b">
        <f t="shared" si="19"/>
        <v>0</v>
      </c>
      <c r="AZ12" s="971" t="b">
        <f t="shared" si="20"/>
        <v>0</v>
      </c>
      <c r="BA12" s="963" t="b">
        <f t="shared" si="21"/>
        <v>0</v>
      </c>
      <c r="BB12" s="963" t="b">
        <f t="shared" si="22"/>
        <v>0</v>
      </c>
      <c r="BC12" s="969" t="b">
        <f t="shared" si="23"/>
        <v>0</v>
      </c>
      <c r="BD12" s="972" t="b">
        <f t="shared" si="24"/>
        <v>0</v>
      </c>
      <c r="BE12" s="971" t="b">
        <f t="shared" si="25"/>
        <v>0</v>
      </c>
      <c r="BF12" s="973" t="b">
        <f t="shared" si="26"/>
        <v>0</v>
      </c>
      <c r="BG12" s="921" t="b">
        <f t="shared" si="27"/>
        <v>1</v>
      </c>
      <c r="BH12" s="921">
        <f t="shared" si="28"/>
        <v>1</v>
      </c>
      <c r="BI12" s="921">
        <f t="shared" si="29"/>
        <v>2</v>
      </c>
      <c r="BJ12" s="921" t="str">
        <f t="shared" si="30"/>
        <v>2*</v>
      </c>
      <c r="BK12" s="921">
        <f t="shared" si="31"/>
        <v>3</v>
      </c>
      <c r="BL12" s="974">
        <f t="shared" si="32"/>
        <v>1</v>
      </c>
      <c r="BM12" s="921">
        <f t="shared" si="33"/>
        <v>2</v>
      </c>
      <c r="BN12" s="921">
        <f t="shared" si="34"/>
        <v>3</v>
      </c>
      <c r="BO12" s="922" t="s">
        <v>221</v>
      </c>
      <c r="BP12" s="925"/>
      <c r="CE12" s="922" t="s">
        <v>575</v>
      </c>
      <c r="CF12" s="925"/>
    </row>
    <row r="13" spans="2:93" s="923" customFormat="1" ht="12.95" customHeight="1" x14ac:dyDescent="0.25">
      <c r="B13" s="977">
        <f>IF(ISNA(Z13),"",IF(OR(Z13=1,Z13=2),"    ",MAX($B$9:B12)+1))</f>
        <v>5</v>
      </c>
      <c r="C13" s="1492" t="str">
        <f t="shared" si="0"/>
        <v xml:space="preserve">      - Risk Management, Statutory Requirments, and Sustainability (16.7%)</v>
      </c>
      <c r="D13" s="1492"/>
      <c r="E13" s="1492"/>
      <c r="F13" s="1493"/>
      <c r="G13" s="958">
        <f t="shared" si="1"/>
        <v>1</v>
      </c>
      <c r="H13" s="959" t="str">
        <f t="shared" si="2"/>
        <v>2*</v>
      </c>
      <c r="I13" s="978">
        <f t="shared" si="2"/>
        <v>3</v>
      </c>
      <c r="J13" s="981"/>
      <c r="K13" s="980"/>
      <c r="L13" s="1075"/>
      <c r="M13" s="1076"/>
      <c r="N13" s="1076"/>
      <c r="O13" s="1076"/>
      <c r="P13" s="1076"/>
      <c r="Q13" s="1076"/>
      <c r="R13" s="1077"/>
      <c r="T13" s="917">
        <v>5</v>
      </c>
      <c r="U13" s="905" t="s">
        <v>576</v>
      </c>
      <c r="V13" s="963">
        <v>1</v>
      </c>
      <c r="W13" s="963">
        <v>1</v>
      </c>
      <c r="X13" s="963" t="s">
        <v>212</v>
      </c>
      <c r="Y13" s="963" t="s">
        <v>212</v>
      </c>
      <c r="Z13" s="972" t="s">
        <v>212</v>
      </c>
      <c r="AA13" s="972">
        <v>2</v>
      </c>
      <c r="AB13" s="972">
        <v>1</v>
      </c>
      <c r="AC13" s="963">
        <v>3</v>
      </c>
      <c r="AD13" s="963">
        <v>2</v>
      </c>
      <c r="AE13" s="963">
        <v>1</v>
      </c>
      <c r="AF13" s="963" t="b">
        <v>1</v>
      </c>
      <c r="AG13" s="963">
        <f t="shared" si="3"/>
        <v>2</v>
      </c>
      <c r="AH13" s="963">
        <f t="shared" si="4"/>
        <v>1</v>
      </c>
      <c r="AI13" s="964">
        <f>IF(NOT(OR(Z13=1,Z13=2)),IF(AQ13&gt;0,$AR$45*AQ13/SUMIF($AQ$9:$AQ$40,"&gt;0"),IF(AU13&gt;0,$AV$45*AU13/SUMIF($AU$9:$AU$40,"&gt;0"),IF(AS13&gt;0,$AT$45*AS13/SUMIF($AS$9:$AS$40,"&gt;0"),""))),IF(SUMIF(AJ14:$AJ$40,"=" &amp; AJ13,AI14:$AI$40)=0,"",SUMIF(AJ14:$AJ$40,"=" &amp; AJ13,AI14:$AI$40)))</f>
        <v>0.16666666666666666</v>
      </c>
      <c r="AJ13" s="965">
        <f t="shared" si="35"/>
        <v>0</v>
      </c>
      <c r="AK13" s="963">
        <f t="shared" si="5"/>
        <v>2</v>
      </c>
      <c r="AL13" s="972" t="str">
        <f t="shared" si="6"/>
        <v/>
      </c>
      <c r="AM13" s="972" t="str">
        <f t="shared" si="7"/>
        <v/>
      </c>
      <c r="AN13" s="972" t="str">
        <f t="shared" si="8"/>
        <v/>
      </c>
      <c r="AO13" s="972" t="str">
        <f t="shared" si="9"/>
        <v/>
      </c>
      <c r="AP13" s="963" t="b">
        <f t="shared" si="10"/>
        <v>1</v>
      </c>
      <c r="AQ13" s="966">
        <f t="shared" si="11"/>
        <v>1</v>
      </c>
      <c r="AR13" s="967" t="str">
        <f t="shared" si="12"/>
        <v/>
      </c>
      <c r="AS13" s="968">
        <f t="shared" si="13"/>
        <v>0</v>
      </c>
      <c r="AT13" s="967" t="str">
        <f t="shared" si="14"/>
        <v/>
      </c>
      <c r="AU13" s="969">
        <f t="shared" si="15"/>
        <v>0</v>
      </c>
      <c r="AV13" s="970" t="str">
        <f t="shared" si="16"/>
        <v/>
      </c>
      <c r="AW13" s="969" t="b">
        <f t="shared" si="17"/>
        <v>0</v>
      </c>
      <c r="AX13" s="971" t="b">
        <f t="shared" si="18"/>
        <v>1</v>
      </c>
      <c r="AY13" s="969" t="b">
        <f t="shared" si="19"/>
        <v>0</v>
      </c>
      <c r="AZ13" s="971" t="b">
        <f t="shared" si="20"/>
        <v>0</v>
      </c>
      <c r="BA13" s="963" t="b">
        <f t="shared" si="21"/>
        <v>0</v>
      </c>
      <c r="BB13" s="963" t="b">
        <f t="shared" si="22"/>
        <v>0</v>
      </c>
      <c r="BC13" s="969" t="b">
        <f t="shared" si="23"/>
        <v>0</v>
      </c>
      <c r="BD13" s="972" t="b">
        <f t="shared" si="24"/>
        <v>0</v>
      </c>
      <c r="BE13" s="971" t="b">
        <f t="shared" si="25"/>
        <v>0</v>
      </c>
      <c r="BF13" s="973" t="b">
        <f t="shared" si="26"/>
        <v>0</v>
      </c>
      <c r="BG13" s="921" t="b">
        <f t="shared" si="27"/>
        <v>1</v>
      </c>
      <c r="BH13" s="921">
        <f t="shared" si="28"/>
        <v>1</v>
      </c>
      <c r="BI13" s="921">
        <f t="shared" si="29"/>
        <v>2</v>
      </c>
      <c r="BJ13" s="921" t="str">
        <f t="shared" si="30"/>
        <v>2*</v>
      </c>
      <c r="BK13" s="921">
        <f t="shared" si="31"/>
        <v>3</v>
      </c>
      <c r="BL13" s="974">
        <f t="shared" si="32"/>
        <v>1</v>
      </c>
      <c r="BM13" s="921">
        <f t="shared" si="33"/>
        <v>2</v>
      </c>
      <c r="BN13" s="921">
        <f t="shared" si="34"/>
        <v>3</v>
      </c>
      <c r="BO13" s="924" t="s">
        <v>214</v>
      </c>
      <c r="BP13" s="925" t="s">
        <v>215</v>
      </c>
      <c r="CE13" s="924" t="s">
        <v>214</v>
      </c>
      <c r="CF13" s="925" t="s">
        <v>215</v>
      </c>
    </row>
    <row r="14" spans="2:93" s="923" customFormat="1" ht="12.95" customHeight="1" x14ac:dyDescent="0.25">
      <c r="B14" s="977">
        <f>IF(ISNA(Z14),"",IF(OR(Z14=1,Z14=2),"    ",MAX($B$9:B13)+1))</f>
        <v>6</v>
      </c>
      <c r="C14" s="1492" t="str">
        <f t="shared" si="0"/>
        <v xml:space="preserve">      - Communication (16.7%)</v>
      </c>
      <c r="D14" s="1492"/>
      <c r="E14" s="1492"/>
      <c r="F14" s="1493"/>
      <c r="G14" s="958">
        <f t="shared" si="1"/>
        <v>1</v>
      </c>
      <c r="H14" s="959" t="str">
        <f t="shared" si="2"/>
        <v>3*</v>
      </c>
      <c r="I14" s="978">
        <f t="shared" si="2"/>
        <v>3</v>
      </c>
      <c r="J14" s="981"/>
      <c r="K14" s="980"/>
      <c r="L14" s="1075"/>
      <c r="M14" s="1076"/>
      <c r="N14" s="1076"/>
      <c r="O14" s="1076"/>
      <c r="P14" s="1076"/>
      <c r="Q14" s="1076"/>
      <c r="R14" s="1077"/>
      <c r="T14" s="917">
        <v>6</v>
      </c>
      <c r="U14" s="905" t="s">
        <v>447</v>
      </c>
      <c r="V14" s="963">
        <v>1</v>
      </c>
      <c r="W14" s="963">
        <v>1</v>
      </c>
      <c r="X14" s="963" t="s">
        <v>212</v>
      </c>
      <c r="Y14" s="963" t="s">
        <v>212</v>
      </c>
      <c r="Z14" s="972" t="s">
        <v>212</v>
      </c>
      <c r="AA14" s="972">
        <v>2</v>
      </c>
      <c r="AB14" s="972">
        <v>1</v>
      </c>
      <c r="AC14" s="963">
        <v>3</v>
      </c>
      <c r="AD14" s="963">
        <v>3</v>
      </c>
      <c r="AE14" s="963">
        <v>1</v>
      </c>
      <c r="AF14" s="963" t="b">
        <v>1</v>
      </c>
      <c r="AG14" s="963">
        <f t="shared" ref="AG14:AG40" si="36">IF(CrewSoloQual="Yes",$AC14,$AD14)</f>
        <v>3</v>
      </c>
      <c r="AH14" s="963">
        <f t="shared" ref="AH14:AH40" si="37">IF(ISNUMBER(AC14),IF(CrewSoloQual="Yes",$AC14-1,$AD14-1),"")</f>
        <v>2</v>
      </c>
      <c r="AI14" s="964">
        <f>IF(NOT(OR(Z14=1,Z14=2)),IF(AQ14&gt;0,$AR$45*AQ14/SUMIF($AQ$9:$AQ$40,"&gt;0"),IF(AU14&gt;0,$AV$45*AU14/SUMIF($AU$9:$AU$40,"&gt;0"),IF(AS14&gt;0,$AT$45*AS14/SUMIF($AS$9:$AS$40,"&gt;0"),""))),IF(SUMIF(AJ15:$AJ$40,"=" &amp; AJ14,AI15:$AI$40)=0,"",SUMIF(AJ15:$AJ$40,"=" &amp; AJ14,AI15:$AI$40)))</f>
        <v>0.16666666666666666</v>
      </c>
      <c r="AJ14" s="965">
        <f t="shared" si="35"/>
        <v>0</v>
      </c>
      <c r="AK14" s="963">
        <f t="shared" si="5"/>
        <v>3</v>
      </c>
      <c r="AL14" s="972" t="str">
        <f t="shared" si="6"/>
        <v/>
      </c>
      <c r="AM14" s="972" t="str">
        <f t="shared" si="7"/>
        <v/>
      </c>
      <c r="AN14" s="972" t="str">
        <f t="shared" si="8"/>
        <v/>
      </c>
      <c r="AO14" s="972" t="str">
        <f t="shared" si="9"/>
        <v/>
      </c>
      <c r="AP14" s="963" t="b">
        <f t="shared" si="10"/>
        <v>1</v>
      </c>
      <c r="AQ14" s="966">
        <f t="shared" si="11"/>
        <v>1</v>
      </c>
      <c r="AR14" s="967" t="str">
        <f t="shared" si="12"/>
        <v/>
      </c>
      <c r="AS14" s="968">
        <f t="shared" si="13"/>
        <v>0</v>
      </c>
      <c r="AT14" s="967" t="str">
        <f t="shared" si="14"/>
        <v/>
      </c>
      <c r="AU14" s="969">
        <f t="shared" si="15"/>
        <v>0</v>
      </c>
      <c r="AV14" s="970" t="str">
        <f t="shared" si="16"/>
        <v/>
      </c>
      <c r="AW14" s="969" t="b">
        <f t="shared" si="17"/>
        <v>0</v>
      </c>
      <c r="AX14" s="971" t="b">
        <f t="shared" si="18"/>
        <v>1</v>
      </c>
      <c r="AY14" s="969" t="b">
        <f t="shared" si="19"/>
        <v>0</v>
      </c>
      <c r="AZ14" s="971" t="b">
        <f t="shared" si="20"/>
        <v>0</v>
      </c>
      <c r="BA14" s="963" t="b">
        <f t="shared" si="21"/>
        <v>0</v>
      </c>
      <c r="BB14" s="963" t="b">
        <f t="shared" si="22"/>
        <v>0</v>
      </c>
      <c r="BC14" s="969" t="b">
        <f t="shared" si="23"/>
        <v>0</v>
      </c>
      <c r="BD14" s="972" t="b">
        <f t="shared" si="24"/>
        <v>0</v>
      </c>
      <c r="BE14" s="971" t="b">
        <f t="shared" si="25"/>
        <v>0</v>
      </c>
      <c r="BF14" s="973" t="b">
        <f t="shared" si="26"/>
        <v>0</v>
      </c>
      <c r="BG14" s="921" t="b">
        <f t="shared" si="27"/>
        <v>1</v>
      </c>
      <c r="BH14" s="921">
        <f t="shared" si="28"/>
        <v>1</v>
      </c>
      <c r="BI14" s="921">
        <f t="shared" si="29"/>
        <v>3</v>
      </c>
      <c r="BJ14" s="921" t="str">
        <f t="shared" si="30"/>
        <v>3*</v>
      </c>
      <c r="BK14" s="921">
        <f t="shared" si="31"/>
        <v>3</v>
      </c>
      <c r="BL14" s="974">
        <f t="shared" si="32"/>
        <v>1</v>
      </c>
      <c r="BM14" s="921">
        <f t="shared" si="33"/>
        <v>3</v>
      </c>
      <c r="BN14" s="921">
        <f t="shared" si="34"/>
        <v>3</v>
      </c>
      <c r="BO14" s="924">
        <v>0</v>
      </c>
      <c r="BP14" s="925" t="s">
        <v>577</v>
      </c>
      <c r="CE14" s="924">
        <v>0</v>
      </c>
      <c r="CF14" s="925" t="s">
        <v>578</v>
      </c>
    </row>
    <row r="15" spans="2:93" s="923" customFormat="1" ht="12.95" customHeight="1" x14ac:dyDescent="0.25">
      <c r="B15" s="977" t="str">
        <f>IF(ISNA(Z15),"",IF(OR(Z15=1,Z15=2),"    ",MAX($B$9:B14)+1))</f>
        <v/>
      </c>
      <c r="C15" s="1492" t="str">
        <f t="shared" si="0"/>
        <v/>
      </c>
      <c r="D15" s="1492"/>
      <c r="E15" s="1492"/>
      <c r="F15" s="1493"/>
      <c r="G15" s="958" t="str">
        <f t="shared" si="1"/>
        <v/>
      </c>
      <c r="H15" s="959" t="str">
        <f t="shared" si="2"/>
        <v/>
      </c>
      <c r="I15" s="978" t="str">
        <f t="shared" si="2"/>
        <v/>
      </c>
      <c r="J15" s="981"/>
      <c r="K15" s="980"/>
      <c r="L15" s="1075"/>
      <c r="M15" s="1076"/>
      <c r="N15" s="1076"/>
      <c r="O15" s="1076"/>
      <c r="P15" s="1076"/>
      <c r="Q15" s="1076"/>
      <c r="R15" s="1077"/>
      <c r="T15" s="917">
        <v>7</v>
      </c>
      <c r="U15" s="905" t="e">
        <v>#N/A</v>
      </c>
      <c r="V15" s="963" t="e">
        <v>#N/A</v>
      </c>
      <c r="W15" s="963" t="e">
        <v>#N/A</v>
      </c>
      <c r="X15" s="963" t="e">
        <v>#N/A</v>
      </c>
      <c r="Y15" s="963" t="e">
        <v>#N/A</v>
      </c>
      <c r="Z15" s="972" t="e">
        <v>#N/A</v>
      </c>
      <c r="AA15" s="972" t="e">
        <v>#N/A</v>
      </c>
      <c r="AB15" s="972" t="e">
        <v>#N/A</v>
      </c>
      <c r="AC15" s="963" t="e">
        <v>#N/A</v>
      </c>
      <c r="AD15" s="963" t="e">
        <v>#N/A</v>
      </c>
      <c r="AE15" s="963" t="e">
        <v>#N/A</v>
      </c>
      <c r="AF15" s="963" t="e">
        <v>#N/A</v>
      </c>
      <c r="AG15" s="963" t="e">
        <f t="shared" si="36"/>
        <v>#N/A</v>
      </c>
      <c r="AH15" s="963" t="str">
        <f t="shared" si="37"/>
        <v/>
      </c>
      <c r="AI15" s="964" t="e">
        <f>IF(NOT(OR(Z15=1,Z15=2)),IF(AQ15&gt;0,$AR$45*AQ15/SUMIF($AQ$9:$AQ$40,"&gt;0"),IF(AU15&gt;0,$AV$45*AU15/SUMIF($AU$9:$AU$40,"&gt;0"),IF(AS15&gt;0,$AT$45*AS15/SUMIF($AS$9:$AS$40,"&gt;0"),""))),IF(SUMIF(AJ16:$AJ$40,"=" &amp; AJ15,AI16:$AI$40)=0,"",SUMIF(AJ16:$AJ$40,"=" &amp; AJ15,AI16:$AI$40)))</f>
        <v>#N/A</v>
      </c>
      <c r="AJ15" s="965" t="e">
        <f t="shared" si="35"/>
        <v>#N/A</v>
      </c>
      <c r="AK15" s="963" t="str">
        <f t="shared" si="5"/>
        <v/>
      </c>
      <c r="AL15" s="972" t="str">
        <f t="shared" si="6"/>
        <v/>
      </c>
      <c r="AM15" s="972" t="str">
        <f t="shared" si="7"/>
        <v/>
      </c>
      <c r="AN15" s="972" t="str">
        <f t="shared" si="8"/>
        <v/>
      </c>
      <c r="AO15" s="972" t="e">
        <f t="shared" si="9"/>
        <v>#N/A</v>
      </c>
      <c r="AP15" s="963" t="str">
        <f t="shared" si="10"/>
        <v/>
      </c>
      <c r="AQ15" s="966">
        <f t="shared" si="11"/>
        <v>0</v>
      </c>
      <c r="AR15" s="967" t="str">
        <f t="shared" si="12"/>
        <v/>
      </c>
      <c r="AS15" s="968">
        <f t="shared" si="13"/>
        <v>0</v>
      </c>
      <c r="AT15" s="967" t="str">
        <f t="shared" si="14"/>
        <v/>
      </c>
      <c r="AU15" s="969">
        <f t="shared" si="15"/>
        <v>0</v>
      </c>
      <c r="AV15" s="970" t="str">
        <f t="shared" si="16"/>
        <v/>
      </c>
      <c r="AW15" s="969" t="b">
        <f t="shared" si="17"/>
        <v>0</v>
      </c>
      <c r="AX15" s="971" t="b">
        <f t="shared" si="18"/>
        <v>0</v>
      </c>
      <c r="AY15" s="969" t="b">
        <f t="shared" si="19"/>
        <v>0</v>
      </c>
      <c r="AZ15" s="971" t="b">
        <f t="shared" si="20"/>
        <v>0</v>
      </c>
      <c r="BA15" s="963" t="b">
        <f t="shared" si="21"/>
        <v>0</v>
      </c>
      <c r="BB15" s="963" t="b">
        <f t="shared" si="22"/>
        <v>0</v>
      </c>
      <c r="BC15" s="969" t="b">
        <f t="shared" si="23"/>
        <v>0</v>
      </c>
      <c r="BD15" s="972" t="b">
        <f t="shared" si="24"/>
        <v>0</v>
      </c>
      <c r="BE15" s="971" t="b">
        <f t="shared" si="25"/>
        <v>0</v>
      </c>
      <c r="BF15" s="973" t="b">
        <f t="shared" si="26"/>
        <v>0</v>
      </c>
      <c r="BG15" s="921" t="str">
        <f t="shared" si="27"/>
        <v>NA</v>
      </c>
      <c r="BH15" s="921" t="str">
        <f t="shared" si="28"/>
        <v/>
      </c>
      <c r="BI15" s="921" t="str">
        <f t="shared" si="29"/>
        <v/>
      </c>
      <c r="BJ15" s="921" t="str">
        <f t="shared" si="30"/>
        <v/>
      </c>
      <c r="BK15" s="921" t="str">
        <f t="shared" si="31"/>
        <v/>
      </c>
      <c r="BL15" s="974" t="str">
        <f t="shared" si="32"/>
        <v/>
      </c>
      <c r="BM15" s="921" t="str">
        <f t="shared" si="33"/>
        <v/>
      </c>
      <c r="BN15" s="921" t="str">
        <f t="shared" si="34"/>
        <v/>
      </c>
      <c r="BO15" s="924">
        <v>1</v>
      </c>
      <c r="BP15" s="975" t="s">
        <v>579</v>
      </c>
      <c r="CE15" s="1494">
        <v>1</v>
      </c>
      <c r="CF15" s="1495" t="s">
        <v>580</v>
      </c>
      <c r="CG15" s="1495"/>
      <c r="CH15" s="1495"/>
      <c r="CI15" s="1495"/>
      <c r="CJ15" s="1495"/>
      <c r="CK15" s="1495"/>
      <c r="CL15" s="1495"/>
      <c r="CM15" s="1495"/>
      <c r="CN15" s="1495"/>
      <c r="CO15" s="1495"/>
    </row>
    <row r="16" spans="2:93" s="923" customFormat="1" ht="12.95" customHeight="1" x14ac:dyDescent="0.25">
      <c r="B16" s="977" t="str">
        <f>IF(ISNA(Z16),"",IF(OR(Z16=1,Z16=2),"    ",MAX($B$9:B15)+1))</f>
        <v/>
      </c>
      <c r="C16" s="1492" t="str">
        <f t="shared" si="0"/>
        <v/>
      </c>
      <c r="D16" s="1492"/>
      <c r="E16" s="1492"/>
      <c r="F16" s="1493"/>
      <c r="G16" s="958" t="str">
        <f t="shared" si="1"/>
        <v/>
      </c>
      <c r="H16" s="959" t="str">
        <f t="shared" si="2"/>
        <v/>
      </c>
      <c r="I16" s="978" t="str">
        <f t="shared" si="2"/>
        <v/>
      </c>
      <c r="J16" s="981"/>
      <c r="K16" s="980"/>
      <c r="L16" s="1075"/>
      <c r="M16" s="1076"/>
      <c r="N16" s="1076"/>
      <c r="O16" s="1076"/>
      <c r="P16" s="1076"/>
      <c r="Q16" s="1076"/>
      <c r="R16" s="1077"/>
      <c r="T16" s="917">
        <v>8</v>
      </c>
      <c r="U16" s="905" t="e">
        <v>#N/A</v>
      </c>
      <c r="V16" s="963" t="e">
        <v>#N/A</v>
      </c>
      <c r="W16" s="963" t="e">
        <v>#N/A</v>
      </c>
      <c r="X16" s="963" t="e">
        <v>#N/A</v>
      </c>
      <c r="Y16" s="963" t="e">
        <v>#N/A</v>
      </c>
      <c r="Z16" s="972" t="e">
        <v>#N/A</v>
      </c>
      <c r="AA16" s="972" t="e">
        <v>#N/A</v>
      </c>
      <c r="AB16" s="972" t="e">
        <v>#N/A</v>
      </c>
      <c r="AC16" s="963" t="e">
        <v>#N/A</v>
      </c>
      <c r="AD16" s="963" t="e">
        <v>#N/A</v>
      </c>
      <c r="AE16" s="963" t="e">
        <v>#N/A</v>
      </c>
      <c r="AF16" s="963" t="e">
        <v>#N/A</v>
      </c>
      <c r="AG16" s="963" t="e">
        <f t="shared" si="36"/>
        <v>#N/A</v>
      </c>
      <c r="AH16" s="963" t="str">
        <f t="shared" si="37"/>
        <v/>
      </c>
      <c r="AI16" s="964" t="e">
        <f>IF(NOT(OR(Z16=1,Z16=2)),IF(AQ16&gt;0,$AR$45*AQ16/SUMIF($AQ$9:$AQ$40,"&gt;0"),IF(AU16&gt;0,$AV$45*AU16/SUMIF($AU$9:$AU$40,"&gt;0"),IF(AS16&gt;0,$AT$45*AS16/SUMIF($AS$9:$AS$40,"&gt;0"),""))),IF(SUMIF(AJ17:$AJ$40,"=" &amp; AJ16,AI17:$AI$40)=0,"",SUMIF(AJ17:$AJ$40,"=" &amp; AJ16,AI17:$AI$40)))</f>
        <v>#N/A</v>
      </c>
      <c r="AJ16" s="965" t="e">
        <f t="shared" si="35"/>
        <v>#N/A</v>
      </c>
      <c r="AK16" s="963" t="str">
        <f t="shared" si="5"/>
        <v/>
      </c>
      <c r="AL16" s="972" t="str">
        <f t="shared" si="6"/>
        <v/>
      </c>
      <c r="AM16" s="972" t="str">
        <f t="shared" si="7"/>
        <v/>
      </c>
      <c r="AN16" s="972" t="str">
        <f t="shared" si="8"/>
        <v/>
      </c>
      <c r="AO16" s="972" t="e">
        <f t="shared" si="9"/>
        <v>#N/A</v>
      </c>
      <c r="AP16" s="963" t="str">
        <f t="shared" si="10"/>
        <v/>
      </c>
      <c r="AQ16" s="966">
        <f t="shared" si="11"/>
        <v>0</v>
      </c>
      <c r="AR16" s="967" t="str">
        <f t="shared" si="12"/>
        <v/>
      </c>
      <c r="AS16" s="968">
        <f t="shared" si="13"/>
        <v>0</v>
      </c>
      <c r="AT16" s="967" t="str">
        <f t="shared" si="14"/>
        <v/>
      </c>
      <c r="AU16" s="969">
        <f t="shared" si="15"/>
        <v>0</v>
      </c>
      <c r="AV16" s="970" t="str">
        <f t="shared" si="16"/>
        <v/>
      </c>
      <c r="AW16" s="969" t="b">
        <f t="shared" si="17"/>
        <v>0</v>
      </c>
      <c r="AX16" s="971" t="b">
        <f t="shared" si="18"/>
        <v>0</v>
      </c>
      <c r="AY16" s="969" t="b">
        <f t="shared" si="19"/>
        <v>0</v>
      </c>
      <c r="AZ16" s="971" t="b">
        <f t="shared" si="20"/>
        <v>0</v>
      </c>
      <c r="BA16" s="963" t="b">
        <f t="shared" si="21"/>
        <v>0</v>
      </c>
      <c r="BB16" s="963" t="b">
        <f t="shared" si="22"/>
        <v>0</v>
      </c>
      <c r="BC16" s="969" t="b">
        <f t="shared" si="23"/>
        <v>0</v>
      </c>
      <c r="BD16" s="972" t="b">
        <f t="shared" si="24"/>
        <v>0</v>
      </c>
      <c r="BE16" s="971" t="b">
        <f t="shared" si="25"/>
        <v>0</v>
      </c>
      <c r="BF16" s="973" t="b">
        <f t="shared" si="26"/>
        <v>0</v>
      </c>
      <c r="BG16" s="921" t="str">
        <f t="shared" si="27"/>
        <v>NA</v>
      </c>
      <c r="BH16" s="921" t="str">
        <f t="shared" si="28"/>
        <v/>
      </c>
      <c r="BI16" s="921" t="str">
        <f t="shared" si="29"/>
        <v/>
      </c>
      <c r="BJ16" s="921" t="str">
        <f t="shared" si="30"/>
        <v/>
      </c>
      <c r="BK16" s="921" t="str">
        <f t="shared" si="31"/>
        <v/>
      </c>
      <c r="BL16" s="974" t="str">
        <f t="shared" si="32"/>
        <v/>
      </c>
      <c r="BM16" s="921" t="str">
        <f t="shared" si="33"/>
        <v/>
      </c>
      <c r="BN16" s="921" t="str">
        <f t="shared" si="34"/>
        <v/>
      </c>
      <c r="BO16" s="924">
        <v>2</v>
      </c>
      <c r="BP16" s="975" t="s">
        <v>581</v>
      </c>
      <c r="CE16" s="1494"/>
      <c r="CF16" s="1495"/>
      <c r="CG16" s="1495"/>
      <c r="CH16" s="1495"/>
      <c r="CI16" s="1495"/>
      <c r="CJ16" s="1495"/>
      <c r="CK16" s="1495"/>
      <c r="CL16" s="1495"/>
      <c r="CM16" s="1495"/>
      <c r="CN16" s="1495"/>
      <c r="CO16" s="1495"/>
    </row>
    <row r="17" spans="2:93" s="923" customFormat="1" ht="12.95" customHeight="1" x14ac:dyDescent="0.25">
      <c r="B17" s="977" t="str">
        <f>IF(ISNA(Z17),"",IF(OR(Z17=1,Z17=2),"    ",MAX($B$9:B16)+1))</f>
        <v/>
      </c>
      <c r="C17" s="1492" t="str">
        <f t="shared" si="0"/>
        <v/>
      </c>
      <c r="D17" s="1492"/>
      <c r="E17" s="1492"/>
      <c r="F17" s="1493"/>
      <c r="G17" s="958" t="str">
        <f t="shared" si="1"/>
        <v/>
      </c>
      <c r="H17" s="959" t="str">
        <f t="shared" si="2"/>
        <v/>
      </c>
      <c r="I17" s="978" t="str">
        <f t="shared" si="2"/>
        <v/>
      </c>
      <c r="J17" s="981"/>
      <c r="K17" s="980"/>
      <c r="L17" s="1075"/>
      <c r="M17" s="1076"/>
      <c r="N17" s="1076"/>
      <c r="O17" s="1076"/>
      <c r="P17" s="1076"/>
      <c r="Q17" s="1076"/>
      <c r="R17" s="1077"/>
      <c r="T17" s="917">
        <v>9</v>
      </c>
      <c r="U17" s="905" t="e">
        <v>#N/A</v>
      </c>
      <c r="V17" s="963" t="e">
        <v>#N/A</v>
      </c>
      <c r="W17" s="963" t="e">
        <v>#N/A</v>
      </c>
      <c r="X17" s="963" t="e">
        <v>#N/A</v>
      </c>
      <c r="Y17" s="963" t="e">
        <v>#N/A</v>
      </c>
      <c r="Z17" s="972" t="e">
        <v>#N/A</v>
      </c>
      <c r="AA17" s="972" t="e">
        <v>#N/A</v>
      </c>
      <c r="AB17" s="972" t="e">
        <v>#N/A</v>
      </c>
      <c r="AC17" s="963" t="e">
        <v>#N/A</v>
      </c>
      <c r="AD17" s="963" t="e">
        <v>#N/A</v>
      </c>
      <c r="AE17" s="963" t="e">
        <v>#N/A</v>
      </c>
      <c r="AF17" s="963" t="e">
        <v>#N/A</v>
      </c>
      <c r="AG17" s="963" t="e">
        <f t="shared" si="36"/>
        <v>#N/A</v>
      </c>
      <c r="AH17" s="963" t="str">
        <f t="shared" si="37"/>
        <v/>
      </c>
      <c r="AI17" s="964" t="e">
        <f>IF(NOT(OR(Z17=1,Z17=2)),IF(AQ17&gt;0,$AR$45*AQ17/SUMIF($AQ$9:$AQ$40,"&gt;0"),IF(AU17&gt;0,$AV$45*AU17/SUMIF($AU$9:$AU$40,"&gt;0"),IF(AS17&gt;0,$AT$45*AS17/SUMIF($AS$9:$AS$40,"&gt;0"),""))),IF(SUMIF(AJ18:$AJ$40,"=" &amp; AJ17,AI18:$AI$40)=0,"",SUMIF(AJ18:$AJ$40,"=" &amp; AJ17,AI18:$AI$40)))</f>
        <v>#N/A</v>
      </c>
      <c r="AJ17" s="965" t="e">
        <f t="shared" si="35"/>
        <v>#N/A</v>
      </c>
      <c r="AK17" s="963" t="str">
        <f t="shared" si="5"/>
        <v/>
      </c>
      <c r="AL17" s="972" t="str">
        <f t="shared" si="6"/>
        <v/>
      </c>
      <c r="AM17" s="972" t="str">
        <f t="shared" si="7"/>
        <v/>
      </c>
      <c r="AN17" s="972" t="str">
        <f t="shared" si="8"/>
        <v/>
      </c>
      <c r="AO17" s="972" t="e">
        <f t="shared" si="9"/>
        <v>#N/A</v>
      </c>
      <c r="AP17" s="963" t="str">
        <f t="shared" si="10"/>
        <v/>
      </c>
      <c r="AQ17" s="966">
        <f t="shared" si="11"/>
        <v>0</v>
      </c>
      <c r="AR17" s="967" t="str">
        <f t="shared" si="12"/>
        <v/>
      </c>
      <c r="AS17" s="968">
        <f t="shared" si="13"/>
        <v>0</v>
      </c>
      <c r="AT17" s="967" t="str">
        <f t="shared" si="14"/>
        <v/>
      </c>
      <c r="AU17" s="969">
        <f t="shared" si="15"/>
        <v>0</v>
      </c>
      <c r="AV17" s="970" t="str">
        <f t="shared" si="16"/>
        <v/>
      </c>
      <c r="AW17" s="969" t="b">
        <f t="shared" si="17"/>
        <v>0</v>
      </c>
      <c r="AX17" s="971" t="b">
        <f t="shared" si="18"/>
        <v>0</v>
      </c>
      <c r="AY17" s="969" t="b">
        <f t="shared" si="19"/>
        <v>0</v>
      </c>
      <c r="AZ17" s="971" t="b">
        <f t="shared" si="20"/>
        <v>0</v>
      </c>
      <c r="BA17" s="963" t="b">
        <f t="shared" si="21"/>
        <v>0</v>
      </c>
      <c r="BB17" s="963" t="b">
        <f t="shared" si="22"/>
        <v>0</v>
      </c>
      <c r="BC17" s="969" t="b">
        <f t="shared" si="23"/>
        <v>0</v>
      </c>
      <c r="BD17" s="972" t="b">
        <f t="shared" si="24"/>
        <v>0</v>
      </c>
      <c r="BE17" s="971" t="b">
        <f t="shared" si="25"/>
        <v>0</v>
      </c>
      <c r="BF17" s="973" t="b">
        <f t="shared" si="26"/>
        <v>0</v>
      </c>
      <c r="BG17" s="921" t="str">
        <f t="shared" si="27"/>
        <v>NA</v>
      </c>
      <c r="BH17" s="921" t="str">
        <f t="shared" si="28"/>
        <v/>
      </c>
      <c r="BI17" s="921" t="str">
        <f t="shared" si="29"/>
        <v/>
      </c>
      <c r="BJ17" s="921" t="str">
        <f t="shared" si="30"/>
        <v/>
      </c>
      <c r="BK17" s="921" t="str">
        <f t="shared" si="31"/>
        <v/>
      </c>
      <c r="BL17" s="974" t="str">
        <f t="shared" si="32"/>
        <v/>
      </c>
      <c r="BM17" s="921" t="str">
        <f t="shared" si="33"/>
        <v/>
      </c>
      <c r="BN17" s="921" t="str">
        <f t="shared" si="34"/>
        <v/>
      </c>
      <c r="BO17" s="924">
        <v>3</v>
      </c>
      <c r="BP17" s="975" t="s">
        <v>582</v>
      </c>
      <c r="CE17" s="1494">
        <v>2</v>
      </c>
      <c r="CF17" s="1495" t="s">
        <v>583</v>
      </c>
      <c r="CG17" s="1495"/>
      <c r="CH17" s="1495"/>
      <c r="CI17" s="1495"/>
      <c r="CJ17" s="1495"/>
      <c r="CK17" s="1495"/>
      <c r="CL17" s="1495"/>
      <c r="CM17" s="1495"/>
      <c r="CN17" s="1495"/>
      <c r="CO17" s="1495"/>
    </row>
    <row r="18" spans="2:93" s="923" customFormat="1" ht="12.95" customHeight="1" x14ac:dyDescent="0.25">
      <c r="B18" s="977" t="str">
        <f>IF(ISNA(Z18),"",IF(OR(Z18=1,Z18=2),"    ",MAX($B$9:B17)+1))</f>
        <v/>
      </c>
      <c r="C18" s="1492" t="str">
        <f t="shared" si="0"/>
        <v/>
      </c>
      <c r="D18" s="1492"/>
      <c r="E18" s="1492"/>
      <c r="F18" s="1493"/>
      <c r="G18" s="958" t="str">
        <f t="shared" si="1"/>
        <v/>
      </c>
      <c r="H18" s="959" t="str">
        <f t="shared" si="2"/>
        <v/>
      </c>
      <c r="I18" s="978" t="str">
        <f t="shared" si="2"/>
        <v/>
      </c>
      <c r="J18" s="981"/>
      <c r="K18" s="980"/>
      <c r="L18" s="1075"/>
      <c r="M18" s="1076"/>
      <c r="N18" s="1076"/>
      <c r="O18" s="1076"/>
      <c r="P18" s="1076"/>
      <c r="Q18" s="1076"/>
      <c r="R18" s="1077"/>
      <c r="T18" s="917">
        <v>10</v>
      </c>
      <c r="U18" s="905" t="e">
        <v>#N/A</v>
      </c>
      <c r="V18" s="963" t="e">
        <v>#N/A</v>
      </c>
      <c r="W18" s="963" t="e">
        <v>#N/A</v>
      </c>
      <c r="X18" s="963" t="e">
        <v>#N/A</v>
      </c>
      <c r="Y18" s="963" t="e">
        <v>#N/A</v>
      </c>
      <c r="Z18" s="972" t="e">
        <v>#N/A</v>
      </c>
      <c r="AA18" s="972" t="e">
        <v>#N/A</v>
      </c>
      <c r="AB18" s="972" t="e">
        <v>#N/A</v>
      </c>
      <c r="AC18" s="963" t="e">
        <v>#N/A</v>
      </c>
      <c r="AD18" s="963" t="e">
        <v>#N/A</v>
      </c>
      <c r="AE18" s="963" t="e">
        <v>#N/A</v>
      </c>
      <c r="AF18" s="963" t="e">
        <v>#N/A</v>
      </c>
      <c r="AG18" s="963" t="e">
        <f t="shared" si="36"/>
        <v>#N/A</v>
      </c>
      <c r="AH18" s="963" t="str">
        <f t="shared" si="37"/>
        <v/>
      </c>
      <c r="AI18" s="964" t="e">
        <f>IF(NOT(OR(Z18=1,Z18=2)),IF(AQ18&gt;0,$AR$45*AQ18/SUMIF($AQ$9:$AQ$40,"&gt;0"),IF(AU18&gt;0,$AV$45*AU18/SUMIF($AU$9:$AU$40,"&gt;0"),IF(AS18&gt;0,$AT$45*AS18/SUMIF($AS$9:$AS$40,"&gt;0"),""))),IF(SUMIF(AJ19:$AJ$40,"=" &amp; AJ18,AI19:$AI$40)=0,"",SUMIF(AJ19:$AJ$40,"=" &amp; AJ18,AI19:$AI$40)))</f>
        <v>#N/A</v>
      </c>
      <c r="AJ18" s="965" t="e">
        <f t="shared" si="35"/>
        <v>#N/A</v>
      </c>
      <c r="AK18" s="963" t="str">
        <f t="shared" si="5"/>
        <v/>
      </c>
      <c r="AL18" s="972" t="str">
        <f t="shared" si="6"/>
        <v/>
      </c>
      <c r="AM18" s="972" t="str">
        <f t="shared" si="7"/>
        <v/>
      </c>
      <c r="AN18" s="972" t="str">
        <f t="shared" si="8"/>
        <v/>
      </c>
      <c r="AO18" s="972" t="e">
        <f t="shared" si="9"/>
        <v>#N/A</v>
      </c>
      <c r="AP18" s="963" t="str">
        <f t="shared" si="10"/>
        <v/>
      </c>
      <c r="AQ18" s="966">
        <f t="shared" si="11"/>
        <v>0</v>
      </c>
      <c r="AR18" s="967" t="str">
        <f t="shared" si="12"/>
        <v/>
      </c>
      <c r="AS18" s="968">
        <f t="shared" si="13"/>
        <v>0</v>
      </c>
      <c r="AT18" s="967" t="str">
        <f t="shared" si="14"/>
        <v/>
      </c>
      <c r="AU18" s="969">
        <f t="shared" si="15"/>
        <v>0</v>
      </c>
      <c r="AV18" s="970" t="str">
        <f t="shared" si="16"/>
        <v/>
      </c>
      <c r="AW18" s="969" t="b">
        <f t="shared" si="17"/>
        <v>0</v>
      </c>
      <c r="AX18" s="971" t="b">
        <f t="shared" si="18"/>
        <v>0</v>
      </c>
      <c r="AY18" s="969" t="b">
        <f t="shared" si="19"/>
        <v>0</v>
      </c>
      <c r="AZ18" s="971" t="b">
        <f t="shared" si="20"/>
        <v>0</v>
      </c>
      <c r="BA18" s="963" t="b">
        <f t="shared" si="21"/>
        <v>0</v>
      </c>
      <c r="BB18" s="963" t="b">
        <f t="shared" si="22"/>
        <v>0</v>
      </c>
      <c r="BC18" s="969" t="b">
        <f t="shared" si="23"/>
        <v>0</v>
      </c>
      <c r="BD18" s="972" t="b">
        <f t="shared" si="24"/>
        <v>0</v>
      </c>
      <c r="BE18" s="971" t="b">
        <f t="shared" si="25"/>
        <v>0</v>
      </c>
      <c r="BF18" s="973" t="b">
        <f t="shared" si="26"/>
        <v>0</v>
      </c>
      <c r="BG18" s="921" t="str">
        <f t="shared" si="27"/>
        <v>NA</v>
      </c>
      <c r="BH18" s="921" t="str">
        <f t="shared" si="28"/>
        <v/>
      </c>
      <c r="BI18" s="921" t="str">
        <f t="shared" si="29"/>
        <v/>
      </c>
      <c r="BJ18" s="921" t="str">
        <f t="shared" si="30"/>
        <v/>
      </c>
      <c r="BK18" s="921" t="str">
        <f t="shared" si="31"/>
        <v/>
      </c>
      <c r="BL18" s="974" t="str">
        <f t="shared" si="32"/>
        <v/>
      </c>
      <c r="BM18" s="921" t="str">
        <f t="shared" si="33"/>
        <v/>
      </c>
      <c r="BN18" s="921" t="str">
        <f t="shared" si="34"/>
        <v/>
      </c>
      <c r="BO18" s="924">
        <v>4</v>
      </c>
      <c r="BP18" s="975" t="s">
        <v>584</v>
      </c>
      <c r="CE18" s="1494"/>
      <c r="CF18" s="1495"/>
      <c r="CG18" s="1495"/>
      <c r="CH18" s="1495"/>
      <c r="CI18" s="1495"/>
      <c r="CJ18" s="1495"/>
      <c r="CK18" s="1495"/>
      <c r="CL18" s="1495"/>
      <c r="CM18" s="1495"/>
      <c r="CN18" s="1495"/>
      <c r="CO18" s="1495"/>
    </row>
    <row r="19" spans="2:93" s="923" customFormat="1" ht="12.95" customHeight="1" x14ac:dyDescent="0.25">
      <c r="B19" s="977" t="str">
        <f>IF(ISNA(Z19),"",IF(OR(Z19=1,Z19=2),"    ",MAX($B$9:B18)+1))</f>
        <v/>
      </c>
      <c r="C19" s="1492" t="str">
        <f t="shared" si="0"/>
        <v/>
      </c>
      <c r="D19" s="1492"/>
      <c r="E19" s="1492"/>
      <c r="F19" s="1493"/>
      <c r="G19" s="958" t="str">
        <f t="shared" si="1"/>
        <v/>
      </c>
      <c r="H19" s="959" t="str">
        <f t="shared" si="2"/>
        <v/>
      </c>
      <c r="I19" s="978" t="str">
        <f t="shared" si="2"/>
        <v/>
      </c>
      <c r="J19" s="981"/>
      <c r="K19" s="980"/>
      <c r="L19" s="1075"/>
      <c r="M19" s="1076"/>
      <c r="N19" s="1076"/>
      <c r="O19" s="1076"/>
      <c r="P19" s="1076"/>
      <c r="Q19" s="1076"/>
      <c r="R19" s="1077"/>
      <c r="T19" s="917">
        <v>11</v>
      </c>
      <c r="U19" s="905" t="e">
        <v>#N/A</v>
      </c>
      <c r="V19" s="963" t="e">
        <v>#N/A</v>
      </c>
      <c r="W19" s="963" t="e">
        <v>#N/A</v>
      </c>
      <c r="X19" s="963" t="e">
        <v>#N/A</v>
      </c>
      <c r="Y19" s="963" t="e">
        <v>#N/A</v>
      </c>
      <c r="Z19" s="972" t="e">
        <v>#N/A</v>
      </c>
      <c r="AA19" s="972" t="e">
        <v>#N/A</v>
      </c>
      <c r="AB19" s="972" t="e">
        <v>#N/A</v>
      </c>
      <c r="AC19" s="963" t="e">
        <v>#N/A</v>
      </c>
      <c r="AD19" s="963" t="e">
        <v>#N/A</v>
      </c>
      <c r="AE19" s="963" t="e">
        <v>#N/A</v>
      </c>
      <c r="AF19" s="963" t="e">
        <v>#N/A</v>
      </c>
      <c r="AG19" s="963" t="e">
        <f t="shared" si="36"/>
        <v>#N/A</v>
      </c>
      <c r="AH19" s="963" t="str">
        <f t="shared" si="37"/>
        <v/>
      </c>
      <c r="AI19" s="964" t="e">
        <f>IF(NOT(OR(Z19=1,Z19=2)),IF(AQ19&gt;0,$AR$45*AQ19/SUMIF($AQ$9:$AQ$40,"&gt;0"),IF(AU19&gt;0,$AV$45*AU19/SUMIF($AU$9:$AU$40,"&gt;0"),IF(AS19&gt;0,$AT$45*AS19/SUMIF($AS$9:$AS$40,"&gt;0"),""))),IF(SUMIF(AJ20:$AJ$40,"=" &amp; AJ19,AI20:$AI$40)=0,"",SUMIF(AJ20:$AJ$40,"=" &amp; AJ19,AI20:$AI$40)))</f>
        <v>#N/A</v>
      </c>
      <c r="AJ19" s="965" t="e">
        <f t="shared" si="35"/>
        <v>#N/A</v>
      </c>
      <c r="AK19" s="963" t="str">
        <f t="shared" si="5"/>
        <v/>
      </c>
      <c r="AL19" s="972" t="str">
        <f t="shared" si="6"/>
        <v/>
      </c>
      <c r="AM19" s="972" t="str">
        <f t="shared" si="7"/>
        <v/>
      </c>
      <c r="AN19" s="972" t="str">
        <f t="shared" si="8"/>
        <v/>
      </c>
      <c r="AO19" s="972" t="e">
        <f t="shared" si="9"/>
        <v>#N/A</v>
      </c>
      <c r="AP19" s="963" t="str">
        <f t="shared" si="10"/>
        <v/>
      </c>
      <c r="AQ19" s="966">
        <f t="shared" si="11"/>
        <v>0</v>
      </c>
      <c r="AR19" s="967" t="str">
        <f t="shared" si="12"/>
        <v/>
      </c>
      <c r="AS19" s="968">
        <f t="shared" si="13"/>
        <v>0</v>
      </c>
      <c r="AT19" s="967" t="str">
        <f t="shared" si="14"/>
        <v/>
      </c>
      <c r="AU19" s="969">
        <f t="shared" si="15"/>
        <v>0</v>
      </c>
      <c r="AV19" s="970" t="str">
        <f t="shared" si="16"/>
        <v/>
      </c>
      <c r="AW19" s="969" t="b">
        <f t="shared" si="17"/>
        <v>0</v>
      </c>
      <c r="AX19" s="971" t="b">
        <f t="shared" si="18"/>
        <v>0</v>
      </c>
      <c r="AY19" s="969" t="b">
        <f t="shared" si="19"/>
        <v>0</v>
      </c>
      <c r="AZ19" s="971" t="b">
        <f t="shared" si="20"/>
        <v>0</v>
      </c>
      <c r="BA19" s="963" t="b">
        <f t="shared" si="21"/>
        <v>0</v>
      </c>
      <c r="BB19" s="963" t="b">
        <f t="shared" si="22"/>
        <v>0</v>
      </c>
      <c r="BC19" s="969" t="b">
        <f t="shared" si="23"/>
        <v>0</v>
      </c>
      <c r="BD19" s="972" t="b">
        <f t="shared" si="24"/>
        <v>0</v>
      </c>
      <c r="BE19" s="971" t="b">
        <f t="shared" si="25"/>
        <v>0</v>
      </c>
      <c r="BF19" s="973" t="b">
        <f t="shared" si="26"/>
        <v>0</v>
      </c>
      <c r="BG19" s="921" t="str">
        <f t="shared" si="27"/>
        <v>NA</v>
      </c>
      <c r="BH19" s="921" t="str">
        <f t="shared" si="28"/>
        <v/>
      </c>
      <c r="BI19" s="921" t="str">
        <f t="shared" si="29"/>
        <v/>
      </c>
      <c r="BJ19" s="921" t="str">
        <f t="shared" si="30"/>
        <v/>
      </c>
      <c r="BK19" s="921" t="str">
        <f t="shared" si="31"/>
        <v/>
      </c>
      <c r="BL19" s="974" t="str">
        <f t="shared" si="32"/>
        <v/>
      </c>
      <c r="BM19" s="921" t="str">
        <f t="shared" si="33"/>
        <v/>
      </c>
      <c r="BN19" s="921" t="str">
        <f t="shared" si="34"/>
        <v/>
      </c>
      <c r="BO19" s="983"/>
      <c r="BP19" s="984" t="s">
        <v>223</v>
      </c>
      <c r="BQ19" s="955"/>
      <c r="BR19" s="955"/>
      <c r="BS19" s="955"/>
      <c r="BT19" s="955"/>
      <c r="BU19" s="955"/>
      <c r="CE19" s="1494">
        <v>3</v>
      </c>
      <c r="CF19" s="1495" t="s">
        <v>585</v>
      </c>
      <c r="CG19" s="1495"/>
      <c r="CH19" s="1495"/>
      <c r="CI19" s="1495"/>
      <c r="CJ19" s="1495"/>
      <c r="CK19" s="1495"/>
      <c r="CL19" s="1495"/>
      <c r="CM19" s="1495"/>
      <c r="CN19" s="1495"/>
      <c r="CO19" s="1495"/>
    </row>
    <row r="20" spans="2:93" s="923" customFormat="1" ht="12.95" customHeight="1" x14ac:dyDescent="0.25">
      <c r="B20" s="977" t="str">
        <f>IF(ISNA(Z20),"",IF(OR(Z20=1,Z20=2),"    ",MAX($B$9:B19)+1))</f>
        <v/>
      </c>
      <c r="C20" s="1492" t="str">
        <f t="shared" si="0"/>
        <v/>
      </c>
      <c r="D20" s="1492"/>
      <c r="E20" s="1492"/>
      <c r="F20" s="1493"/>
      <c r="G20" s="958" t="str">
        <f t="shared" si="1"/>
        <v/>
      </c>
      <c r="H20" s="959" t="str">
        <f t="shared" si="2"/>
        <v/>
      </c>
      <c r="I20" s="978" t="str">
        <f t="shared" si="2"/>
        <v/>
      </c>
      <c r="J20" s="981"/>
      <c r="K20" s="980"/>
      <c r="L20" s="1075"/>
      <c r="M20" s="1076"/>
      <c r="N20" s="1076"/>
      <c r="O20" s="1076"/>
      <c r="P20" s="1076"/>
      <c r="Q20" s="1076"/>
      <c r="R20" s="1077"/>
      <c r="T20" s="917">
        <v>12</v>
      </c>
      <c r="U20" s="905" t="e">
        <v>#N/A</v>
      </c>
      <c r="V20" s="963" t="e">
        <v>#N/A</v>
      </c>
      <c r="W20" s="963" t="e">
        <v>#N/A</v>
      </c>
      <c r="X20" s="963" t="e">
        <v>#N/A</v>
      </c>
      <c r="Y20" s="963" t="e">
        <v>#N/A</v>
      </c>
      <c r="Z20" s="972" t="e">
        <v>#N/A</v>
      </c>
      <c r="AA20" s="972" t="e">
        <v>#N/A</v>
      </c>
      <c r="AB20" s="972" t="e">
        <v>#N/A</v>
      </c>
      <c r="AC20" s="963" t="e">
        <v>#N/A</v>
      </c>
      <c r="AD20" s="963" t="e">
        <v>#N/A</v>
      </c>
      <c r="AE20" s="963" t="e">
        <v>#N/A</v>
      </c>
      <c r="AF20" s="963" t="e">
        <v>#N/A</v>
      </c>
      <c r="AG20" s="963" t="e">
        <f t="shared" si="36"/>
        <v>#N/A</v>
      </c>
      <c r="AH20" s="963" t="str">
        <f t="shared" si="37"/>
        <v/>
      </c>
      <c r="AI20" s="964" t="e">
        <f>IF(NOT(OR(Z20=1,Z20=2)),IF(AQ20&gt;0,$AR$45*AQ20/SUMIF($AQ$9:$AQ$40,"&gt;0"),IF(AU20&gt;0,$AV$45*AU20/SUMIF($AU$9:$AU$40,"&gt;0"),IF(AS20&gt;0,$AT$45*AS20/SUMIF($AS$9:$AS$40,"&gt;0"),""))),IF(SUMIF(AJ21:$AJ$40,"=" &amp; AJ20,AI21:$AI$40)=0,"",SUMIF(AJ21:$AJ$40,"=" &amp; AJ20,AI21:$AI$40)))</f>
        <v>#N/A</v>
      </c>
      <c r="AJ20" s="965" t="e">
        <f t="shared" si="35"/>
        <v>#N/A</v>
      </c>
      <c r="AK20" s="963" t="str">
        <f t="shared" si="5"/>
        <v/>
      </c>
      <c r="AL20" s="972" t="str">
        <f t="shared" si="6"/>
        <v/>
      </c>
      <c r="AM20" s="972" t="str">
        <f t="shared" si="7"/>
        <v/>
      </c>
      <c r="AN20" s="972" t="str">
        <f t="shared" si="8"/>
        <v/>
      </c>
      <c r="AO20" s="972" t="e">
        <f t="shared" si="9"/>
        <v>#N/A</v>
      </c>
      <c r="AP20" s="963" t="str">
        <f t="shared" si="10"/>
        <v/>
      </c>
      <c r="AQ20" s="966">
        <f t="shared" si="11"/>
        <v>0</v>
      </c>
      <c r="AR20" s="967" t="str">
        <f t="shared" si="12"/>
        <v/>
      </c>
      <c r="AS20" s="968">
        <f t="shared" si="13"/>
        <v>0</v>
      </c>
      <c r="AT20" s="967" t="str">
        <f t="shared" si="14"/>
        <v/>
      </c>
      <c r="AU20" s="969">
        <f t="shared" si="15"/>
        <v>0</v>
      </c>
      <c r="AV20" s="970" t="str">
        <f t="shared" si="16"/>
        <v/>
      </c>
      <c r="AW20" s="969" t="b">
        <f t="shared" si="17"/>
        <v>0</v>
      </c>
      <c r="AX20" s="971" t="b">
        <f t="shared" si="18"/>
        <v>0</v>
      </c>
      <c r="AY20" s="969" t="b">
        <f t="shared" si="19"/>
        <v>0</v>
      </c>
      <c r="AZ20" s="971" t="b">
        <f t="shared" si="20"/>
        <v>0</v>
      </c>
      <c r="BA20" s="963" t="b">
        <f t="shared" si="21"/>
        <v>0</v>
      </c>
      <c r="BB20" s="963" t="b">
        <f t="shared" si="22"/>
        <v>0</v>
      </c>
      <c r="BC20" s="969" t="b">
        <f t="shared" si="23"/>
        <v>0</v>
      </c>
      <c r="BD20" s="972" t="b">
        <f t="shared" si="24"/>
        <v>0</v>
      </c>
      <c r="BE20" s="971" t="b">
        <f t="shared" si="25"/>
        <v>0</v>
      </c>
      <c r="BF20" s="973" t="b">
        <f t="shared" si="26"/>
        <v>0</v>
      </c>
      <c r="BG20" s="921" t="str">
        <f t="shared" si="27"/>
        <v>NA</v>
      </c>
      <c r="BH20" s="921" t="str">
        <f t="shared" si="28"/>
        <v/>
      </c>
      <c r="BI20" s="921" t="str">
        <f t="shared" si="29"/>
        <v/>
      </c>
      <c r="BJ20" s="921" t="str">
        <f t="shared" si="30"/>
        <v/>
      </c>
      <c r="BK20" s="921" t="str">
        <f t="shared" si="31"/>
        <v/>
      </c>
      <c r="BL20" s="974" t="str">
        <f t="shared" si="32"/>
        <v/>
      </c>
      <c r="BM20" s="921" t="str">
        <f t="shared" si="33"/>
        <v/>
      </c>
      <c r="BN20" s="921" t="str">
        <f t="shared" si="34"/>
        <v/>
      </c>
      <c r="BO20" s="983"/>
      <c r="BP20" s="975"/>
      <c r="BQ20" s="1496" t="s">
        <v>224</v>
      </c>
      <c r="BR20" s="1496"/>
      <c r="BS20" s="1496"/>
      <c r="BT20" s="1496"/>
      <c r="BU20" s="1496"/>
      <c r="CE20" s="1494"/>
      <c r="CF20" s="1495"/>
      <c r="CG20" s="1495"/>
      <c r="CH20" s="1495"/>
      <c r="CI20" s="1495"/>
      <c r="CJ20" s="1495"/>
      <c r="CK20" s="1495"/>
      <c r="CL20" s="1495"/>
      <c r="CM20" s="1495"/>
      <c r="CN20" s="1495"/>
      <c r="CO20" s="1495"/>
    </row>
    <row r="21" spans="2:93" s="923" customFormat="1" ht="12.95" customHeight="1" x14ac:dyDescent="0.25">
      <c r="B21" s="977" t="str">
        <f>IF(ISNA(Z21),"",IF(OR(Z21=1,Z21=2),"    ",MAX($B$9:B20)+1))</f>
        <v/>
      </c>
      <c r="C21" s="1492" t="str">
        <f t="shared" si="0"/>
        <v/>
      </c>
      <c r="D21" s="1492"/>
      <c r="E21" s="1492"/>
      <c r="F21" s="1493"/>
      <c r="G21" s="958" t="str">
        <f t="shared" si="1"/>
        <v/>
      </c>
      <c r="H21" s="959" t="str">
        <f t="shared" si="2"/>
        <v/>
      </c>
      <c r="I21" s="978" t="str">
        <f t="shared" si="2"/>
        <v/>
      </c>
      <c r="J21" s="981"/>
      <c r="K21" s="980"/>
      <c r="L21" s="1075"/>
      <c r="M21" s="1076"/>
      <c r="N21" s="1076"/>
      <c r="O21" s="1076"/>
      <c r="P21" s="1076"/>
      <c r="Q21" s="1076"/>
      <c r="R21" s="1077"/>
      <c r="T21" s="917">
        <v>13</v>
      </c>
      <c r="U21" s="905" t="e">
        <v>#N/A</v>
      </c>
      <c r="V21" s="963" t="e">
        <v>#N/A</v>
      </c>
      <c r="W21" s="963" t="e">
        <v>#N/A</v>
      </c>
      <c r="X21" s="963" t="e">
        <v>#N/A</v>
      </c>
      <c r="Y21" s="963" t="e">
        <v>#N/A</v>
      </c>
      <c r="Z21" s="972" t="e">
        <v>#N/A</v>
      </c>
      <c r="AA21" s="972" t="e">
        <v>#N/A</v>
      </c>
      <c r="AB21" s="972" t="e">
        <v>#N/A</v>
      </c>
      <c r="AC21" s="963" t="e">
        <v>#N/A</v>
      </c>
      <c r="AD21" s="963" t="e">
        <v>#N/A</v>
      </c>
      <c r="AE21" s="963" t="e">
        <v>#N/A</v>
      </c>
      <c r="AF21" s="963" t="e">
        <v>#N/A</v>
      </c>
      <c r="AG21" s="963" t="e">
        <f t="shared" si="36"/>
        <v>#N/A</v>
      </c>
      <c r="AH21" s="963" t="str">
        <f t="shared" si="37"/>
        <v/>
      </c>
      <c r="AI21" s="964" t="e">
        <f>IF(NOT(OR(Z21=1,Z21=2)),IF(AQ21&gt;0,$AR$45*AQ21/SUMIF($AQ$9:$AQ$40,"&gt;0"),IF(AU21&gt;0,$AV$45*AU21/SUMIF($AU$9:$AU$40,"&gt;0"),IF(AS21&gt;0,$AT$45*AS21/SUMIF($AS$9:$AS$40,"&gt;0"),""))),IF(SUMIF(AJ22:$AJ$40,"=" &amp; AJ21,AI22:$AI$40)=0,"",SUMIF(AJ22:$AJ$40,"=" &amp; AJ21,AI22:$AI$40)))</f>
        <v>#N/A</v>
      </c>
      <c r="AJ21" s="965" t="e">
        <f t="shared" si="35"/>
        <v>#N/A</v>
      </c>
      <c r="AK21" s="963" t="str">
        <f t="shared" si="5"/>
        <v/>
      </c>
      <c r="AL21" s="972" t="str">
        <f t="shared" si="6"/>
        <v/>
      </c>
      <c r="AM21" s="972" t="str">
        <f t="shared" si="7"/>
        <v/>
      </c>
      <c r="AN21" s="972" t="str">
        <f t="shared" si="8"/>
        <v/>
      </c>
      <c r="AO21" s="972" t="e">
        <f t="shared" si="9"/>
        <v>#N/A</v>
      </c>
      <c r="AP21" s="963" t="str">
        <f t="shared" si="10"/>
        <v/>
      </c>
      <c r="AQ21" s="966">
        <f t="shared" si="11"/>
        <v>0</v>
      </c>
      <c r="AR21" s="967" t="str">
        <f t="shared" si="12"/>
        <v/>
      </c>
      <c r="AS21" s="968">
        <f t="shared" si="13"/>
        <v>0</v>
      </c>
      <c r="AT21" s="967" t="str">
        <f t="shared" si="14"/>
        <v/>
      </c>
      <c r="AU21" s="969">
        <f t="shared" si="15"/>
        <v>0</v>
      </c>
      <c r="AV21" s="970" t="str">
        <f t="shared" si="16"/>
        <v/>
      </c>
      <c r="AW21" s="969" t="b">
        <f t="shared" si="17"/>
        <v>0</v>
      </c>
      <c r="AX21" s="971" t="b">
        <f t="shared" si="18"/>
        <v>0</v>
      </c>
      <c r="AY21" s="969" t="b">
        <f t="shared" si="19"/>
        <v>0</v>
      </c>
      <c r="AZ21" s="971" t="b">
        <f t="shared" si="20"/>
        <v>0</v>
      </c>
      <c r="BA21" s="963" t="b">
        <f t="shared" si="21"/>
        <v>0</v>
      </c>
      <c r="BB21" s="963" t="b">
        <f t="shared" si="22"/>
        <v>0</v>
      </c>
      <c r="BC21" s="969" t="b">
        <f t="shared" si="23"/>
        <v>0</v>
      </c>
      <c r="BD21" s="972" t="b">
        <f t="shared" si="24"/>
        <v>0</v>
      </c>
      <c r="BE21" s="971" t="b">
        <f t="shared" si="25"/>
        <v>0</v>
      </c>
      <c r="BF21" s="973" t="b">
        <f t="shared" si="26"/>
        <v>0</v>
      </c>
      <c r="BG21" s="921" t="str">
        <f t="shared" si="27"/>
        <v>NA</v>
      </c>
      <c r="BH21" s="921" t="str">
        <f t="shared" si="28"/>
        <v/>
      </c>
      <c r="BI21" s="921" t="str">
        <f t="shared" si="29"/>
        <v/>
      </c>
      <c r="BJ21" s="921" t="str">
        <f t="shared" si="30"/>
        <v/>
      </c>
      <c r="BK21" s="921" t="str">
        <f t="shared" si="31"/>
        <v/>
      </c>
      <c r="BL21" s="974" t="str">
        <f t="shared" si="32"/>
        <v/>
      </c>
      <c r="BM21" s="921" t="str">
        <f t="shared" si="33"/>
        <v/>
      </c>
      <c r="BN21" s="921" t="str">
        <f t="shared" si="34"/>
        <v/>
      </c>
      <c r="BO21" s="983"/>
      <c r="BP21" s="983"/>
      <c r="BQ21" s="983">
        <v>0</v>
      </c>
      <c r="BR21" s="983">
        <v>1</v>
      </c>
      <c r="BS21" s="983">
        <v>2</v>
      </c>
      <c r="BT21" s="983">
        <v>3</v>
      </c>
      <c r="BU21" s="983">
        <v>4</v>
      </c>
      <c r="BW21" s="922" t="s">
        <v>586</v>
      </c>
      <c r="CE21" s="1494">
        <v>4</v>
      </c>
      <c r="CF21" s="1497" t="s">
        <v>587</v>
      </c>
      <c r="CG21" s="1497"/>
      <c r="CH21" s="1497"/>
      <c r="CI21" s="1497"/>
      <c r="CJ21" s="1497"/>
      <c r="CK21" s="1497"/>
      <c r="CL21" s="1497"/>
      <c r="CM21" s="1497"/>
      <c r="CN21" s="1497"/>
      <c r="CO21" s="1497"/>
    </row>
    <row r="22" spans="2:93" s="923" customFormat="1" ht="12.95" customHeight="1" x14ac:dyDescent="0.25">
      <c r="B22" s="977" t="str">
        <f>IF(ISNA(Z22),"",IF(OR(Z22=1,Z22=2),"    ",MAX($B$9:B21)+1))</f>
        <v/>
      </c>
      <c r="C22" s="1492" t="str">
        <f t="shared" si="0"/>
        <v/>
      </c>
      <c r="D22" s="1492"/>
      <c r="E22" s="1492"/>
      <c r="F22" s="1493"/>
      <c r="G22" s="958" t="str">
        <f t="shared" si="1"/>
        <v/>
      </c>
      <c r="H22" s="959" t="str">
        <f t="shared" si="2"/>
        <v/>
      </c>
      <c r="I22" s="978" t="str">
        <f t="shared" si="2"/>
        <v/>
      </c>
      <c r="J22" s="981"/>
      <c r="K22" s="980"/>
      <c r="L22" s="1075"/>
      <c r="M22" s="1076"/>
      <c r="N22" s="1076"/>
      <c r="O22" s="1076"/>
      <c r="P22" s="1076"/>
      <c r="Q22" s="1076"/>
      <c r="R22" s="1077"/>
      <c r="T22" s="917">
        <v>14</v>
      </c>
      <c r="U22" s="905" t="e">
        <v>#N/A</v>
      </c>
      <c r="V22" s="963" t="e">
        <v>#N/A</v>
      </c>
      <c r="W22" s="963" t="e">
        <v>#N/A</v>
      </c>
      <c r="X22" s="963" t="e">
        <v>#N/A</v>
      </c>
      <c r="Y22" s="963" t="e">
        <v>#N/A</v>
      </c>
      <c r="Z22" s="972" t="e">
        <v>#N/A</v>
      </c>
      <c r="AA22" s="972" t="e">
        <v>#N/A</v>
      </c>
      <c r="AB22" s="972" t="e">
        <v>#N/A</v>
      </c>
      <c r="AC22" s="963" t="e">
        <v>#N/A</v>
      </c>
      <c r="AD22" s="963" t="e">
        <v>#N/A</v>
      </c>
      <c r="AE22" s="963" t="e">
        <v>#N/A</v>
      </c>
      <c r="AF22" s="963" t="e">
        <v>#N/A</v>
      </c>
      <c r="AG22" s="963" t="e">
        <f t="shared" si="36"/>
        <v>#N/A</v>
      </c>
      <c r="AH22" s="963" t="str">
        <f t="shared" si="37"/>
        <v/>
      </c>
      <c r="AI22" s="964" t="e">
        <f>IF(NOT(OR(Z22=1,Z22=2)),IF(AQ22&gt;0,$AR$45*AQ22/SUMIF($AQ$9:$AQ$40,"&gt;0"),IF(AU22&gt;0,$AV$45*AU22/SUMIF($AU$9:$AU$40,"&gt;0"),IF(AS22&gt;0,$AT$45*AS22/SUMIF($AS$9:$AS$40,"&gt;0"),""))),IF(SUMIF(AJ23:$AJ$40,"=" &amp; AJ22,AI23:$AI$40)=0,"",SUMIF(AJ23:$AJ$40,"=" &amp; AJ22,AI23:$AI$40)))</f>
        <v>#N/A</v>
      </c>
      <c r="AJ22" s="965" t="e">
        <f t="shared" si="35"/>
        <v>#N/A</v>
      </c>
      <c r="AK22" s="963" t="str">
        <f t="shared" si="5"/>
        <v/>
      </c>
      <c r="AL22" s="972" t="str">
        <f t="shared" si="6"/>
        <v/>
      </c>
      <c r="AM22" s="972" t="str">
        <f t="shared" si="7"/>
        <v/>
      </c>
      <c r="AN22" s="972" t="str">
        <f t="shared" si="8"/>
        <v/>
      </c>
      <c r="AO22" s="972" t="e">
        <f t="shared" si="9"/>
        <v>#N/A</v>
      </c>
      <c r="AP22" s="963" t="str">
        <f t="shared" si="10"/>
        <v/>
      </c>
      <c r="AQ22" s="966">
        <f t="shared" si="11"/>
        <v>0</v>
      </c>
      <c r="AR22" s="967" t="str">
        <f t="shared" si="12"/>
        <v/>
      </c>
      <c r="AS22" s="968">
        <f t="shared" si="13"/>
        <v>0</v>
      </c>
      <c r="AT22" s="967" t="str">
        <f t="shared" si="14"/>
        <v/>
      </c>
      <c r="AU22" s="969">
        <f t="shared" si="15"/>
        <v>0</v>
      </c>
      <c r="AV22" s="970" t="str">
        <f t="shared" si="16"/>
        <v/>
      </c>
      <c r="AW22" s="969" t="b">
        <f t="shared" si="17"/>
        <v>0</v>
      </c>
      <c r="AX22" s="971" t="b">
        <f t="shared" si="18"/>
        <v>0</v>
      </c>
      <c r="AY22" s="969" t="b">
        <f t="shared" si="19"/>
        <v>0</v>
      </c>
      <c r="AZ22" s="971" t="b">
        <f t="shared" si="20"/>
        <v>0</v>
      </c>
      <c r="BA22" s="963" t="b">
        <f t="shared" si="21"/>
        <v>0</v>
      </c>
      <c r="BB22" s="963" t="b">
        <f t="shared" si="22"/>
        <v>0</v>
      </c>
      <c r="BC22" s="969" t="b">
        <f t="shared" si="23"/>
        <v>0</v>
      </c>
      <c r="BD22" s="972" t="b">
        <f t="shared" si="24"/>
        <v>0</v>
      </c>
      <c r="BE22" s="971" t="b">
        <f t="shared" si="25"/>
        <v>0</v>
      </c>
      <c r="BF22" s="973" t="b">
        <f t="shared" si="26"/>
        <v>0</v>
      </c>
      <c r="BG22" s="921" t="str">
        <f t="shared" si="27"/>
        <v>NA</v>
      </c>
      <c r="BH22" s="921" t="str">
        <f t="shared" si="28"/>
        <v/>
      </c>
      <c r="BI22" s="921" t="str">
        <f t="shared" si="29"/>
        <v/>
      </c>
      <c r="BJ22" s="921" t="str">
        <f t="shared" si="30"/>
        <v/>
      </c>
      <c r="BK22" s="921" t="str">
        <f t="shared" si="31"/>
        <v/>
      </c>
      <c r="BL22" s="974" t="str">
        <f t="shared" si="32"/>
        <v/>
      </c>
      <c r="BM22" s="921" t="str">
        <f t="shared" si="33"/>
        <v/>
      </c>
      <c r="BN22" s="921" t="str">
        <f t="shared" si="34"/>
        <v/>
      </c>
      <c r="BO22" s="1498" t="s">
        <v>226</v>
      </c>
      <c r="BP22" s="983" t="s">
        <v>227</v>
      </c>
      <c r="BQ22" s="985">
        <f t="shared" ref="BQ22:BU30" si="38">AR51</f>
        <v>0.7</v>
      </c>
      <c r="BR22" s="986">
        <f t="shared" si="38"/>
        <v>0.9</v>
      </c>
      <c r="BS22" s="986">
        <f t="shared" si="38"/>
        <v>0.93330000000000002</v>
      </c>
      <c r="BT22" s="986">
        <f t="shared" si="38"/>
        <v>0.9667</v>
      </c>
      <c r="BU22" s="987">
        <f t="shared" si="38"/>
        <v>1</v>
      </c>
      <c r="BW22" s="924" t="s">
        <v>214</v>
      </c>
      <c r="BX22" s="925" t="s">
        <v>215</v>
      </c>
      <c r="CE22" s="1494"/>
      <c r="CF22" s="1497"/>
      <c r="CG22" s="1497"/>
      <c r="CH22" s="1497"/>
      <c r="CI22" s="1497"/>
      <c r="CJ22" s="1497"/>
      <c r="CK22" s="1497"/>
      <c r="CL22" s="1497"/>
      <c r="CM22" s="1497"/>
      <c r="CN22" s="1497"/>
      <c r="CO22" s="1497"/>
    </row>
    <row r="23" spans="2:93" s="923" customFormat="1" ht="12.95" customHeight="1" x14ac:dyDescent="0.25">
      <c r="B23" s="977" t="str">
        <f>IF(ISNA(Z23),"",IF(OR(Z23=1,Z23=2),"    ",MAX($B$9:B22)+1))</f>
        <v/>
      </c>
      <c r="C23" s="1492" t="str">
        <f t="shared" si="0"/>
        <v/>
      </c>
      <c r="D23" s="1492"/>
      <c r="E23" s="1492"/>
      <c r="F23" s="1493"/>
      <c r="G23" s="958" t="str">
        <f t="shared" si="1"/>
        <v/>
      </c>
      <c r="H23" s="959" t="str">
        <f t="shared" si="2"/>
        <v/>
      </c>
      <c r="I23" s="978" t="str">
        <f t="shared" si="2"/>
        <v/>
      </c>
      <c r="J23" s="981"/>
      <c r="K23" s="980"/>
      <c r="L23" s="1075"/>
      <c r="M23" s="1076"/>
      <c r="N23" s="1076"/>
      <c r="O23" s="1076"/>
      <c r="P23" s="1076"/>
      <c r="Q23" s="1076"/>
      <c r="R23" s="1077"/>
      <c r="T23" s="917">
        <v>15</v>
      </c>
      <c r="U23" s="905" t="e">
        <v>#N/A</v>
      </c>
      <c r="V23" s="963" t="e">
        <v>#N/A</v>
      </c>
      <c r="W23" s="963" t="e">
        <v>#N/A</v>
      </c>
      <c r="X23" s="963" t="e">
        <v>#N/A</v>
      </c>
      <c r="Y23" s="963" t="e">
        <v>#N/A</v>
      </c>
      <c r="Z23" s="972" t="e">
        <v>#N/A</v>
      </c>
      <c r="AA23" s="972" t="e">
        <v>#N/A</v>
      </c>
      <c r="AB23" s="972" t="e">
        <v>#N/A</v>
      </c>
      <c r="AC23" s="963" t="e">
        <v>#N/A</v>
      </c>
      <c r="AD23" s="963" t="e">
        <v>#N/A</v>
      </c>
      <c r="AE23" s="963" t="e">
        <v>#N/A</v>
      </c>
      <c r="AF23" s="963" t="e">
        <v>#N/A</v>
      </c>
      <c r="AG23" s="963" t="e">
        <f t="shared" si="36"/>
        <v>#N/A</v>
      </c>
      <c r="AH23" s="963" t="str">
        <f t="shared" si="37"/>
        <v/>
      </c>
      <c r="AI23" s="964" t="e">
        <f>IF(NOT(OR(Z23=1,Z23=2)),IF(AQ23&gt;0,$AR$45*AQ23/SUMIF($AQ$9:$AQ$40,"&gt;0"),IF(AU23&gt;0,$AV$45*AU23/SUMIF($AU$9:$AU$40,"&gt;0"),IF(AS23&gt;0,$AT$45*AS23/SUMIF($AS$9:$AS$40,"&gt;0"),""))),IF(SUMIF(AJ24:$AJ$40,"=" &amp; AJ23,AI24:$AI$40)=0,"",SUMIF(AJ24:$AJ$40,"=" &amp; AJ23,AI24:$AI$40)))</f>
        <v>#N/A</v>
      </c>
      <c r="AJ23" s="965" t="e">
        <f t="shared" si="35"/>
        <v>#N/A</v>
      </c>
      <c r="AK23" s="963" t="str">
        <f t="shared" si="5"/>
        <v/>
      </c>
      <c r="AL23" s="972" t="str">
        <f t="shared" si="6"/>
        <v/>
      </c>
      <c r="AM23" s="972" t="str">
        <f t="shared" si="7"/>
        <v/>
      </c>
      <c r="AN23" s="972" t="str">
        <f t="shared" si="8"/>
        <v/>
      </c>
      <c r="AO23" s="972" t="e">
        <f t="shared" si="9"/>
        <v>#N/A</v>
      </c>
      <c r="AP23" s="963" t="str">
        <f t="shared" si="10"/>
        <v/>
      </c>
      <c r="AQ23" s="966">
        <f t="shared" si="11"/>
        <v>0</v>
      </c>
      <c r="AR23" s="967" t="str">
        <f t="shared" si="12"/>
        <v/>
      </c>
      <c r="AS23" s="968">
        <f t="shared" si="13"/>
        <v>0</v>
      </c>
      <c r="AT23" s="967" t="str">
        <f t="shared" si="14"/>
        <v/>
      </c>
      <c r="AU23" s="969">
        <f t="shared" si="15"/>
        <v>0</v>
      </c>
      <c r="AV23" s="970" t="str">
        <f t="shared" si="16"/>
        <v/>
      </c>
      <c r="AW23" s="969" t="b">
        <f t="shared" si="17"/>
        <v>0</v>
      </c>
      <c r="AX23" s="971" t="b">
        <f t="shared" si="18"/>
        <v>0</v>
      </c>
      <c r="AY23" s="969" t="b">
        <f t="shared" si="19"/>
        <v>0</v>
      </c>
      <c r="AZ23" s="971" t="b">
        <f t="shared" si="20"/>
        <v>0</v>
      </c>
      <c r="BA23" s="963" t="b">
        <f t="shared" si="21"/>
        <v>0</v>
      </c>
      <c r="BB23" s="963" t="b">
        <f t="shared" si="22"/>
        <v>0</v>
      </c>
      <c r="BC23" s="969" t="b">
        <f t="shared" si="23"/>
        <v>0</v>
      </c>
      <c r="BD23" s="972" t="b">
        <f t="shared" si="24"/>
        <v>0</v>
      </c>
      <c r="BE23" s="971" t="b">
        <f t="shared" si="25"/>
        <v>0</v>
      </c>
      <c r="BF23" s="973" t="b">
        <f t="shared" si="26"/>
        <v>0</v>
      </c>
      <c r="BG23" s="921" t="str">
        <f t="shared" si="27"/>
        <v>NA</v>
      </c>
      <c r="BH23" s="921" t="str">
        <f t="shared" si="28"/>
        <v/>
      </c>
      <c r="BI23" s="921" t="str">
        <f t="shared" si="29"/>
        <v/>
      </c>
      <c r="BJ23" s="921" t="str">
        <f t="shared" si="30"/>
        <v/>
      </c>
      <c r="BK23" s="921" t="str">
        <f t="shared" si="31"/>
        <v/>
      </c>
      <c r="BL23" s="974" t="str">
        <f t="shared" si="32"/>
        <v/>
      </c>
      <c r="BM23" s="921" t="str">
        <f t="shared" si="33"/>
        <v/>
      </c>
      <c r="BN23" s="921" t="str">
        <f t="shared" si="34"/>
        <v/>
      </c>
      <c r="BO23" s="1498"/>
      <c r="BP23" s="983" t="s">
        <v>228</v>
      </c>
      <c r="BQ23" s="988">
        <f t="shared" si="38"/>
        <v>0.7</v>
      </c>
      <c r="BR23" s="989">
        <f t="shared" si="38"/>
        <v>0.8</v>
      </c>
      <c r="BS23" s="989">
        <f t="shared" si="38"/>
        <v>0.9</v>
      </c>
      <c r="BT23" s="989">
        <f t="shared" si="38"/>
        <v>0.95</v>
      </c>
      <c r="BU23" s="990">
        <f t="shared" si="38"/>
        <v>1</v>
      </c>
      <c r="BW23" s="924">
        <v>0</v>
      </c>
      <c r="BX23" s="925" t="s">
        <v>216</v>
      </c>
    </row>
    <row r="24" spans="2:93" s="923" customFormat="1" ht="12.95" customHeight="1" x14ac:dyDescent="0.25">
      <c r="B24" s="977" t="str">
        <f>IF(ISNA(Z24),"",IF(OR(Z24=1,Z24=2),"    ",MAX($B$9:B23)+1))</f>
        <v/>
      </c>
      <c r="C24" s="1492" t="str">
        <f t="shared" si="0"/>
        <v/>
      </c>
      <c r="D24" s="1492"/>
      <c r="E24" s="1492"/>
      <c r="F24" s="1493"/>
      <c r="G24" s="958" t="str">
        <f t="shared" si="1"/>
        <v/>
      </c>
      <c r="H24" s="959" t="str">
        <f t="shared" si="2"/>
        <v/>
      </c>
      <c r="I24" s="978" t="str">
        <f t="shared" si="2"/>
        <v/>
      </c>
      <c r="J24" s="981"/>
      <c r="K24" s="980"/>
      <c r="L24" s="1075"/>
      <c r="M24" s="1076"/>
      <c r="N24" s="1076"/>
      <c r="O24" s="1076"/>
      <c r="P24" s="1076"/>
      <c r="Q24" s="1076"/>
      <c r="R24" s="1077"/>
      <c r="T24" s="917">
        <v>16</v>
      </c>
      <c r="U24" s="905" t="e">
        <v>#N/A</v>
      </c>
      <c r="V24" s="963" t="e">
        <v>#N/A</v>
      </c>
      <c r="W24" s="963" t="e">
        <v>#N/A</v>
      </c>
      <c r="X24" s="963" t="e">
        <v>#N/A</v>
      </c>
      <c r="Y24" s="963" t="e">
        <v>#N/A</v>
      </c>
      <c r="Z24" s="972" t="e">
        <v>#N/A</v>
      </c>
      <c r="AA24" s="972" t="e">
        <v>#N/A</v>
      </c>
      <c r="AB24" s="972" t="e">
        <v>#N/A</v>
      </c>
      <c r="AC24" s="963" t="e">
        <v>#N/A</v>
      </c>
      <c r="AD24" s="963" t="e">
        <v>#N/A</v>
      </c>
      <c r="AE24" s="963" t="e">
        <v>#N/A</v>
      </c>
      <c r="AF24" s="963" t="e">
        <v>#N/A</v>
      </c>
      <c r="AG24" s="963" t="e">
        <f t="shared" si="36"/>
        <v>#N/A</v>
      </c>
      <c r="AH24" s="963" t="str">
        <f t="shared" si="37"/>
        <v/>
      </c>
      <c r="AI24" s="964" t="e">
        <f>IF(NOT(OR(Z24=1,Z24=2)),IF(AQ24&gt;0,$AR$45*AQ24/SUMIF($AQ$9:$AQ$40,"&gt;0"),IF(AU24&gt;0,$AV$45*AU24/SUMIF($AU$9:$AU$40,"&gt;0"),IF(AS24&gt;0,$AT$45*AS24/SUMIF($AS$9:$AS$40,"&gt;0"),""))),IF(SUMIF(AJ25:$AJ$40,"=" &amp; AJ24,AI25:$AI$40)=0,"",SUMIF(AJ25:$AJ$40,"=" &amp; AJ24,AI25:$AI$40)))</f>
        <v>#N/A</v>
      </c>
      <c r="AJ24" s="965" t="e">
        <f t="shared" si="35"/>
        <v>#N/A</v>
      </c>
      <c r="AK24" s="963" t="str">
        <f t="shared" si="5"/>
        <v/>
      </c>
      <c r="AL24" s="972" t="str">
        <f t="shared" si="6"/>
        <v/>
      </c>
      <c r="AM24" s="972" t="str">
        <f t="shared" si="7"/>
        <v/>
      </c>
      <c r="AN24" s="972" t="str">
        <f t="shared" si="8"/>
        <v/>
      </c>
      <c r="AO24" s="972" t="e">
        <f t="shared" si="9"/>
        <v>#N/A</v>
      </c>
      <c r="AP24" s="963" t="str">
        <f t="shared" si="10"/>
        <v/>
      </c>
      <c r="AQ24" s="966">
        <f t="shared" si="11"/>
        <v>0</v>
      </c>
      <c r="AR24" s="967" t="str">
        <f t="shared" si="12"/>
        <v/>
      </c>
      <c r="AS24" s="968">
        <f t="shared" si="13"/>
        <v>0</v>
      </c>
      <c r="AT24" s="967" t="str">
        <f t="shared" si="14"/>
        <v/>
      </c>
      <c r="AU24" s="969">
        <f t="shared" si="15"/>
        <v>0</v>
      </c>
      <c r="AV24" s="970" t="str">
        <f t="shared" si="16"/>
        <v/>
      </c>
      <c r="AW24" s="969" t="b">
        <f t="shared" si="17"/>
        <v>0</v>
      </c>
      <c r="AX24" s="971" t="b">
        <f t="shared" si="18"/>
        <v>0</v>
      </c>
      <c r="AY24" s="969" t="b">
        <f t="shared" si="19"/>
        <v>0</v>
      </c>
      <c r="AZ24" s="971" t="b">
        <f t="shared" si="20"/>
        <v>0</v>
      </c>
      <c r="BA24" s="963" t="b">
        <f t="shared" si="21"/>
        <v>0</v>
      </c>
      <c r="BB24" s="963" t="b">
        <f t="shared" si="22"/>
        <v>0</v>
      </c>
      <c r="BC24" s="969" t="b">
        <f t="shared" si="23"/>
        <v>0</v>
      </c>
      <c r="BD24" s="972" t="b">
        <f t="shared" si="24"/>
        <v>0</v>
      </c>
      <c r="BE24" s="971" t="b">
        <f t="shared" si="25"/>
        <v>0</v>
      </c>
      <c r="BF24" s="973" t="b">
        <f t="shared" si="26"/>
        <v>0</v>
      </c>
      <c r="BG24" s="921" t="str">
        <f t="shared" si="27"/>
        <v>NA</v>
      </c>
      <c r="BH24" s="921" t="str">
        <f t="shared" si="28"/>
        <v/>
      </c>
      <c r="BI24" s="921" t="str">
        <f t="shared" si="29"/>
        <v/>
      </c>
      <c r="BJ24" s="921" t="str">
        <f t="shared" si="30"/>
        <v/>
      </c>
      <c r="BK24" s="921" t="str">
        <f t="shared" si="31"/>
        <v/>
      </c>
      <c r="BL24" s="974" t="str">
        <f t="shared" si="32"/>
        <v/>
      </c>
      <c r="BM24" s="921" t="str">
        <f t="shared" si="33"/>
        <v/>
      </c>
      <c r="BN24" s="921" t="str">
        <f t="shared" si="34"/>
        <v/>
      </c>
      <c r="BO24" s="1498"/>
      <c r="BP24" s="983" t="s">
        <v>229</v>
      </c>
      <c r="BQ24" s="988">
        <f t="shared" si="38"/>
        <v>0.7</v>
      </c>
      <c r="BR24" s="989">
        <f t="shared" si="38"/>
        <v>0.76670000000000005</v>
      </c>
      <c r="BS24" s="989">
        <f t="shared" si="38"/>
        <v>0.83330000000000004</v>
      </c>
      <c r="BT24" s="989">
        <f t="shared" si="38"/>
        <v>0.9</v>
      </c>
      <c r="BU24" s="990">
        <f t="shared" si="38"/>
        <v>1</v>
      </c>
      <c r="BW24" s="924">
        <v>1</v>
      </c>
      <c r="BX24" s="975" t="s">
        <v>588</v>
      </c>
    </row>
    <row r="25" spans="2:93" s="923" customFormat="1" ht="12.95" customHeight="1" x14ac:dyDescent="0.25">
      <c r="B25" s="977" t="str">
        <f>IF(ISNA(Z25),"",IF(OR(Z25=1,Z25=2),"    ",MAX($B$9:B24)+1))</f>
        <v/>
      </c>
      <c r="C25" s="1492" t="str">
        <f t="shared" si="0"/>
        <v/>
      </c>
      <c r="D25" s="1492"/>
      <c r="E25" s="1492"/>
      <c r="F25" s="1493"/>
      <c r="G25" s="958" t="str">
        <f t="shared" si="1"/>
        <v/>
      </c>
      <c r="H25" s="959" t="str">
        <f t="shared" si="2"/>
        <v/>
      </c>
      <c r="I25" s="978" t="str">
        <f t="shared" si="2"/>
        <v/>
      </c>
      <c r="J25" s="981"/>
      <c r="K25" s="980"/>
      <c r="L25" s="1075"/>
      <c r="M25" s="1076"/>
      <c r="N25" s="1076"/>
      <c r="O25" s="1076"/>
      <c r="P25" s="1076"/>
      <c r="Q25" s="1076"/>
      <c r="R25" s="1077"/>
      <c r="T25" s="917">
        <v>17</v>
      </c>
      <c r="U25" s="905" t="e">
        <v>#N/A</v>
      </c>
      <c r="V25" s="963" t="e">
        <v>#N/A</v>
      </c>
      <c r="W25" s="963" t="e">
        <v>#N/A</v>
      </c>
      <c r="X25" s="963" t="e">
        <v>#N/A</v>
      </c>
      <c r="Y25" s="963" t="e">
        <v>#N/A</v>
      </c>
      <c r="Z25" s="972" t="e">
        <v>#N/A</v>
      </c>
      <c r="AA25" s="972" t="e">
        <v>#N/A</v>
      </c>
      <c r="AB25" s="972" t="e">
        <v>#N/A</v>
      </c>
      <c r="AC25" s="963" t="e">
        <v>#N/A</v>
      </c>
      <c r="AD25" s="963" t="e">
        <v>#N/A</v>
      </c>
      <c r="AE25" s="963" t="e">
        <v>#N/A</v>
      </c>
      <c r="AF25" s="963" t="e">
        <v>#N/A</v>
      </c>
      <c r="AG25" s="963" t="e">
        <f t="shared" si="36"/>
        <v>#N/A</v>
      </c>
      <c r="AH25" s="963" t="str">
        <f t="shared" si="37"/>
        <v/>
      </c>
      <c r="AI25" s="964" t="e">
        <f>IF(NOT(OR(Z25=1,Z25=2)),IF(AQ25&gt;0,$AR$45*AQ25/SUMIF($AQ$9:$AQ$40,"&gt;0"),IF(AU25&gt;0,$AV$45*AU25/SUMIF($AU$9:$AU$40,"&gt;0"),IF(AS25&gt;0,$AT$45*AS25/SUMIF($AS$9:$AS$40,"&gt;0"),""))),IF(SUMIF(AJ26:$AJ$40,"=" &amp; AJ25,AI26:$AI$40)=0,"",SUMIF(AJ26:$AJ$40,"=" &amp; AJ25,AI26:$AI$40)))</f>
        <v>#N/A</v>
      </c>
      <c r="AJ25" s="965" t="e">
        <f t="shared" si="35"/>
        <v>#N/A</v>
      </c>
      <c r="AK25" s="963" t="str">
        <f t="shared" si="5"/>
        <v/>
      </c>
      <c r="AL25" s="972" t="str">
        <f t="shared" si="6"/>
        <v/>
      </c>
      <c r="AM25" s="972" t="str">
        <f t="shared" si="7"/>
        <v/>
      </c>
      <c r="AN25" s="972" t="str">
        <f t="shared" si="8"/>
        <v/>
      </c>
      <c r="AO25" s="972" t="e">
        <f t="shared" si="9"/>
        <v>#N/A</v>
      </c>
      <c r="AP25" s="963" t="str">
        <f t="shared" si="10"/>
        <v/>
      </c>
      <c r="AQ25" s="966">
        <f t="shared" si="11"/>
        <v>0</v>
      </c>
      <c r="AR25" s="967" t="str">
        <f t="shared" si="12"/>
        <v/>
      </c>
      <c r="AS25" s="968">
        <f t="shared" si="13"/>
        <v>0</v>
      </c>
      <c r="AT25" s="967" t="str">
        <f t="shared" si="14"/>
        <v/>
      </c>
      <c r="AU25" s="969">
        <f t="shared" si="15"/>
        <v>0</v>
      </c>
      <c r="AV25" s="970" t="str">
        <f t="shared" si="16"/>
        <v/>
      </c>
      <c r="AW25" s="969" t="b">
        <f t="shared" si="17"/>
        <v>0</v>
      </c>
      <c r="AX25" s="971" t="b">
        <f t="shared" si="18"/>
        <v>0</v>
      </c>
      <c r="AY25" s="969" t="b">
        <f t="shared" si="19"/>
        <v>0</v>
      </c>
      <c r="AZ25" s="971" t="b">
        <f t="shared" si="20"/>
        <v>0</v>
      </c>
      <c r="BA25" s="963" t="b">
        <f t="shared" si="21"/>
        <v>0</v>
      </c>
      <c r="BB25" s="963" t="b">
        <f t="shared" si="22"/>
        <v>0</v>
      </c>
      <c r="BC25" s="969" t="b">
        <f t="shared" si="23"/>
        <v>0</v>
      </c>
      <c r="BD25" s="972" t="b">
        <f t="shared" si="24"/>
        <v>0</v>
      </c>
      <c r="BE25" s="971" t="b">
        <f t="shared" si="25"/>
        <v>0</v>
      </c>
      <c r="BF25" s="973" t="b">
        <f t="shared" si="26"/>
        <v>0</v>
      </c>
      <c r="BG25" s="921" t="str">
        <f t="shared" si="27"/>
        <v>NA</v>
      </c>
      <c r="BH25" s="921" t="str">
        <f t="shared" si="28"/>
        <v/>
      </c>
      <c r="BI25" s="921" t="str">
        <f t="shared" si="29"/>
        <v/>
      </c>
      <c r="BJ25" s="921" t="str">
        <f t="shared" si="30"/>
        <v/>
      </c>
      <c r="BK25" s="921" t="str">
        <f t="shared" si="31"/>
        <v/>
      </c>
      <c r="BL25" s="974" t="str">
        <f t="shared" si="32"/>
        <v/>
      </c>
      <c r="BM25" s="921" t="str">
        <f t="shared" si="33"/>
        <v/>
      </c>
      <c r="BN25" s="921" t="str">
        <f t="shared" si="34"/>
        <v/>
      </c>
      <c r="BO25" s="1498"/>
      <c r="BP25" s="983" t="s">
        <v>230</v>
      </c>
      <c r="BQ25" s="988">
        <f t="shared" si="38"/>
        <v>0.6</v>
      </c>
      <c r="BR25" s="989">
        <f t="shared" si="38"/>
        <v>0.9</v>
      </c>
      <c r="BS25" s="989">
        <f t="shared" si="38"/>
        <v>0.93330000000000002</v>
      </c>
      <c r="BT25" s="989">
        <f t="shared" si="38"/>
        <v>0.9667</v>
      </c>
      <c r="BU25" s="990">
        <f t="shared" si="38"/>
        <v>1</v>
      </c>
      <c r="BW25" s="924">
        <v>2</v>
      </c>
      <c r="BX25" s="975" t="s">
        <v>589</v>
      </c>
    </row>
    <row r="26" spans="2:93" s="923" customFormat="1" ht="12.95" customHeight="1" x14ac:dyDescent="0.25">
      <c r="B26" s="977" t="str">
        <f>IF(ISNA(Z26),"",IF(OR(Z26=1,Z26=2),"    ",MAX($B$9:B25)+1))</f>
        <v/>
      </c>
      <c r="C26" s="1492" t="str">
        <f t="shared" si="0"/>
        <v/>
      </c>
      <c r="D26" s="1492"/>
      <c r="E26" s="1492"/>
      <c r="F26" s="1493"/>
      <c r="G26" s="958" t="str">
        <f t="shared" si="1"/>
        <v/>
      </c>
      <c r="H26" s="959" t="str">
        <f t="shared" si="2"/>
        <v/>
      </c>
      <c r="I26" s="978" t="str">
        <f t="shared" si="2"/>
        <v/>
      </c>
      <c r="J26" s="981"/>
      <c r="K26" s="980"/>
      <c r="L26" s="1075"/>
      <c r="M26" s="1076"/>
      <c r="N26" s="1076"/>
      <c r="O26" s="1076"/>
      <c r="P26" s="1076"/>
      <c r="Q26" s="1076"/>
      <c r="R26" s="1077"/>
      <c r="T26" s="917">
        <v>18</v>
      </c>
      <c r="U26" s="905" t="e">
        <v>#N/A</v>
      </c>
      <c r="V26" s="963" t="e">
        <v>#N/A</v>
      </c>
      <c r="W26" s="963" t="e">
        <v>#N/A</v>
      </c>
      <c r="X26" s="963" t="e">
        <v>#N/A</v>
      </c>
      <c r="Y26" s="963" t="e">
        <v>#N/A</v>
      </c>
      <c r="Z26" s="972" t="e">
        <v>#N/A</v>
      </c>
      <c r="AA26" s="972" t="e">
        <v>#N/A</v>
      </c>
      <c r="AB26" s="972" t="e">
        <v>#N/A</v>
      </c>
      <c r="AC26" s="963" t="e">
        <v>#N/A</v>
      </c>
      <c r="AD26" s="963" t="e">
        <v>#N/A</v>
      </c>
      <c r="AE26" s="963" t="e">
        <v>#N/A</v>
      </c>
      <c r="AF26" s="963" t="e">
        <v>#N/A</v>
      </c>
      <c r="AG26" s="963" t="e">
        <f t="shared" si="36"/>
        <v>#N/A</v>
      </c>
      <c r="AH26" s="963" t="str">
        <f t="shared" si="37"/>
        <v/>
      </c>
      <c r="AI26" s="964" t="e">
        <f>IF(NOT(OR(Z26=1,Z26=2)),IF(AQ26&gt;0,$AR$45*AQ26/SUMIF($AQ$9:$AQ$40,"&gt;0"),IF(AU26&gt;0,$AV$45*AU26/SUMIF($AU$9:$AU$40,"&gt;0"),IF(AS26&gt;0,$AT$45*AS26/SUMIF($AS$9:$AS$40,"&gt;0"),""))),IF(SUMIF(AJ27:$AJ$40,"=" &amp; AJ26,AI27:$AI$40)=0,"",SUMIF(AJ27:$AJ$40,"=" &amp; AJ26,AI27:$AI$40)))</f>
        <v>#N/A</v>
      </c>
      <c r="AJ26" s="965" t="e">
        <f t="shared" si="35"/>
        <v>#N/A</v>
      </c>
      <c r="AK26" s="963" t="str">
        <f t="shared" si="5"/>
        <v/>
      </c>
      <c r="AL26" s="972" t="str">
        <f t="shared" si="6"/>
        <v/>
      </c>
      <c r="AM26" s="972" t="str">
        <f t="shared" si="7"/>
        <v/>
      </c>
      <c r="AN26" s="972" t="str">
        <f t="shared" si="8"/>
        <v/>
      </c>
      <c r="AO26" s="972" t="e">
        <f t="shared" si="9"/>
        <v>#N/A</v>
      </c>
      <c r="AP26" s="963" t="str">
        <f t="shared" si="10"/>
        <v/>
      </c>
      <c r="AQ26" s="966">
        <f t="shared" si="11"/>
        <v>0</v>
      </c>
      <c r="AR26" s="967" t="str">
        <f t="shared" si="12"/>
        <v/>
      </c>
      <c r="AS26" s="968">
        <f t="shared" si="13"/>
        <v>0</v>
      </c>
      <c r="AT26" s="967" t="str">
        <f t="shared" si="14"/>
        <v/>
      </c>
      <c r="AU26" s="969">
        <f t="shared" si="15"/>
        <v>0</v>
      </c>
      <c r="AV26" s="970" t="str">
        <f t="shared" si="16"/>
        <v/>
      </c>
      <c r="AW26" s="969" t="b">
        <f t="shared" si="17"/>
        <v>0</v>
      </c>
      <c r="AX26" s="971" t="b">
        <f t="shared" si="18"/>
        <v>0</v>
      </c>
      <c r="AY26" s="969" t="b">
        <f t="shared" si="19"/>
        <v>0</v>
      </c>
      <c r="AZ26" s="971" t="b">
        <f t="shared" si="20"/>
        <v>0</v>
      </c>
      <c r="BA26" s="963" t="b">
        <f t="shared" si="21"/>
        <v>0</v>
      </c>
      <c r="BB26" s="963" t="b">
        <f t="shared" si="22"/>
        <v>0</v>
      </c>
      <c r="BC26" s="969" t="b">
        <f t="shared" si="23"/>
        <v>0</v>
      </c>
      <c r="BD26" s="972" t="b">
        <f t="shared" si="24"/>
        <v>0</v>
      </c>
      <c r="BE26" s="971" t="b">
        <f t="shared" si="25"/>
        <v>0</v>
      </c>
      <c r="BF26" s="973" t="b">
        <f t="shared" si="26"/>
        <v>0</v>
      </c>
      <c r="BG26" s="921" t="str">
        <f t="shared" si="27"/>
        <v>NA</v>
      </c>
      <c r="BH26" s="921" t="str">
        <f t="shared" si="28"/>
        <v/>
      </c>
      <c r="BI26" s="921" t="str">
        <f t="shared" si="29"/>
        <v/>
      </c>
      <c r="BJ26" s="921" t="str">
        <f t="shared" si="30"/>
        <v/>
      </c>
      <c r="BK26" s="921" t="str">
        <f t="shared" si="31"/>
        <v/>
      </c>
      <c r="BL26" s="974" t="str">
        <f t="shared" si="32"/>
        <v/>
      </c>
      <c r="BM26" s="921" t="str">
        <f t="shared" si="33"/>
        <v/>
      </c>
      <c r="BN26" s="921" t="str">
        <f t="shared" si="34"/>
        <v/>
      </c>
      <c r="BO26" s="1498"/>
      <c r="BP26" s="983" t="s">
        <v>231</v>
      </c>
      <c r="BQ26" s="988">
        <f t="shared" si="38"/>
        <v>0.6</v>
      </c>
      <c r="BR26" s="989">
        <f t="shared" si="38"/>
        <v>0.7</v>
      </c>
      <c r="BS26" s="989">
        <f t="shared" si="38"/>
        <v>0.9</v>
      </c>
      <c r="BT26" s="989">
        <f t="shared" si="38"/>
        <v>0.95</v>
      </c>
      <c r="BU26" s="990">
        <f t="shared" si="38"/>
        <v>1</v>
      </c>
      <c r="BW26" s="924">
        <v>3</v>
      </c>
      <c r="BX26" s="975" t="s">
        <v>558</v>
      </c>
    </row>
    <row r="27" spans="2:93" s="923" customFormat="1" ht="12.95" customHeight="1" x14ac:dyDescent="0.25">
      <c r="B27" s="977" t="str">
        <f>IF(ISNA(Z27),"",IF(OR(Z27=1,Z27=2),"    ",MAX($B$9:B26)+1))</f>
        <v/>
      </c>
      <c r="C27" s="1492" t="str">
        <f t="shared" si="0"/>
        <v/>
      </c>
      <c r="D27" s="1492"/>
      <c r="E27" s="1492"/>
      <c r="F27" s="1493"/>
      <c r="G27" s="958" t="str">
        <f t="shared" si="1"/>
        <v/>
      </c>
      <c r="H27" s="959" t="str">
        <f t="shared" si="2"/>
        <v/>
      </c>
      <c r="I27" s="978" t="str">
        <f t="shared" si="2"/>
        <v/>
      </c>
      <c r="J27" s="981"/>
      <c r="K27" s="980"/>
      <c r="L27" s="1075"/>
      <c r="M27" s="1076"/>
      <c r="N27" s="1076"/>
      <c r="O27" s="1076"/>
      <c r="P27" s="1076"/>
      <c r="Q27" s="1076"/>
      <c r="R27" s="1077"/>
      <c r="T27" s="917">
        <v>19</v>
      </c>
      <c r="U27" s="905" t="e">
        <v>#N/A</v>
      </c>
      <c r="V27" s="963" t="e">
        <v>#N/A</v>
      </c>
      <c r="W27" s="963" t="e">
        <v>#N/A</v>
      </c>
      <c r="X27" s="963" t="e">
        <v>#N/A</v>
      </c>
      <c r="Y27" s="963" t="e">
        <v>#N/A</v>
      </c>
      <c r="Z27" s="972" t="e">
        <v>#N/A</v>
      </c>
      <c r="AA27" s="972" t="e">
        <v>#N/A</v>
      </c>
      <c r="AB27" s="972" t="e">
        <v>#N/A</v>
      </c>
      <c r="AC27" s="963" t="e">
        <v>#N/A</v>
      </c>
      <c r="AD27" s="963" t="e">
        <v>#N/A</v>
      </c>
      <c r="AE27" s="963" t="e">
        <v>#N/A</v>
      </c>
      <c r="AF27" s="963" t="e">
        <v>#N/A</v>
      </c>
      <c r="AG27" s="963" t="e">
        <f t="shared" si="36"/>
        <v>#N/A</v>
      </c>
      <c r="AH27" s="963" t="str">
        <f t="shared" si="37"/>
        <v/>
      </c>
      <c r="AI27" s="964" t="e">
        <f>IF(NOT(OR(Z27=1,Z27=2)),IF(AQ27&gt;0,$AR$45*AQ27/SUMIF($AQ$9:$AQ$40,"&gt;0"),IF(AU27&gt;0,$AV$45*AU27/SUMIF($AU$9:$AU$40,"&gt;0"),IF(AS27&gt;0,$AT$45*AS27/SUMIF($AS$9:$AS$40,"&gt;0"),""))),IF(SUMIF(AJ28:$AJ$40,"=" &amp; AJ27,AI28:$AI$40)=0,"",SUMIF(AJ28:$AJ$40,"=" &amp; AJ27,AI28:$AI$40)))</f>
        <v>#N/A</v>
      </c>
      <c r="AJ27" s="965" t="e">
        <f t="shared" si="35"/>
        <v>#N/A</v>
      </c>
      <c r="AK27" s="963" t="str">
        <f t="shared" si="5"/>
        <v/>
      </c>
      <c r="AL27" s="972" t="str">
        <f t="shared" si="6"/>
        <v/>
      </c>
      <c r="AM27" s="972" t="str">
        <f t="shared" si="7"/>
        <v/>
      </c>
      <c r="AN27" s="972" t="str">
        <f t="shared" si="8"/>
        <v/>
      </c>
      <c r="AO27" s="972" t="e">
        <f t="shared" si="9"/>
        <v>#N/A</v>
      </c>
      <c r="AP27" s="963" t="str">
        <f t="shared" si="10"/>
        <v/>
      </c>
      <c r="AQ27" s="966">
        <f t="shared" si="11"/>
        <v>0</v>
      </c>
      <c r="AR27" s="967" t="str">
        <f t="shared" si="12"/>
        <v/>
      </c>
      <c r="AS27" s="968">
        <f t="shared" si="13"/>
        <v>0</v>
      </c>
      <c r="AT27" s="967" t="str">
        <f t="shared" si="14"/>
        <v/>
      </c>
      <c r="AU27" s="969">
        <f t="shared" si="15"/>
        <v>0</v>
      </c>
      <c r="AV27" s="970" t="str">
        <f t="shared" si="16"/>
        <v/>
      </c>
      <c r="AW27" s="969" t="b">
        <f t="shared" si="17"/>
        <v>0</v>
      </c>
      <c r="AX27" s="971" t="b">
        <f t="shared" si="18"/>
        <v>0</v>
      </c>
      <c r="AY27" s="969" t="b">
        <f t="shared" si="19"/>
        <v>0</v>
      </c>
      <c r="AZ27" s="971" t="b">
        <f t="shared" si="20"/>
        <v>0</v>
      </c>
      <c r="BA27" s="963" t="b">
        <f t="shared" si="21"/>
        <v>0</v>
      </c>
      <c r="BB27" s="963" t="b">
        <f t="shared" si="22"/>
        <v>0</v>
      </c>
      <c r="BC27" s="969" t="b">
        <f t="shared" si="23"/>
        <v>0</v>
      </c>
      <c r="BD27" s="972" t="b">
        <f t="shared" si="24"/>
        <v>0</v>
      </c>
      <c r="BE27" s="971" t="b">
        <f t="shared" si="25"/>
        <v>0</v>
      </c>
      <c r="BF27" s="973" t="b">
        <f t="shared" si="26"/>
        <v>0</v>
      </c>
      <c r="BG27" s="921" t="str">
        <f t="shared" si="27"/>
        <v>NA</v>
      </c>
      <c r="BH27" s="921" t="str">
        <f t="shared" si="28"/>
        <v/>
      </c>
      <c r="BI27" s="921" t="str">
        <f t="shared" si="29"/>
        <v/>
      </c>
      <c r="BJ27" s="921" t="str">
        <f t="shared" si="30"/>
        <v/>
      </c>
      <c r="BK27" s="921" t="str">
        <f t="shared" si="31"/>
        <v/>
      </c>
      <c r="BL27" s="974" t="str">
        <f t="shared" si="32"/>
        <v/>
      </c>
      <c r="BM27" s="921" t="str">
        <f t="shared" si="33"/>
        <v/>
      </c>
      <c r="BN27" s="921" t="str">
        <f t="shared" si="34"/>
        <v/>
      </c>
      <c r="BO27" s="1498"/>
      <c r="BP27" s="983" t="s">
        <v>232</v>
      </c>
      <c r="BQ27" s="988">
        <f t="shared" si="38"/>
        <v>0.6</v>
      </c>
      <c r="BR27" s="989">
        <f t="shared" si="38"/>
        <v>0.7</v>
      </c>
      <c r="BS27" s="989">
        <f t="shared" si="38"/>
        <v>0.8</v>
      </c>
      <c r="BT27" s="989">
        <f t="shared" si="38"/>
        <v>0.9</v>
      </c>
      <c r="BU27" s="990">
        <f t="shared" si="38"/>
        <v>1</v>
      </c>
      <c r="BW27" s="924">
        <v>4</v>
      </c>
      <c r="BX27" s="975" t="s">
        <v>563</v>
      </c>
    </row>
    <row r="28" spans="2:93" s="923" customFormat="1" ht="12.95" customHeight="1" x14ac:dyDescent="0.25">
      <c r="B28" s="977" t="str">
        <f>IF(ISNA(Z28),"",IF(OR(Z28=1,Z28=2),"    ",MAX($B$9:B27)+1))</f>
        <v/>
      </c>
      <c r="C28" s="1492" t="str">
        <f t="shared" si="0"/>
        <v/>
      </c>
      <c r="D28" s="1492"/>
      <c r="E28" s="1492"/>
      <c r="F28" s="1493"/>
      <c r="G28" s="958" t="str">
        <f t="shared" si="1"/>
        <v/>
      </c>
      <c r="H28" s="959" t="str">
        <f t="shared" si="2"/>
        <v/>
      </c>
      <c r="I28" s="978" t="str">
        <f t="shared" si="2"/>
        <v/>
      </c>
      <c r="J28" s="981"/>
      <c r="K28" s="980"/>
      <c r="L28" s="1075"/>
      <c r="M28" s="1076"/>
      <c r="N28" s="1076"/>
      <c r="O28" s="1076"/>
      <c r="P28" s="1076"/>
      <c r="Q28" s="1076"/>
      <c r="R28" s="1077"/>
      <c r="T28" s="917">
        <v>20</v>
      </c>
      <c r="U28" s="905" t="e">
        <v>#N/A</v>
      </c>
      <c r="V28" s="963" t="e">
        <v>#N/A</v>
      </c>
      <c r="W28" s="963" t="e">
        <v>#N/A</v>
      </c>
      <c r="X28" s="963" t="e">
        <v>#N/A</v>
      </c>
      <c r="Y28" s="963" t="e">
        <v>#N/A</v>
      </c>
      <c r="Z28" s="972" t="e">
        <v>#N/A</v>
      </c>
      <c r="AA28" s="972" t="e">
        <v>#N/A</v>
      </c>
      <c r="AB28" s="972" t="e">
        <v>#N/A</v>
      </c>
      <c r="AC28" s="963" t="e">
        <v>#N/A</v>
      </c>
      <c r="AD28" s="963" t="e">
        <v>#N/A</v>
      </c>
      <c r="AE28" s="963" t="e">
        <v>#N/A</v>
      </c>
      <c r="AF28" s="963" t="e">
        <v>#N/A</v>
      </c>
      <c r="AG28" s="963" t="e">
        <f t="shared" si="36"/>
        <v>#N/A</v>
      </c>
      <c r="AH28" s="963" t="str">
        <f t="shared" si="37"/>
        <v/>
      </c>
      <c r="AI28" s="964" t="e">
        <f>IF(NOT(OR(Z28=1,Z28=2)),IF(AQ28&gt;0,$AR$45*AQ28/SUMIF($AQ$9:$AQ$40,"&gt;0"),IF(AU28&gt;0,$AV$45*AU28/SUMIF($AU$9:$AU$40,"&gt;0"),IF(AS28&gt;0,$AT$45*AS28/SUMIF($AS$9:$AS$40,"&gt;0"),""))),IF(SUMIF(AJ29:$AJ$40,"=" &amp; AJ28,AI29:$AI$40)=0,"",SUMIF(AJ29:$AJ$40,"=" &amp; AJ28,AI29:$AI$40)))</f>
        <v>#N/A</v>
      </c>
      <c r="AJ28" s="965" t="e">
        <f t="shared" si="35"/>
        <v>#N/A</v>
      </c>
      <c r="AK28" s="963" t="str">
        <f t="shared" si="5"/>
        <v/>
      </c>
      <c r="AL28" s="972" t="str">
        <f t="shared" si="6"/>
        <v/>
      </c>
      <c r="AM28" s="972" t="str">
        <f t="shared" si="7"/>
        <v/>
      </c>
      <c r="AN28" s="972" t="str">
        <f t="shared" si="8"/>
        <v/>
      </c>
      <c r="AO28" s="972" t="e">
        <f t="shared" si="9"/>
        <v>#N/A</v>
      </c>
      <c r="AP28" s="963" t="str">
        <f t="shared" si="10"/>
        <v/>
      </c>
      <c r="AQ28" s="966">
        <f t="shared" si="11"/>
        <v>0</v>
      </c>
      <c r="AR28" s="967" t="str">
        <f t="shared" si="12"/>
        <v/>
      </c>
      <c r="AS28" s="968">
        <f t="shared" si="13"/>
        <v>0</v>
      </c>
      <c r="AT28" s="967" t="str">
        <f t="shared" si="14"/>
        <v/>
      </c>
      <c r="AU28" s="969">
        <f t="shared" si="15"/>
        <v>0</v>
      </c>
      <c r="AV28" s="970" t="str">
        <f t="shared" si="16"/>
        <v/>
      </c>
      <c r="AW28" s="969" t="b">
        <f t="shared" si="17"/>
        <v>0</v>
      </c>
      <c r="AX28" s="971" t="b">
        <f t="shared" si="18"/>
        <v>0</v>
      </c>
      <c r="AY28" s="969" t="b">
        <f t="shared" si="19"/>
        <v>0</v>
      </c>
      <c r="AZ28" s="971" t="b">
        <f t="shared" si="20"/>
        <v>0</v>
      </c>
      <c r="BA28" s="963" t="b">
        <f t="shared" si="21"/>
        <v>0</v>
      </c>
      <c r="BB28" s="963" t="b">
        <f t="shared" si="22"/>
        <v>0</v>
      </c>
      <c r="BC28" s="969" t="b">
        <f t="shared" si="23"/>
        <v>0</v>
      </c>
      <c r="BD28" s="972" t="b">
        <f t="shared" si="24"/>
        <v>0</v>
      </c>
      <c r="BE28" s="971" t="b">
        <f t="shared" si="25"/>
        <v>0</v>
      </c>
      <c r="BF28" s="973" t="b">
        <f t="shared" si="26"/>
        <v>0</v>
      </c>
      <c r="BG28" s="921" t="str">
        <f t="shared" si="27"/>
        <v>NA</v>
      </c>
      <c r="BH28" s="921" t="str">
        <f t="shared" si="28"/>
        <v/>
      </c>
      <c r="BI28" s="921" t="str">
        <f t="shared" si="29"/>
        <v/>
      </c>
      <c r="BJ28" s="921" t="str">
        <f t="shared" si="30"/>
        <v/>
      </c>
      <c r="BK28" s="921" t="str">
        <f t="shared" si="31"/>
        <v/>
      </c>
      <c r="BL28" s="974" t="str">
        <f t="shared" si="32"/>
        <v/>
      </c>
      <c r="BM28" s="921" t="str">
        <f t="shared" si="33"/>
        <v/>
      </c>
      <c r="BN28" s="921" t="str">
        <f t="shared" si="34"/>
        <v/>
      </c>
      <c r="BO28" s="1498"/>
      <c r="BP28" s="983" t="s">
        <v>233</v>
      </c>
      <c r="BQ28" s="988">
        <f t="shared" si="38"/>
        <v>0.3</v>
      </c>
      <c r="BR28" s="989">
        <f t="shared" si="38"/>
        <v>0.6</v>
      </c>
      <c r="BS28" s="989">
        <f t="shared" si="38"/>
        <v>0.9</v>
      </c>
      <c r="BT28" s="989">
        <f t="shared" si="38"/>
        <v>0.95</v>
      </c>
      <c r="BU28" s="990">
        <f t="shared" si="38"/>
        <v>1</v>
      </c>
    </row>
    <row r="29" spans="2:93" s="923" customFormat="1" ht="12.95" customHeight="1" x14ac:dyDescent="0.25">
      <c r="B29" s="977" t="str">
        <f>IF(ISNA(Z29),"",IF(OR(Z29=1,Z29=2),"    ",MAX($B$9:B28)+1))</f>
        <v/>
      </c>
      <c r="C29" s="1492" t="str">
        <f t="shared" si="0"/>
        <v/>
      </c>
      <c r="D29" s="1492"/>
      <c r="E29" s="1492"/>
      <c r="F29" s="1493"/>
      <c r="G29" s="958" t="str">
        <f t="shared" si="1"/>
        <v/>
      </c>
      <c r="H29" s="959" t="str">
        <f t="shared" si="2"/>
        <v/>
      </c>
      <c r="I29" s="978" t="str">
        <f t="shared" si="2"/>
        <v/>
      </c>
      <c r="J29" s="981"/>
      <c r="K29" s="980"/>
      <c r="L29" s="1075"/>
      <c r="M29" s="1076"/>
      <c r="N29" s="1076"/>
      <c r="O29" s="1076"/>
      <c r="P29" s="1076"/>
      <c r="Q29" s="1076"/>
      <c r="R29" s="1077"/>
      <c r="T29" s="917">
        <v>21</v>
      </c>
      <c r="U29" s="905" t="e">
        <v>#N/A</v>
      </c>
      <c r="V29" s="963" t="e">
        <v>#N/A</v>
      </c>
      <c r="W29" s="963" t="e">
        <v>#N/A</v>
      </c>
      <c r="X29" s="963" t="e">
        <v>#N/A</v>
      </c>
      <c r="Y29" s="963" t="e">
        <v>#N/A</v>
      </c>
      <c r="Z29" s="972" t="e">
        <v>#N/A</v>
      </c>
      <c r="AA29" s="972" t="e">
        <v>#N/A</v>
      </c>
      <c r="AB29" s="972" t="e">
        <v>#N/A</v>
      </c>
      <c r="AC29" s="963" t="e">
        <v>#N/A</v>
      </c>
      <c r="AD29" s="963" t="e">
        <v>#N/A</v>
      </c>
      <c r="AE29" s="963" t="e">
        <v>#N/A</v>
      </c>
      <c r="AF29" s="963" t="e">
        <v>#N/A</v>
      </c>
      <c r="AG29" s="963" t="e">
        <f t="shared" si="36"/>
        <v>#N/A</v>
      </c>
      <c r="AH29" s="963" t="str">
        <f t="shared" si="37"/>
        <v/>
      </c>
      <c r="AI29" s="964" t="e">
        <f>IF(NOT(OR(Z29=1,Z29=2)),IF(AQ29&gt;0,$AR$45*AQ29/SUMIF($AQ$9:$AQ$40,"&gt;0"),IF(AU29&gt;0,$AV$45*AU29/SUMIF($AU$9:$AU$40,"&gt;0"),IF(AS29&gt;0,$AT$45*AS29/SUMIF($AS$9:$AS$40,"&gt;0"),""))),IF(SUMIF(AJ30:$AJ$40,"=" &amp; AJ29,AI30:$AI$40)=0,"",SUMIF(AJ30:$AJ$40,"=" &amp; AJ29,AI30:$AI$40)))</f>
        <v>#N/A</v>
      </c>
      <c r="AJ29" s="965" t="e">
        <f t="shared" si="35"/>
        <v>#N/A</v>
      </c>
      <c r="AK29" s="963" t="str">
        <f t="shared" si="5"/>
        <v/>
      </c>
      <c r="AL29" s="972" t="str">
        <f t="shared" si="6"/>
        <v/>
      </c>
      <c r="AM29" s="972" t="str">
        <f t="shared" si="7"/>
        <v/>
      </c>
      <c r="AN29" s="972" t="str">
        <f t="shared" si="8"/>
        <v/>
      </c>
      <c r="AO29" s="972" t="e">
        <f t="shared" si="9"/>
        <v>#N/A</v>
      </c>
      <c r="AP29" s="963" t="str">
        <f t="shared" si="10"/>
        <v/>
      </c>
      <c r="AQ29" s="966">
        <f t="shared" si="11"/>
        <v>0</v>
      </c>
      <c r="AR29" s="967" t="str">
        <f t="shared" si="12"/>
        <v/>
      </c>
      <c r="AS29" s="968">
        <f t="shared" si="13"/>
        <v>0</v>
      </c>
      <c r="AT29" s="967" t="str">
        <f t="shared" si="14"/>
        <v/>
      </c>
      <c r="AU29" s="969">
        <f t="shared" si="15"/>
        <v>0</v>
      </c>
      <c r="AV29" s="970" t="str">
        <f t="shared" si="16"/>
        <v/>
      </c>
      <c r="AW29" s="969" t="b">
        <f t="shared" si="17"/>
        <v>0</v>
      </c>
      <c r="AX29" s="971" t="b">
        <f t="shared" si="18"/>
        <v>0</v>
      </c>
      <c r="AY29" s="969" t="b">
        <f t="shared" si="19"/>
        <v>0</v>
      </c>
      <c r="AZ29" s="971" t="b">
        <f t="shared" si="20"/>
        <v>0</v>
      </c>
      <c r="BA29" s="963" t="b">
        <f t="shared" si="21"/>
        <v>0</v>
      </c>
      <c r="BB29" s="963" t="b">
        <f t="shared" si="22"/>
        <v>0</v>
      </c>
      <c r="BC29" s="969" t="b">
        <f t="shared" si="23"/>
        <v>0</v>
      </c>
      <c r="BD29" s="972" t="b">
        <f t="shared" si="24"/>
        <v>0</v>
      </c>
      <c r="BE29" s="971" t="b">
        <f t="shared" si="25"/>
        <v>0</v>
      </c>
      <c r="BF29" s="973" t="b">
        <f t="shared" si="26"/>
        <v>0</v>
      </c>
      <c r="BG29" s="921" t="str">
        <f t="shared" si="27"/>
        <v>NA</v>
      </c>
      <c r="BH29" s="921" t="str">
        <f t="shared" si="28"/>
        <v/>
      </c>
      <c r="BI29" s="921" t="str">
        <f t="shared" si="29"/>
        <v/>
      </c>
      <c r="BJ29" s="921" t="str">
        <f t="shared" si="30"/>
        <v/>
      </c>
      <c r="BK29" s="921" t="str">
        <f t="shared" si="31"/>
        <v/>
      </c>
      <c r="BL29" s="974" t="str">
        <f t="shared" si="32"/>
        <v/>
      </c>
      <c r="BM29" s="921" t="str">
        <f t="shared" si="33"/>
        <v/>
      </c>
      <c r="BN29" s="921" t="str">
        <f t="shared" si="34"/>
        <v/>
      </c>
      <c r="BO29" s="1498"/>
      <c r="BP29" s="983" t="s">
        <v>234</v>
      </c>
      <c r="BQ29" s="988">
        <f t="shared" si="38"/>
        <v>0.3</v>
      </c>
      <c r="BR29" s="989">
        <f t="shared" si="38"/>
        <v>0.6</v>
      </c>
      <c r="BS29" s="989">
        <f t="shared" si="38"/>
        <v>0.7</v>
      </c>
      <c r="BT29" s="989">
        <f t="shared" si="38"/>
        <v>0.9</v>
      </c>
      <c r="BU29" s="990">
        <f t="shared" si="38"/>
        <v>1</v>
      </c>
      <c r="BW29" s="922" t="s">
        <v>590</v>
      </c>
    </row>
    <row r="30" spans="2:93" s="923" customFormat="1" ht="12.95" customHeight="1" x14ac:dyDescent="0.25">
      <c r="B30" s="977" t="str">
        <f>IF(ISNA(Z30),"",IF(OR(Z30=1,Z30=2),"    ",MAX($B$9:B29)+1))</f>
        <v/>
      </c>
      <c r="C30" s="1492" t="str">
        <f t="shared" si="0"/>
        <v/>
      </c>
      <c r="D30" s="1492"/>
      <c r="E30" s="1492"/>
      <c r="F30" s="1493"/>
      <c r="G30" s="958" t="str">
        <f t="shared" si="1"/>
        <v/>
      </c>
      <c r="H30" s="959" t="str">
        <f t="shared" si="2"/>
        <v/>
      </c>
      <c r="I30" s="978" t="str">
        <f t="shared" si="2"/>
        <v/>
      </c>
      <c r="J30" s="981"/>
      <c r="K30" s="980"/>
      <c r="L30" s="1075"/>
      <c r="M30" s="1076"/>
      <c r="N30" s="1076"/>
      <c r="O30" s="1076"/>
      <c r="P30" s="1076"/>
      <c r="Q30" s="1076"/>
      <c r="R30" s="1077"/>
      <c r="T30" s="917">
        <v>22</v>
      </c>
      <c r="U30" s="905" t="e">
        <v>#N/A</v>
      </c>
      <c r="V30" s="963" t="e">
        <v>#N/A</v>
      </c>
      <c r="W30" s="963" t="e">
        <v>#N/A</v>
      </c>
      <c r="X30" s="963" t="e">
        <v>#N/A</v>
      </c>
      <c r="Y30" s="963" t="e">
        <v>#N/A</v>
      </c>
      <c r="Z30" s="972" t="e">
        <v>#N/A</v>
      </c>
      <c r="AA30" s="972" t="e">
        <v>#N/A</v>
      </c>
      <c r="AB30" s="972" t="e">
        <v>#N/A</v>
      </c>
      <c r="AC30" s="963" t="e">
        <v>#N/A</v>
      </c>
      <c r="AD30" s="963" t="e">
        <v>#N/A</v>
      </c>
      <c r="AE30" s="963" t="e">
        <v>#N/A</v>
      </c>
      <c r="AF30" s="963" t="e">
        <v>#N/A</v>
      </c>
      <c r="AG30" s="963" t="e">
        <f t="shared" si="36"/>
        <v>#N/A</v>
      </c>
      <c r="AH30" s="963" t="str">
        <f t="shared" si="37"/>
        <v/>
      </c>
      <c r="AI30" s="964" t="e">
        <f>IF(NOT(OR(Z30=1,Z30=2)),IF(AQ30&gt;0,$AR$45*AQ30/SUMIF($AQ$9:$AQ$40,"&gt;0"),IF(AU30&gt;0,$AV$45*AU30/SUMIF($AU$9:$AU$40,"&gt;0"),IF(AS30&gt;0,$AT$45*AS30/SUMIF($AS$9:$AS$40,"&gt;0"),""))),IF(SUMIF(AJ31:$AJ$40,"=" &amp; AJ30,AI31:$AI$40)=0,"",SUMIF(AJ31:$AJ$40,"=" &amp; AJ30,AI31:$AI$40)))</f>
        <v>#N/A</v>
      </c>
      <c r="AJ30" s="965" t="e">
        <f t="shared" si="35"/>
        <v>#N/A</v>
      </c>
      <c r="AK30" s="963" t="str">
        <f t="shared" si="5"/>
        <v/>
      </c>
      <c r="AL30" s="972" t="str">
        <f t="shared" si="6"/>
        <v/>
      </c>
      <c r="AM30" s="972" t="str">
        <f t="shared" si="7"/>
        <v/>
      </c>
      <c r="AN30" s="972" t="str">
        <f t="shared" si="8"/>
        <v/>
      </c>
      <c r="AO30" s="972" t="e">
        <f t="shared" si="9"/>
        <v>#N/A</v>
      </c>
      <c r="AP30" s="963" t="str">
        <f t="shared" si="10"/>
        <v/>
      </c>
      <c r="AQ30" s="966">
        <f t="shared" si="11"/>
        <v>0</v>
      </c>
      <c r="AR30" s="967" t="str">
        <f t="shared" si="12"/>
        <v/>
      </c>
      <c r="AS30" s="968">
        <f t="shared" si="13"/>
        <v>0</v>
      </c>
      <c r="AT30" s="967" t="str">
        <f t="shared" si="14"/>
        <v/>
      </c>
      <c r="AU30" s="969">
        <f t="shared" si="15"/>
        <v>0</v>
      </c>
      <c r="AV30" s="970" t="str">
        <f t="shared" si="16"/>
        <v/>
      </c>
      <c r="AW30" s="969" t="b">
        <f t="shared" si="17"/>
        <v>0</v>
      </c>
      <c r="AX30" s="971" t="b">
        <f t="shared" si="18"/>
        <v>0</v>
      </c>
      <c r="AY30" s="969" t="b">
        <f t="shared" si="19"/>
        <v>0</v>
      </c>
      <c r="AZ30" s="971" t="b">
        <f t="shared" si="20"/>
        <v>0</v>
      </c>
      <c r="BA30" s="963" t="b">
        <f t="shared" si="21"/>
        <v>0</v>
      </c>
      <c r="BB30" s="963" t="b">
        <f t="shared" si="22"/>
        <v>0</v>
      </c>
      <c r="BC30" s="969" t="b">
        <f t="shared" si="23"/>
        <v>0</v>
      </c>
      <c r="BD30" s="972" t="b">
        <f t="shared" si="24"/>
        <v>0</v>
      </c>
      <c r="BE30" s="971" t="b">
        <f t="shared" si="25"/>
        <v>0</v>
      </c>
      <c r="BF30" s="973" t="b">
        <f t="shared" si="26"/>
        <v>0</v>
      </c>
      <c r="BG30" s="921" t="str">
        <f t="shared" si="27"/>
        <v>NA</v>
      </c>
      <c r="BH30" s="921" t="str">
        <f t="shared" si="28"/>
        <v/>
      </c>
      <c r="BI30" s="921" t="str">
        <f t="shared" si="29"/>
        <v/>
      </c>
      <c r="BJ30" s="921" t="str">
        <f t="shared" si="30"/>
        <v/>
      </c>
      <c r="BK30" s="921" t="str">
        <f t="shared" si="31"/>
        <v/>
      </c>
      <c r="BL30" s="974" t="str">
        <f t="shared" si="32"/>
        <v/>
      </c>
      <c r="BM30" s="921" t="str">
        <f t="shared" si="33"/>
        <v/>
      </c>
      <c r="BN30" s="921" t="str">
        <f t="shared" si="34"/>
        <v/>
      </c>
      <c r="BO30" s="1498"/>
      <c r="BP30" s="983" t="s">
        <v>235</v>
      </c>
      <c r="BQ30" s="991">
        <f t="shared" si="38"/>
        <v>0</v>
      </c>
      <c r="BR30" s="992">
        <f t="shared" si="38"/>
        <v>0.3</v>
      </c>
      <c r="BS30" s="992">
        <f t="shared" si="38"/>
        <v>0.6</v>
      </c>
      <c r="BT30" s="992">
        <f t="shared" si="38"/>
        <v>0.9</v>
      </c>
      <c r="BU30" s="993">
        <f t="shared" si="38"/>
        <v>1</v>
      </c>
      <c r="BW30" s="924" t="s">
        <v>214</v>
      </c>
      <c r="BX30" s="925" t="s">
        <v>215</v>
      </c>
    </row>
    <row r="31" spans="2:93" s="923" customFormat="1" ht="12.95" customHeight="1" x14ac:dyDescent="0.25">
      <c r="B31" s="977" t="str">
        <f>IF(ISNA(Z31),"",IF(OR(Z31=1,Z31=2),"    ",MAX($B$9:B30)+1))</f>
        <v/>
      </c>
      <c r="C31" s="1492" t="str">
        <f t="shared" si="0"/>
        <v/>
      </c>
      <c r="D31" s="1492"/>
      <c r="E31" s="1492"/>
      <c r="F31" s="1493"/>
      <c r="G31" s="958" t="str">
        <f t="shared" si="1"/>
        <v/>
      </c>
      <c r="H31" s="959" t="str">
        <f t="shared" si="2"/>
        <v/>
      </c>
      <c r="I31" s="978" t="str">
        <f t="shared" si="2"/>
        <v/>
      </c>
      <c r="J31" s="981"/>
      <c r="K31" s="980"/>
      <c r="L31" s="1075"/>
      <c r="M31" s="1076"/>
      <c r="N31" s="1076"/>
      <c r="O31" s="1076"/>
      <c r="P31" s="1076"/>
      <c r="Q31" s="1076"/>
      <c r="R31" s="1077"/>
      <c r="T31" s="917">
        <v>23</v>
      </c>
      <c r="U31" s="905" t="e">
        <v>#N/A</v>
      </c>
      <c r="V31" s="963" t="e">
        <v>#N/A</v>
      </c>
      <c r="W31" s="963" t="e">
        <v>#N/A</v>
      </c>
      <c r="X31" s="963" t="e">
        <v>#N/A</v>
      </c>
      <c r="Y31" s="963" t="e">
        <v>#N/A</v>
      </c>
      <c r="Z31" s="972" t="e">
        <v>#N/A</v>
      </c>
      <c r="AA31" s="972" t="e">
        <v>#N/A</v>
      </c>
      <c r="AB31" s="972" t="e">
        <v>#N/A</v>
      </c>
      <c r="AC31" s="963" t="e">
        <v>#N/A</v>
      </c>
      <c r="AD31" s="963" t="e">
        <v>#N/A</v>
      </c>
      <c r="AE31" s="963" t="e">
        <v>#N/A</v>
      </c>
      <c r="AF31" s="963" t="e">
        <v>#N/A</v>
      </c>
      <c r="AG31" s="963" t="e">
        <f t="shared" si="36"/>
        <v>#N/A</v>
      </c>
      <c r="AH31" s="963" t="str">
        <f t="shared" si="37"/>
        <v/>
      </c>
      <c r="AI31" s="964" t="e">
        <f>IF(NOT(OR(Z31=1,Z31=2)),IF(AQ31&gt;0,$AR$45*AQ31/SUMIF($AQ$9:$AQ$40,"&gt;0"),IF(AU31&gt;0,$AV$45*AU31/SUMIF($AU$9:$AU$40,"&gt;0"),IF(AS31&gt;0,$AT$45*AS31/SUMIF($AS$9:$AS$40,"&gt;0"),""))),IF(SUMIF(AJ32:$AJ$40,"=" &amp; AJ31,AI32:$AI$40)=0,"",SUMIF(AJ32:$AJ$40,"=" &amp; AJ31,AI32:$AI$40)))</f>
        <v>#N/A</v>
      </c>
      <c r="AJ31" s="965" t="e">
        <f t="shared" si="35"/>
        <v>#N/A</v>
      </c>
      <c r="AK31" s="963" t="str">
        <f t="shared" si="5"/>
        <v/>
      </c>
      <c r="AL31" s="972" t="str">
        <f t="shared" si="6"/>
        <v/>
      </c>
      <c r="AM31" s="972" t="str">
        <f t="shared" si="7"/>
        <v/>
      </c>
      <c r="AN31" s="972" t="str">
        <f t="shared" si="8"/>
        <v/>
      </c>
      <c r="AO31" s="972" t="e">
        <f t="shared" si="9"/>
        <v>#N/A</v>
      </c>
      <c r="AP31" s="963" t="str">
        <f t="shared" si="10"/>
        <v/>
      </c>
      <c r="AQ31" s="966">
        <f t="shared" si="11"/>
        <v>0</v>
      </c>
      <c r="AR31" s="967" t="str">
        <f t="shared" si="12"/>
        <v/>
      </c>
      <c r="AS31" s="968">
        <f t="shared" si="13"/>
        <v>0</v>
      </c>
      <c r="AT31" s="967" t="str">
        <f t="shared" si="14"/>
        <v/>
      </c>
      <c r="AU31" s="969">
        <f t="shared" si="15"/>
        <v>0</v>
      </c>
      <c r="AV31" s="970" t="str">
        <f t="shared" si="16"/>
        <v/>
      </c>
      <c r="AW31" s="969" t="b">
        <f t="shared" si="17"/>
        <v>0</v>
      </c>
      <c r="AX31" s="971" t="b">
        <f t="shared" si="18"/>
        <v>0</v>
      </c>
      <c r="AY31" s="969" t="b">
        <f t="shared" si="19"/>
        <v>0</v>
      </c>
      <c r="AZ31" s="971" t="b">
        <f t="shared" si="20"/>
        <v>0</v>
      </c>
      <c r="BA31" s="963" t="b">
        <f t="shared" si="21"/>
        <v>0</v>
      </c>
      <c r="BB31" s="963" t="b">
        <f t="shared" si="22"/>
        <v>0</v>
      </c>
      <c r="BC31" s="969" t="b">
        <f t="shared" si="23"/>
        <v>0</v>
      </c>
      <c r="BD31" s="972" t="b">
        <f t="shared" si="24"/>
        <v>0</v>
      </c>
      <c r="BE31" s="971" t="b">
        <f t="shared" si="25"/>
        <v>0</v>
      </c>
      <c r="BF31" s="973" t="b">
        <f t="shared" si="26"/>
        <v>0</v>
      </c>
      <c r="BG31" s="921" t="str">
        <f t="shared" si="27"/>
        <v>NA</v>
      </c>
      <c r="BH31" s="921" t="str">
        <f t="shared" si="28"/>
        <v/>
      </c>
      <c r="BI31" s="921" t="str">
        <f t="shared" si="29"/>
        <v/>
      </c>
      <c r="BJ31" s="921" t="str">
        <f t="shared" si="30"/>
        <v/>
      </c>
      <c r="BK31" s="921" t="str">
        <f t="shared" si="31"/>
        <v/>
      </c>
      <c r="BL31" s="974" t="str">
        <f t="shared" si="32"/>
        <v/>
      </c>
      <c r="BM31" s="921" t="str">
        <f t="shared" si="33"/>
        <v/>
      </c>
      <c r="BN31" s="921" t="str">
        <f t="shared" si="34"/>
        <v/>
      </c>
      <c r="BO31" s="908"/>
      <c r="BW31" s="924">
        <v>0</v>
      </c>
      <c r="BX31" s="925" t="s">
        <v>216</v>
      </c>
    </row>
    <row r="32" spans="2:93" s="923" customFormat="1" ht="12.95" customHeight="1" x14ac:dyDescent="0.25">
      <c r="B32" s="977" t="str">
        <f>IF(ISNA(Z32),"",IF(OR(Z32=1,Z32=2),"    ",MAX($B$9:B31)+1))</f>
        <v/>
      </c>
      <c r="C32" s="1492" t="str">
        <f t="shared" si="0"/>
        <v/>
      </c>
      <c r="D32" s="1492"/>
      <c r="E32" s="1492"/>
      <c r="F32" s="1493"/>
      <c r="G32" s="958" t="str">
        <f t="shared" si="1"/>
        <v/>
      </c>
      <c r="H32" s="959" t="str">
        <f t="shared" si="2"/>
        <v/>
      </c>
      <c r="I32" s="978" t="str">
        <f t="shared" si="2"/>
        <v/>
      </c>
      <c r="J32" s="981"/>
      <c r="K32" s="980"/>
      <c r="L32" s="1075"/>
      <c r="M32" s="1076"/>
      <c r="N32" s="1076"/>
      <c r="O32" s="1076"/>
      <c r="P32" s="1076"/>
      <c r="Q32" s="1076"/>
      <c r="R32" s="1077"/>
      <c r="T32" s="917">
        <v>24</v>
      </c>
      <c r="U32" s="905" t="e">
        <v>#N/A</v>
      </c>
      <c r="V32" s="963" t="e">
        <v>#N/A</v>
      </c>
      <c r="W32" s="963" t="e">
        <v>#N/A</v>
      </c>
      <c r="X32" s="963" t="e">
        <v>#N/A</v>
      </c>
      <c r="Y32" s="963" t="e">
        <v>#N/A</v>
      </c>
      <c r="Z32" s="972" t="e">
        <v>#N/A</v>
      </c>
      <c r="AA32" s="972" t="e">
        <v>#N/A</v>
      </c>
      <c r="AB32" s="972" t="e">
        <v>#N/A</v>
      </c>
      <c r="AC32" s="963" t="e">
        <v>#N/A</v>
      </c>
      <c r="AD32" s="963" t="e">
        <v>#N/A</v>
      </c>
      <c r="AE32" s="963" t="e">
        <v>#N/A</v>
      </c>
      <c r="AF32" s="963" t="e">
        <v>#N/A</v>
      </c>
      <c r="AG32" s="963" t="e">
        <f t="shared" si="36"/>
        <v>#N/A</v>
      </c>
      <c r="AH32" s="963" t="str">
        <f t="shared" si="37"/>
        <v/>
      </c>
      <c r="AI32" s="964" t="e">
        <f>IF(NOT(OR(Z32=1,Z32=2)),IF(AQ32&gt;0,$AR$45*AQ32/SUMIF($AQ$9:$AQ$40,"&gt;0"),IF(AU32&gt;0,$AV$45*AU32/SUMIF($AU$9:$AU$40,"&gt;0"),IF(AS32&gt;0,$AT$45*AS32/SUMIF($AS$9:$AS$40,"&gt;0"),""))),IF(SUMIF(AJ33:$AJ$40,"=" &amp; AJ32,AI33:$AI$40)=0,"",SUMIF(AJ33:$AJ$40,"=" &amp; AJ32,AI33:$AI$40)))</f>
        <v>#N/A</v>
      </c>
      <c r="AJ32" s="965" t="e">
        <f t="shared" si="35"/>
        <v>#N/A</v>
      </c>
      <c r="AK32" s="963" t="str">
        <f t="shared" si="5"/>
        <v/>
      </c>
      <c r="AL32" s="972" t="str">
        <f t="shared" si="6"/>
        <v/>
      </c>
      <c r="AM32" s="972" t="str">
        <f t="shared" si="7"/>
        <v/>
      </c>
      <c r="AN32" s="972" t="str">
        <f t="shared" si="8"/>
        <v/>
      </c>
      <c r="AO32" s="972" t="e">
        <f t="shared" si="9"/>
        <v>#N/A</v>
      </c>
      <c r="AP32" s="963" t="str">
        <f t="shared" si="10"/>
        <v/>
      </c>
      <c r="AQ32" s="966">
        <f t="shared" si="11"/>
        <v>0</v>
      </c>
      <c r="AR32" s="967" t="str">
        <f t="shared" si="12"/>
        <v/>
      </c>
      <c r="AS32" s="968">
        <f t="shared" si="13"/>
        <v>0</v>
      </c>
      <c r="AT32" s="967" t="str">
        <f t="shared" si="14"/>
        <v/>
      </c>
      <c r="AU32" s="969">
        <f t="shared" si="15"/>
        <v>0</v>
      </c>
      <c r="AV32" s="970" t="str">
        <f t="shared" si="16"/>
        <v/>
      </c>
      <c r="AW32" s="969" t="b">
        <f t="shared" si="17"/>
        <v>0</v>
      </c>
      <c r="AX32" s="971" t="b">
        <f t="shared" si="18"/>
        <v>0</v>
      </c>
      <c r="AY32" s="969" t="b">
        <f t="shared" si="19"/>
        <v>0</v>
      </c>
      <c r="AZ32" s="971" t="b">
        <f t="shared" si="20"/>
        <v>0</v>
      </c>
      <c r="BA32" s="963" t="b">
        <f t="shared" si="21"/>
        <v>0</v>
      </c>
      <c r="BB32" s="963" t="b">
        <f t="shared" si="22"/>
        <v>0</v>
      </c>
      <c r="BC32" s="969" t="b">
        <f t="shared" si="23"/>
        <v>0</v>
      </c>
      <c r="BD32" s="972" t="b">
        <f t="shared" si="24"/>
        <v>0</v>
      </c>
      <c r="BE32" s="971" t="b">
        <f t="shared" si="25"/>
        <v>0</v>
      </c>
      <c r="BF32" s="973" t="b">
        <f t="shared" si="26"/>
        <v>0</v>
      </c>
      <c r="BG32" s="921" t="str">
        <f t="shared" si="27"/>
        <v>NA</v>
      </c>
      <c r="BH32" s="921" t="str">
        <f t="shared" si="28"/>
        <v/>
      </c>
      <c r="BI32" s="921" t="str">
        <f t="shared" si="29"/>
        <v/>
      </c>
      <c r="BJ32" s="921" t="str">
        <f t="shared" si="30"/>
        <v/>
      </c>
      <c r="BK32" s="921" t="str">
        <f t="shared" si="31"/>
        <v/>
      </c>
      <c r="BL32" s="974" t="str">
        <f t="shared" si="32"/>
        <v/>
      </c>
      <c r="BM32" s="921" t="str">
        <f t="shared" si="33"/>
        <v/>
      </c>
      <c r="BN32" s="921" t="str">
        <f t="shared" si="34"/>
        <v/>
      </c>
      <c r="BO32" s="924" t="s">
        <v>236</v>
      </c>
      <c r="BP32" s="955" t="s">
        <v>237</v>
      </c>
      <c r="BW32" s="924">
        <v>1</v>
      </c>
      <c r="BX32" s="975" t="s">
        <v>591</v>
      </c>
    </row>
    <row r="33" spans="2:76 1271:1271" s="923" customFormat="1" ht="12.95" customHeight="1" x14ac:dyDescent="0.25">
      <c r="B33" s="977" t="str">
        <f>IF(ISNA(Z33),"",IF(OR(Z33=1,Z33=2),"    ",MAX($B$9:B32)+1))</f>
        <v/>
      </c>
      <c r="C33" s="1492" t="str">
        <f t="shared" si="0"/>
        <v/>
      </c>
      <c r="D33" s="1492"/>
      <c r="E33" s="1492"/>
      <c r="F33" s="1493"/>
      <c r="G33" s="958" t="str">
        <f t="shared" si="1"/>
        <v/>
      </c>
      <c r="H33" s="959" t="str">
        <f t="shared" si="2"/>
        <v/>
      </c>
      <c r="I33" s="978" t="str">
        <f t="shared" si="2"/>
        <v/>
      </c>
      <c r="J33" s="981"/>
      <c r="K33" s="980"/>
      <c r="L33" s="1075"/>
      <c r="M33" s="1076"/>
      <c r="N33" s="1076"/>
      <c r="O33" s="1076"/>
      <c r="P33" s="1076"/>
      <c r="Q33" s="1076"/>
      <c r="R33" s="1077"/>
      <c r="T33" s="917">
        <v>25</v>
      </c>
      <c r="U33" s="905" t="e">
        <v>#N/A</v>
      </c>
      <c r="V33" s="963" t="e">
        <v>#N/A</v>
      </c>
      <c r="W33" s="963" t="e">
        <v>#N/A</v>
      </c>
      <c r="X33" s="963" t="e">
        <v>#N/A</v>
      </c>
      <c r="Y33" s="963" t="e">
        <v>#N/A</v>
      </c>
      <c r="Z33" s="972" t="e">
        <v>#N/A</v>
      </c>
      <c r="AA33" s="972" t="e">
        <v>#N/A</v>
      </c>
      <c r="AB33" s="972" t="e">
        <v>#N/A</v>
      </c>
      <c r="AC33" s="963" t="e">
        <v>#N/A</v>
      </c>
      <c r="AD33" s="963" t="e">
        <v>#N/A</v>
      </c>
      <c r="AE33" s="963" t="e">
        <v>#N/A</v>
      </c>
      <c r="AF33" s="963" t="e">
        <v>#N/A</v>
      </c>
      <c r="AG33" s="963" t="e">
        <f t="shared" si="36"/>
        <v>#N/A</v>
      </c>
      <c r="AH33" s="963" t="str">
        <f t="shared" si="37"/>
        <v/>
      </c>
      <c r="AI33" s="964" t="e">
        <f>IF(NOT(OR(Z33=1,Z33=2)),IF(AQ33&gt;0,$AR$45*AQ33/SUMIF($AQ$9:$AQ$40,"&gt;0"),IF(AU33&gt;0,$AV$45*AU33/SUMIF($AU$9:$AU$40,"&gt;0"),IF(AS33&gt;0,$AT$45*AS33/SUMIF($AS$9:$AS$40,"&gt;0"),""))),IF(SUMIF(AJ34:$AJ$40,"=" &amp; AJ33,AI34:$AI$40)=0,"",SUMIF(AJ34:$AJ$40,"=" &amp; AJ33,AI34:$AI$40)))</f>
        <v>#N/A</v>
      </c>
      <c r="AJ33" s="965" t="e">
        <f t="shared" si="35"/>
        <v>#N/A</v>
      </c>
      <c r="AK33" s="963" t="str">
        <f t="shared" si="5"/>
        <v/>
      </c>
      <c r="AL33" s="972" t="str">
        <f t="shared" si="6"/>
        <v/>
      </c>
      <c r="AM33" s="972" t="str">
        <f t="shared" si="7"/>
        <v/>
      </c>
      <c r="AN33" s="972" t="str">
        <f t="shared" si="8"/>
        <v/>
      </c>
      <c r="AO33" s="972" t="e">
        <f t="shared" si="9"/>
        <v>#N/A</v>
      </c>
      <c r="AP33" s="963" t="str">
        <f t="shared" si="10"/>
        <v/>
      </c>
      <c r="AQ33" s="966">
        <f t="shared" si="11"/>
        <v>0</v>
      </c>
      <c r="AR33" s="967" t="str">
        <f t="shared" si="12"/>
        <v/>
      </c>
      <c r="AS33" s="968">
        <f t="shared" si="13"/>
        <v>0</v>
      </c>
      <c r="AT33" s="967" t="str">
        <f t="shared" si="14"/>
        <v/>
      </c>
      <c r="AU33" s="969">
        <f t="shared" si="15"/>
        <v>0</v>
      </c>
      <c r="AV33" s="970" t="str">
        <f t="shared" si="16"/>
        <v/>
      </c>
      <c r="AW33" s="969" t="b">
        <f t="shared" si="17"/>
        <v>0</v>
      </c>
      <c r="AX33" s="971" t="b">
        <f t="shared" si="18"/>
        <v>0</v>
      </c>
      <c r="AY33" s="969" t="b">
        <f t="shared" si="19"/>
        <v>0</v>
      </c>
      <c r="AZ33" s="971" t="b">
        <f t="shared" si="20"/>
        <v>0</v>
      </c>
      <c r="BA33" s="963" t="b">
        <f t="shared" si="21"/>
        <v>0</v>
      </c>
      <c r="BB33" s="963" t="b">
        <f t="shared" si="22"/>
        <v>0</v>
      </c>
      <c r="BC33" s="969" t="b">
        <f t="shared" si="23"/>
        <v>0</v>
      </c>
      <c r="BD33" s="972" t="b">
        <f t="shared" si="24"/>
        <v>0</v>
      </c>
      <c r="BE33" s="971" t="b">
        <f t="shared" si="25"/>
        <v>0</v>
      </c>
      <c r="BF33" s="973" t="b">
        <f t="shared" si="26"/>
        <v>0</v>
      </c>
      <c r="BG33" s="921" t="str">
        <f t="shared" si="27"/>
        <v>NA</v>
      </c>
      <c r="BH33" s="921" t="str">
        <f t="shared" si="28"/>
        <v/>
      </c>
      <c r="BI33" s="921" t="str">
        <f t="shared" si="29"/>
        <v/>
      </c>
      <c r="BJ33" s="921" t="str">
        <f t="shared" si="30"/>
        <v/>
      </c>
      <c r="BK33" s="921" t="str">
        <f t="shared" si="31"/>
        <v/>
      </c>
      <c r="BL33" s="974" t="str">
        <f t="shared" si="32"/>
        <v/>
      </c>
      <c r="BM33" s="921" t="str">
        <f t="shared" si="33"/>
        <v/>
      </c>
      <c r="BN33" s="921" t="str">
        <f t="shared" si="34"/>
        <v/>
      </c>
      <c r="BO33" s="924" t="s">
        <v>238</v>
      </c>
      <c r="BP33" s="955" t="s">
        <v>239</v>
      </c>
      <c r="BW33" s="924">
        <v>2</v>
      </c>
      <c r="BX33" s="975" t="s">
        <v>592</v>
      </c>
    </row>
    <row r="34" spans="2:76 1271:1271" s="923" customFormat="1" ht="12.95" customHeight="1" x14ac:dyDescent="0.25">
      <c r="B34" s="977" t="str">
        <f>IF(ISNA(Z34),"",IF(OR(Z34=1,Z34=2),"    ",MAX($B$9:B33)+1))</f>
        <v/>
      </c>
      <c r="C34" s="1492" t="str">
        <f t="shared" si="0"/>
        <v/>
      </c>
      <c r="D34" s="1492"/>
      <c r="E34" s="1492"/>
      <c r="F34" s="1493"/>
      <c r="G34" s="958" t="str">
        <f t="shared" si="1"/>
        <v/>
      </c>
      <c r="H34" s="959" t="str">
        <f t="shared" si="2"/>
        <v/>
      </c>
      <c r="I34" s="978" t="str">
        <f t="shared" si="2"/>
        <v/>
      </c>
      <c r="J34" s="981"/>
      <c r="K34" s="980"/>
      <c r="L34" s="1075"/>
      <c r="M34" s="1076"/>
      <c r="N34" s="1076"/>
      <c r="O34" s="1076"/>
      <c r="P34" s="1076"/>
      <c r="Q34" s="1076"/>
      <c r="R34" s="1077"/>
      <c r="T34" s="917">
        <v>26</v>
      </c>
      <c r="U34" s="905" t="e">
        <v>#N/A</v>
      </c>
      <c r="V34" s="963" t="e">
        <v>#N/A</v>
      </c>
      <c r="W34" s="963" t="e">
        <v>#N/A</v>
      </c>
      <c r="X34" s="963" t="e">
        <v>#N/A</v>
      </c>
      <c r="Y34" s="963" t="e">
        <v>#N/A</v>
      </c>
      <c r="Z34" s="972" t="e">
        <v>#N/A</v>
      </c>
      <c r="AA34" s="972" t="e">
        <v>#N/A</v>
      </c>
      <c r="AB34" s="972" t="e">
        <v>#N/A</v>
      </c>
      <c r="AC34" s="963" t="e">
        <v>#N/A</v>
      </c>
      <c r="AD34" s="963" t="e">
        <v>#N/A</v>
      </c>
      <c r="AE34" s="963" t="e">
        <v>#N/A</v>
      </c>
      <c r="AF34" s="963" t="e">
        <v>#N/A</v>
      </c>
      <c r="AG34" s="963" t="e">
        <f t="shared" si="36"/>
        <v>#N/A</v>
      </c>
      <c r="AH34" s="963" t="str">
        <f t="shared" si="37"/>
        <v/>
      </c>
      <c r="AI34" s="964" t="e">
        <f>IF(NOT(OR(Z34=1,Z34=2)),IF(AQ34&gt;0,$AR$45*AQ34/SUMIF($AQ$9:$AQ$40,"&gt;0"),IF(AU34&gt;0,$AV$45*AU34/SUMIF($AU$9:$AU$40,"&gt;0"),IF(AS34&gt;0,$AT$45*AS34/SUMIF($AS$9:$AS$40,"&gt;0"),""))),IF(SUMIF(AJ35:$AJ$40,"=" &amp; AJ34,AI35:$AI$40)=0,"",SUMIF(AJ35:$AJ$40,"=" &amp; AJ34,AI35:$AI$40)))</f>
        <v>#N/A</v>
      </c>
      <c r="AJ34" s="965" t="e">
        <f t="shared" si="35"/>
        <v>#N/A</v>
      </c>
      <c r="AK34" s="963" t="str">
        <f t="shared" si="5"/>
        <v/>
      </c>
      <c r="AL34" s="972" t="str">
        <f t="shared" si="6"/>
        <v/>
      </c>
      <c r="AM34" s="972" t="str">
        <f t="shared" si="7"/>
        <v/>
      </c>
      <c r="AN34" s="972" t="str">
        <f t="shared" si="8"/>
        <v/>
      </c>
      <c r="AO34" s="972" t="e">
        <f t="shared" si="9"/>
        <v>#N/A</v>
      </c>
      <c r="AP34" s="963" t="str">
        <f t="shared" si="10"/>
        <v/>
      </c>
      <c r="AQ34" s="966">
        <f t="shared" si="11"/>
        <v>0</v>
      </c>
      <c r="AR34" s="967" t="str">
        <f t="shared" si="12"/>
        <v/>
      </c>
      <c r="AS34" s="968">
        <f t="shared" si="13"/>
        <v>0</v>
      </c>
      <c r="AT34" s="967" t="str">
        <f t="shared" si="14"/>
        <v/>
      </c>
      <c r="AU34" s="969">
        <f t="shared" si="15"/>
        <v>0</v>
      </c>
      <c r="AV34" s="970" t="str">
        <f t="shared" si="16"/>
        <v/>
      </c>
      <c r="AW34" s="969" t="b">
        <f t="shared" si="17"/>
        <v>0</v>
      </c>
      <c r="AX34" s="971" t="b">
        <f t="shared" si="18"/>
        <v>0</v>
      </c>
      <c r="AY34" s="969" t="b">
        <f t="shared" si="19"/>
        <v>0</v>
      </c>
      <c r="AZ34" s="971" t="b">
        <f t="shared" si="20"/>
        <v>0</v>
      </c>
      <c r="BA34" s="963" t="b">
        <f t="shared" si="21"/>
        <v>0</v>
      </c>
      <c r="BB34" s="963" t="b">
        <f t="shared" si="22"/>
        <v>0</v>
      </c>
      <c r="BC34" s="969" t="b">
        <f t="shared" si="23"/>
        <v>0</v>
      </c>
      <c r="BD34" s="972" t="b">
        <f t="shared" si="24"/>
        <v>0</v>
      </c>
      <c r="BE34" s="971" t="b">
        <f t="shared" si="25"/>
        <v>0</v>
      </c>
      <c r="BF34" s="973" t="b">
        <f t="shared" si="26"/>
        <v>0</v>
      </c>
      <c r="BG34" s="921" t="str">
        <f t="shared" si="27"/>
        <v>NA</v>
      </c>
      <c r="BH34" s="921" t="str">
        <f t="shared" si="28"/>
        <v/>
      </c>
      <c r="BI34" s="921" t="str">
        <f t="shared" si="29"/>
        <v/>
      </c>
      <c r="BJ34" s="921" t="str">
        <f t="shared" si="30"/>
        <v/>
      </c>
      <c r="BK34" s="921" t="str">
        <f t="shared" si="31"/>
        <v/>
      </c>
      <c r="BL34" s="974" t="str">
        <f t="shared" si="32"/>
        <v/>
      </c>
      <c r="BM34" s="921" t="str">
        <f t="shared" si="33"/>
        <v/>
      </c>
      <c r="BN34" s="921" t="str">
        <f t="shared" si="34"/>
        <v/>
      </c>
      <c r="BO34" s="975" t="s">
        <v>240</v>
      </c>
      <c r="BP34" s="955"/>
      <c r="BQ34" s="955"/>
      <c r="BR34" s="955"/>
      <c r="BS34" s="955"/>
      <c r="BT34" s="955"/>
      <c r="BU34" s="955"/>
      <c r="BW34" s="924">
        <v>3</v>
      </c>
      <c r="BX34" s="975" t="s">
        <v>559</v>
      </c>
    </row>
    <row r="35" spans="2:76 1271:1271" s="923" customFormat="1" ht="12.95" customHeight="1" x14ac:dyDescent="0.25">
      <c r="B35" s="977" t="str">
        <f>IF(ISNA(Z35),"",IF(OR(Z35=1,Z35=2),"    ",MAX($B$9:B34)+1))</f>
        <v/>
      </c>
      <c r="C35" s="1492" t="str">
        <f t="shared" si="0"/>
        <v/>
      </c>
      <c r="D35" s="1492"/>
      <c r="E35" s="1492"/>
      <c r="F35" s="1493"/>
      <c r="G35" s="958" t="str">
        <f t="shared" si="1"/>
        <v/>
      </c>
      <c r="H35" s="959" t="str">
        <f t="shared" si="2"/>
        <v/>
      </c>
      <c r="I35" s="978" t="str">
        <f t="shared" si="2"/>
        <v/>
      </c>
      <c r="J35" s="981"/>
      <c r="K35" s="980"/>
      <c r="L35" s="1075"/>
      <c r="M35" s="1076"/>
      <c r="N35" s="1076"/>
      <c r="O35" s="1076"/>
      <c r="P35" s="1076"/>
      <c r="Q35" s="1076"/>
      <c r="R35" s="1077"/>
      <c r="T35" s="917">
        <v>27</v>
      </c>
      <c r="U35" s="905" t="e">
        <v>#N/A</v>
      </c>
      <c r="V35" s="963" t="e">
        <v>#N/A</v>
      </c>
      <c r="W35" s="963" t="e">
        <v>#N/A</v>
      </c>
      <c r="X35" s="963" t="e">
        <v>#N/A</v>
      </c>
      <c r="Y35" s="963" t="e">
        <v>#N/A</v>
      </c>
      <c r="Z35" s="972" t="e">
        <v>#N/A</v>
      </c>
      <c r="AA35" s="972" t="e">
        <v>#N/A</v>
      </c>
      <c r="AB35" s="972" t="e">
        <v>#N/A</v>
      </c>
      <c r="AC35" s="963" t="e">
        <v>#N/A</v>
      </c>
      <c r="AD35" s="963" t="e">
        <v>#N/A</v>
      </c>
      <c r="AE35" s="963" t="e">
        <v>#N/A</v>
      </c>
      <c r="AF35" s="963" t="e">
        <v>#N/A</v>
      </c>
      <c r="AG35" s="963" t="e">
        <f t="shared" si="36"/>
        <v>#N/A</v>
      </c>
      <c r="AH35" s="963" t="str">
        <f t="shared" si="37"/>
        <v/>
      </c>
      <c r="AI35" s="964" t="e">
        <f>IF(NOT(OR(Z35=1,Z35=2)),IF(AQ35&gt;0,$AR$45*AQ35/SUMIF($AQ$9:$AQ$40,"&gt;0"),IF(AU35&gt;0,$AV$45*AU35/SUMIF($AU$9:$AU$40,"&gt;0"),IF(AS35&gt;0,$AT$45*AS35/SUMIF($AS$9:$AS$40,"&gt;0"),""))),IF(SUMIF(AJ36:$AJ$40,"=" &amp; AJ35,AI36:$AI$40)=0,"",SUMIF(AJ36:$AJ$40,"=" &amp; AJ35,AI36:$AI$40)))</f>
        <v>#N/A</v>
      </c>
      <c r="AJ35" s="965" t="e">
        <f t="shared" si="35"/>
        <v>#N/A</v>
      </c>
      <c r="AK35" s="963" t="str">
        <f t="shared" si="5"/>
        <v/>
      </c>
      <c r="AL35" s="972" t="str">
        <f t="shared" si="6"/>
        <v/>
      </c>
      <c r="AM35" s="972" t="str">
        <f t="shared" si="7"/>
        <v/>
      </c>
      <c r="AN35" s="972" t="str">
        <f t="shared" si="8"/>
        <v/>
      </c>
      <c r="AO35" s="972" t="e">
        <f t="shared" si="9"/>
        <v>#N/A</v>
      </c>
      <c r="AP35" s="963" t="str">
        <f t="shared" si="10"/>
        <v/>
      </c>
      <c r="AQ35" s="966">
        <f t="shared" si="11"/>
        <v>0</v>
      </c>
      <c r="AR35" s="967" t="str">
        <f t="shared" si="12"/>
        <v/>
      </c>
      <c r="AS35" s="968">
        <f t="shared" si="13"/>
        <v>0</v>
      </c>
      <c r="AT35" s="967" t="str">
        <f t="shared" si="14"/>
        <v/>
      </c>
      <c r="AU35" s="969">
        <f t="shared" si="15"/>
        <v>0</v>
      </c>
      <c r="AV35" s="970" t="str">
        <f t="shared" si="16"/>
        <v/>
      </c>
      <c r="AW35" s="969" t="b">
        <f t="shared" si="17"/>
        <v>0</v>
      </c>
      <c r="AX35" s="971" t="b">
        <f t="shared" si="18"/>
        <v>0</v>
      </c>
      <c r="AY35" s="969" t="b">
        <f t="shared" si="19"/>
        <v>0</v>
      </c>
      <c r="AZ35" s="971" t="b">
        <f t="shared" si="20"/>
        <v>0</v>
      </c>
      <c r="BA35" s="963" t="b">
        <f t="shared" si="21"/>
        <v>0</v>
      </c>
      <c r="BB35" s="963" t="b">
        <f t="shared" si="22"/>
        <v>0</v>
      </c>
      <c r="BC35" s="969" t="b">
        <f t="shared" si="23"/>
        <v>0</v>
      </c>
      <c r="BD35" s="972" t="b">
        <f t="shared" si="24"/>
        <v>0</v>
      </c>
      <c r="BE35" s="971" t="b">
        <f t="shared" si="25"/>
        <v>0</v>
      </c>
      <c r="BF35" s="973" t="b">
        <f t="shared" si="26"/>
        <v>0</v>
      </c>
      <c r="BG35" s="921" t="str">
        <f t="shared" si="27"/>
        <v>NA</v>
      </c>
      <c r="BH35" s="921" t="str">
        <f t="shared" si="28"/>
        <v/>
      </c>
      <c r="BI35" s="921" t="str">
        <f t="shared" si="29"/>
        <v/>
      </c>
      <c r="BJ35" s="921" t="str">
        <f t="shared" si="30"/>
        <v/>
      </c>
      <c r="BK35" s="921" t="str">
        <f t="shared" si="31"/>
        <v/>
      </c>
      <c r="BL35" s="974" t="str">
        <f t="shared" si="32"/>
        <v/>
      </c>
      <c r="BM35" s="921" t="str">
        <f t="shared" si="33"/>
        <v/>
      </c>
      <c r="BN35" s="921" t="str">
        <f t="shared" si="34"/>
        <v/>
      </c>
      <c r="BO35" s="1499" t="str">
        <f>IF(U45,"","N/A")</f>
        <v/>
      </c>
      <c r="BP35" s="1500"/>
      <c r="BQ35" s="1500"/>
      <c r="BR35" s="1500"/>
      <c r="BS35" s="1500"/>
      <c r="BT35" s="1500"/>
      <c r="BU35" s="1501"/>
      <c r="BW35" s="924">
        <v>4</v>
      </c>
      <c r="BX35" s="975" t="s">
        <v>564</v>
      </c>
    </row>
    <row r="36" spans="2:76 1271:1271" s="923" customFormat="1" ht="12.95" customHeight="1" x14ac:dyDescent="0.25">
      <c r="B36" s="977" t="str">
        <f>IF(ISNA(Z36),"",IF(OR(Z36=1,Z36=2),"    ",MAX($B$9:B35)+1))</f>
        <v/>
      </c>
      <c r="C36" s="1492" t="str">
        <f t="shared" si="0"/>
        <v/>
      </c>
      <c r="D36" s="1492"/>
      <c r="E36" s="1492"/>
      <c r="F36" s="1493"/>
      <c r="G36" s="958" t="str">
        <f t="shared" si="1"/>
        <v/>
      </c>
      <c r="H36" s="959" t="str">
        <f t="shared" si="2"/>
        <v/>
      </c>
      <c r="I36" s="978" t="str">
        <f t="shared" si="2"/>
        <v/>
      </c>
      <c r="J36" s="981"/>
      <c r="K36" s="980"/>
      <c r="L36" s="1075"/>
      <c r="M36" s="1076"/>
      <c r="N36" s="1076"/>
      <c r="O36" s="1076"/>
      <c r="P36" s="1076"/>
      <c r="Q36" s="1076"/>
      <c r="R36" s="1077"/>
      <c r="T36" s="917">
        <v>28</v>
      </c>
      <c r="U36" s="905" t="e">
        <v>#N/A</v>
      </c>
      <c r="V36" s="963" t="e">
        <v>#N/A</v>
      </c>
      <c r="W36" s="963" t="e">
        <v>#N/A</v>
      </c>
      <c r="X36" s="963" t="e">
        <v>#N/A</v>
      </c>
      <c r="Y36" s="963" t="e">
        <v>#N/A</v>
      </c>
      <c r="Z36" s="972" t="e">
        <v>#N/A</v>
      </c>
      <c r="AA36" s="972" t="e">
        <v>#N/A</v>
      </c>
      <c r="AB36" s="972" t="e">
        <v>#N/A</v>
      </c>
      <c r="AC36" s="963" t="e">
        <v>#N/A</v>
      </c>
      <c r="AD36" s="963" t="e">
        <v>#N/A</v>
      </c>
      <c r="AE36" s="963" t="e">
        <v>#N/A</v>
      </c>
      <c r="AF36" s="963" t="e">
        <v>#N/A</v>
      </c>
      <c r="AG36" s="963" t="e">
        <f t="shared" si="36"/>
        <v>#N/A</v>
      </c>
      <c r="AH36" s="963" t="str">
        <f t="shared" si="37"/>
        <v/>
      </c>
      <c r="AI36" s="964" t="e">
        <f>IF(NOT(OR(Z36=1,Z36=2)),IF(AQ36&gt;0,$AR$45*AQ36/SUMIF($AQ$9:$AQ$40,"&gt;0"),IF(AU36&gt;0,$AV$45*AU36/SUMIF($AU$9:$AU$40,"&gt;0"),IF(AS36&gt;0,$AT$45*AS36/SUMIF($AS$9:$AS$40,"&gt;0"),""))),IF(SUMIF(AJ37:$AJ$40,"=" &amp; AJ36,AI37:$AI$40)=0,"",SUMIF(AJ37:$AJ$40,"=" &amp; AJ36,AI37:$AI$40)))</f>
        <v>#N/A</v>
      </c>
      <c r="AJ36" s="965" t="e">
        <f t="shared" si="35"/>
        <v>#N/A</v>
      </c>
      <c r="AK36" s="963" t="str">
        <f t="shared" si="5"/>
        <v/>
      </c>
      <c r="AL36" s="972" t="str">
        <f t="shared" si="6"/>
        <v/>
      </c>
      <c r="AM36" s="972" t="str">
        <f t="shared" si="7"/>
        <v/>
      </c>
      <c r="AN36" s="972" t="str">
        <f t="shared" si="8"/>
        <v/>
      </c>
      <c r="AO36" s="972" t="e">
        <f t="shared" si="9"/>
        <v>#N/A</v>
      </c>
      <c r="AP36" s="963" t="str">
        <f t="shared" si="10"/>
        <v/>
      </c>
      <c r="AQ36" s="966">
        <f t="shared" si="11"/>
        <v>0</v>
      </c>
      <c r="AR36" s="967" t="str">
        <f t="shared" si="12"/>
        <v/>
      </c>
      <c r="AS36" s="968">
        <f t="shared" si="13"/>
        <v>0</v>
      </c>
      <c r="AT36" s="967" t="str">
        <f t="shared" si="14"/>
        <v/>
      </c>
      <c r="AU36" s="969">
        <f t="shared" si="15"/>
        <v>0</v>
      </c>
      <c r="AV36" s="970" t="str">
        <f t="shared" si="16"/>
        <v/>
      </c>
      <c r="AW36" s="969" t="b">
        <f t="shared" si="17"/>
        <v>0</v>
      </c>
      <c r="AX36" s="971" t="b">
        <f t="shared" si="18"/>
        <v>0</v>
      </c>
      <c r="AY36" s="969" t="b">
        <f t="shared" si="19"/>
        <v>0</v>
      </c>
      <c r="AZ36" s="971" t="b">
        <f t="shared" si="20"/>
        <v>0</v>
      </c>
      <c r="BA36" s="963" t="b">
        <f t="shared" si="21"/>
        <v>0</v>
      </c>
      <c r="BB36" s="963" t="b">
        <f t="shared" si="22"/>
        <v>0</v>
      </c>
      <c r="BC36" s="969" t="b">
        <f t="shared" si="23"/>
        <v>0</v>
      </c>
      <c r="BD36" s="972" t="b">
        <f t="shared" si="24"/>
        <v>0</v>
      </c>
      <c r="BE36" s="971" t="b">
        <f t="shared" si="25"/>
        <v>0</v>
      </c>
      <c r="BF36" s="973" t="b">
        <f t="shared" si="26"/>
        <v>0</v>
      </c>
      <c r="BG36" s="921" t="str">
        <f t="shared" si="27"/>
        <v>NA</v>
      </c>
      <c r="BH36" s="921" t="str">
        <f t="shared" si="28"/>
        <v/>
      </c>
      <c r="BI36" s="921" t="str">
        <f t="shared" si="29"/>
        <v/>
      </c>
      <c r="BJ36" s="921" t="str">
        <f t="shared" si="30"/>
        <v/>
      </c>
      <c r="BK36" s="921" t="str">
        <f t="shared" si="31"/>
        <v/>
      </c>
      <c r="BL36" s="974" t="str">
        <f t="shared" si="32"/>
        <v/>
      </c>
      <c r="BM36" s="921" t="str">
        <f t="shared" si="33"/>
        <v/>
      </c>
      <c r="BN36" s="921" t="str">
        <f t="shared" si="34"/>
        <v/>
      </c>
      <c r="BO36" s="1502"/>
      <c r="BP36" s="1503"/>
      <c r="BQ36" s="1503"/>
      <c r="BR36" s="1503"/>
      <c r="BS36" s="1503"/>
      <c r="BT36" s="1503"/>
      <c r="BU36" s="1504"/>
    </row>
    <row r="37" spans="2:76 1271:1271" s="923" customFormat="1" ht="12.95" customHeight="1" x14ac:dyDescent="0.25">
      <c r="B37" s="977" t="str">
        <f>IF(ISNA(Z37),"",IF(OR(Z37=1,Z37=2),"    ",MAX($B$9:B36)+1))</f>
        <v/>
      </c>
      <c r="C37" s="1492" t="str">
        <f t="shared" si="0"/>
        <v/>
      </c>
      <c r="D37" s="1492"/>
      <c r="E37" s="1492"/>
      <c r="F37" s="1493"/>
      <c r="G37" s="958" t="str">
        <f t="shared" si="1"/>
        <v/>
      </c>
      <c r="H37" s="959" t="str">
        <f t="shared" si="2"/>
        <v/>
      </c>
      <c r="I37" s="978" t="str">
        <f t="shared" si="2"/>
        <v/>
      </c>
      <c r="J37" s="981"/>
      <c r="K37" s="980"/>
      <c r="L37" s="1075"/>
      <c r="M37" s="1076"/>
      <c r="N37" s="1076"/>
      <c r="O37" s="1076"/>
      <c r="P37" s="1076"/>
      <c r="Q37" s="1076"/>
      <c r="R37" s="1077"/>
      <c r="T37" s="917">
        <v>29</v>
      </c>
      <c r="U37" s="905" t="e">
        <v>#N/A</v>
      </c>
      <c r="V37" s="963" t="e">
        <v>#N/A</v>
      </c>
      <c r="W37" s="963" t="e">
        <v>#N/A</v>
      </c>
      <c r="X37" s="963" t="e">
        <v>#N/A</v>
      </c>
      <c r="Y37" s="963" t="e">
        <v>#N/A</v>
      </c>
      <c r="Z37" s="972" t="e">
        <v>#N/A</v>
      </c>
      <c r="AA37" s="972" t="e">
        <v>#N/A</v>
      </c>
      <c r="AB37" s="972" t="e">
        <v>#N/A</v>
      </c>
      <c r="AC37" s="963" t="e">
        <v>#N/A</v>
      </c>
      <c r="AD37" s="963" t="e">
        <v>#N/A</v>
      </c>
      <c r="AE37" s="963" t="e">
        <v>#N/A</v>
      </c>
      <c r="AF37" s="963" t="e">
        <v>#N/A</v>
      </c>
      <c r="AG37" s="963" t="e">
        <f t="shared" si="36"/>
        <v>#N/A</v>
      </c>
      <c r="AH37" s="963" t="str">
        <f t="shared" si="37"/>
        <v/>
      </c>
      <c r="AI37" s="964" t="e">
        <f>IF(NOT(OR(Z37=1,Z37=2)),IF(AQ37&gt;0,$AR$45*AQ37/SUMIF($AQ$9:$AQ$40,"&gt;0"),IF(AU37&gt;0,$AV$45*AU37/SUMIF($AU$9:$AU$40,"&gt;0"),IF(AS37&gt;0,$AT$45*AS37/SUMIF($AS$9:$AS$40,"&gt;0"),""))),IF(SUMIF(AJ38:$AJ$40,"=" &amp; AJ37,AI38:$AI$40)=0,"",SUMIF(AJ38:$AJ$40,"=" &amp; AJ37,AI38:$AI$40)))</f>
        <v>#N/A</v>
      </c>
      <c r="AJ37" s="965" t="e">
        <f t="shared" si="35"/>
        <v>#N/A</v>
      </c>
      <c r="AK37" s="963" t="str">
        <f t="shared" si="5"/>
        <v/>
      </c>
      <c r="AL37" s="972" t="str">
        <f t="shared" si="6"/>
        <v/>
      </c>
      <c r="AM37" s="972" t="str">
        <f t="shared" si="7"/>
        <v/>
      </c>
      <c r="AN37" s="972" t="str">
        <f t="shared" si="8"/>
        <v/>
      </c>
      <c r="AO37" s="972" t="e">
        <f t="shared" si="9"/>
        <v>#N/A</v>
      </c>
      <c r="AP37" s="963" t="str">
        <f t="shared" si="10"/>
        <v/>
      </c>
      <c r="AQ37" s="966">
        <f t="shared" si="11"/>
        <v>0</v>
      </c>
      <c r="AR37" s="967" t="str">
        <f t="shared" si="12"/>
        <v/>
      </c>
      <c r="AS37" s="968">
        <f t="shared" si="13"/>
        <v>0</v>
      </c>
      <c r="AT37" s="967" t="str">
        <f t="shared" si="14"/>
        <v/>
      </c>
      <c r="AU37" s="969">
        <f t="shared" si="15"/>
        <v>0</v>
      </c>
      <c r="AV37" s="970" t="str">
        <f t="shared" si="16"/>
        <v/>
      </c>
      <c r="AW37" s="969" t="b">
        <f t="shared" si="17"/>
        <v>0</v>
      </c>
      <c r="AX37" s="971" t="b">
        <f t="shared" si="18"/>
        <v>0</v>
      </c>
      <c r="AY37" s="969" t="b">
        <f t="shared" si="19"/>
        <v>0</v>
      </c>
      <c r="AZ37" s="971" t="b">
        <f t="shared" si="20"/>
        <v>0</v>
      </c>
      <c r="BA37" s="963" t="b">
        <f t="shared" si="21"/>
        <v>0</v>
      </c>
      <c r="BB37" s="963" t="b">
        <f t="shared" si="22"/>
        <v>0</v>
      </c>
      <c r="BC37" s="969" t="b">
        <f t="shared" si="23"/>
        <v>0</v>
      </c>
      <c r="BD37" s="972" t="b">
        <f t="shared" si="24"/>
        <v>0</v>
      </c>
      <c r="BE37" s="971" t="b">
        <f t="shared" si="25"/>
        <v>0</v>
      </c>
      <c r="BF37" s="973" t="b">
        <f t="shared" si="26"/>
        <v>0</v>
      </c>
      <c r="BG37" s="921" t="str">
        <f t="shared" si="27"/>
        <v>NA</v>
      </c>
      <c r="BH37" s="921" t="str">
        <f t="shared" si="28"/>
        <v/>
      </c>
      <c r="BI37" s="921" t="str">
        <f t="shared" si="29"/>
        <v/>
      </c>
      <c r="BJ37" s="921" t="str">
        <f t="shared" si="30"/>
        <v/>
      </c>
      <c r="BK37" s="921" t="str">
        <f t="shared" si="31"/>
        <v/>
      </c>
      <c r="BL37" s="974" t="str">
        <f t="shared" si="32"/>
        <v/>
      </c>
      <c r="BM37" s="921" t="str">
        <f t="shared" si="33"/>
        <v/>
      </c>
      <c r="BN37" s="921" t="str">
        <f t="shared" si="34"/>
        <v/>
      </c>
      <c r="BO37" s="1502"/>
      <c r="BP37" s="1503"/>
      <c r="BQ37" s="1503"/>
      <c r="BR37" s="1503"/>
      <c r="BS37" s="1503"/>
      <c r="BT37" s="1503"/>
      <c r="BU37" s="1504"/>
      <c r="BW37" s="922" t="s">
        <v>593</v>
      </c>
    </row>
    <row r="38" spans="2:76 1271:1271" s="923" customFormat="1" ht="12.95" customHeight="1" x14ac:dyDescent="0.25">
      <c r="B38" s="977" t="str">
        <f>IF(ISNA(Z38),"",IF(OR(Z38=1,Z38=2),"    ",MAX($B$9:B37)+1))</f>
        <v/>
      </c>
      <c r="C38" s="1492" t="str">
        <f t="shared" si="0"/>
        <v/>
      </c>
      <c r="D38" s="1492"/>
      <c r="E38" s="1492"/>
      <c r="F38" s="1493"/>
      <c r="G38" s="958" t="str">
        <f t="shared" si="1"/>
        <v/>
      </c>
      <c r="H38" s="959" t="str">
        <f t="shared" si="2"/>
        <v/>
      </c>
      <c r="I38" s="978" t="str">
        <f t="shared" si="2"/>
        <v/>
      </c>
      <c r="J38" s="981"/>
      <c r="K38" s="980"/>
      <c r="L38" s="1075"/>
      <c r="M38" s="1076"/>
      <c r="N38" s="1076"/>
      <c r="O38" s="1076"/>
      <c r="P38" s="1076"/>
      <c r="Q38" s="1076"/>
      <c r="R38" s="1077"/>
      <c r="T38" s="917">
        <v>30</v>
      </c>
      <c r="U38" s="905" t="e">
        <v>#N/A</v>
      </c>
      <c r="V38" s="963" t="e">
        <v>#N/A</v>
      </c>
      <c r="W38" s="963" t="e">
        <v>#N/A</v>
      </c>
      <c r="X38" s="963" t="e">
        <v>#N/A</v>
      </c>
      <c r="Y38" s="963" t="e">
        <v>#N/A</v>
      </c>
      <c r="Z38" s="972" t="e">
        <v>#N/A</v>
      </c>
      <c r="AA38" s="972" t="e">
        <v>#N/A</v>
      </c>
      <c r="AB38" s="972" t="e">
        <v>#N/A</v>
      </c>
      <c r="AC38" s="963" t="e">
        <v>#N/A</v>
      </c>
      <c r="AD38" s="963" t="e">
        <v>#N/A</v>
      </c>
      <c r="AE38" s="963" t="e">
        <v>#N/A</v>
      </c>
      <c r="AF38" s="963" t="e">
        <v>#N/A</v>
      </c>
      <c r="AG38" s="963" t="e">
        <f t="shared" si="36"/>
        <v>#N/A</v>
      </c>
      <c r="AH38" s="963" t="str">
        <f t="shared" si="37"/>
        <v/>
      </c>
      <c r="AI38" s="964" t="e">
        <f>IF(NOT(OR(Z38=1,Z38=2)),IF(AQ38&gt;0,$AR$45*AQ38/SUMIF($AQ$9:$AQ$40,"&gt;0"),IF(AU38&gt;0,$AV$45*AU38/SUMIF($AU$9:$AU$40,"&gt;0"),IF(AS38&gt;0,$AT$45*AS38/SUMIF($AS$9:$AS$40,"&gt;0"),""))),IF(SUMIF(AJ39:$AJ$40,"=" &amp; AJ38,AI39:$AI$40)=0,"",SUMIF(AJ39:$AJ$40,"=" &amp; AJ38,AI39:$AI$40)))</f>
        <v>#N/A</v>
      </c>
      <c r="AJ38" s="965" t="e">
        <f t="shared" si="35"/>
        <v>#N/A</v>
      </c>
      <c r="AK38" s="963" t="str">
        <f t="shared" si="5"/>
        <v/>
      </c>
      <c r="AL38" s="972" t="str">
        <f t="shared" si="6"/>
        <v/>
      </c>
      <c r="AM38" s="972" t="str">
        <f t="shared" si="7"/>
        <v/>
      </c>
      <c r="AN38" s="972" t="str">
        <f t="shared" si="8"/>
        <v/>
      </c>
      <c r="AO38" s="972" t="e">
        <f t="shared" si="9"/>
        <v>#N/A</v>
      </c>
      <c r="AP38" s="963" t="str">
        <f t="shared" si="10"/>
        <v/>
      </c>
      <c r="AQ38" s="966">
        <f t="shared" si="11"/>
        <v>0</v>
      </c>
      <c r="AR38" s="967" t="str">
        <f t="shared" si="12"/>
        <v/>
      </c>
      <c r="AS38" s="968">
        <f t="shared" si="13"/>
        <v>0</v>
      </c>
      <c r="AT38" s="967" t="str">
        <f t="shared" si="14"/>
        <v/>
      </c>
      <c r="AU38" s="969">
        <f t="shared" si="15"/>
        <v>0</v>
      </c>
      <c r="AV38" s="970" t="str">
        <f t="shared" si="16"/>
        <v/>
      </c>
      <c r="AW38" s="969" t="b">
        <f t="shared" si="17"/>
        <v>0</v>
      </c>
      <c r="AX38" s="971" t="b">
        <f t="shared" si="18"/>
        <v>0</v>
      </c>
      <c r="AY38" s="969" t="b">
        <f t="shared" si="19"/>
        <v>0</v>
      </c>
      <c r="AZ38" s="971" t="b">
        <f t="shared" si="20"/>
        <v>0</v>
      </c>
      <c r="BA38" s="963" t="b">
        <f t="shared" si="21"/>
        <v>0</v>
      </c>
      <c r="BB38" s="963" t="b">
        <f t="shared" si="22"/>
        <v>0</v>
      </c>
      <c r="BC38" s="969" t="b">
        <f t="shared" si="23"/>
        <v>0</v>
      </c>
      <c r="BD38" s="972" t="b">
        <f t="shared" si="24"/>
        <v>0</v>
      </c>
      <c r="BE38" s="971" t="b">
        <f t="shared" si="25"/>
        <v>0</v>
      </c>
      <c r="BF38" s="973" t="b">
        <f t="shared" si="26"/>
        <v>0</v>
      </c>
      <c r="BG38" s="921" t="str">
        <f t="shared" si="27"/>
        <v>NA</v>
      </c>
      <c r="BH38" s="921" t="str">
        <f t="shared" si="28"/>
        <v/>
      </c>
      <c r="BI38" s="921" t="str">
        <f t="shared" si="29"/>
        <v/>
      </c>
      <c r="BJ38" s="921" t="str">
        <f t="shared" si="30"/>
        <v/>
      </c>
      <c r="BK38" s="921" t="str">
        <f t="shared" si="31"/>
        <v/>
      </c>
      <c r="BL38" s="974" t="str">
        <f t="shared" si="32"/>
        <v/>
      </c>
      <c r="BM38" s="921" t="str">
        <f t="shared" si="33"/>
        <v/>
      </c>
      <c r="BN38" s="921" t="str">
        <f t="shared" si="34"/>
        <v/>
      </c>
      <c r="BO38" s="1505"/>
      <c r="BP38" s="1506"/>
      <c r="BQ38" s="1506"/>
      <c r="BR38" s="1506"/>
      <c r="BS38" s="1506"/>
      <c r="BT38" s="1506"/>
      <c r="BU38" s="1507"/>
      <c r="BW38" s="924" t="s">
        <v>214</v>
      </c>
      <c r="BX38" s="925" t="s">
        <v>215</v>
      </c>
    </row>
    <row r="39" spans="2:76 1271:1271" s="923" customFormat="1" ht="12.95" customHeight="1" x14ac:dyDescent="0.25">
      <c r="B39" s="977" t="str">
        <f>IF(ISNA(Z39),"",IF(OR(Z39=1,Z39=2),"    ",MAX($B$9:B38)+1))</f>
        <v/>
      </c>
      <c r="C39" s="1492" t="str">
        <f t="shared" si="0"/>
        <v/>
      </c>
      <c r="D39" s="1492"/>
      <c r="E39" s="1492"/>
      <c r="F39" s="1493"/>
      <c r="G39" s="958" t="str">
        <f t="shared" si="1"/>
        <v/>
      </c>
      <c r="H39" s="959" t="str">
        <f t="shared" si="2"/>
        <v/>
      </c>
      <c r="I39" s="978" t="str">
        <f t="shared" si="2"/>
        <v/>
      </c>
      <c r="J39" s="981"/>
      <c r="K39" s="980"/>
      <c r="L39" s="1075"/>
      <c r="M39" s="1076"/>
      <c r="N39" s="1076"/>
      <c r="O39" s="1076"/>
      <c r="P39" s="1076"/>
      <c r="Q39" s="1076"/>
      <c r="R39" s="1077"/>
      <c r="T39" s="917">
        <v>31</v>
      </c>
      <c r="U39" s="905" t="e">
        <v>#N/A</v>
      </c>
      <c r="V39" s="963" t="e">
        <v>#N/A</v>
      </c>
      <c r="W39" s="963" t="e">
        <v>#N/A</v>
      </c>
      <c r="X39" s="963" t="e">
        <v>#N/A</v>
      </c>
      <c r="Y39" s="963" t="e">
        <v>#N/A</v>
      </c>
      <c r="Z39" s="972" t="e">
        <v>#N/A</v>
      </c>
      <c r="AA39" s="972" t="e">
        <v>#N/A</v>
      </c>
      <c r="AB39" s="972" t="e">
        <v>#N/A</v>
      </c>
      <c r="AC39" s="963" t="e">
        <v>#N/A</v>
      </c>
      <c r="AD39" s="963" t="e">
        <v>#N/A</v>
      </c>
      <c r="AE39" s="963" t="e">
        <v>#N/A</v>
      </c>
      <c r="AF39" s="963" t="e">
        <v>#N/A</v>
      </c>
      <c r="AG39" s="963" t="e">
        <f t="shared" si="36"/>
        <v>#N/A</v>
      </c>
      <c r="AH39" s="963" t="str">
        <f t="shared" si="37"/>
        <v/>
      </c>
      <c r="AI39" s="964" t="e">
        <f>IF(NOT(OR(Z39=1,Z39=2)),IF(AQ39&gt;0,$AR$45*AQ39/SUMIF($AQ$9:$AQ$40,"&gt;0"),IF(AU39&gt;0,$AV$45*AU39/SUMIF($AU$9:$AU$40,"&gt;0"),IF(AS39&gt;0,$AT$45*AS39/SUMIF($AS$9:$AS$40,"&gt;0"),""))),IF(SUMIF(AJ40:$AJ$40,"=" &amp; AJ39,AI40:$AI$40)=0,"",SUMIF(AJ40:$AJ$40,"=" &amp; AJ39,AI40:$AI$40)))</f>
        <v>#N/A</v>
      </c>
      <c r="AJ39" s="965" t="e">
        <f t="shared" si="35"/>
        <v>#N/A</v>
      </c>
      <c r="AK39" s="963" t="str">
        <f t="shared" si="5"/>
        <v/>
      </c>
      <c r="AL39" s="972" t="str">
        <f t="shared" si="6"/>
        <v/>
      </c>
      <c r="AM39" s="972" t="str">
        <f t="shared" si="7"/>
        <v/>
      </c>
      <c r="AN39" s="972" t="str">
        <f t="shared" si="8"/>
        <v/>
      </c>
      <c r="AO39" s="972" t="e">
        <f t="shared" si="9"/>
        <v>#N/A</v>
      </c>
      <c r="AP39" s="963" t="str">
        <f t="shared" si="10"/>
        <v/>
      </c>
      <c r="AQ39" s="966">
        <f t="shared" si="11"/>
        <v>0</v>
      </c>
      <c r="AR39" s="967" t="str">
        <f t="shared" si="12"/>
        <v/>
      </c>
      <c r="AS39" s="968">
        <f t="shared" si="13"/>
        <v>0</v>
      </c>
      <c r="AT39" s="967" t="str">
        <f t="shared" si="14"/>
        <v/>
      </c>
      <c r="AU39" s="969">
        <f t="shared" si="15"/>
        <v>0</v>
      </c>
      <c r="AV39" s="970" t="str">
        <f t="shared" si="16"/>
        <v/>
      </c>
      <c r="AW39" s="969" t="b">
        <f t="shared" si="17"/>
        <v>0</v>
      </c>
      <c r="AX39" s="971" t="b">
        <f t="shared" si="18"/>
        <v>0</v>
      </c>
      <c r="AY39" s="969" t="b">
        <f t="shared" si="19"/>
        <v>0</v>
      </c>
      <c r="AZ39" s="971" t="b">
        <f t="shared" si="20"/>
        <v>0</v>
      </c>
      <c r="BA39" s="963" t="b">
        <f t="shared" si="21"/>
        <v>0</v>
      </c>
      <c r="BB39" s="963" t="b">
        <f t="shared" si="22"/>
        <v>0</v>
      </c>
      <c r="BC39" s="969" t="b">
        <f t="shared" si="23"/>
        <v>0</v>
      </c>
      <c r="BD39" s="972" t="b">
        <f t="shared" si="24"/>
        <v>0</v>
      </c>
      <c r="BE39" s="971" t="b">
        <f t="shared" si="25"/>
        <v>0</v>
      </c>
      <c r="BF39" s="973" t="b">
        <f t="shared" si="26"/>
        <v>0</v>
      </c>
      <c r="BG39" s="921" t="str">
        <f t="shared" si="27"/>
        <v>NA</v>
      </c>
      <c r="BH39" s="921" t="str">
        <f t="shared" si="28"/>
        <v/>
      </c>
      <c r="BI39" s="921" t="str">
        <f t="shared" si="29"/>
        <v/>
      </c>
      <c r="BJ39" s="921" t="str">
        <f t="shared" si="30"/>
        <v/>
      </c>
      <c r="BK39" s="921" t="str">
        <f t="shared" si="31"/>
        <v/>
      </c>
      <c r="BL39" s="974" t="str">
        <f t="shared" si="32"/>
        <v/>
      </c>
      <c r="BM39" s="921" t="str">
        <f t="shared" si="33"/>
        <v/>
      </c>
      <c r="BN39" s="921" t="str">
        <f t="shared" si="34"/>
        <v/>
      </c>
      <c r="BO39" s="975" t="s">
        <v>241</v>
      </c>
      <c r="BP39" s="975"/>
      <c r="BQ39" s="975"/>
      <c r="BR39" s="975"/>
      <c r="BS39" s="975"/>
      <c r="BT39" s="975"/>
      <c r="BU39" s="975"/>
      <c r="BW39" s="924">
        <v>0</v>
      </c>
      <c r="BX39" s="925" t="s">
        <v>216</v>
      </c>
    </row>
    <row r="40" spans="2:76 1271:1271" s="923" customFormat="1" ht="12.95" customHeight="1" thickBot="1" x14ac:dyDescent="0.3">
      <c r="B40" s="977" t="str">
        <f>IF(ISNA(Z40),"",IF(OR(Z40=1,Z40=2),"    ",MAX($B$9:B39)+1))</f>
        <v/>
      </c>
      <c r="C40" s="1492" t="str">
        <f t="shared" si="0"/>
        <v/>
      </c>
      <c r="D40" s="1492"/>
      <c r="E40" s="1492"/>
      <c r="F40" s="1493"/>
      <c r="G40" s="994" t="str">
        <f t="shared" si="1"/>
        <v/>
      </c>
      <c r="H40" s="959" t="str">
        <f t="shared" si="2"/>
        <v/>
      </c>
      <c r="I40" s="995" t="str">
        <f t="shared" si="2"/>
        <v/>
      </c>
      <c r="J40" s="996"/>
      <c r="K40" s="997"/>
      <c r="L40" s="1078"/>
      <c r="M40" s="1079"/>
      <c r="N40" s="1079"/>
      <c r="O40" s="1079"/>
      <c r="P40" s="1079"/>
      <c r="Q40" s="1079"/>
      <c r="R40" s="1080"/>
      <c r="T40" s="917">
        <v>32</v>
      </c>
      <c r="U40" s="905" t="e">
        <v>#N/A</v>
      </c>
      <c r="V40" s="963" t="e">
        <v>#N/A</v>
      </c>
      <c r="W40" s="963" t="e">
        <v>#N/A</v>
      </c>
      <c r="X40" s="963" t="e">
        <v>#N/A</v>
      </c>
      <c r="Y40" s="963" t="e">
        <v>#N/A</v>
      </c>
      <c r="Z40" s="972" t="e">
        <v>#N/A</v>
      </c>
      <c r="AA40" s="972" t="e">
        <v>#N/A</v>
      </c>
      <c r="AB40" s="972" t="e">
        <v>#N/A</v>
      </c>
      <c r="AC40" s="963" t="e">
        <v>#N/A</v>
      </c>
      <c r="AD40" s="963" t="e">
        <v>#N/A</v>
      </c>
      <c r="AE40" s="963" t="e">
        <v>#N/A</v>
      </c>
      <c r="AF40" s="963" t="e">
        <v>#N/A</v>
      </c>
      <c r="AG40" s="963" t="e">
        <f t="shared" si="36"/>
        <v>#N/A</v>
      </c>
      <c r="AH40" s="963" t="str">
        <f t="shared" si="37"/>
        <v/>
      </c>
      <c r="AI40" s="964" t="e">
        <f>IF(NOT(OR(Z40=1,Z40=2)),IF(AQ40&gt;0,$AR$45*AQ40/SUMIF($AQ$9:$AQ$40,"&gt;0"),IF(AU40&gt;0,$AV$45*AU40/SUMIF($AU$9:$AU$40,"&gt;0"),IF(AS40&gt;0,$AT$45*AS40/SUMIF($AS$9:$AS$40,"&gt;0"),""))),IF(SUMIF(AJ$40:$AJ41,"=" &amp; AJ40,AI$40:$AI41)=0,"",SUMIF(AJ$40:$AJ41,"=" &amp; AJ40,AI$40:$AI41)))</f>
        <v>#N/A</v>
      </c>
      <c r="AJ40" s="965" t="e">
        <f t="shared" si="35"/>
        <v>#N/A</v>
      </c>
      <c r="AK40" s="963" t="str">
        <f t="shared" si="5"/>
        <v/>
      </c>
      <c r="AL40" s="972" t="str">
        <f t="shared" si="6"/>
        <v/>
      </c>
      <c r="AM40" s="972" t="str">
        <f t="shared" si="7"/>
        <v/>
      </c>
      <c r="AN40" s="972" t="str">
        <f t="shared" si="8"/>
        <v/>
      </c>
      <c r="AO40" s="972" t="e">
        <f t="shared" si="9"/>
        <v>#N/A</v>
      </c>
      <c r="AP40" s="963" t="str">
        <f t="shared" si="10"/>
        <v/>
      </c>
      <c r="AQ40" s="966">
        <f t="shared" si="11"/>
        <v>0</v>
      </c>
      <c r="AR40" s="967" t="str">
        <f t="shared" si="12"/>
        <v/>
      </c>
      <c r="AS40" s="968">
        <f t="shared" si="13"/>
        <v>0</v>
      </c>
      <c r="AT40" s="967" t="str">
        <f t="shared" si="14"/>
        <v/>
      </c>
      <c r="AU40" s="969">
        <f t="shared" si="15"/>
        <v>0</v>
      </c>
      <c r="AV40" s="970" t="str">
        <f t="shared" si="16"/>
        <v/>
      </c>
      <c r="AW40" s="969" t="b">
        <f t="shared" si="17"/>
        <v>0</v>
      </c>
      <c r="AX40" s="971" t="b">
        <f t="shared" si="18"/>
        <v>0</v>
      </c>
      <c r="AY40" s="969" t="b">
        <f t="shared" si="19"/>
        <v>0</v>
      </c>
      <c r="AZ40" s="971" t="b">
        <f t="shared" si="20"/>
        <v>0</v>
      </c>
      <c r="BA40" s="963" t="b">
        <f t="shared" si="21"/>
        <v>0</v>
      </c>
      <c r="BB40" s="963" t="b">
        <f t="shared" si="22"/>
        <v>0</v>
      </c>
      <c r="BC40" s="969" t="b">
        <f t="shared" si="23"/>
        <v>0</v>
      </c>
      <c r="BD40" s="972" t="b">
        <f t="shared" si="24"/>
        <v>0</v>
      </c>
      <c r="BE40" s="971" t="b">
        <f t="shared" si="25"/>
        <v>0</v>
      </c>
      <c r="BF40" s="973" t="b">
        <f t="shared" si="26"/>
        <v>0</v>
      </c>
      <c r="BG40" s="921" t="str">
        <f t="shared" si="27"/>
        <v>NA</v>
      </c>
      <c r="BH40" s="921" t="str">
        <f t="shared" si="28"/>
        <v/>
      </c>
      <c r="BI40" s="921" t="str">
        <f t="shared" si="29"/>
        <v/>
      </c>
      <c r="BJ40" s="921" t="str">
        <f t="shared" si="30"/>
        <v/>
      </c>
      <c r="BK40" s="921" t="str">
        <f t="shared" si="31"/>
        <v/>
      </c>
      <c r="BL40" s="921" t="str">
        <f t="shared" si="32"/>
        <v/>
      </c>
      <c r="BM40" s="921" t="str">
        <f t="shared" si="33"/>
        <v/>
      </c>
      <c r="BN40" s="921" t="str">
        <f t="shared" si="34"/>
        <v/>
      </c>
      <c r="BO40" s="1499" t="str">
        <f>IF(U46,"","N/A")</f>
        <v/>
      </c>
      <c r="BP40" s="1500"/>
      <c r="BQ40" s="1500"/>
      <c r="BR40" s="1500"/>
      <c r="BS40" s="1500"/>
      <c r="BT40" s="1500"/>
      <c r="BU40" s="1501"/>
      <c r="BW40" s="924">
        <v>1</v>
      </c>
      <c r="BX40" s="975" t="s">
        <v>594</v>
      </c>
    </row>
    <row r="41" spans="2:76 1271:1271" s="909" customFormat="1" ht="12" customHeight="1" x14ac:dyDescent="0.25">
      <c r="B41" s="1508" t="s">
        <v>242</v>
      </c>
      <c r="C41" s="1509"/>
      <c r="D41" s="1510"/>
      <c r="E41" s="998" t="s">
        <v>243</v>
      </c>
      <c r="F41" s="1511" t="s">
        <v>244</v>
      </c>
      <c r="G41" s="1512"/>
      <c r="H41" s="1512" t="s">
        <v>245</v>
      </c>
      <c r="I41" s="1512"/>
      <c r="J41" s="1513" t="s">
        <v>246</v>
      </c>
      <c r="K41" s="1514"/>
      <c r="L41" s="999" t="s">
        <v>247</v>
      </c>
      <c r="M41" s="1515" t="s">
        <v>248</v>
      </c>
      <c r="N41" s="1515"/>
      <c r="O41" s="1516" t="str">
        <f>IF(U45,"DO REVIEW","DO REV N/A")</f>
        <v>DO REVIEW</v>
      </c>
      <c r="P41" s="1517"/>
      <c r="Q41" s="1000" t="str">
        <f>IF(U46,"ED REVIEW","ED REV N/A")</f>
        <v>ED REVIEW</v>
      </c>
      <c r="R41" s="1001"/>
      <c r="S41" s="1002">
        <v>0</v>
      </c>
      <c r="AI41" s="1003"/>
      <c r="AJ41" s="910"/>
      <c r="AK41" s="910"/>
      <c r="AL41" s="910"/>
      <c r="AM41" s="910"/>
      <c r="AN41" s="910"/>
      <c r="AO41" s="907"/>
      <c r="AP41" s="910"/>
      <c r="AQ41" s="1004"/>
      <c r="AR41" s="910"/>
      <c r="AS41" s="1004"/>
      <c r="AT41" s="910"/>
      <c r="AU41" s="1004"/>
      <c r="AV41" s="1005"/>
      <c r="AW41" s="910"/>
      <c r="AX41" s="910"/>
      <c r="AY41" s="910"/>
      <c r="AZ41" s="910"/>
      <c r="BA41" s="910"/>
      <c r="BB41" s="910"/>
      <c r="BC41" s="910"/>
      <c r="BD41" s="910"/>
      <c r="BE41" s="910"/>
      <c r="BF41" s="910"/>
      <c r="BG41" s="910"/>
      <c r="BH41" s="907"/>
      <c r="BI41" s="907"/>
      <c r="BJ41" s="907"/>
      <c r="BK41" s="907"/>
      <c r="BL41" s="907"/>
      <c r="BM41" s="907"/>
      <c r="BN41" s="907"/>
      <c r="BO41" s="1502"/>
      <c r="BP41" s="1503"/>
      <c r="BQ41" s="1503"/>
      <c r="BR41" s="1503"/>
      <c r="BS41" s="1503"/>
      <c r="BT41" s="1503"/>
      <c r="BU41" s="1504"/>
      <c r="BW41" s="924">
        <v>2</v>
      </c>
      <c r="BX41" s="975" t="s">
        <v>595</v>
      </c>
    </row>
    <row r="42" spans="2:76 1271:1271" ht="18.75" customHeight="1" thickBot="1" x14ac:dyDescent="0.3">
      <c r="B42" s="1518" t="str">
        <f>IF(ISERROR(AR47),"",TEXT(AR46,"0.0%"))</f>
        <v>0.0%</v>
      </c>
      <c r="C42" s="1519"/>
      <c r="D42" s="1520"/>
      <c r="E42" s="1006" t="str">
        <f>IF(AU42=0,"N/A",CONCATENATE(TEXT(AV46,"0.0%")," of ",TEXT(AV45,"0.0%")))</f>
        <v>N/A</v>
      </c>
      <c r="F42" s="1522" t="str">
        <f>IF((graded_aca_events+graded_amn_events)&lt;1,"---",IF(AND(AW5,AX5),"INCOMPLETE",IF(AND(NOT(AW5),AX5),"ACA INC",IF(AND(AW5,NOT(AX5)),"AMN INC","COMPLETE"))))</f>
        <v>---</v>
      </c>
      <c r="G42" s="1522"/>
      <c r="H42" s="1522" t="str">
        <f>IF(AU5,IF(OR(AY5="UNK",NOT(AN7)),"---",IF(AY5,"UNSAT",IF(AVERAGEIFS(AT9:AT40,AS9:AS40,"&gt;0")&lt;0.9,"MARG","SAT"))),"N/A")</f>
        <v>---</v>
      </c>
      <c r="I42" s="1522"/>
      <c r="J42" s="1523" t="str">
        <f>IF(OR(AZ5="UNK",NOT(AM7)),"---",IF(OR(AZ5,AR46&lt;0.7),"FAIL","PASS"))</f>
        <v>---</v>
      </c>
      <c r="K42" s="1524"/>
      <c r="L42" s="1007"/>
      <c r="M42" s="1525"/>
      <c r="N42" s="1525"/>
      <c r="O42" s="1526" t="str">
        <f>IF(U45,"","N/A")</f>
        <v/>
      </c>
      <c r="P42" s="1526"/>
      <c r="Q42" s="1526" t="str">
        <f>IF(U46,"","N/A")</f>
        <v/>
      </c>
      <c r="R42" s="1527"/>
      <c r="S42" s="1008"/>
      <c r="T42" s="917" t="s">
        <v>249</v>
      </c>
      <c r="U42" s="972" t="s">
        <v>250</v>
      </c>
      <c r="V42" s="1009"/>
      <c r="W42" s="1009"/>
      <c r="X42" s="1009"/>
      <c r="Y42" s="1009"/>
      <c r="Z42" s="1009"/>
      <c r="AA42" s="1009"/>
      <c r="AB42" s="1009"/>
      <c r="AC42" s="1009"/>
      <c r="AD42" s="1009"/>
      <c r="AE42" s="1009"/>
      <c r="AF42" s="1009"/>
      <c r="AG42" s="1009"/>
      <c r="AH42" s="1009"/>
      <c r="AI42" s="902"/>
      <c r="AJ42" s="901"/>
      <c r="AK42" s="1009"/>
      <c r="AL42" s="1009"/>
      <c r="AM42" s="1009">
        <f>SUM(AM9:AM40)</f>
        <v>0</v>
      </c>
      <c r="AN42" s="1009">
        <f>SUM(AN9:AN40)</f>
        <v>0</v>
      </c>
      <c r="AO42" s="917"/>
      <c r="AP42" s="901"/>
      <c r="AQ42" s="1010">
        <f>SUMIF(AQ9:AQ40,"&gt;0")</f>
        <v>6</v>
      </c>
      <c r="AR42" s="1011">
        <f>IF(AQ42=0,0,SUMPRODUCT($AQ$9:$AQ$40,AR9:AR40)/SUM($AQ$9:$AQ$40))</f>
        <v>0</v>
      </c>
      <c r="AS42" s="1012">
        <f>SUMIF(AS9:AS40,"&gt;0")</f>
        <v>0</v>
      </c>
      <c r="AT42" s="1011">
        <f>IF(AS42=0,0,SUMPRODUCT($AS$9:$AS$40,AT9:AT40)/SUM($AS$9:$AS$40))</f>
        <v>0</v>
      </c>
      <c r="AU42" s="1012">
        <f>SUM(AU10:AU40)</f>
        <v>0</v>
      </c>
      <c r="AV42" s="1011">
        <f>IF(AU42=0,0,SUMPRODUCT($AU$9:$AU$40,AV9:AV40)/SUM($AU$9:$AU$40))</f>
        <v>0</v>
      </c>
      <c r="AW42" s="1013"/>
      <c r="AX42" s="1013"/>
      <c r="AY42" s="1013"/>
      <c r="AZ42" s="1013"/>
      <c r="BA42" s="1013"/>
      <c r="BB42" s="1013"/>
      <c r="BC42" s="905" t="s">
        <v>251</v>
      </c>
      <c r="BD42" s="905" t="s">
        <v>252</v>
      </c>
      <c r="BE42" s="905" t="s">
        <v>253</v>
      </c>
      <c r="BF42" s="905"/>
      <c r="BG42" s="907"/>
      <c r="BO42" s="1502"/>
      <c r="BP42" s="1503"/>
      <c r="BQ42" s="1503"/>
      <c r="BR42" s="1503"/>
      <c r="BS42" s="1503"/>
      <c r="BT42" s="1503"/>
      <c r="BU42" s="1504"/>
      <c r="BW42" s="924">
        <v>3</v>
      </c>
      <c r="BX42" s="975" t="s">
        <v>560</v>
      </c>
      <c r="AVW42" s="1014"/>
    </row>
    <row r="43" spans="2:76 1271:1271" ht="12" customHeight="1" thickTop="1" x14ac:dyDescent="0.25">
      <c r="L43" s="1521" t="s">
        <v>555</v>
      </c>
      <c r="M43" s="1521"/>
      <c r="N43" s="1521"/>
      <c r="O43" s="1521"/>
      <c r="P43" s="1521"/>
      <c r="Q43" s="1521"/>
      <c r="R43" s="1521"/>
      <c r="AP43" s="1009"/>
      <c r="AQ43" s="901"/>
      <c r="AR43" s="901"/>
      <c r="AT43" s="1011"/>
      <c r="AU43" s="1011"/>
      <c r="AV43" s="1011"/>
      <c r="AW43" s="901"/>
      <c r="AX43" s="1011"/>
      <c r="BE43" s="905"/>
      <c r="BF43" s="905"/>
      <c r="BO43" s="1505"/>
      <c r="BP43" s="1506"/>
      <c r="BQ43" s="1506"/>
      <c r="BR43" s="1506"/>
      <c r="BS43" s="1506"/>
      <c r="BT43" s="1506"/>
      <c r="BU43" s="1507"/>
      <c r="BW43" s="924">
        <v>4</v>
      </c>
      <c r="BX43" s="975" t="s">
        <v>565</v>
      </c>
    </row>
    <row r="44" spans="2:76 1271:1271" ht="30.75" customHeight="1" x14ac:dyDescent="0.25">
      <c r="T44" s="1015" t="s">
        <v>254</v>
      </c>
      <c r="U44" s="972" t="b">
        <v>0</v>
      </c>
      <c r="AI44" s="906" t="e">
        <f ca="1">SUMIF(AJ9:$AJ$40,"=" &amp; AJ9,AI10:$AI$40)</f>
        <v>#N/A</v>
      </c>
      <c r="AK44" s="907"/>
      <c r="AL44" s="907"/>
      <c r="AM44" s="907"/>
      <c r="AN44" s="907"/>
      <c r="AO44" s="1016"/>
      <c r="AQ44" s="907"/>
      <c r="AR44" s="907"/>
      <c r="AS44" s="941" t="s">
        <v>255</v>
      </c>
      <c r="AT44" s="1017">
        <f>SUMIF(X9:X40,"&gt;0")/SUMIF(W9:W40,"&gt;0")</f>
        <v>0</v>
      </c>
      <c r="AU44" s="941" t="s">
        <v>256</v>
      </c>
      <c r="AV44" s="1018">
        <f>SUMIF(AU9:AU40,"&gt;0")/SUMIF(AQ9:AQ40,"&gt;0")</f>
        <v>0</v>
      </c>
      <c r="AW44" s="1019"/>
      <c r="AY44" s="907"/>
      <c r="AZ44" s="907"/>
      <c r="BE44" s="905" t="b">
        <f>AND(ISBLANK($K31),J31&gt;0)</f>
        <v>0</v>
      </c>
      <c r="BF44" s="905"/>
      <c r="BH44" s="905"/>
      <c r="BO44" s="907"/>
      <c r="BP44" s="907"/>
      <c r="BQ44" s="908"/>
    </row>
    <row r="45" spans="2:76 1271:1271" ht="30.75" customHeight="1" x14ac:dyDescent="0.25">
      <c r="J45" s="1020"/>
      <c r="T45" s="1021" t="s">
        <v>257</v>
      </c>
      <c r="U45" s="905" t="b">
        <f>IF(AND(Flight?,OR(AW5,AY5,BA5,AZ5,AR46&lt;0.7,H42="MARG")),TRUE,FALSE)</f>
        <v>1</v>
      </c>
      <c r="AK45" s="907"/>
      <c r="AL45" s="907"/>
      <c r="AM45" s="907"/>
      <c r="AN45" s="907"/>
      <c r="AO45" s="1022"/>
      <c r="AP45" s="907"/>
      <c r="AQ45" s="941" t="s">
        <v>258</v>
      </c>
      <c r="AR45" s="1023">
        <f>1-AT45</f>
        <v>1</v>
      </c>
      <c r="AS45" s="941" t="s">
        <v>259</v>
      </c>
      <c r="AT45" s="1017">
        <f>MIN(AT44,AT7)</f>
        <v>0</v>
      </c>
      <c r="AU45" s="941" t="s">
        <v>260</v>
      </c>
      <c r="AV45" s="1024">
        <f>MIN(AV44,AV7)</f>
        <v>0</v>
      </c>
      <c r="AZ45" s="907"/>
      <c r="BE45" s="905"/>
      <c r="BF45" s="905"/>
      <c r="BH45" s="905"/>
      <c r="BO45" s="907"/>
      <c r="BP45" s="907"/>
      <c r="BQ45" s="908"/>
    </row>
    <row r="46" spans="2:76 1271:1271" ht="26.25" x14ac:dyDescent="0.25">
      <c r="T46" s="1021" t="s">
        <v>261</v>
      </c>
      <c r="U46" s="905" t="b">
        <f>IF(OR(AX5,AY5,AZ5,BB5,AR46&lt;0.7),TRUE,FALSE)</f>
        <v>1</v>
      </c>
      <c r="AK46" s="907"/>
      <c r="AL46" s="907"/>
      <c r="AM46" s="907"/>
      <c r="AN46" s="907"/>
      <c r="AO46" s="1025"/>
      <c r="AP46" s="907"/>
      <c r="AQ46" s="941" t="s">
        <v>262</v>
      </c>
      <c r="AR46" s="906">
        <f>AR42*(1-AT45)+(AT42*AT45)</f>
        <v>0</v>
      </c>
      <c r="AU46" s="907" t="s">
        <v>196</v>
      </c>
      <c r="AV46" s="1024">
        <f>AV42*AV45</f>
        <v>0</v>
      </c>
      <c r="AY46" s="907"/>
      <c r="AZ46" s="907"/>
      <c r="BE46" s="905"/>
      <c r="BF46" s="905"/>
      <c r="BH46" s="905"/>
      <c r="BO46" s="907"/>
      <c r="BP46" s="907"/>
      <c r="BQ46" s="908"/>
    </row>
    <row r="47" spans="2:76 1271:1271" ht="26.25" x14ac:dyDescent="0.25">
      <c r="T47" s="1021" t="s">
        <v>263</v>
      </c>
      <c r="U47" s="905" t="b">
        <v>0</v>
      </c>
      <c r="AK47" s="907"/>
      <c r="AL47" s="907"/>
      <c r="AM47" s="907"/>
      <c r="AN47" s="907"/>
      <c r="AO47" s="1025"/>
      <c r="AP47" s="907"/>
      <c r="AQ47" s="941" t="s">
        <v>264</v>
      </c>
      <c r="AR47" s="1024">
        <f>MIN(1,IF(NOT(OR(AY5,AZ5)),AR46+AV46,MIN(0.69,AR46+AV46)))</f>
        <v>0</v>
      </c>
      <c r="AY47" s="907"/>
      <c r="BE47" s="905"/>
      <c r="BF47" s="905"/>
      <c r="BI47" s="905"/>
      <c r="BO47" s="907"/>
      <c r="BP47" s="907"/>
      <c r="BQ47" s="908"/>
    </row>
    <row r="48" spans="2:76 1271:1271" x14ac:dyDescent="0.25">
      <c r="T48" s="1021" t="s">
        <v>265</v>
      </c>
      <c r="U48" s="905" t="b">
        <f>IF(NOT(Flight?),TRUE,NOT(OR(ISBLANK(comments),ISBLANK(hdr_class),ISBLANK(hdr_date),ISBLANK(hdr_stud),ISBLANK(hdr_instr),ISBLANK(hdr_acft),ISBLANK(hdr_time),F42="---")))</f>
        <v>0</v>
      </c>
      <c r="AK48" s="907"/>
      <c r="AL48" s="907"/>
      <c r="AM48" s="907"/>
      <c r="AN48" s="907"/>
      <c r="AO48" s="1025"/>
      <c r="AP48" s="907"/>
      <c r="AQ48" s="907"/>
      <c r="AR48" s="1026"/>
      <c r="AS48" s="1024"/>
      <c r="AU48" s="907"/>
      <c r="AV48" s="907"/>
      <c r="AW48" s="907"/>
    </row>
    <row r="49" spans="20:56" x14ac:dyDescent="0.25">
      <c r="T49" s="1021" t="s">
        <v>266</v>
      </c>
      <c r="U49" s="905" t="b">
        <f>IF(Flight?,TRUE,NOT(OR(ISBLANK(comments),ISBLANK(hdr_class),ISBLANK(hdr_date),ISBLANK(hdr_stud),ISBLANK(hdr_instr),F42="---")))</f>
        <v>1</v>
      </c>
      <c r="AK49" s="907"/>
      <c r="AL49" s="907"/>
      <c r="AM49" s="907"/>
      <c r="AN49" s="907"/>
      <c r="AO49" s="1022"/>
      <c r="AP49" s="901" t="s">
        <v>267</v>
      </c>
      <c r="AQ49" s="901"/>
      <c r="AR49" s="901"/>
      <c r="AS49" s="901"/>
      <c r="AT49" s="901"/>
      <c r="AU49" s="907"/>
      <c r="AV49" s="907"/>
      <c r="AW49" s="907"/>
    </row>
    <row r="50" spans="20:56" x14ac:dyDescent="0.25">
      <c r="T50" s="1021" t="s">
        <v>268</v>
      </c>
      <c r="U50" s="905" t="b">
        <f>AND(U48:U49)</f>
        <v>0</v>
      </c>
      <c r="AK50" s="907"/>
      <c r="AL50" s="907"/>
      <c r="AM50" s="907"/>
      <c r="AN50" s="907"/>
      <c r="AO50" s="1022"/>
      <c r="AP50" s="901"/>
      <c r="AQ50" s="901"/>
      <c r="AR50" s="901">
        <v>0</v>
      </c>
      <c r="AS50" s="901">
        <v>1</v>
      </c>
      <c r="AT50" s="901">
        <v>2</v>
      </c>
      <c r="AU50" s="901">
        <v>3</v>
      </c>
      <c r="AV50" s="901">
        <v>4</v>
      </c>
      <c r="AW50" s="907"/>
    </row>
    <row r="51" spans="20:56" x14ac:dyDescent="0.25">
      <c r="AK51" s="907"/>
      <c r="AL51" s="907"/>
      <c r="AM51" s="907"/>
      <c r="AN51" s="907"/>
      <c r="AO51" s="1022"/>
      <c r="AP51" s="901" t="s">
        <v>227</v>
      </c>
      <c r="AQ51" s="901">
        <v>1</v>
      </c>
      <c r="AR51" s="1027">
        <v>0.7</v>
      </c>
      <c r="AS51" s="1027">
        <v>0.9</v>
      </c>
      <c r="AT51" s="1027">
        <v>0.93330000000000002</v>
      </c>
      <c r="AU51" s="1027">
        <v>0.9667</v>
      </c>
      <c r="AV51" s="1027">
        <v>1</v>
      </c>
      <c r="AW51" s="907"/>
    </row>
    <row r="52" spans="20:56" x14ac:dyDescent="0.25">
      <c r="AK52" s="907"/>
      <c r="AL52" s="907"/>
      <c r="AM52" s="907"/>
      <c r="AN52" s="907"/>
      <c r="AO52" s="1022"/>
      <c r="AP52" s="901" t="s">
        <v>228</v>
      </c>
      <c r="AQ52" s="901">
        <v>2</v>
      </c>
      <c r="AR52" s="1027">
        <v>0.7</v>
      </c>
      <c r="AS52" s="1027">
        <v>0.8</v>
      </c>
      <c r="AT52" s="1027">
        <v>0.9</v>
      </c>
      <c r="AU52" s="1027">
        <v>0.95</v>
      </c>
      <c r="AV52" s="1027">
        <v>1</v>
      </c>
      <c r="AW52" s="907"/>
    </row>
    <row r="53" spans="20:56" x14ac:dyDescent="0.25">
      <c r="AK53" s="907"/>
      <c r="AL53" s="907"/>
      <c r="AM53" s="907"/>
      <c r="AN53" s="907"/>
      <c r="AO53" s="1022"/>
      <c r="AP53" s="901" t="s">
        <v>229</v>
      </c>
      <c r="AQ53" s="901">
        <v>3</v>
      </c>
      <c r="AR53" s="1027">
        <v>0.7</v>
      </c>
      <c r="AS53" s="1027">
        <v>0.76670000000000005</v>
      </c>
      <c r="AT53" s="1027">
        <v>0.83330000000000004</v>
      </c>
      <c r="AU53" s="1027">
        <v>0.9</v>
      </c>
      <c r="AV53" s="1027">
        <v>1</v>
      </c>
      <c r="AW53" s="907"/>
    </row>
    <row r="54" spans="20:56" x14ac:dyDescent="0.25">
      <c r="AP54" s="1028" t="s">
        <v>230</v>
      </c>
      <c r="AQ54" s="901">
        <v>11</v>
      </c>
      <c r="AR54" s="1027">
        <v>0.6</v>
      </c>
      <c r="AS54" s="1027">
        <v>0.9</v>
      </c>
      <c r="AT54" s="1027">
        <v>0.93330000000000002</v>
      </c>
      <c r="AU54" s="1027">
        <v>0.9667</v>
      </c>
      <c r="AV54" s="1027">
        <v>1</v>
      </c>
      <c r="AW54" s="907"/>
    </row>
    <row r="55" spans="20:56" x14ac:dyDescent="0.25">
      <c r="AP55" s="1028" t="s">
        <v>231</v>
      </c>
      <c r="AQ55" s="901">
        <v>12</v>
      </c>
      <c r="AR55" s="1027">
        <v>0.6</v>
      </c>
      <c r="AS55" s="1027">
        <v>0.7</v>
      </c>
      <c r="AT55" s="1027">
        <v>0.9</v>
      </c>
      <c r="AU55" s="1027">
        <v>0.95</v>
      </c>
      <c r="AV55" s="1027">
        <v>1</v>
      </c>
      <c r="AW55" s="907"/>
    </row>
    <row r="56" spans="20:56" x14ac:dyDescent="0.25">
      <c r="AP56" s="1028" t="s">
        <v>232</v>
      </c>
      <c r="AQ56" s="901">
        <v>13</v>
      </c>
      <c r="AR56" s="1027">
        <v>0.6</v>
      </c>
      <c r="AS56" s="1027">
        <v>0.7</v>
      </c>
      <c r="AT56" s="1027">
        <v>0.8</v>
      </c>
      <c r="AU56" s="1027">
        <v>0.9</v>
      </c>
      <c r="AV56" s="1027">
        <v>1</v>
      </c>
      <c r="AW56" s="907"/>
    </row>
    <row r="57" spans="20:56" x14ac:dyDescent="0.25">
      <c r="AP57" s="1028" t="s">
        <v>233</v>
      </c>
      <c r="AQ57" s="901">
        <v>22</v>
      </c>
      <c r="AR57" s="1027">
        <v>0.3</v>
      </c>
      <c r="AS57" s="1027">
        <v>0.6</v>
      </c>
      <c r="AT57" s="1027">
        <v>0.9</v>
      </c>
      <c r="AU57" s="1027">
        <v>0.95</v>
      </c>
      <c r="AV57" s="1027">
        <v>1</v>
      </c>
      <c r="AW57" s="907"/>
    </row>
    <row r="58" spans="20:56" x14ac:dyDescent="0.25">
      <c r="AP58" s="1028" t="s">
        <v>234</v>
      </c>
      <c r="AQ58" s="901">
        <v>23</v>
      </c>
      <c r="AR58" s="1027">
        <v>0.3</v>
      </c>
      <c r="AS58" s="1027">
        <v>0.6</v>
      </c>
      <c r="AT58" s="1027">
        <v>0.7</v>
      </c>
      <c r="AU58" s="1027">
        <v>0.9</v>
      </c>
      <c r="AV58" s="1027">
        <v>1</v>
      </c>
      <c r="AW58" s="907"/>
    </row>
    <row r="59" spans="20:56" x14ac:dyDescent="0.25">
      <c r="AP59" s="1028" t="s">
        <v>235</v>
      </c>
      <c r="AQ59" s="901">
        <v>33</v>
      </c>
      <c r="AR59" s="1027">
        <v>0</v>
      </c>
      <c r="AS59" s="1027">
        <v>0.3</v>
      </c>
      <c r="AT59" s="1027">
        <v>0.6</v>
      </c>
      <c r="AU59" s="1027">
        <v>0.9</v>
      </c>
      <c r="AV59" s="1027">
        <v>1</v>
      </c>
      <c r="AW59" s="83"/>
      <c r="AX59" s="84"/>
      <c r="BC59" s="84"/>
      <c r="BD59" s="84"/>
    </row>
    <row r="60" spans="20:56" x14ac:dyDescent="0.25">
      <c r="AP60" s="907"/>
      <c r="AQ60" s="907"/>
      <c r="AR60" s="907"/>
      <c r="AS60" s="907"/>
      <c r="AT60" s="907"/>
      <c r="AU60" s="907"/>
      <c r="AV60" s="907"/>
      <c r="AW60" s="84"/>
      <c r="AX60" s="84"/>
      <c r="BC60" s="84"/>
      <c r="BD60" s="84"/>
    </row>
    <row r="61" spans="20:56" x14ac:dyDescent="0.25">
      <c r="AP61" s="84"/>
      <c r="AQ61" s="83"/>
      <c r="AR61" s="84"/>
      <c r="AS61" s="84"/>
      <c r="AT61" s="84"/>
      <c r="AU61" s="84"/>
      <c r="AV61" s="84"/>
      <c r="AW61" s="83"/>
      <c r="AX61" s="83"/>
      <c r="BC61" s="84"/>
      <c r="BD61" s="84"/>
    </row>
    <row r="62" spans="20:56" x14ac:dyDescent="0.25">
      <c r="AP62" s="101"/>
      <c r="AQ62" s="83"/>
      <c r="AR62" s="84"/>
      <c r="AS62" s="84"/>
      <c r="AT62" s="84"/>
      <c r="AU62" s="84"/>
      <c r="AV62" s="84"/>
      <c r="AW62" s="83"/>
      <c r="AX62" s="83"/>
      <c r="BC62" s="84"/>
      <c r="BD62" s="84"/>
    </row>
    <row r="63" spans="20:56" x14ac:dyDescent="0.25">
      <c r="AP63" s="83"/>
      <c r="AQ63" s="83"/>
      <c r="AR63" s="84"/>
      <c r="AS63" s="84"/>
      <c r="AT63" s="84"/>
      <c r="AU63" s="84"/>
      <c r="AV63" s="84"/>
      <c r="AW63" s="83"/>
      <c r="AX63" s="83"/>
      <c r="BC63" s="84"/>
      <c r="BD63" s="84"/>
    </row>
    <row r="64" spans="20:56" x14ac:dyDescent="0.25">
      <c r="AP64" s="83"/>
      <c r="AQ64" s="83"/>
      <c r="AR64" s="84"/>
      <c r="AS64" s="84"/>
      <c r="AT64" s="84"/>
      <c r="AU64" s="84"/>
      <c r="AV64" s="84"/>
      <c r="AW64" s="83"/>
      <c r="AX64" s="84"/>
      <c r="BC64" s="84"/>
      <c r="BD64" s="84"/>
    </row>
    <row r="65" spans="42:56" x14ac:dyDescent="0.25">
      <c r="AP65" s="83"/>
      <c r="AQ65" s="83"/>
      <c r="AR65" s="84"/>
      <c r="AS65" s="84"/>
      <c r="AT65" s="84"/>
      <c r="AU65" s="84"/>
      <c r="AV65" s="84"/>
      <c r="AW65" s="83"/>
      <c r="AX65" s="84"/>
      <c r="BC65" s="84"/>
      <c r="BD65" s="84"/>
    </row>
    <row r="66" spans="42:56" x14ac:dyDescent="0.25">
      <c r="AP66" s="83"/>
      <c r="AQ66" s="83"/>
      <c r="AR66" s="84"/>
      <c r="AS66" s="84"/>
      <c r="AT66" s="84"/>
      <c r="AU66" s="84"/>
      <c r="AV66" s="84"/>
    </row>
    <row r="67" spans="42:56" x14ac:dyDescent="0.25">
      <c r="AP67" s="83"/>
      <c r="AQ67" s="83"/>
      <c r="AR67" s="84"/>
      <c r="AS67" s="84"/>
      <c r="AT67" s="84"/>
      <c r="AU67" s="84"/>
      <c r="AV67" s="84"/>
    </row>
  </sheetData>
  <sheetProtection algorithmName="SHA-512" hashValue="C9k4VT2eQ+GPn2rJrSm2cEJAy4hZE17RpmJEK6TN8GbcFAf9zPLyaPyHKk8/ZN469/B7+LWlyyUq7dPPrWN9OQ==" saltValue="9w63qzjKH8SZb0XVB7CQRw==" spinCount="100000" sheet="1" objects="1" scenarios="1"/>
  <mergeCells count="83">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25:F25"/>
    <mergeCell ref="C26:F26"/>
    <mergeCell ref="C27:F27"/>
    <mergeCell ref="C28:F28"/>
    <mergeCell ref="C29:F29"/>
    <mergeCell ref="C30:F30"/>
    <mergeCell ref="C31:F31"/>
    <mergeCell ref="C32:F32"/>
    <mergeCell ref="C33:F33"/>
    <mergeCell ref="C34:F34"/>
    <mergeCell ref="C35:F35"/>
    <mergeCell ref="CE19:CE20"/>
    <mergeCell ref="CF19:CO20"/>
    <mergeCell ref="C20:F20"/>
    <mergeCell ref="BQ20:BU20"/>
    <mergeCell ref="C21:F21"/>
    <mergeCell ref="CE21:CE22"/>
    <mergeCell ref="CF21:CO22"/>
    <mergeCell ref="C22:F22"/>
    <mergeCell ref="BO22:BO30"/>
    <mergeCell ref="C23:F23"/>
    <mergeCell ref="CE15:CE16"/>
    <mergeCell ref="CF15:CO16"/>
    <mergeCell ref="C16:F16"/>
    <mergeCell ref="C17:F17"/>
    <mergeCell ref="CE17:CE18"/>
    <mergeCell ref="CF17:CO18"/>
    <mergeCell ref="C18:F18"/>
    <mergeCell ref="B8:F8"/>
    <mergeCell ref="L8:R8"/>
    <mergeCell ref="C9:F9"/>
    <mergeCell ref="L9:R40"/>
    <mergeCell ref="C10:F10"/>
    <mergeCell ref="C11:F11"/>
    <mergeCell ref="C12:F12"/>
    <mergeCell ref="C13:F13"/>
    <mergeCell ref="C14:F14"/>
    <mergeCell ref="C15:F15"/>
    <mergeCell ref="C19:F19"/>
    <mergeCell ref="C24:F24"/>
    <mergeCell ref="C39:F39"/>
    <mergeCell ref="C40:F40"/>
    <mergeCell ref="BH5:BK7"/>
    <mergeCell ref="BL5:BN7"/>
    <mergeCell ref="B6:E6"/>
    <mergeCell ref="F6:G6"/>
    <mergeCell ref="H6:L6"/>
    <mergeCell ref="M6:N6"/>
    <mergeCell ref="O6:P6"/>
    <mergeCell ref="Q6:R6"/>
    <mergeCell ref="B7:E7"/>
    <mergeCell ref="F7:G7"/>
    <mergeCell ref="H7:L7"/>
    <mergeCell ref="M7:N7"/>
    <mergeCell ref="O7:P7"/>
    <mergeCell ref="Q7:R7"/>
    <mergeCell ref="B4:G4"/>
    <mergeCell ref="H4:N4"/>
    <mergeCell ref="O4:P4"/>
    <mergeCell ref="Q4:R4"/>
    <mergeCell ref="B5:G5"/>
    <mergeCell ref="H5:N5"/>
    <mergeCell ref="O5:P5"/>
    <mergeCell ref="Q5:R5"/>
  </mergeCells>
  <conditionalFormatting sqref="B9:F40">
    <cfRule type="expression" dxfId="264" priority="10" stopIfTrue="1">
      <formula>IF($Z9=1,TRUE,FALSE)</formula>
    </cfRule>
    <cfRule type="expression" dxfId="263" priority="11">
      <formula>IF($Z9=2,TRUE,FALSE)</formula>
    </cfRule>
  </conditionalFormatting>
  <conditionalFormatting sqref="C9:F40">
    <cfRule type="expression" dxfId="262" priority="3" stopIfTrue="1">
      <formula>IF($AF9=FALSE,TRUE,FALSE)</formula>
    </cfRule>
  </conditionalFormatting>
  <conditionalFormatting sqref="F6:G7 M6:P7">
    <cfRule type="expression" dxfId="261" priority="6" stopIfTrue="1">
      <formula>NOT($AU$5)</formula>
    </cfRule>
  </conditionalFormatting>
  <conditionalFormatting sqref="F7:G7">
    <cfRule type="cellIs" dxfId="260" priority="5" operator="equal">
      <formula>""</formula>
    </cfRule>
  </conditionalFormatting>
  <conditionalFormatting sqref="G9:K40">
    <cfRule type="expression" dxfId="259" priority="8" stopIfTrue="1">
      <formula>IF($Z9=1,TRUE,FALSE)</formula>
    </cfRule>
    <cfRule type="expression" dxfId="258" priority="9" stopIfTrue="1">
      <formula>IF($Z9=2,TRUE,FALSE)</formula>
    </cfRule>
  </conditionalFormatting>
  <conditionalFormatting sqref="H9:H40">
    <cfRule type="expression" dxfId="257" priority="12" stopIfTrue="1">
      <formula>IF($AB9=0,TRUE,FALSE)</formula>
    </cfRule>
  </conditionalFormatting>
  <conditionalFormatting sqref="H41:I42">
    <cfRule type="expression" dxfId="256" priority="4" stopIfTrue="1">
      <formula>IF($H$42="N/A",TRUE,FALSE)</formula>
    </cfRule>
  </conditionalFormatting>
  <conditionalFormatting sqref="H7:P7 O5:R5 B7">
    <cfRule type="containsBlanks" dxfId="255" priority="7">
      <formula>LEN(TRIM(B5))=0</formula>
    </cfRule>
  </conditionalFormatting>
  <conditionalFormatting sqref="J9:J40">
    <cfRule type="expression" dxfId="254" priority="16">
      <formula>IF($Z9=1,FALSE,OR($BE9,$BD9))</formula>
    </cfRule>
  </conditionalFormatting>
  <conditionalFormatting sqref="J9:K40 C9:F40">
    <cfRule type="expression" dxfId="253" priority="15">
      <formula>IF($Z9=1,FALSE,OR($AW9,$AX9,$AY9,$AZ9))</formula>
    </cfRule>
  </conditionalFormatting>
  <conditionalFormatting sqref="J9:K40">
    <cfRule type="expression" dxfId="252" priority="13" stopIfTrue="1">
      <formula>IF(ISNA($Z9),TRUE,FALSE)</formula>
    </cfRule>
  </conditionalFormatting>
  <conditionalFormatting sqref="K9:K40">
    <cfRule type="expression" dxfId="251" priority="14">
      <formula>IF(OR($Z9=1,$Z9=2),FALSE,OR($BC9,$BE9,$BF9))</formula>
    </cfRule>
  </conditionalFormatting>
  <conditionalFormatting sqref="L9">
    <cfRule type="containsBlanks" dxfId="250" priority="1">
      <formula>LEN(TRIM(L9))=0</formula>
    </cfRule>
  </conditionalFormatting>
  <conditionalFormatting sqref="L42">
    <cfRule type="expression" dxfId="249" priority="2">
      <formula>NOT($U$50)</formula>
    </cfRule>
  </conditionalFormatting>
  <dataValidations count="6">
    <dataValidation type="list" allowBlank="1" showInputMessage="1" showErrorMessage="1" sqref="F7:G7" xr:uid="{FF6F26D0-62DD-42BA-A98C-3A517EFEDF79}">
      <formula1>"No,Yes"</formula1>
    </dataValidation>
    <dataValidation type="list" allowBlank="1" showInputMessage="1" showErrorMessage="1" sqref="J9:J40" xr:uid="{14CC8517-7ACF-4003-83B7-902B0462282F}">
      <formula1>"NA,0,1,2,3,4,5,6,7,8,9,10,11,12,13,14,15"</formula1>
    </dataValidation>
    <dataValidation type="list" allowBlank="1" showInputMessage="1" showErrorMessage="1" sqref="K9:K40" xr:uid="{EF056C18-5B05-433E-A802-432CF0DA300F}">
      <formula1>"D,0,1,2,3,4"</formula1>
    </dataValidation>
    <dataValidation type="custom" showInputMessage="1" showErrorMessage="1" sqref="O42:R42" xr:uid="{96D4068D-C87A-4E35-9FDE-9CEAFD23C9A1}">
      <formula1>IF(OR(O42="N/A",O42="",ISBLANK(O42)),FALSE,TRUE)</formula1>
    </dataValidation>
    <dataValidation type="decimal" allowBlank="1" showInputMessage="1" showErrorMessage="1" sqref="O7:P7" xr:uid="{EFD7C6F7-E98B-49A8-B13B-20146DCF0DA5}">
      <formula1>0</formula1>
      <formula2>10</formula2>
    </dataValidation>
    <dataValidation type="date" allowBlank="1" showInputMessage="1" showErrorMessage="1" sqref="Q5:R5" xr:uid="{85203CD8-0019-4877-97E7-F773316E4BAF}">
      <formula1>41151</formula1>
      <formula2>77433</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6B698-C0D9-48F8-BCEB-C3904D68517D}">
  <sheetPr codeName="Sheet20">
    <tabColor rgb="FF00B0F0"/>
  </sheetPr>
  <dimension ref="A1:V37"/>
  <sheetViews>
    <sheetView workbookViewId="0">
      <selection activeCell="M11" sqref="M11"/>
    </sheetView>
  </sheetViews>
  <sheetFormatPr defaultRowHeight="15" x14ac:dyDescent="0.25"/>
  <cols>
    <col min="1" max="1" width="2.7109375" style="280" customWidth="1"/>
    <col min="2" max="13" width="9.140625" style="280"/>
    <col min="14" max="14" width="2.7109375" style="280" customWidth="1"/>
    <col min="15" max="15" width="9.140625" style="280"/>
    <col min="16" max="16" width="23.7109375" style="280" bestFit="1" customWidth="1"/>
    <col min="17" max="16384" width="9.140625" style="280"/>
  </cols>
  <sheetData>
    <row r="1" spans="1:22" x14ac:dyDescent="0.25">
      <c r="A1" s="278"/>
      <c r="B1" s="278"/>
      <c r="C1" s="278"/>
      <c r="D1" s="278"/>
      <c r="E1" s="278"/>
      <c r="F1" s="279"/>
      <c r="G1" s="278"/>
      <c r="H1" s="278"/>
      <c r="I1" s="278"/>
      <c r="J1" s="278"/>
      <c r="K1" s="278"/>
      <c r="L1" s="278"/>
      <c r="M1" s="278"/>
      <c r="N1" s="278"/>
    </row>
    <row r="2" spans="1:22" ht="18" x14ac:dyDescent="0.25">
      <c r="A2" s="281"/>
      <c r="B2" s="282"/>
      <c r="C2" s="283" t="s">
        <v>554</v>
      </c>
      <c r="D2" s="283"/>
      <c r="E2" s="283"/>
      <c r="F2" s="284"/>
      <c r="G2" s="283"/>
      <c r="H2" s="283"/>
      <c r="I2" s="283"/>
      <c r="J2" s="283"/>
      <c r="K2" s="283"/>
      <c r="L2" s="283"/>
      <c r="M2" s="285" t="s">
        <v>461</v>
      </c>
      <c r="N2" s="281"/>
    </row>
    <row r="3" spans="1:22" ht="18" x14ac:dyDescent="0.25">
      <c r="A3" s="281"/>
      <c r="B3" s="282"/>
      <c r="C3" s="283"/>
      <c r="D3" s="283"/>
      <c r="E3" s="283"/>
      <c r="F3" s="284"/>
      <c r="G3" s="283"/>
      <c r="H3" s="283"/>
      <c r="I3" s="283"/>
      <c r="J3" s="283"/>
      <c r="K3" s="283"/>
      <c r="L3" s="283"/>
      <c r="M3" s="285"/>
      <c r="N3" s="281"/>
      <c r="P3" s="1543" t="s">
        <v>318</v>
      </c>
      <c r="Q3" s="1543"/>
      <c r="R3" s="1543"/>
      <c r="S3" s="1543"/>
      <c r="T3" s="1543"/>
      <c r="U3" s="1543"/>
      <c r="V3" s="286"/>
    </row>
    <row r="4" spans="1:22" ht="18" x14ac:dyDescent="0.25">
      <c r="A4" s="281"/>
      <c r="B4" s="282"/>
      <c r="C4" s="1544" t="s">
        <v>462</v>
      </c>
      <c r="D4" s="1545"/>
      <c r="E4" s="1546"/>
      <c r="F4" s="1547"/>
      <c r="G4" s="1547"/>
      <c r="H4" s="1548"/>
      <c r="I4" s="287"/>
      <c r="J4" s="288" t="s">
        <v>463</v>
      </c>
      <c r="K4" s="1549"/>
      <c r="L4" s="1550"/>
      <c r="M4" s="285"/>
      <c r="N4" s="281"/>
      <c r="P4" s="1543"/>
      <c r="Q4" s="1543"/>
      <c r="R4" s="1543"/>
      <c r="S4" s="1543"/>
      <c r="T4" s="1543"/>
      <c r="U4" s="1543"/>
    </row>
    <row r="5" spans="1:22" ht="18" x14ac:dyDescent="0.25">
      <c r="A5" s="281"/>
      <c r="B5" s="282"/>
      <c r="C5" s="287"/>
      <c r="D5" s="287"/>
      <c r="E5" s="287"/>
      <c r="F5" s="289"/>
      <c r="G5" s="287"/>
      <c r="H5" s="287"/>
      <c r="I5" s="287"/>
      <c r="J5" s="287"/>
      <c r="K5" s="287"/>
      <c r="L5" s="287"/>
      <c r="M5" s="285"/>
      <c r="N5" s="281"/>
    </row>
    <row r="6" spans="1:22" ht="18" x14ac:dyDescent="0.25">
      <c r="A6" s="281"/>
      <c r="B6" s="282"/>
      <c r="C6" s="290" t="s">
        <v>464</v>
      </c>
      <c r="D6" s="291"/>
      <c r="E6" s="287"/>
      <c r="F6" s="289"/>
      <c r="G6" s="1546"/>
      <c r="H6" s="1547"/>
      <c r="I6" s="1548"/>
      <c r="J6" s="287"/>
      <c r="K6" s="287"/>
      <c r="L6" s="287"/>
      <c r="M6" s="285"/>
      <c r="N6" s="281"/>
    </row>
    <row r="7" spans="1:22" ht="18" x14ac:dyDescent="0.25">
      <c r="A7" s="278"/>
      <c r="B7" s="292"/>
      <c r="C7" s="283"/>
      <c r="D7" s="283"/>
      <c r="E7" s="283"/>
      <c r="F7" s="284"/>
      <c r="G7" s="283"/>
      <c r="H7" s="283"/>
      <c r="I7" s="283"/>
      <c r="J7" s="283"/>
      <c r="K7" s="283"/>
      <c r="L7" s="283"/>
      <c r="M7" s="293"/>
      <c r="N7" s="278"/>
    </row>
    <row r="8" spans="1:22" x14ac:dyDescent="0.25">
      <c r="A8" s="278"/>
      <c r="B8" s="292"/>
      <c r="C8" s="294" t="s">
        <v>465</v>
      </c>
      <c r="D8" s="295"/>
      <c r="E8" s="296" t="s">
        <v>466</v>
      </c>
      <c r="F8" s="297"/>
      <c r="G8" s="298"/>
      <c r="H8" s="298"/>
      <c r="I8" s="298"/>
      <c r="J8" s="298"/>
      <c r="K8" s="298"/>
      <c r="L8" s="298"/>
      <c r="M8" s="292"/>
      <c r="N8" s="278"/>
      <c r="P8" s="280" t="s">
        <v>467</v>
      </c>
      <c r="Q8" s="280" t="s">
        <v>468</v>
      </c>
    </row>
    <row r="9" spans="1:22" x14ac:dyDescent="0.25">
      <c r="A9" s="278"/>
      <c r="B9" s="292"/>
      <c r="C9" s="299"/>
      <c r="D9" s="300"/>
      <c r="E9" s="301"/>
      <c r="F9" s="302"/>
      <c r="G9" s="298"/>
      <c r="H9" s="298"/>
      <c r="I9" s="298"/>
      <c r="J9" s="298"/>
      <c r="K9" s="298"/>
      <c r="L9" s="298"/>
      <c r="M9" s="292"/>
      <c r="N9" s="278"/>
      <c r="Q9" s="280" t="s">
        <v>469</v>
      </c>
    </row>
    <row r="10" spans="1:22" ht="15.75" thickBot="1" x14ac:dyDescent="0.3">
      <c r="A10" s="278"/>
      <c r="B10" s="292"/>
      <c r="C10" s="299"/>
      <c r="D10" s="300"/>
      <c r="E10" s="301"/>
      <c r="F10" s="302"/>
      <c r="G10" s="303"/>
      <c r="H10" s="298"/>
      <c r="I10" s="298"/>
      <c r="J10" s="298"/>
      <c r="K10" s="298"/>
      <c r="L10" s="298"/>
      <c r="M10" s="292"/>
      <c r="N10" s="278"/>
      <c r="Q10" s="280" t="s">
        <v>470</v>
      </c>
    </row>
    <row r="11" spans="1:22" ht="16.5" thickBot="1" x14ac:dyDescent="0.3">
      <c r="A11" s="304"/>
      <c r="B11" s="305"/>
      <c r="C11" s="306">
        <f>SUM(C12:C14)</f>
        <v>50</v>
      </c>
      <c r="D11" s="307"/>
      <c r="E11" s="308">
        <f>SUM(C12*E12,C13*E13,C14*E14)/C11</f>
        <v>0</v>
      </c>
      <c r="F11" s="309">
        <v>1</v>
      </c>
      <c r="G11" s="310" t="s">
        <v>471</v>
      </c>
      <c r="H11" s="311"/>
      <c r="I11" s="311"/>
      <c r="J11" s="1551"/>
      <c r="K11" s="1551"/>
      <c r="L11" s="1551"/>
      <c r="M11" s="305"/>
      <c r="N11" s="304"/>
      <c r="Q11" s="280" t="s">
        <v>472</v>
      </c>
    </row>
    <row r="12" spans="1:22" x14ac:dyDescent="0.25">
      <c r="A12" s="278"/>
      <c r="B12" s="292"/>
      <c r="C12" s="312">
        <v>20</v>
      </c>
      <c r="D12" s="300"/>
      <c r="E12" s="313"/>
      <c r="F12" s="314">
        <v>1.1000000000000001</v>
      </c>
      <c r="G12" s="315" t="s">
        <v>473</v>
      </c>
      <c r="H12" s="292"/>
      <c r="I12" s="298"/>
      <c r="J12" s="1528"/>
      <c r="K12" s="1528"/>
      <c r="L12" s="1528"/>
      <c r="M12" s="292"/>
      <c r="N12" s="278"/>
      <c r="P12" s="280" t="s">
        <v>474</v>
      </c>
      <c r="Q12" s="280" t="s">
        <v>475</v>
      </c>
    </row>
    <row r="13" spans="1:22" x14ac:dyDescent="0.25">
      <c r="A13" s="278"/>
      <c r="B13" s="292"/>
      <c r="C13" s="316">
        <v>15</v>
      </c>
      <c r="D13" s="300"/>
      <c r="E13" s="317"/>
      <c r="F13" s="314">
        <v>1.2</v>
      </c>
      <c r="G13" s="315" t="s">
        <v>476</v>
      </c>
      <c r="H13" s="292"/>
      <c r="I13" s="298"/>
      <c r="J13" s="298"/>
      <c r="K13" s="298"/>
      <c r="L13" s="298"/>
      <c r="M13" s="292"/>
      <c r="N13" s="278"/>
      <c r="Q13" s="280" t="s">
        <v>477</v>
      </c>
    </row>
    <row r="14" spans="1:22" x14ac:dyDescent="0.25">
      <c r="A14" s="278"/>
      <c r="B14" s="292"/>
      <c r="C14" s="316">
        <v>15</v>
      </c>
      <c r="D14" s="300"/>
      <c r="E14" s="317"/>
      <c r="F14" s="314">
        <v>1.3</v>
      </c>
      <c r="G14" s="315" t="s">
        <v>478</v>
      </c>
      <c r="H14" s="292"/>
      <c r="I14" s="298"/>
      <c r="J14" s="298"/>
      <c r="K14" s="298"/>
      <c r="L14" s="298"/>
      <c r="M14" s="292"/>
      <c r="N14" s="278"/>
      <c r="P14" s="280" t="s">
        <v>479</v>
      </c>
      <c r="Q14" s="280" t="s">
        <v>480</v>
      </c>
    </row>
    <row r="15" spans="1:22" ht="15.75" thickBot="1" x14ac:dyDescent="0.3">
      <c r="A15" s="278"/>
      <c r="B15" s="292"/>
      <c r="C15" s="318"/>
      <c r="D15" s="301"/>
      <c r="E15" s="319"/>
      <c r="F15" s="314"/>
      <c r="G15" s="320"/>
      <c r="H15" s="320"/>
      <c r="I15" s="320"/>
      <c r="J15" s="320"/>
      <c r="K15" s="320"/>
      <c r="L15" s="320"/>
      <c r="M15" s="292"/>
      <c r="N15" s="278"/>
      <c r="Q15" s="280" t="s">
        <v>481</v>
      </c>
    </row>
    <row r="16" spans="1:22" ht="16.5" thickBot="1" x14ac:dyDescent="0.3">
      <c r="A16" s="304"/>
      <c r="B16" s="305"/>
      <c r="C16" s="306">
        <f>SUM(C17:C19)</f>
        <v>50</v>
      </c>
      <c r="D16" s="321"/>
      <c r="E16" s="308">
        <f>SUM(C17*E17,C18*E18,C19*E19)/C16</f>
        <v>0</v>
      </c>
      <c r="F16" s="309">
        <v>2</v>
      </c>
      <c r="G16" s="310" t="s">
        <v>482</v>
      </c>
      <c r="H16" s="322"/>
      <c r="I16" s="322"/>
      <c r="J16" s="322"/>
      <c r="K16" s="322"/>
      <c r="L16" s="322"/>
      <c r="M16" s="305"/>
      <c r="N16" s="304"/>
      <c r="P16" s="280" t="s">
        <v>483</v>
      </c>
      <c r="Q16" s="280" t="s">
        <v>484</v>
      </c>
    </row>
    <row r="17" spans="1:17" x14ac:dyDescent="0.25">
      <c r="A17" s="278"/>
      <c r="B17" s="292"/>
      <c r="C17" s="323">
        <v>20</v>
      </c>
      <c r="D17" s="301"/>
      <c r="E17" s="324"/>
      <c r="F17" s="314">
        <v>2.1</v>
      </c>
      <c r="G17" s="315" t="s">
        <v>485</v>
      </c>
      <c r="H17" s="292"/>
      <c r="I17" s="320"/>
      <c r="J17" s="320"/>
      <c r="K17" s="320"/>
      <c r="L17" s="320"/>
      <c r="M17" s="292"/>
      <c r="N17" s="278"/>
      <c r="Q17" s="280" t="s">
        <v>486</v>
      </c>
    </row>
    <row r="18" spans="1:17" x14ac:dyDescent="0.25">
      <c r="A18" s="278"/>
      <c r="B18" s="292"/>
      <c r="C18" s="325">
        <v>20</v>
      </c>
      <c r="D18" s="301"/>
      <c r="E18" s="326"/>
      <c r="F18" s="314"/>
      <c r="G18" s="315" t="s">
        <v>487</v>
      </c>
      <c r="H18" s="292"/>
      <c r="I18" s="320"/>
      <c r="J18" s="320"/>
      <c r="K18" s="320"/>
      <c r="L18" s="320"/>
      <c r="M18" s="292"/>
      <c r="N18" s="278"/>
      <c r="P18" s="280" t="s">
        <v>488</v>
      </c>
      <c r="Q18" s="280" t="s">
        <v>489</v>
      </c>
    </row>
    <row r="19" spans="1:17" x14ac:dyDescent="0.25">
      <c r="A19" s="278"/>
      <c r="B19" s="292"/>
      <c r="C19" s="327">
        <v>10</v>
      </c>
      <c r="D19" s="301"/>
      <c r="E19" s="317"/>
      <c r="F19" s="314"/>
      <c r="G19" s="315" t="s">
        <v>490</v>
      </c>
      <c r="H19" s="292"/>
      <c r="I19" s="320"/>
      <c r="J19" s="320"/>
      <c r="K19" s="320"/>
      <c r="L19" s="320"/>
      <c r="M19" s="292"/>
      <c r="N19" s="278"/>
      <c r="Q19" s="280" t="s">
        <v>491</v>
      </c>
    </row>
    <row r="20" spans="1:17" x14ac:dyDescent="0.25">
      <c r="A20" s="278"/>
      <c r="B20" s="292"/>
      <c r="C20" s="318"/>
      <c r="D20" s="301"/>
      <c r="E20" s="319"/>
      <c r="F20" s="314"/>
      <c r="G20" s="320"/>
      <c r="H20" s="320"/>
      <c r="I20" s="320"/>
      <c r="J20" s="320"/>
      <c r="K20" s="320"/>
      <c r="L20" s="320"/>
      <c r="M20" s="292"/>
      <c r="N20" s="278"/>
    </row>
    <row r="21" spans="1:17" x14ac:dyDescent="0.25">
      <c r="A21" s="278"/>
      <c r="B21" s="292"/>
      <c r="C21" s="318"/>
      <c r="D21" s="301"/>
      <c r="E21" s="319"/>
      <c r="F21" s="314"/>
      <c r="G21" s="320"/>
      <c r="H21" s="320"/>
      <c r="I21" s="320"/>
      <c r="J21" s="320"/>
      <c r="K21" s="320"/>
      <c r="L21" s="320"/>
      <c r="M21" s="292"/>
      <c r="N21" s="278"/>
    </row>
    <row r="22" spans="1:17" ht="15.75" thickBot="1" x14ac:dyDescent="0.3">
      <c r="A22" s="278"/>
      <c r="B22" s="292"/>
      <c r="C22" s="318"/>
      <c r="D22" s="301"/>
      <c r="E22" s="319"/>
      <c r="F22" s="314"/>
      <c r="G22" s="320"/>
      <c r="H22" s="320"/>
      <c r="I22" s="320"/>
      <c r="J22" s="320"/>
      <c r="K22" s="320"/>
      <c r="L22" s="320"/>
      <c r="M22" s="292"/>
      <c r="N22" s="278"/>
    </row>
    <row r="23" spans="1:17" ht="16.5" thickBot="1" x14ac:dyDescent="0.3">
      <c r="A23" s="304"/>
      <c r="B23" s="305"/>
      <c r="C23" s="306">
        <f>SUM(C16,C11)</f>
        <v>100</v>
      </c>
      <c r="D23" s="321"/>
      <c r="E23" s="328">
        <f>SUM(C11*E11,C16*E16)/C23/100</f>
        <v>0</v>
      </c>
      <c r="F23" s="329"/>
      <c r="G23" s="330" t="s">
        <v>492</v>
      </c>
      <c r="H23" s="330"/>
      <c r="I23" s="330"/>
      <c r="J23" s="322"/>
      <c r="K23" s="322"/>
      <c r="L23" s="322"/>
      <c r="M23" s="305"/>
      <c r="N23" s="304"/>
    </row>
    <row r="24" spans="1:17" ht="17.25" thickTop="1" thickBot="1" x14ac:dyDescent="0.3">
      <c r="A24" s="304"/>
      <c r="B24" s="305"/>
      <c r="C24" s="305"/>
      <c r="D24" s="305"/>
      <c r="E24" s="331"/>
      <c r="F24" s="332"/>
      <c r="H24" s="310"/>
      <c r="I24" s="310"/>
      <c r="J24" s="322"/>
      <c r="K24" s="322"/>
      <c r="L24" s="322"/>
      <c r="M24" s="305"/>
      <c r="N24" s="304"/>
    </row>
    <row r="25" spans="1:17" ht="17.25" thickTop="1" thickBot="1" x14ac:dyDescent="0.3">
      <c r="A25" s="304"/>
      <c r="B25" s="305"/>
      <c r="C25" s="333">
        <v>100</v>
      </c>
      <c r="D25" s="305"/>
      <c r="E25" s="334">
        <f>SUM(E11,E16)</f>
        <v>0</v>
      </c>
      <c r="F25" s="335"/>
      <c r="G25" s="310" t="s">
        <v>493</v>
      </c>
      <c r="H25" s="310"/>
      <c r="I25" s="310"/>
      <c r="J25" s="322"/>
      <c r="K25" s="322"/>
      <c r="L25" s="322"/>
      <c r="M25" s="305"/>
      <c r="N25" s="304"/>
    </row>
    <row r="26" spans="1:17" ht="15.75" x14ac:dyDescent="0.25">
      <c r="A26" s="304"/>
      <c r="B26" s="305"/>
      <c r="C26" s="336"/>
      <c r="D26" s="305"/>
      <c r="E26" s="337"/>
      <c r="F26" s="338"/>
      <c r="G26" s="330"/>
      <c r="H26" s="330"/>
      <c r="I26" s="330"/>
      <c r="J26" s="322"/>
      <c r="K26" s="322"/>
      <c r="L26" s="322"/>
      <c r="M26" s="305"/>
      <c r="N26" s="304"/>
    </row>
    <row r="27" spans="1:17" ht="15.75" x14ac:dyDescent="0.25">
      <c r="A27" s="304"/>
      <c r="B27" s="305"/>
      <c r="C27" s="339" t="s">
        <v>494</v>
      </c>
      <c r="D27" s="340"/>
      <c r="E27" s="1529"/>
      <c r="F27" s="1530"/>
      <c r="G27" s="1530"/>
      <c r="H27" s="1530"/>
      <c r="I27" s="1531"/>
      <c r="J27" s="1538" t="s">
        <v>269</v>
      </c>
      <c r="K27" s="1538"/>
      <c r="L27" s="1538"/>
      <c r="M27" s="305"/>
      <c r="N27" s="304"/>
    </row>
    <row r="28" spans="1:17" ht="15.75" x14ac:dyDescent="0.25">
      <c r="A28" s="304"/>
      <c r="B28" s="305"/>
      <c r="C28" s="341"/>
      <c r="D28" s="340"/>
      <c r="E28" s="1532"/>
      <c r="F28" s="1533"/>
      <c r="G28" s="1533"/>
      <c r="H28" s="1533"/>
      <c r="I28" s="1534"/>
      <c r="J28" s="1539"/>
      <c r="K28" s="1539"/>
      <c r="L28" s="1540"/>
      <c r="M28" s="305"/>
      <c r="N28" s="304"/>
    </row>
    <row r="29" spans="1:17" ht="15.75" x14ac:dyDescent="0.25">
      <c r="A29" s="304"/>
      <c r="B29" s="305"/>
      <c r="C29" s="341"/>
      <c r="D29" s="340"/>
      <c r="E29" s="1532"/>
      <c r="F29" s="1533"/>
      <c r="G29" s="1533"/>
      <c r="H29" s="1533"/>
      <c r="I29" s="1534"/>
      <c r="J29" s="1541"/>
      <c r="K29" s="1541"/>
      <c r="L29" s="1542"/>
      <c r="M29" s="305"/>
      <c r="N29" s="304"/>
    </row>
    <row r="30" spans="1:17" ht="15.75" x14ac:dyDescent="0.25">
      <c r="A30" s="304"/>
      <c r="B30" s="305"/>
      <c r="C30" s="341"/>
      <c r="D30" s="340"/>
      <c r="E30" s="1532"/>
      <c r="F30" s="1533"/>
      <c r="G30" s="1533"/>
      <c r="H30" s="1533"/>
      <c r="I30" s="1534"/>
      <c r="J30" s="342"/>
      <c r="K30" s="342"/>
      <c r="L30" s="342"/>
      <c r="M30" s="305"/>
      <c r="N30" s="304"/>
    </row>
    <row r="31" spans="1:17" ht="15.75" x14ac:dyDescent="0.25">
      <c r="A31" s="304"/>
      <c r="B31" s="305"/>
      <c r="C31" s="341"/>
      <c r="D31" s="340"/>
      <c r="E31" s="1532"/>
      <c r="F31" s="1533"/>
      <c r="G31" s="1533"/>
      <c r="H31" s="1533"/>
      <c r="I31" s="1534"/>
      <c r="J31" s="342"/>
      <c r="K31" s="342"/>
      <c r="L31" s="342"/>
      <c r="M31" s="305"/>
      <c r="N31" s="304"/>
    </row>
    <row r="32" spans="1:17" ht="15.75" x14ac:dyDescent="0.25">
      <c r="A32" s="304"/>
      <c r="B32" s="305"/>
      <c r="C32" s="103"/>
      <c r="D32" s="103"/>
      <c r="E32" s="1532"/>
      <c r="F32" s="1533"/>
      <c r="G32" s="1533"/>
      <c r="H32" s="1533"/>
      <c r="I32" s="1534"/>
      <c r="J32" s="103"/>
      <c r="K32" s="103"/>
      <c r="L32" s="103"/>
      <c r="M32" s="305"/>
      <c r="N32" s="304"/>
    </row>
    <row r="33" spans="1:14" ht="15.75" x14ac:dyDescent="0.25">
      <c r="A33" s="304"/>
      <c r="B33" s="305"/>
      <c r="C33" s="103"/>
      <c r="D33" s="103"/>
      <c r="E33" s="1532"/>
      <c r="F33" s="1533"/>
      <c r="G33" s="1533"/>
      <c r="H33" s="1533"/>
      <c r="I33" s="1534"/>
      <c r="J33" s="103"/>
      <c r="K33" s="103"/>
      <c r="L33" s="103"/>
      <c r="M33" s="305"/>
      <c r="N33" s="304"/>
    </row>
    <row r="34" spans="1:14" ht="15.75" x14ac:dyDescent="0.25">
      <c r="A34" s="304"/>
      <c r="B34" s="305"/>
      <c r="C34" s="103"/>
      <c r="D34" s="103"/>
      <c r="E34" s="1532"/>
      <c r="F34" s="1533"/>
      <c r="G34" s="1533"/>
      <c r="H34" s="1533"/>
      <c r="I34" s="1534"/>
      <c r="J34" s="103"/>
      <c r="K34" s="103"/>
      <c r="L34" s="103"/>
      <c r="M34" s="305"/>
      <c r="N34" s="304"/>
    </row>
    <row r="35" spans="1:14" ht="15.75" x14ac:dyDescent="0.25">
      <c r="A35" s="304"/>
      <c r="B35" s="305"/>
      <c r="C35" s="103"/>
      <c r="D35" s="103"/>
      <c r="E35" s="1535"/>
      <c r="F35" s="1536"/>
      <c r="G35" s="1536"/>
      <c r="H35" s="1536"/>
      <c r="I35" s="1537"/>
      <c r="J35" s="103"/>
      <c r="K35" s="103"/>
      <c r="L35" s="103"/>
      <c r="M35" s="305"/>
      <c r="N35" s="304"/>
    </row>
    <row r="36" spans="1:14" ht="15.75" x14ac:dyDescent="0.25">
      <c r="A36" s="278"/>
      <c r="B36" s="343" t="s">
        <v>495</v>
      </c>
      <c r="C36" s="292"/>
      <c r="D36" s="292"/>
      <c r="E36" s="292"/>
      <c r="F36" s="344"/>
      <c r="G36" s="292"/>
      <c r="H36" s="292"/>
      <c r="I36" s="292"/>
      <c r="J36" s="292"/>
      <c r="K36" s="292"/>
      <c r="L36" s="292"/>
      <c r="M36" s="292"/>
      <c r="N36" s="278"/>
    </row>
    <row r="37" spans="1:14" x14ac:dyDescent="0.25">
      <c r="A37" s="278"/>
      <c r="B37" s="278"/>
      <c r="C37" s="278"/>
      <c r="D37" s="278"/>
      <c r="E37" s="278"/>
      <c r="F37" s="279"/>
      <c r="G37" s="278"/>
      <c r="H37" s="278"/>
      <c r="I37" s="278"/>
      <c r="J37" s="278"/>
      <c r="K37" s="278"/>
      <c r="L37" s="278"/>
      <c r="M37" s="278"/>
      <c r="N37" s="278"/>
    </row>
  </sheetData>
  <mergeCells count="10">
    <mergeCell ref="C4:D4"/>
    <mergeCell ref="E4:H4"/>
    <mergeCell ref="K4:L4"/>
    <mergeCell ref="G6:I6"/>
    <mergeCell ref="J11:L11"/>
    <mergeCell ref="J12:L12"/>
    <mergeCell ref="E27:I35"/>
    <mergeCell ref="J27:L27"/>
    <mergeCell ref="J28:L29"/>
    <mergeCell ref="P3:U4"/>
  </mergeCells>
  <conditionalFormatting sqref="E4 K4 G6 E27">
    <cfRule type="containsBlanks" dxfId="248" priority="2">
      <formula>LEN(TRIM(E4))=0</formula>
    </cfRule>
  </conditionalFormatting>
  <conditionalFormatting sqref="J28">
    <cfRule type="containsBlanks" dxfId="247" priority="1">
      <formula>LEN(TRIM(J28))=0</formula>
    </cfRule>
  </conditionalFormatting>
  <hyperlinks>
    <hyperlink ref="P3:U4" location="AS!A1" display="AS Summary Page" xr:uid="{6D8DD167-D161-4647-BBCD-186F3620CB4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01" r:id="rId3" name="IP_Signature">
              <controlPr defaultSize="0" print="0" autoFill="0" autoPict="0" macro="[0]!IP_signature">
                <anchor moveWithCells="1" sizeWithCells="1">
                  <from>
                    <xdr:col>9</xdr:col>
                    <xdr:colOff>0</xdr:colOff>
                    <xdr:row>27</xdr:row>
                    <xdr:rowOff>0</xdr:rowOff>
                  </from>
                  <to>
                    <xdr:col>12</xdr:col>
                    <xdr:colOff>0</xdr:colOff>
                    <xdr:row>29</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04C91-2CFB-463A-ACB8-F36785401633}">
  <sheetPr codeName="Sheet41">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103" customWidth="1"/>
    <col min="2" max="2" width="3.5703125" style="103" customWidth="1"/>
    <col min="3" max="3" width="5.5703125" style="103" customWidth="1"/>
    <col min="4" max="4" width="9.140625" style="103" customWidth="1"/>
    <col min="5" max="5" width="14" style="103" customWidth="1"/>
    <col min="6" max="6" width="7.85546875" style="103" customWidth="1"/>
    <col min="7" max="11" width="5.140625" style="103" customWidth="1"/>
    <col min="12" max="12" width="21.5703125" style="103" customWidth="1"/>
    <col min="13" max="13" width="6.5703125" style="103" customWidth="1"/>
    <col min="14" max="14" width="12.5703125" style="103" customWidth="1"/>
    <col min="15" max="15" width="7.85546875" style="103" customWidth="1"/>
    <col min="16" max="16" width="2.7109375" style="103" customWidth="1"/>
    <col min="17" max="17" width="4.85546875" style="103" customWidth="1"/>
    <col min="18" max="18" width="7.28515625" style="103" customWidth="1"/>
    <col min="19" max="19" width="1.7109375" style="103" customWidth="1"/>
    <col min="20" max="20" width="19.140625" style="110" hidden="1" customWidth="1"/>
    <col min="21" max="21" width="31.140625" style="110" hidden="1" customWidth="1"/>
    <col min="22" max="22" width="5.140625" style="110" hidden="1" customWidth="1"/>
    <col min="23" max="24" width="6.28515625" style="110" hidden="1" customWidth="1"/>
    <col min="25" max="25" width="8.42578125" style="110" hidden="1" customWidth="1"/>
    <col min="26" max="26" width="7.85546875" style="110" hidden="1" customWidth="1"/>
    <col min="27" max="27" width="10.7109375" style="110" hidden="1" customWidth="1"/>
    <col min="28" max="28" width="8" style="110" hidden="1" customWidth="1"/>
    <col min="29" max="31" width="5.140625" style="110" hidden="1" customWidth="1"/>
    <col min="32" max="34" width="5.85546875" style="110" hidden="1" customWidth="1"/>
    <col min="35" max="35" width="8.5703125" style="111" hidden="1" customWidth="1"/>
    <col min="36" max="36" width="7" style="110" hidden="1" customWidth="1"/>
    <col min="37" max="38" width="5.28515625" style="110" hidden="1" customWidth="1"/>
    <col min="39" max="40" width="7" style="110" hidden="1" customWidth="1"/>
    <col min="41" max="41" width="5.140625" style="110" hidden="1" customWidth="1"/>
    <col min="42" max="42" width="11.28515625" style="110" hidden="1" customWidth="1"/>
    <col min="43" max="43" width="6.42578125" style="110" hidden="1" customWidth="1"/>
    <col min="44" max="44" width="8.28515625" style="110" hidden="1" customWidth="1"/>
    <col min="45" max="45" width="8.85546875" style="110" hidden="1" customWidth="1"/>
    <col min="46" max="46" width="10.7109375" style="110" hidden="1" customWidth="1"/>
    <col min="47" max="47" width="8.85546875" style="110" hidden="1" customWidth="1"/>
    <col min="48" max="48" width="6.28515625" style="110" hidden="1" customWidth="1"/>
    <col min="49" max="49" width="10" style="110" hidden="1" customWidth="1"/>
    <col min="50" max="50" width="7.5703125" style="110" hidden="1" customWidth="1"/>
    <col min="51" max="51" width="7" style="110" hidden="1" customWidth="1"/>
    <col min="52" max="52" width="8.140625" style="110" hidden="1" customWidth="1"/>
    <col min="53" max="53" width="12.5703125" style="110" hidden="1" customWidth="1"/>
    <col min="54" max="54" width="7.7109375" style="110" hidden="1" customWidth="1"/>
    <col min="55" max="55" width="12.7109375" style="110" hidden="1" customWidth="1"/>
    <col min="56" max="56" width="7" style="110" hidden="1" customWidth="1"/>
    <col min="57" max="57" width="15.5703125" style="110" hidden="1" customWidth="1"/>
    <col min="58" max="58" width="9.140625" style="110" hidden="1" customWidth="1"/>
    <col min="59" max="59" width="10" style="110" hidden="1" customWidth="1"/>
    <col min="60" max="60" width="5.28515625" style="110" hidden="1" customWidth="1"/>
    <col min="61" max="61" width="4" style="110" hidden="1" customWidth="1"/>
    <col min="62" max="62" width="4.7109375" style="110" hidden="1" customWidth="1"/>
    <col min="63" max="63" width="5.5703125" style="110" hidden="1" customWidth="1"/>
    <col min="64" max="64" width="5.28515625" style="110" hidden="1" customWidth="1"/>
    <col min="65" max="65" width="4" style="110" hidden="1" customWidth="1"/>
    <col min="66" max="66" width="5.5703125" style="110" hidden="1" customWidth="1"/>
    <col min="67" max="67" width="5.140625" style="106" customWidth="1"/>
    <col min="68" max="73" width="5.140625" style="103" customWidth="1"/>
    <col min="74" max="16384" width="9.140625" style="103"/>
  </cols>
  <sheetData>
    <row r="1" spans="2:73" s="107" customFormat="1" ht="12" hidden="1" x14ac:dyDescent="0.2">
      <c r="T1" s="108"/>
      <c r="U1" s="108"/>
      <c r="V1" s="108"/>
      <c r="W1" s="108"/>
      <c r="X1" s="108"/>
      <c r="Y1" s="108"/>
      <c r="Z1" s="108"/>
      <c r="AA1" s="108"/>
      <c r="AB1" s="108"/>
      <c r="AC1" s="108"/>
      <c r="AD1" s="108"/>
      <c r="AE1" s="108"/>
      <c r="AF1" s="108"/>
      <c r="AG1" s="108"/>
      <c r="AH1" s="108"/>
      <c r="AI1" s="109"/>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row>
    <row r="2" spans="2:73" ht="13.5" thickBot="1" x14ac:dyDescent="0.25"/>
    <row r="3" spans="2:73" ht="13.5" customHeight="1" thickTop="1" x14ac:dyDescent="0.2">
      <c r="B3" s="1421" t="s">
        <v>141</v>
      </c>
      <c r="C3" s="1422"/>
      <c r="D3" s="1422"/>
      <c r="E3" s="1422"/>
      <c r="F3" s="1422"/>
      <c r="G3" s="1423"/>
      <c r="H3" s="1424" t="s">
        <v>496</v>
      </c>
      <c r="I3" s="1425"/>
      <c r="J3" s="1425"/>
      <c r="K3" s="1425"/>
      <c r="L3" s="1425"/>
      <c r="M3" s="1425"/>
      <c r="N3" s="1426"/>
      <c r="O3" s="1427" t="s">
        <v>142</v>
      </c>
      <c r="P3" s="1428"/>
      <c r="Q3" s="1427" t="s">
        <v>143</v>
      </c>
      <c r="R3" s="1429"/>
      <c r="S3" s="112"/>
      <c r="T3" s="113"/>
      <c r="U3" s="113"/>
      <c r="V3" s="113"/>
      <c r="W3" s="113"/>
      <c r="X3" s="113"/>
      <c r="Y3" s="113"/>
      <c r="Z3" s="113"/>
      <c r="AA3" s="113"/>
      <c r="AB3" s="113"/>
      <c r="AC3" s="113"/>
      <c r="AD3" s="113"/>
      <c r="AE3" s="113"/>
      <c r="AF3" s="113"/>
      <c r="AG3" s="113"/>
      <c r="AH3" s="113"/>
      <c r="AI3" s="114"/>
      <c r="AJ3" s="113"/>
      <c r="AK3" s="113"/>
      <c r="AL3" s="113"/>
      <c r="AM3" s="113"/>
      <c r="AN3" s="113"/>
      <c r="AO3" s="113"/>
      <c r="AP3" s="113"/>
      <c r="AQ3" s="108"/>
      <c r="AR3" s="108"/>
      <c r="AW3" s="110" t="s">
        <v>144</v>
      </c>
      <c r="AX3" s="110" t="s">
        <v>145</v>
      </c>
      <c r="AY3" s="110" t="s">
        <v>146</v>
      </c>
      <c r="AZ3" s="110" t="s">
        <v>147</v>
      </c>
      <c r="BA3" s="110" t="s">
        <v>148</v>
      </c>
      <c r="BB3" s="110" t="s">
        <v>149</v>
      </c>
      <c r="BP3" s="1430" t="s">
        <v>318</v>
      </c>
      <c r="BQ3" s="1430"/>
      <c r="BR3" s="1430"/>
      <c r="BS3" s="1430"/>
      <c r="BT3" s="1430"/>
      <c r="BU3" s="1430"/>
    </row>
    <row r="4" spans="2:73" s="105" customFormat="1" ht="15.75" customHeight="1" x14ac:dyDescent="0.2">
      <c r="B4" s="1431" t="s">
        <v>293</v>
      </c>
      <c r="C4" s="1432"/>
      <c r="D4" s="1432"/>
      <c r="E4" s="1432"/>
      <c r="F4" s="1432"/>
      <c r="G4" s="1433"/>
      <c r="H4" s="1434" t="s">
        <v>316</v>
      </c>
      <c r="I4" s="1435"/>
      <c r="J4" s="1435"/>
      <c r="K4" s="1435"/>
      <c r="L4" s="1435"/>
      <c r="M4" s="1435"/>
      <c r="N4" s="1436"/>
      <c r="O4" s="1437"/>
      <c r="P4" s="1438"/>
      <c r="Q4" s="1439"/>
      <c r="R4" s="1440"/>
      <c r="S4" s="115"/>
      <c r="T4" s="116"/>
      <c r="U4" s="116"/>
      <c r="V4" s="116"/>
      <c r="W4" s="116"/>
      <c r="X4" s="116"/>
      <c r="Y4" s="116"/>
      <c r="Z4" s="116"/>
      <c r="AA4" s="116"/>
      <c r="AB4" s="116"/>
      <c r="AC4" s="116"/>
      <c r="AD4" s="116"/>
      <c r="AE4" s="116"/>
      <c r="AF4" s="116"/>
      <c r="AG4" s="116"/>
      <c r="AH4" s="116"/>
      <c r="AI4" s="117"/>
      <c r="AJ4" s="116"/>
      <c r="AK4" s="116"/>
      <c r="AL4" s="116"/>
      <c r="AM4" s="116"/>
      <c r="AN4" s="116"/>
      <c r="AO4" s="116"/>
      <c r="AP4" s="116"/>
      <c r="AQ4" s="118"/>
      <c r="AR4" s="118"/>
      <c r="AS4" s="119"/>
      <c r="AT4" s="120" t="s">
        <v>151</v>
      </c>
      <c r="AU4" s="121" t="b">
        <v>0</v>
      </c>
      <c r="AV4" s="119">
        <v>0</v>
      </c>
      <c r="AW4" s="119" t="b">
        <f>IF(ISERR(OR(AW8:AW39)),"UNK",IF(AND(graded_aca_events&gt;=1,input_test),FALSE,OR(AW8:AW39)))</f>
        <v>0</v>
      </c>
      <c r="AX4" s="119" t="b">
        <f>IF(ISERR(OR(AX8:AX39)),"UNK",IF(AND(graded_aca_events&gt;=1,input_test),FALSE,OR(AX8:AX39)))</f>
        <v>1</v>
      </c>
      <c r="AY4" s="119" t="b">
        <f>IF(ISERR(OR(AY8:AY39)),"UNK",OR(AY8:AY39))</f>
        <v>0</v>
      </c>
      <c r="AZ4" s="119" t="b">
        <f>IF(ISERR(OR(AZ8:AZ39)),"UNK",OR(AZ8:AZ39))</f>
        <v>0</v>
      </c>
      <c r="BA4" s="119" t="b">
        <f>IF(ISERR(OR(BA8:BA39)),"UNK",OR(BA8:BA39))</f>
        <v>0</v>
      </c>
      <c r="BB4" s="119" t="b">
        <f>IF(ISERR(OR(BB8:BB39)),"UNK",OR(BB8:BB39))</f>
        <v>0</v>
      </c>
      <c r="BC4" s="122" t="b">
        <f>OR(BC8:BC39)</f>
        <v>0</v>
      </c>
      <c r="BD4" s="122" t="b">
        <f>OR(BD8:BD39)</f>
        <v>0</v>
      </c>
      <c r="BE4" s="122" t="b">
        <f>OR(BE8:BE39)</f>
        <v>0</v>
      </c>
      <c r="BF4" s="122"/>
      <c r="BG4" s="119"/>
      <c r="BH4" s="1441" t="s">
        <v>152</v>
      </c>
      <c r="BI4" s="1441"/>
      <c r="BJ4" s="1441"/>
      <c r="BK4" s="1441"/>
      <c r="BL4" s="1393" t="s">
        <v>153</v>
      </c>
      <c r="BM4" s="1393"/>
      <c r="BN4" s="1393"/>
      <c r="BO4" s="106"/>
      <c r="BP4" s="1430"/>
      <c r="BQ4" s="1430"/>
      <c r="BR4" s="1430"/>
      <c r="BS4" s="1430"/>
      <c r="BT4" s="1430"/>
      <c r="BU4" s="1430"/>
    </row>
    <row r="5" spans="2:73" s="112" customFormat="1" ht="7.5" customHeight="1" x14ac:dyDescent="0.25">
      <c r="B5" s="1394" t="s">
        <v>154</v>
      </c>
      <c r="C5" s="1395"/>
      <c r="D5" s="1395"/>
      <c r="E5" s="1396"/>
      <c r="F5" s="1397" t="s">
        <v>155</v>
      </c>
      <c r="G5" s="1396"/>
      <c r="H5" s="1397" t="s">
        <v>156</v>
      </c>
      <c r="I5" s="1395"/>
      <c r="J5" s="1395"/>
      <c r="K5" s="1395"/>
      <c r="L5" s="1396"/>
      <c r="M5" s="1398" t="s">
        <v>157</v>
      </c>
      <c r="N5" s="1399"/>
      <c r="O5" s="1400" t="s">
        <v>158</v>
      </c>
      <c r="P5" s="1401"/>
      <c r="Q5" s="1397" t="str">
        <f>IF(AU41=0,"GRADE","GRADE (inc. bonus)")</f>
        <v>GRADE</v>
      </c>
      <c r="R5" s="1402"/>
      <c r="T5" s="113"/>
      <c r="U5" s="113"/>
      <c r="V5" s="113"/>
      <c r="W5" s="113"/>
      <c r="X5" s="113"/>
      <c r="Y5" s="113"/>
      <c r="Z5" s="113"/>
      <c r="AA5" s="113"/>
      <c r="AB5" s="113"/>
      <c r="AC5" s="113"/>
      <c r="AD5" s="113"/>
      <c r="AE5" s="113"/>
      <c r="AF5" s="113"/>
      <c r="AG5" s="113"/>
      <c r="AH5" s="113"/>
      <c r="AI5" s="114"/>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441"/>
      <c r="BI5" s="1441"/>
      <c r="BJ5" s="1441"/>
      <c r="BK5" s="1441"/>
      <c r="BL5" s="1393"/>
      <c r="BM5" s="1393"/>
      <c r="BN5" s="1393"/>
      <c r="BO5" s="123"/>
    </row>
    <row r="6" spans="2:73" s="105" customFormat="1" ht="15.75" customHeight="1" thickBot="1" x14ac:dyDescent="0.25">
      <c r="B6" s="1403"/>
      <c r="C6" s="1404"/>
      <c r="D6" s="1404"/>
      <c r="E6" s="1405"/>
      <c r="F6" s="1552" t="s">
        <v>270</v>
      </c>
      <c r="G6" s="1553"/>
      <c r="H6" s="1408"/>
      <c r="I6" s="1409"/>
      <c r="J6" s="1409"/>
      <c r="K6" s="1409"/>
      <c r="L6" s="1407"/>
      <c r="M6" s="1554"/>
      <c r="N6" s="1555"/>
      <c r="O6" s="1556"/>
      <c r="P6" s="1557"/>
      <c r="Q6" s="1414" t="str">
        <f>IF((graded_aca_events+graded_amn_events)&lt;1,"0",IF(ISERROR(AR46),"",IF(F41&lt;&gt;"COMPLETE","INCOMPLETE",AR46)))</f>
        <v>0</v>
      </c>
      <c r="R6" s="1415"/>
      <c r="S6" s="103"/>
      <c r="T6" s="119"/>
      <c r="U6" s="119">
        <v>2</v>
      </c>
      <c r="V6" s="119">
        <v>3</v>
      </c>
      <c r="W6" s="119">
        <v>6</v>
      </c>
      <c r="X6" s="119">
        <v>7</v>
      </c>
      <c r="Y6" s="119">
        <v>11</v>
      </c>
      <c r="Z6" s="119">
        <v>8</v>
      </c>
      <c r="AA6" s="119">
        <v>9</v>
      </c>
      <c r="AB6" s="119">
        <v>10</v>
      </c>
      <c r="AC6" s="119">
        <v>5</v>
      </c>
      <c r="AD6" s="119">
        <v>4</v>
      </c>
      <c r="AE6" s="119">
        <v>12</v>
      </c>
      <c r="AF6" s="119">
        <v>13</v>
      </c>
      <c r="AG6" s="119"/>
      <c r="AH6" s="119"/>
      <c r="AI6" s="124"/>
      <c r="AJ6" s="125"/>
      <c r="AK6" s="125"/>
      <c r="AL6" s="125"/>
      <c r="AM6" s="125" t="b">
        <f>IF(COUNT(AM8:AM39)&gt;0,TRUE,FALSE)</f>
        <v>0</v>
      </c>
      <c r="AN6" s="125" t="b">
        <f>IF(COUNT(AN8:AN39)&gt;0,TRUE,FALSE)</f>
        <v>0</v>
      </c>
      <c r="AO6" s="119"/>
      <c r="AP6" s="119"/>
      <c r="AQ6" s="118"/>
      <c r="AR6" s="118"/>
      <c r="AS6" s="119"/>
      <c r="AT6" s="85">
        <v>0.2</v>
      </c>
      <c r="AU6" s="119"/>
      <c r="AV6" s="126">
        <f>0.01*input_maxb</f>
        <v>0</v>
      </c>
      <c r="AW6" s="127" t="s">
        <v>159</v>
      </c>
      <c r="AX6" s="128"/>
      <c r="AY6" s="127" t="s">
        <v>160</v>
      </c>
      <c r="AZ6" s="128"/>
      <c r="BA6" s="129" t="s">
        <v>161</v>
      </c>
      <c r="BB6" s="129"/>
      <c r="BC6" s="127" t="s">
        <v>162</v>
      </c>
      <c r="BD6" s="129"/>
      <c r="BE6" s="130"/>
      <c r="BF6" s="131"/>
      <c r="BG6" s="119" t="s">
        <v>163</v>
      </c>
      <c r="BH6" s="1441"/>
      <c r="BI6" s="1441"/>
      <c r="BJ6" s="1441"/>
      <c r="BK6" s="1441"/>
      <c r="BL6" s="1393"/>
      <c r="BM6" s="1393"/>
      <c r="BN6" s="1393"/>
      <c r="BO6" s="106"/>
    </row>
    <row r="7" spans="2:73" ht="27" customHeight="1" thickBot="1" x14ac:dyDescent="0.25">
      <c r="B7" s="1416" t="s">
        <v>164</v>
      </c>
      <c r="C7" s="1417"/>
      <c r="D7" s="1417"/>
      <c r="E7" s="1417"/>
      <c r="F7" s="1418"/>
      <c r="G7" s="132" t="s">
        <v>165</v>
      </c>
      <c r="H7" s="133" t="s">
        <v>166</v>
      </c>
      <c r="I7" s="134" t="s">
        <v>167</v>
      </c>
      <c r="J7" s="135" t="s">
        <v>168</v>
      </c>
      <c r="K7" s="136" t="s">
        <v>169</v>
      </c>
      <c r="L7" s="1419" t="s">
        <v>170</v>
      </c>
      <c r="M7" s="1417"/>
      <c r="N7" s="1417"/>
      <c r="O7" s="1417"/>
      <c r="P7" s="1417"/>
      <c r="Q7" s="1417"/>
      <c r="R7" s="1420"/>
      <c r="T7" s="137" t="s">
        <v>171</v>
      </c>
      <c r="U7" s="137"/>
      <c r="V7" s="137" t="s">
        <v>172</v>
      </c>
      <c r="W7" s="137" t="s">
        <v>173</v>
      </c>
      <c r="X7" s="137" t="s">
        <v>174</v>
      </c>
      <c r="Y7" s="137" t="s">
        <v>175</v>
      </c>
      <c r="Z7" s="137" t="s">
        <v>176</v>
      </c>
      <c r="AA7" s="137" t="s">
        <v>177</v>
      </c>
      <c r="AB7" s="137" t="s">
        <v>178</v>
      </c>
      <c r="AC7" s="137" t="s">
        <v>179</v>
      </c>
      <c r="AD7" s="137" t="s">
        <v>180</v>
      </c>
      <c r="AE7" s="137" t="s">
        <v>181</v>
      </c>
      <c r="AF7" s="137" t="s">
        <v>182</v>
      </c>
      <c r="AG7" s="137" t="s">
        <v>183</v>
      </c>
      <c r="AH7" s="137" t="s">
        <v>184</v>
      </c>
      <c r="AI7" s="138" t="s">
        <v>185</v>
      </c>
      <c r="AJ7" s="139" t="s">
        <v>186</v>
      </c>
      <c r="AK7" s="140" t="s">
        <v>187</v>
      </c>
      <c r="AL7" s="140" t="s">
        <v>188</v>
      </c>
      <c r="AM7" s="140" t="s">
        <v>189</v>
      </c>
      <c r="AN7" s="140" t="s">
        <v>190</v>
      </c>
      <c r="AO7" s="139" t="s">
        <v>191</v>
      </c>
      <c r="AP7" s="139" t="s">
        <v>192</v>
      </c>
      <c r="AQ7" s="141" t="s">
        <v>193</v>
      </c>
      <c r="AR7" s="142" t="s">
        <v>1</v>
      </c>
      <c r="AS7" s="141" t="s">
        <v>194</v>
      </c>
      <c r="AT7" s="142" t="s">
        <v>1</v>
      </c>
      <c r="AU7" s="141" t="s">
        <v>195</v>
      </c>
      <c r="AV7" s="143" t="s">
        <v>196</v>
      </c>
      <c r="AW7" s="144" t="s">
        <v>197</v>
      </c>
      <c r="AX7" s="145" t="s">
        <v>198</v>
      </c>
      <c r="AY7" s="144" t="s">
        <v>199</v>
      </c>
      <c r="AZ7" s="145" t="s">
        <v>200</v>
      </c>
      <c r="BA7" s="146" t="s">
        <v>201</v>
      </c>
      <c r="BB7" s="146" t="s">
        <v>202</v>
      </c>
      <c r="BC7" s="147" t="s">
        <v>203</v>
      </c>
      <c r="BD7" s="148" t="s">
        <v>204</v>
      </c>
      <c r="BE7" s="149" t="s">
        <v>205</v>
      </c>
      <c r="BF7" s="150" t="s">
        <v>206</v>
      </c>
      <c r="BH7" s="110" t="s">
        <v>207</v>
      </c>
      <c r="BI7" s="110" t="s">
        <v>208</v>
      </c>
      <c r="BJ7" s="137" t="s">
        <v>209</v>
      </c>
      <c r="BK7" s="110" t="s">
        <v>210</v>
      </c>
      <c r="BL7" s="110" t="s">
        <v>207</v>
      </c>
      <c r="BM7" s="110" t="s">
        <v>208</v>
      </c>
      <c r="BN7" s="110" t="s">
        <v>210</v>
      </c>
    </row>
    <row r="8" spans="2:73" ht="12.95" customHeight="1" x14ac:dyDescent="0.2">
      <c r="B8" s="151" t="str">
        <f>IF(ISNA(Z8),"",IF(OR(Z8=1,Z8=2),"",1))</f>
        <v/>
      </c>
      <c r="C8" s="1391" t="str">
        <f t="shared" ref="C8:C36" si="0">IF(ISNA(Z8),"",CONCATENATE($U8,IF(ISNUMBER(AI8),TEXT(ROUND($AI8,3)," (0.0%)"),""),IF(AU8&gt;0," Bonus","")))</f>
        <v>Introduction (20.0%)</v>
      </c>
      <c r="D8" s="1391"/>
      <c r="E8" s="1391"/>
      <c r="F8" s="1392"/>
      <c r="G8" s="152" t="str">
        <f t="shared" ref="G8:G39" si="1">BH8</f>
        <v/>
      </c>
      <c r="H8" s="153" t="str">
        <f t="shared" ref="H8:I39" si="2">BJ8</f>
        <v/>
      </c>
      <c r="I8" s="154" t="str">
        <f t="shared" si="2"/>
        <v/>
      </c>
      <c r="J8" s="155"/>
      <c r="K8" s="156"/>
      <c r="L8" s="1072"/>
      <c r="M8" s="1073"/>
      <c r="N8" s="1073"/>
      <c r="O8" s="1073"/>
      <c r="P8" s="1073"/>
      <c r="Q8" s="1073"/>
      <c r="R8" s="1074"/>
      <c r="T8" s="110">
        <v>1</v>
      </c>
      <c r="U8" s="110" t="s">
        <v>286</v>
      </c>
      <c r="V8" s="206" t="s">
        <v>212</v>
      </c>
      <c r="W8" s="206" t="s">
        <v>212</v>
      </c>
      <c r="X8" s="206" t="s">
        <v>212</v>
      </c>
      <c r="Y8" s="206" t="s">
        <v>212</v>
      </c>
      <c r="Z8" s="206">
        <v>2</v>
      </c>
      <c r="AA8" s="206">
        <v>1</v>
      </c>
      <c r="AB8" s="206">
        <v>1</v>
      </c>
      <c r="AC8" s="206" t="s">
        <v>212</v>
      </c>
      <c r="AD8" s="206" t="s">
        <v>212</v>
      </c>
      <c r="AE8" s="206" t="s">
        <v>212</v>
      </c>
      <c r="AF8" s="206" t="s">
        <v>212</v>
      </c>
      <c r="AG8" s="206" t="str">
        <f t="shared" ref="AG8:AG39" si="3">IF(CrewSoloQual="Yes",$AC8,$AD8)</f>
        <v/>
      </c>
      <c r="AH8" s="206" t="str">
        <f t="shared" ref="AH8:AH39" si="4">IF(ISNUMBER(AC8),IF(CrewSoloQual="Yes",$AC8-1,$AD8-1),"")</f>
        <v/>
      </c>
      <c r="AI8" s="86">
        <f>IF(NOT(OR(Z8=1,Z8=2)),IF(AQ8&gt;0,$AR$44*AQ8/SUMIF($AQ$8:$AQ$39,"&gt;0"),IF(AU8&gt;0,$AV$44*AU8/SUMIF($AU$8:$AU$39,"&gt;0"),IF(AS8&gt;0,$AT$44*AS8/SUMIF($AS$8:$AS$39,"&gt;0"),""))),IF(SUMIF(AJ9:$AJ$39,"=" &amp; AJ8,AI9:$AI$39)=0,"",SUMIF(AJ9:$AJ$39,"=" &amp; AJ8,AI9:$AI$39)))</f>
        <v>0.2</v>
      </c>
      <c r="AJ8" s="87">
        <f>0</f>
        <v>0</v>
      </c>
      <c r="AK8" s="206" t="str">
        <f>BI8</f>
        <v/>
      </c>
      <c r="AL8" s="206" t="str">
        <f>IF(ISBLANK(K8),"",K8)</f>
        <v/>
      </c>
      <c r="AM8" s="206" t="str">
        <f>IF(ISNUMBER(AK8),IF(ISNUMBER(AL8),1,""),"")</f>
        <v/>
      </c>
      <c r="AN8" s="206" t="str">
        <f t="shared" ref="AN8:AN36" si="5">IF(ISNUMBER(AH8),IF(AND(AB8=0,ISNUMBER(AC8),ISNUMBER(AL8)),1,""),"")</f>
        <v/>
      </c>
      <c r="AO8" s="206" t="str">
        <f t="shared" ref="AO8:AO39" si="6">IF(AB8=0,IF(CrewSoloQual="No",BI8,BK8),"")</f>
        <v/>
      </c>
      <c r="AP8" s="206" t="str">
        <f t="shared" ref="AP8:AP39" si="7">IF(ISNA(Z8),"",IF(AND(ISNUMBER(B8),G8&gt;=1,H8&lt;&gt;"NG"),IF(K8&lt;BK8,TRUE,FALSE),IF(AND(G8&gt;=1,J8="NA"),TRUE,IF(AND(AM8=1,G8=0,AL8&lt;BI8),TRUE,""))))</f>
        <v/>
      </c>
      <c r="AQ8" s="157">
        <f>IF(ISNA(Z8),0,IF(OR(J8="NA",W8="",AB8=0),0,W8))</f>
        <v>0</v>
      </c>
      <c r="AR8" s="88" t="str">
        <f t="shared" ref="AR8:AR39" si="8">IF(ISNA(Z8),"",IF(AND(NOT(OR(Z8=1,Z8=2,AK8="NG",AB8=0)),IF(ISNUMBER(AL8),AL8&gt;=0,FALSE)),VLOOKUP((10*AD8+AC8),$AQ$50:$AV$58,2+AL8,FALSE),IF(AND(input_test=TRUE,ISNUMBER(AD8),V8&lt;&gt;0),VLOOKUP((10*AD8+AC8),$AQ$50:$AV$58,2,FALSE),"")))</f>
        <v/>
      </c>
      <c r="AS8" s="89">
        <f>IF(ISNA(Z8),0,IF(OR(J8="NA",X8="",AB8=1),0,X8))</f>
        <v>0</v>
      </c>
      <c r="AT8" s="88" t="str">
        <f t="shared" ref="AT8:AT39" si="9">IF(ISNA(Z8),"",IF(AND(NOT(OR(Z8=1,Z8=2,AK8="NG",AB8=1)),IF(ISNUMBER(AL8),AL8&gt;=0,FALSE)),VLOOKUP((10*AH8+AG8),$AQ$50:$AV$58,2+AL8,FALSE),IF(AND(input_test=TRUE,ISNUMBER(AD8),V8&lt;&gt;0),VLOOKUP((10*AH8+AG8),$AQ$50:$AV$58,2,FALSE),"")))</f>
        <v/>
      </c>
      <c r="AU8" s="158">
        <f t="shared" ref="AU8:AU39" si="10">IF(ISNA(Z8),0,IF(OR(J8="NA",Y8=""),0,Y8))</f>
        <v>0</v>
      </c>
      <c r="AV8" s="90" t="str">
        <f t="shared" ref="AV8:AV39" si="11">AR8</f>
        <v/>
      </c>
      <c r="AW8" s="158" t="b">
        <f t="shared" ref="AW8:AW39" si="12">IF(ISNA(Z8),FALSE,IF(OR(AB8=1,G8=0,Z8=1,Z8=2),FALSE,IF(OR(J8="NA",J8&gt;=G8),FALSE,TRUE)))</f>
        <v>0</v>
      </c>
      <c r="AX8" s="159" t="b">
        <f t="shared" ref="AX8:AX39" si="13">IF(ISNA(Z8),FALSE,IF(OR(AB8=0,G8=0,Z8=1,Z8=2,J8="NA"),FALSE,IF(AK8="NG",IF(NOT(ISBLANK(K8)),FALSE,TRUE),IF(J8&gt;=G8,FALSE,TRUE))))</f>
        <v>0</v>
      </c>
      <c r="AY8" s="158" t="b">
        <f t="shared" ref="AY8:AY39" si="14">IF(ISNA(Z8),FALSE,IF(OR(AB8=1,G8&lt;1,Z8=1,Z8=2,AE8=0,ISBLANK(K8)),FALSE,IF(OR(J8="NA",K8&gt;=BI8),FALSE,TRUE)))</f>
        <v>0</v>
      </c>
      <c r="AZ8" s="159" t="b">
        <f t="shared" ref="AZ8:AZ39" si="15">IF(ISNA(Z8),FALSE,IF(OR(AB8=0,G8=0,Z8=1,Z8=2,AE8=0,BI8="NG",K8="",ISBLANK(K8)),FALSE,IF(OR(J8="NA",K8&gt;=AK8),FALSE,TRUE)))</f>
        <v>0</v>
      </c>
      <c r="BA8" s="206" t="b">
        <f t="shared" ref="BA8:BA39" si="16">IF(ISNA(Z8),FALSE,IF(OR(AB8=1,G8&lt;1,Z8=1,Z8=2,AE8=0),FALSE,IF(J8="NA",TRUE,FALSE)))</f>
        <v>0</v>
      </c>
      <c r="BB8" s="206" t="b">
        <f t="shared" ref="BB8:BB39" si="17">IF(ISNA(Z8),FALSE,IF(OR(AB8=0,G8=0,Z8=1,Z8=2),FALSE,IF(J8="NA",TRUE,FALSE)))</f>
        <v>0</v>
      </c>
      <c r="BC8" s="158" t="b">
        <f t="shared" ref="BC8:BC39" si="18">IF(OR(ISNA($Z8),ISNUMBER($Z8),NOT(ISNUMBER($J8)),K8="D"),FALSE,IF(AND(NOT(ISNUMBER($K8)),J8&gt;0),TRUE,FALSE))</f>
        <v>0</v>
      </c>
      <c r="BD8" s="160" t="b">
        <f>IF(OR(ISNA($Z8),ISNUMBER($Z8),NOT(ISNUMBER(K8))),FALSE,OR(NOT(ISNUMBER(J8)),J8=0,AND(J8=0,K8&lt;&gt;0)))</f>
        <v>0</v>
      </c>
      <c r="BE8" s="159" t="b">
        <f t="shared" ref="BE8:BE21" si="19">IF(OR(ISNA($Z8),K8&lt;&gt;"D"),FALSE,IF(OR(AND(H8="NG",J8=0),AND(H8&lt;&gt;"NG",NOT(OR(J8="NA",J8=0)))),TRUE,FALSE))</f>
        <v>0</v>
      </c>
      <c r="BF8" s="161" t="b">
        <f t="shared" ref="BF8:BF30" si="20">IF(OR(ISNA($Z8),H8&lt;&gt;"NG"),FALSE,IF(AND(J8="NA",K8&lt;&gt;""),TRUE,FALSE))</f>
        <v>0</v>
      </c>
      <c r="BG8" s="206" t="b">
        <f t="shared" ref="BG8:BG21" si="21">IF(ISNA($Z8),"NA",IF(OR(AZ8,AY8,AX8,AW8,AP8,BA8,BB8),TRUE,FALSE))</f>
        <v>0</v>
      </c>
      <c r="BH8" s="162" t="str">
        <f>IF(ISNA($Z8),"",IF(OR($Z8=1,$Z8=2),"",$V8))</f>
        <v/>
      </c>
      <c r="BI8" s="206" t="str">
        <f t="shared" ref="BI8:BI39" si="22">IF(ISNA($Z8),"",IF(OR($Z8=1,$Z8=2,$G8=""),"",IF(AB8=0,AH8,$AD8)))</f>
        <v/>
      </c>
      <c r="BJ8" s="206" t="str">
        <f t="shared" ref="BJ8:BJ39" si="23">IF(ISNA(AE8),"",IF(OR(Z8=1,Z8=2),"",IF(OR(AE8=0,AD8="NG"),TEXT(BI8,"0"),CONCATENATE(TEXT(BI8,"0"),"*"))))</f>
        <v/>
      </c>
      <c r="BK8" s="206" t="str">
        <f t="shared" ref="BK8:BK39" si="24">IF(ISNA($Z8),"",IF(OR($Z8=1,$Z8=2,$G8=""),"",IF(AB8=0,AG8,$AC8)))</f>
        <v/>
      </c>
      <c r="BL8" s="162" t="str">
        <f>IF(ISBLANK(BH8),"",IF(BH8=0,"",BH8))</f>
        <v/>
      </c>
      <c r="BM8" s="206" t="str">
        <f t="shared" ref="BM8:BM39" si="25">IF($BH8=0,"",IF($BI8="NG","D",$BI8))</f>
        <v/>
      </c>
      <c r="BN8" s="206" t="str">
        <f t="shared" ref="BN8:BN39" si="26">IF(ISNA(U8),"",IF($BH8=0,"",IF($BI8="NG","D",BK8)))</f>
        <v/>
      </c>
      <c r="BO8" s="163" t="s">
        <v>213</v>
      </c>
      <c r="BP8" s="164"/>
    </row>
    <row r="9" spans="2:73" s="105" customFormat="1" ht="12.95" customHeight="1" x14ac:dyDescent="0.2">
      <c r="B9" s="165">
        <f>IF(ISNA(Z9),"",IF(OR(Z9=1,Z9=2),"    ",MAX($B$8:B8)+1))</f>
        <v>1</v>
      </c>
      <c r="C9" s="1375" t="str">
        <f t="shared" si="0"/>
        <v xml:space="preserve">      - Test Item Description (10.0%)</v>
      </c>
      <c r="D9" s="1375"/>
      <c r="E9" s="1375"/>
      <c r="F9" s="1376"/>
      <c r="G9" s="152">
        <f t="shared" si="1"/>
        <v>1</v>
      </c>
      <c r="H9" s="153" t="str">
        <f t="shared" si="2"/>
        <v>2</v>
      </c>
      <c r="I9" s="166">
        <f t="shared" si="2"/>
        <v>3</v>
      </c>
      <c r="J9" s="167"/>
      <c r="K9" s="168"/>
      <c r="L9" s="1075"/>
      <c r="M9" s="1076"/>
      <c r="N9" s="1076"/>
      <c r="O9" s="1076"/>
      <c r="P9" s="1076"/>
      <c r="Q9" s="1076"/>
      <c r="R9" s="1077"/>
      <c r="T9" s="119">
        <v>2</v>
      </c>
      <c r="U9" s="110" t="s">
        <v>294</v>
      </c>
      <c r="V9" s="206">
        <v>1</v>
      </c>
      <c r="W9" s="206">
        <v>1</v>
      </c>
      <c r="X9" s="206" t="s">
        <v>212</v>
      </c>
      <c r="Y9" s="206" t="s">
        <v>212</v>
      </c>
      <c r="Z9" s="160" t="s">
        <v>212</v>
      </c>
      <c r="AA9" s="160">
        <v>2</v>
      </c>
      <c r="AB9" s="160">
        <v>1</v>
      </c>
      <c r="AC9" s="206">
        <v>3</v>
      </c>
      <c r="AD9" s="206">
        <v>2</v>
      </c>
      <c r="AE9" s="206">
        <v>0</v>
      </c>
      <c r="AF9" s="206" t="b">
        <v>1</v>
      </c>
      <c r="AG9" s="206">
        <f t="shared" si="3"/>
        <v>2</v>
      </c>
      <c r="AH9" s="206">
        <f t="shared" si="4"/>
        <v>1</v>
      </c>
      <c r="AI9" s="86">
        <f>IF(NOT(OR(Z9=1,Z9=2)),IF(AQ9&gt;0,$AR$44*AQ9/SUMIF($AQ$8:$AQ$39,"&gt;0"),IF(AU9&gt;0,$AV$44*AU9/SUMIF($AU$8:$AU$39,"&gt;0"),IF(AS9&gt;0,$AT$44*AS9/SUMIF($AS$8:$AS$39,"&gt;0"),""))),IF(SUMIF(AJ10:$AJ$39,"=" &amp; AJ9,AI10:$AI$39)=0,"",SUMIF(AJ10:$AJ$39,"=" &amp; AJ9,AI10:$AI$39)))</f>
        <v>0.1</v>
      </c>
      <c r="AJ9" s="87">
        <f>IF(OR(Z9=1,Z9=2,AA9&lt;AA8),AJ8+1,AJ8)</f>
        <v>0</v>
      </c>
      <c r="AK9" s="206">
        <f t="shared" ref="AK9:AK39" si="27">BI9</f>
        <v>2</v>
      </c>
      <c r="AL9" s="160" t="str">
        <f t="shared" ref="AL9:AL39" si="28">IF(ISBLANK(K9),"",K9)</f>
        <v/>
      </c>
      <c r="AM9" s="160" t="str">
        <f>IF(ISNUMBER(AK9),IF(ISNUMBER(AL9),1,""),"")</f>
        <v/>
      </c>
      <c r="AN9" s="160" t="str">
        <f t="shared" si="5"/>
        <v/>
      </c>
      <c r="AO9" s="160" t="str">
        <f t="shared" si="6"/>
        <v/>
      </c>
      <c r="AP9" s="206" t="b">
        <f>IF(ISNA(Z9),"",IF(AND(ISNUMBER(B9),G9&gt;=1,H9&lt;&gt;"NG"),IF(K9&lt;BK9,TRUE,FALSE),IF(AND(G9&gt;=1,J9="NA"),TRUE,IF(AND(AM9=1,G9=0,AL9&lt;BI9),TRUE,""))))</f>
        <v>1</v>
      </c>
      <c r="AQ9" s="157">
        <f t="shared" ref="AQ9:AQ39" si="29">IF(ISNA(Z9),0,IF(OR(J9="NA",W9="",AB9=0),0,W9))</f>
        <v>1</v>
      </c>
      <c r="AR9" s="88" t="str">
        <f>IF(ISNA(Z9),"",IF(AND(NOT(OR(Z9=1,Z9=2,AK9="NG",AB9=0)),IF(ISNUMBER(AL9),AL9&gt;=0,FALSE)),VLOOKUP((10*AD9+AC9),$AQ$50:$AV$58,2+AL9,FALSE),IF(AND(input_test=TRUE,ISNUMBER(AD9),V9&lt;&gt;0),VLOOKUP((10*AD9+AC9),$AQ$50:$AV$58,2,FALSE),"")))</f>
        <v/>
      </c>
      <c r="AS9" s="89">
        <f t="shared" ref="AS9:AS39" si="30">IF(ISNA(Z9),0,IF(OR(J9="NA",X9="",AB9=1),0,X9))</f>
        <v>0</v>
      </c>
      <c r="AT9" s="88" t="str">
        <f>IF(ISNA(Z9),"",IF(AND(NOT(OR(Z9=1,Z9=2,AK9="NG",AB9=1)),IF(ISNUMBER(AL9),AL9&gt;=0,FALSE)),VLOOKUP((10*AH9+AG9),$AQ$50:$AV$58,2+AL9,FALSE),IF(AND(input_test=TRUE,ISNUMBER(AD9),V9&lt;&gt;0),VLOOKUP((10*AH9+AG9),$AQ$50:$AV$58,2,FALSE),"")))</f>
        <v/>
      </c>
      <c r="AU9" s="158">
        <f t="shared" si="10"/>
        <v>0</v>
      </c>
      <c r="AV9" s="90" t="str">
        <f t="shared" si="11"/>
        <v/>
      </c>
      <c r="AW9" s="158" t="b">
        <f t="shared" si="12"/>
        <v>0</v>
      </c>
      <c r="AX9" s="159" t="b">
        <f t="shared" si="13"/>
        <v>1</v>
      </c>
      <c r="AY9" s="158" t="b">
        <f t="shared" si="14"/>
        <v>0</v>
      </c>
      <c r="AZ9" s="159" t="b">
        <f t="shared" si="15"/>
        <v>0</v>
      </c>
      <c r="BA9" s="206" t="b">
        <f t="shared" si="16"/>
        <v>0</v>
      </c>
      <c r="BB9" s="206" t="b">
        <f t="shared" si="17"/>
        <v>0</v>
      </c>
      <c r="BC9" s="158" t="b">
        <f t="shared" si="18"/>
        <v>0</v>
      </c>
      <c r="BD9" s="160" t="b">
        <f t="shared" ref="BD9:BD39" si="31">IF(OR(ISNA($Z9),ISNUMBER($Z9),NOT(ISNUMBER(K9))),FALSE,OR(NOT(ISNUMBER(J9)),J9=0,AND(J9=0,K9&lt;&gt;0)))</f>
        <v>0</v>
      </c>
      <c r="BE9" s="159" t="b">
        <f t="shared" si="19"/>
        <v>0</v>
      </c>
      <c r="BF9" s="161" t="b">
        <f t="shared" si="20"/>
        <v>0</v>
      </c>
      <c r="BG9" s="206" t="b">
        <f t="shared" si="21"/>
        <v>1</v>
      </c>
      <c r="BH9" s="206">
        <f t="shared" ref="BH9:BH39" si="32">IF(ISNA($Z9),"",IF(OR($Z9=1,$Z9=2),"",$V9))</f>
        <v>1</v>
      </c>
      <c r="BI9" s="206">
        <f t="shared" si="22"/>
        <v>2</v>
      </c>
      <c r="BJ9" s="206" t="str">
        <f t="shared" si="23"/>
        <v>2</v>
      </c>
      <c r="BK9" s="206">
        <f t="shared" si="24"/>
        <v>3</v>
      </c>
      <c r="BL9" s="162">
        <f t="shared" ref="BL9:BL39" si="33">IF(ISBLANK(BH9),"",IF(BH9=0,"",BH9))</f>
        <v>1</v>
      </c>
      <c r="BM9" s="206">
        <f t="shared" si="25"/>
        <v>2</v>
      </c>
      <c r="BN9" s="206">
        <f t="shared" si="26"/>
        <v>3</v>
      </c>
      <c r="BO9" s="169" t="s">
        <v>214</v>
      </c>
      <c r="BP9" s="170" t="s">
        <v>139</v>
      </c>
    </row>
    <row r="10" spans="2:73" s="105" customFormat="1" ht="12.95" customHeight="1" x14ac:dyDescent="0.2">
      <c r="B10" s="165">
        <f>IF(ISNA(Z10),"",IF(OR(Z10=1,Z10=2),"    ",MAX($B$8:B9)+1))</f>
        <v>2</v>
      </c>
      <c r="C10" s="1375" t="str">
        <f t="shared" si="0"/>
        <v xml:space="preserve">      - Evaluation Scenario &amp; Reqs (10.0%)</v>
      </c>
      <c r="D10" s="1375"/>
      <c r="E10" s="1375"/>
      <c r="F10" s="1376"/>
      <c r="G10" s="152">
        <f t="shared" si="1"/>
        <v>1</v>
      </c>
      <c r="H10" s="153" t="str">
        <f t="shared" si="2"/>
        <v>2</v>
      </c>
      <c r="I10" s="166">
        <f t="shared" si="2"/>
        <v>3</v>
      </c>
      <c r="J10" s="171"/>
      <c r="K10" s="168"/>
      <c r="L10" s="1075"/>
      <c r="M10" s="1076"/>
      <c r="N10" s="1076"/>
      <c r="O10" s="1076"/>
      <c r="P10" s="1076"/>
      <c r="Q10" s="1076"/>
      <c r="R10" s="1077"/>
      <c r="T10" s="119">
        <v>3</v>
      </c>
      <c r="U10" s="110" t="s">
        <v>304</v>
      </c>
      <c r="V10" s="206">
        <v>1</v>
      </c>
      <c r="W10" s="206">
        <v>1</v>
      </c>
      <c r="X10" s="206" t="s">
        <v>212</v>
      </c>
      <c r="Y10" s="206" t="s">
        <v>212</v>
      </c>
      <c r="Z10" s="160" t="s">
        <v>212</v>
      </c>
      <c r="AA10" s="160">
        <v>2</v>
      </c>
      <c r="AB10" s="160">
        <v>1</v>
      </c>
      <c r="AC10" s="206">
        <v>3</v>
      </c>
      <c r="AD10" s="206">
        <v>2</v>
      </c>
      <c r="AE10" s="206">
        <v>0</v>
      </c>
      <c r="AF10" s="206" t="b">
        <v>1</v>
      </c>
      <c r="AG10" s="206">
        <f t="shared" si="3"/>
        <v>2</v>
      </c>
      <c r="AH10" s="206">
        <f t="shared" si="4"/>
        <v>1</v>
      </c>
      <c r="AI10" s="86">
        <f>IF(NOT(OR(Z10=1,Z10=2)),IF(AQ10&gt;0,$AR$44*AQ10/SUMIF($AQ$8:$AQ$39,"&gt;0"),IF(AU10&gt;0,$AV$44*AU10/SUMIF($AU$8:$AU$39,"&gt;0"),IF(AS10&gt;0,$AT$44*AS10/SUMIF($AS$8:$AS$39,"&gt;0"),""))),IF(SUMIF(AJ11:$AJ$39,"=" &amp; AJ10,AI11:$AI$39)=0,"",SUMIF(AJ11:$AJ$39,"=" &amp; AJ10,AI11:$AI$39)))</f>
        <v>0.1</v>
      </c>
      <c r="AJ10" s="87">
        <f t="shared" ref="AJ10:AJ39" si="34">IF(OR(Z10=1,Z10=2,AA10&lt;AA9),AJ9+1,AJ9)</f>
        <v>0</v>
      </c>
      <c r="AK10" s="206">
        <f t="shared" si="27"/>
        <v>2</v>
      </c>
      <c r="AL10" s="160" t="str">
        <f t="shared" si="28"/>
        <v/>
      </c>
      <c r="AM10" s="160" t="str">
        <f t="shared" ref="AM10:AM39" si="35">IF(ISNUMBER(AK10),IF(ISNUMBER(AL10),1,""),"")</f>
        <v/>
      </c>
      <c r="AN10" s="160" t="str">
        <f t="shared" si="5"/>
        <v/>
      </c>
      <c r="AO10" s="160" t="str">
        <f t="shared" si="6"/>
        <v/>
      </c>
      <c r="AP10" s="206" t="b">
        <f t="shared" si="7"/>
        <v>1</v>
      </c>
      <c r="AQ10" s="157">
        <f t="shared" si="29"/>
        <v>1</v>
      </c>
      <c r="AR10" s="88" t="str">
        <f t="shared" si="8"/>
        <v/>
      </c>
      <c r="AS10" s="89">
        <f t="shared" si="30"/>
        <v>0</v>
      </c>
      <c r="AT10" s="88" t="str">
        <f t="shared" si="9"/>
        <v/>
      </c>
      <c r="AU10" s="158">
        <f t="shared" si="10"/>
        <v>0</v>
      </c>
      <c r="AV10" s="90" t="str">
        <f t="shared" si="11"/>
        <v/>
      </c>
      <c r="AW10" s="158" t="b">
        <f t="shared" si="12"/>
        <v>0</v>
      </c>
      <c r="AX10" s="159" t="b">
        <f t="shared" si="13"/>
        <v>1</v>
      </c>
      <c r="AY10" s="158" t="b">
        <f t="shared" si="14"/>
        <v>0</v>
      </c>
      <c r="AZ10" s="159" t="b">
        <f t="shared" si="15"/>
        <v>0</v>
      </c>
      <c r="BA10" s="206" t="b">
        <f t="shared" si="16"/>
        <v>0</v>
      </c>
      <c r="BB10" s="206" t="b">
        <f t="shared" si="17"/>
        <v>0</v>
      </c>
      <c r="BC10" s="158" t="b">
        <f t="shared" si="18"/>
        <v>0</v>
      </c>
      <c r="BD10" s="160" t="b">
        <f t="shared" si="31"/>
        <v>0</v>
      </c>
      <c r="BE10" s="159" t="b">
        <f t="shared" si="19"/>
        <v>0</v>
      </c>
      <c r="BF10" s="161" t="b">
        <f t="shared" si="20"/>
        <v>0</v>
      </c>
      <c r="BG10" s="206" t="b">
        <f t="shared" si="21"/>
        <v>1</v>
      </c>
      <c r="BH10" s="206">
        <f t="shared" si="32"/>
        <v>1</v>
      </c>
      <c r="BI10" s="206">
        <f t="shared" si="22"/>
        <v>2</v>
      </c>
      <c r="BJ10" s="206" t="str">
        <f t="shared" si="23"/>
        <v>2</v>
      </c>
      <c r="BK10" s="206">
        <f t="shared" si="24"/>
        <v>3</v>
      </c>
      <c r="BL10" s="162">
        <f t="shared" si="33"/>
        <v>1</v>
      </c>
      <c r="BM10" s="206">
        <f t="shared" si="25"/>
        <v>2</v>
      </c>
      <c r="BN10" s="206">
        <f t="shared" si="26"/>
        <v>3</v>
      </c>
      <c r="BO10" s="169">
        <v>0</v>
      </c>
      <c r="BP10" s="170" t="s">
        <v>287</v>
      </c>
    </row>
    <row r="11" spans="2:73" s="105" customFormat="1" ht="12.95" customHeight="1" x14ac:dyDescent="0.2">
      <c r="B11" s="165" t="str">
        <f>IF(ISNA(Z11),"",IF(OR(Z11=1,Z11=2),"    ",MAX($B$8:B10)+1))</f>
        <v xml:space="preserve">    </v>
      </c>
      <c r="C11" s="1375" t="str">
        <f t="shared" si="0"/>
        <v>Test Planning (50.0%)</v>
      </c>
      <c r="D11" s="1375"/>
      <c r="E11" s="1375"/>
      <c r="F11" s="1376"/>
      <c r="G11" s="152" t="str">
        <f t="shared" si="1"/>
        <v/>
      </c>
      <c r="H11" s="153" t="str">
        <f t="shared" si="2"/>
        <v/>
      </c>
      <c r="I11" s="166" t="str">
        <f t="shared" si="2"/>
        <v/>
      </c>
      <c r="J11" s="172"/>
      <c r="K11" s="173"/>
      <c r="L11" s="1075"/>
      <c r="M11" s="1076"/>
      <c r="N11" s="1076"/>
      <c r="O11" s="1076"/>
      <c r="P11" s="1076"/>
      <c r="Q11" s="1076"/>
      <c r="R11" s="1077"/>
      <c r="T11" s="119">
        <v>4</v>
      </c>
      <c r="U11" s="110" t="s">
        <v>305</v>
      </c>
      <c r="V11" s="206" t="s">
        <v>212</v>
      </c>
      <c r="W11" s="206" t="s">
        <v>212</v>
      </c>
      <c r="X11" s="206" t="s">
        <v>212</v>
      </c>
      <c r="Y11" s="206" t="s">
        <v>212</v>
      </c>
      <c r="Z11" s="160">
        <v>2</v>
      </c>
      <c r="AA11" s="160">
        <v>1</v>
      </c>
      <c r="AB11" s="160">
        <v>1</v>
      </c>
      <c r="AC11" s="206" t="s">
        <v>212</v>
      </c>
      <c r="AD11" s="206" t="s">
        <v>212</v>
      </c>
      <c r="AE11" s="206" t="s">
        <v>212</v>
      </c>
      <c r="AF11" s="206" t="s">
        <v>212</v>
      </c>
      <c r="AG11" s="206" t="str">
        <f t="shared" si="3"/>
        <v/>
      </c>
      <c r="AH11" s="206" t="str">
        <f t="shared" si="4"/>
        <v/>
      </c>
      <c r="AI11" s="86">
        <f>IF(NOT(OR(Z11=1,Z11=2)),IF(AQ11&gt;0,$AR$44*AQ11/SUMIF($AQ$8:$AQ$39,"&gt;0"),IF(AU11&gt;0,$AV$44*AU11/SUMIF($AU$8:$AU$39,"&gt;0"),IF(AS11&gt;0,$AT$44*AS11/SUMIF($AS$8:$AS$39,"&gt;0"),""))),IF(SUMIF(AJ12:$AJ$39,"=" &amp; AJ11,AI12:$AI$39)=0,"",SUMIF(AJ12:$AJ$39,"=" &amp; AJ11,AI12:$AI$39)))</f>
        <v>0.5</v>
      </c>
      <c r="AJ11" s="87">
        <f t="shared" si="34"/>
        <v>1</v>
      </c>
      <c r="AK11" s="206" t="str">
        <f t="shared" si="27"/>
        <v/>
      </c>
      <c r="AL11" s="160" t="str">
        <f t="shared" si="28"/>
        <v/>
      </c>
      <c r="AM11" s="160" t="str">
        <f t="shared" si="35"/>
        <v/>
      </c>
      <c r="AN11" s="160" t="str">
        <f t="shared" si="5"/>
        <v/>
      </c>
      <c r="AO11" s="160" t="str">
        <f t="shared" si="6"/>
        <v/>
      </c>
      <c r="AP11" s="206" t="str">
        <f t="shared" si="7"/>
        <v/>
      </c>
      <c r="AQ11" s="157">
        <f t="shared" si="29"/>
        <v>0</v>
      </c>
      <c r="AR11" s="88" t="str">
        <f t="shared" si="8"/>
        <v/>
      </c>
      <c r="AS11" s="89">
        <f t="shared" si="30"/>
        <v>0</v>
      </c>
      <c r="AT11" s="88" t="str">
        <f t="shared" si="9"/>
        <v/>
      </c>
      <c r="AU11" s="158">
        <f t="shared" si="10"/>
        <v>0</v>
      </c>
      <c r="AV11" s="90" t="str">
        <f t="shared" si="11"/>
        <v/>
      </c>
      <c r="AW11" s="158" t="b">
        <f t="shared" si="12"/>
        <v>0</v>
      </c>
      <c r="AX11" s="159" t="b">
        <f t="shared" si="13"/>
        <v>0</v>
      </c>
      <c r="AY11" s="158" t="b">
        <f t="shared" si="14"/>
        <v>0</v>
      </c>
      <c r="AZ11" s="159" t="b">
        <f t="shared" si="15"/>
        <v>0</v>
      </c>
      <c r="BA11" s="206" t="b">
        <f t="shared" si="16"/>
        <v>0</v>
      </c>
      <c r="BB11" s="206" t="b">
        <f t="shared" si="17"/>
        <v>0</v>
      </c>
      <c r="BC11" s="158" t="b">
        <f t="shared" si="18"/>
        <v>0</v>
      </c>
      <c r="BD11" s="160" t="b">
        <f t="shared" si="31"/>
        <v>0</v>
      </c>
      <c r="BE11" s="159" t="b">
        <f t="shared" si="19"/>
        <v>0</v>
      </c>
      <c r="BF11" s="161" t="b">
        <f t="shared" si="20"/>
        <v>0</v>
      </c>
      <c r="BG11" s="206" t="b">
        <f t="shared" si="21"/>
        <v>0</v>
      </c>
      <c r="BH11" s="206" t="str">
        <f t="shared" si="32"/>
        <v/>
      </c>
      <c r="BI11" s="206" t="str">
        <f t="shared" si="22"/>
        <v/>
      </c>
      <c r="BJ11" s="206" t="str">
        <f t="shared" si="23"/>
        <v/>
      </c>
      <c r="BK11" s="206" t="str">
        <f t="shared" si="24"/>
        <v/>
      </c>
      <c r="BL11" s="162" t="str">
        <f t="shared" si="33"/>
        <v/>
      </c>
      <c r="BM11" s="206" t="str">
        <f t="shared" si="25"/>
        <v/>
      </c>
      <c r="BN11" s="206" t="str">
        <f t="shared" si="26"/>
        <v/>
      </c>
      <c r="BO11" s="169">
        <v>1</v>
      </c>
      <c r="BP11" s="170" t="s">
        <v>288</v>
      </c>
    </row>
    <row r="12" spans="2:73" s="105" customFormat="1" ht="12.95" customHeight="1" x14ac:dyDescent="0.2">
      <c r="B12" s="165">
        <f>IF(ISNA(Z12),"",IF(OR(Z12=1,Z12=2),"    ",MAX($B$8:B11)+1))</f>
        <v>3</v>
      </c>
      <c r="C12" s="1375" t="str">
        <f t="shared" si="0"/>
        <v xml:space="preserve">      - Specific Test Objectives (10.0%)</v>
      </c>
      <c r="D12" s="1375"/>
      <c r="E12" s="1375"/>
      <c r="F12" s="1376"/>
      <c r="G12" s="152">
        <f t="shared" si="1"/>
        <v>1</v>
      </c>
      <c r="H12" s="153" t="str">
        <f t="shared" si="2"/>
        <v>2*</v>
      </c>
      <c r="I12" s="166">
        <f t="shared" si="2"/>
        <v>3</v>
      </c>
      <c r="J12" s="171"/>
      <c r="K12" s="168"/>
      <c r="L12" s="1075"/>
      <c r="M12" s="1076"/>
      <c r="N12" s="1076"/>
      <c r="O12" s="1076"/>
      <c r="P12" s="1076"/>
      <c r="Q12" s="1076"/>
      <c r="R12" s="1077"/>
      <c r="T12" s="119">
        <v>5</v>
      </c>
      <c r="U12" s="110" t="s">
        <v>306</v>
      </c>
      <c r="V12" s="206">
        <v>1</v>
      </c>
      <c r="W12" s="206">
        <v>1</v>
      </c>
      <c r="X12" s="206" t="s">
        <v>212</v>
      </c>
      <c r="Y12" s="206" t="s">
        <v>212</v>
      </c>
      <c r="Z12" s="160" t="s">
        <v>212</v>
      </c>
      <c r="AA12" s="160">
        <v>2</v>
      </c>
      <c r="AB12" s="160">
        <v>1</v>
      </c>
      <c r="AC12" s="206">
        <v>3</v>
      </c>
      <c r="AD12" s="206">
        <v>2</v>
      </c>
      <c r="AE12" s="206">
        <v>1</v>
      </c>
      <c r="AF12" s="206" t="b">
        <v>1</v>
      </c>
      <c r="AG12" s="206">
        <f t="shared" si="3"/>
        <v>2</v>
      </c>
      <c r="AH12" s="206">
        <f t="shared" si="4"/>
        <v>1</v>
      </c>
      <c r="AI12" s="86">
        <f>IF(NOT(OR(Z12=1,Z12=2)),IF(AQ12&gt;0,$AR$44*AQ12/SUMIF($AQ$8:$AQ$39,"&gt;0"),IF(AU12&gt;0,$AV$44*AU12/SUMIF($AU$8:$AU$39,"&gt;0"),IF(AS12&gt;0,$AT$44*AS12/SUMIF($AS$8:$AS$39,"&gt;0"),""))),IF(SUMIF(AJ13:$AJ$39,"=" &amp; AJ12,AI13:$AI$39)=0,"",SUMIF(AJ13:$AJ$39,"=" &amp; AJ12,AI13:$AI$39)))</f>
        <v>0.1</v>
      </c>
      <c r="AJ12" s="87">
        <f t="shared" si="34"/>
        <v>1</v>
      </c>
      <c r="AK12" s="206">
        <f t="shared" si="27"/>
        <v>2</v>
      </c>
      <c r="AL12" s="160" t="str">
        <f t="shared" si="28"/>
        <v/>
      </c>
      <c r="AM12" s="160" t="str">
        <f t="shared" si="35"/>
        <v/>
      </c>
      <c r="AN12" s="160" t="str">
        <f t="shared" si="5"/>
        <v/>
      </c>
      <c r="AO12" s="160" t="str">
        <f t="shared" si="6"/>
        <v/>
      </c>
      <c r="AP12" s="206" t="b">
        <f t="shared" si="7"/>
        <v>1</v>
      </c>
      <c r="AQ12" s="157">
        <f t="shared" si="29"/>
        <v>1</v>
      </c>
      <c r="AR12" s="88" t="str">
        <f t="shared" si="8"/>
        <v/>
      </c>
      <c r="AS12" s="89">
        <f t="shared" si="30"/>
        <v>0</v>
      </c>
      <c r="AT12" s="88" t="str">
        <f t="shared" si="9"/>
        <v/>
      </c>
      <c r="AU12" s="158">
        <f t="shared" si="10"/>
        <v>0</v>
      </c>
      <c r="AV12" s="90" t="str">
        <f t="shared" si="11"/>
        <v/>
      </c>
      <c r="AW12" s="158" t="b">
        <f t="shared" si="12"/>
        <v>0</v>
      </c>
      <c r="AX12" s="159" t="b">
        <f t="shared" si="13"/>
        <v>1</v>
      </c>
      <c r="AY12" s="158" t="b">
        <f t="shared" si="14"/>
        <v>0</v>
      </c>
      <c r="AZ12" s="159" t="b">
        <f t="shared" si="15"/>
        <v>0</v>
      </c>
      <c r="BA12" s="206" t="b">
        <f t="shared" si="16"/>
        <v>0</v>
      </c>
      <c r="BB12" s="206" t="b">
        <f t="shared" si="17"/>
        <v>0</v>
      </c>
      <c r="BC12" s="158" t="b">
        <f t="shared" si="18"/>
        <v>0</v>
      </c>
      <c r="BD12" s="160" t="b">
        <f t="shared" si="31"/>
        <v>0</v>
      </c>
      <c r="BE12" s="159" t="b">
        <f t="shared" si="19"/>
        <v>0</v>
      </c>
      <c r="BF12" s="161" t="b">
        <f t="shared" si="20"/>
        <v>0</v>
      </c>
      <c r="BG12" s="206" t="b">
        <f t="shared" si="21"/>
        <v>1</v>
      </c>
      <c r="BH12" s="206">
        <f t="shared" si="32"/>
        <v>1</v>
      </c>
      <c r="BI12" s="206">
        <f t="shared" si="22"/>
        <v>2</v>
      </c>
      <c r="BJ12" s="206" t="str">
        <f t="shared" si="23"/>
        <v>2*</v>
      </c>
      <c r="BK12" s="206">
        <f t="shared" si="24"/>
        <v>3</v>
      </c>
      <c r="BL12" s="162">
        <f t="shared" si="33"/>
        <v>1</v>
      </c>
      <c r="BM12" s="206">
        <f t="shared" si="25"/>
        <v>2</v>
      </c>
      <c r="BN12" s="206">
        <f t="shared" si="26"/>
        <v>3</v>
      </c>
      <c r="BO12" s="169">
        <v>2</v>
      </c>
      <c r="BP12" s="170" t="s">
        <v>218</v>
      </c>
    </row>
    <row r="13" spans="2:73" s="105" customFormat="1" ht="12.95" customHeight="1" x14ac:dyDescent="0.2">
      <c r="B13" s="165">
        <f>IF(ISNA(Z13),"",IF(OR(Z13=1,Z13=2),"    ",MAX($B$8:B12)+1))</f>
        <v>4</v>
      </c>
      <c r="C13" s="1375" t="str">
        <f t="shared" si="0"/>
        <v xml:space="preserve">      - Evaluation Elements (10.0%)</v>
      </c>
      <c r="D13" s="1375"/>
      <c r="E13" s="1375"/>
      <c r="F13" s="1376"/>
      <c r="G13" s="152">
        <f t="shared" si="1"/>
        <v>1</v>
      </c>
      <c r="H13" s="153" t="str">
        <f t="shared" si="2"/>
        <v>2</v>
      </c>
      <c r="I13" s="166">
        <f t="shared" si="2"/>
        <v>3</v>
      </c>
      <c r="J13" s="171"/>
      <c r="K13" s="168"/>
      <c r="L13" s="1075"/>
      <c r="M13" s="1076"/>
      <c r="N13" s="1076"/>
      <c r="O13" s="1076"/>
      <c r="P13" s="1076"/>
      <c r="Q13" s="1076"/>
      <c r="R13" s="1077"/>
      <c r="T13" s="119">
        <v>6</v>
      </c>
      <c r="U13" s="110" t="s">
        <v>307</v>
      </c>
      <c r="V13" s="206">
        <v>1</v>
      </c>
      <c r="W13" s="206">
        <v>1</v>
      </c>
      <c r="X13" s="206" t="s">
        <v>212</v>
      </c>
      <c r="Y13" s="206" t="s">
        <v>212</v>
      </c>
      <c r="Z13" s="160" t="s">
        <v>212</v>
      </c>
      <c r="AA13" s="160">
        <v>2</v>
      </c>
      <c r="AB13" s="160">
        <v>1</v>
      </c>
      <c r="AC13" s="206">
        <v>3</v>
      </c>
      <c r="AD13" s="206">
        <v>2</v>
      </c>
      <c r="AE13" s="206">
        <v>0</v>
      </c>
      <c r="AF13" s="206" t="b">
        <v>1</v>
      </c>
      <c r="AG13" s="206">
        <f t="shared" si="3"/>
        <v>2</v>
      </c>
      <c r="AH13" s="206">
        <f t="shared" si="4"/>
        <v>1</v>
      </c>
      <c r="AI13" s="86">
        <f>IF(NOT(OR(Z13=1,Z13=2)),IF(AQ13&gt;0,$AR$44*AQ13/SUMIF($AQ$8:$AQ$39,"&gt;0"),IF(AU13&gt;0,$AV$44*AU13/SUMIF($AU$8:$AU$39,"&gt;0"),IF(AS13&gt;0,$AT$44*AS13/SUMIF($AS$8:$AS$39,"&gt;0"),""))),IF(SUMIF(AJ14:$AJ$39,"=" &amp; AJ13,AI14:$AI$39)=0,"",SUMIF(AJ14:$AJ$39,"=" &amp; AJ13,AI14:$AI$39)))</f>
        <v>0.1</v>
      </c>
      <c r="AJ13" s="87">
        <f t="shared" si="34"/>
        <v>1</v>
      </c>
      <c r="AK13" s="206">
        <f t="shared" si="27"/>
        <v>2</v>
      </c>
      <c r="AL13" s="160" t="str">
        <f t="shared" si="28"/>
        <v/>
      </c>
      <c r="AM13" s="160" t="str">
        <f t="shared" si="35"/>
        <v/>
      </c>
      <c r="AN13" s="160" t="str">
        <f t="shared" si="5"/>
        <v/>
      </c>
      <c r="AO13" s="160" t="str">
        <f t="shared" si="6"/>
        <v/>
      </c>
      <c r="AP13" s="206" t="b">
        <f t="shared" si="7"/>
        <v>1</v>
      </c>
      <c r="AQ13" s="157">
        <f t="shared" si="29"/>
        <v>1</v>
      </c>
      <c r="AR13" s="88" t="str">
        <f t="shared" si="8"/>
        <v/>
      </c>
      <c r="AS13" s="89">
        <f t="shared" si="30"/>
        <v>0</v>
      </c>
      <c r="AT13" s="88" t="str">
        <f t="shared" si="9"/>
        <v/>
      </c>
      <c r="AU13" s="158">
        <f t="shared" si="10"/>
        <v>0</v>
      </c>
      <c r="AV13" s="90" t="str">
        <f t="shared" si="11"/>
        <v/>
      </c>
      <c r="AW13" s="158" t="b">
        <f t="shared" si="12"/>
        <v>0</v>
      </c>
      <c r="AX13" s="159" t="b">
        <f t="shared" si="13"/>
        <v>1</v>
      </c>
      <c r="AY13" s="158" t="b">
        <f t="shared" si="14"/>
        <v>0</v>
      </c>
      <c r="AZ13" s="159" t="b">
        <f t="shared" si="15"/>
        <v>0</v>
      </c>
      <c r="BA13" s="206" t="b">
        <f t="shared" si="16"/>
        <v>0</v>
      </c>
      <c r="BB13" s="206" t="b">
        <f t="shared" si="17"/>
        <v>0</v>
      </c>
      <c r="BC13" s="158" t="b">
        <f t="shared" si="18"/>
        <v>0</v>
      </c>
      <c r="BD13" s="160" t="b">
        <f t="shared" si="31"/>
        <v>0</v>
      </c>
      <c r="BE13" s="159" t="b">
        <f t="shared" si="19"/>
        <v>0</v>
      </c>
      <c r="BF13" s="161" t="b">
        <f t="shared" si="20"/>
        <v>0</v>
      </c>
      <c r="BG13" s="206" t="b">
        <f t="shared" si="21"/>
        <v>1</v>
      </c>
      <c r="BH13" s="206">
        <f t="shared" si="32"/>
        <v>1</v>
      </c>
      <c r="BI13" s="206">
        <f t="shared" si="22"/>
        <v>2</v>
      </c>
      <c r="BJ13" s="206" t="str">
        <f t="shared" si="23"/>
        <v>2</v>
      </c>
      <c r="BK13" s="206">
        <f t="shared" si="24"/>
        <v>3</v>
      </c>
      <c r="BL13" s="162">
        <f t="shared" si="33"/>
        <v>1</v>
      </c>
      <c r="BM13" s="206">
        <f t="shared" si="25"/>
        <v>2</v>
      </c>
      <c r="BN13" s="206">
        <f t="shared" si="26"/>
        <v>3</v>
      </c>
      <c r="BO13" s="169">
        <v>3</v>
      </c>
      <c r="BP13" s="170" t="s">
        <v>220</v>
      </c>
    </row>
    <row r="14" spans="2:73" s="105" customFormat="1" ht="12.95" customHeight="1" x14ac:dyDescent="0.2">
      <c r="B14" s="165">
        <f>IF(ISNA(Z14),"",IF(OR(Z14=1,Z14=2),"    ",MAX($B$8:B13)+1))</f>
        <v>5</v>
      </c>
      <c r="C14" s="1375" t="str">
        <f t="shared" si="0"/>
        <v xml:space="preserve">      - Description (10.0%)</v>
      </c>
      <c r="D14" s="1375"/>
      <c r="E14" s="1375"/>
      <c r="F14" s="1376"/>
      <c r="G14" s="152">
        <f t="shared" si="1"/>
        <v>1</v>
      </c>
      <c r="H14" s="153" t="str">
        <f t="shared" si="2"/>
        <v>2</v>
      </c>
      <c r="I14" s="166">
        <f t="shared" si="2"/>
        <v>3</v>
      </c>
      <c r="J14" s="171"/>
      <c r="K14" s="168"/>
      <c r="L14" s="1075"/>
      <c r="M14" s="1076"/>
      <c r="N14" s="1076"/>
      <c r="O14" s="1076"/>
      <c r="P14" s="1076"/>
      <c r="Q14" s="1076"/>
      <c r="R14" s="1077"/>
      <c r="T14" s="119">
        <v>7</v>
      </c>
      <c r="U14" s="110" t="s">
        <v>308</v>
      </c>
      <c r="V14" s="206">
        <v>1</v>
      </c>
      <c r="W14" s="206">
        <v>1</v>
      </c>
      <c r="X14" s="206" t="s">
        <v>212</v>
      </c>
      <c r="Y14" s="206" t="s">
        <v>212</v>
      </c>
      <c r="Z14" s="160" t="s">
        <v>212</v>
      </c>
      <c r="AA14" s="160">
        <v>2</v>
      </c>
      <c r="AB14" s="160">
        <v>1</v>
      </c>
      <c r="AC14" s="206">
        <v>3</v>
      </c>
      <c r="AD14" s="206">
        <v>2</v>
      </c>
      <c r="AE14" s="206">
        <v>0</v>
      </c>
      <c r="AF14" s="206" t="b">
        <v>1</v>
      </c>
      <c r="AG14" s="206">
        <f t="shared" si="3"/>
        <v>2</v>
      </c>
      <c r="AH14" s="206">
        <f t="shared" si="4"/>
        <v>1</v>
      </c>
      <c r="AI14" s="86">
        <f>IF(NOT(OR(Z14=1,Z14=2)),IF(AQ14&gt;0,$AR$44*AQ14/SUMIF($AQ$8:$AQ$39,"&gt;0"),IF(AU14&gt;0,$AV$44*AU14/SUMIF($AU$8:$AU$39,"&gt;0"),IF(AS14&gt;0,$AT$44*AS14/SUMIF($AS$8:$AS$39,"&gt;0"),""))),IF(SUMIF(AJ15:$AJ$39,"=" &amp; AJ14,AI15:$AI$39)=0,"",SUMIF(AJ15:$AJ$39,"=" &amp; AJ14,AI15:$AI$39)))</f>
        <v>0.1</v>
      </c>
      <c r="AJ14" s="87">
        <f t="shared" si="34"/>
        <v>1</v>
      </c>
      <c r="AK14" s="206">
        <f t="shared" si="27"/>
        <v>2</v>
      </c>
      <c r="AL14" s="160" t="str">
        <f t="shared" si="28"/>
        <v/>
      </c>
      <c r="AM14" s="160" t="str">
        <f t="shared" si="35"/>
        <v/>
      </c>
      <c r="AN14" s="160" t="str">
        <f t="shared" si="5"/>
        <v/>
      </c>
      <c r="AO14" s="160" t="str">
        <f t="shared" si="6"/>
        <v/>
      </c>
      <c r="AP14" s="206" t="b">
        <f t="shared" si="7"/>
        <v>1</v>
      </c>
      <c r="AQ14" s="157">
        <f t="shared" si="29"/>
        <v>1</v>
      </c>
      <c r="AR14" s="88" t="str">
        <f t="shared" si="8"/>
        <v/>
      </c>
      <c r="AS14" s="89">
        <f t="shared" si="30"/>
        <v>0</v>
      </c>
      <c r="AT14" s="88" t="str">
        <f t="shared" si="9"/>
        <v/>
      </c>
      <c r="AU14" s="158">
        <f t="shared" si="10"/>
        <v>0</v>
      </c>
      <c r="AV14" s="90" t="str">
        <f t="shared" si="11"/>
        <v/>
      </c>
      <c r="AW14" s="158" t="b">
        <f t="shared" si="12"/>
        <v>0</v>
      </c>
      <c r="AX14" s="159" t="b">
        <f t="shared" si="13"/>
        <v>1</v>
      </c>
      <c r="AY14" s="158" t="b">
        <f t="shared" si="14"/>
        <v>0</v>
      </c>
      <c r="AZ14" s="159" t="b">
        <f t="shared" si="15"/>
        <v>0</v>
      </c>
      <c r="BA14" s="206" t="b">
        <f t="shared" si="16"/>
        <v>0</v>
      </c>
      <c r="BB14" s="206" t="b">
        <f t="shared" si="17"/>
        <v>0</v>
      </c>
      <c r="BC14" s="158" t="b">
        <f t="shared" si="18"/>
        <v>0</v>
      </c>
      <c r="BD14" s="160" t="b">
        <f t="shared" si="31"/>
        <v>0</v>
      </c>
      <c r="BE14" s="159" t="b">
        <f t="shared" si="19"/>
        <v>0</v>
      </c>
      <c r="BF14" s="161" t="b">
        <f t="shared" si="20"/>
        <v>0</v>
      </c>
      <c r="BG14" s="206" t="b">
        <f t="shared" si="21"/>
        <v>1</v>
      </c>
      <c r="BH14" s="206">
        <f t="shared" si="32"/>
        <v>1</v>
      </c>
      <c r="BI14" s="206">
        <f t="shared" si="22"/>
        <v>2</v>
      </c>
      <c r="BJ14" s="206" t="str">
        <f t="shared" si="23"/>
        <v>2</v>
      </c>
      <c r="BK14" s="206">
        <f t="shared" si="24"/>
        <v>3</v>
      </c>
      <c r="BL14" s="162">
        <f t="shared" si="33"/>
        <v>1</v>
      </c>
      <c r="BM14" s="206">
        <f t="shared" si="25"/>
        <v>2</v>
      </c>
      <c r="BN14" s="206">
        <f t="shared" si="26"/>
        <v>3</v>
      </c>
      <c r="BO14" s="169">
        <v>4</v>
      </c>
      <c r="BP14" s="170" t="s">
        <v>222</v>
      </c>
    </row>
    <row r="15" spans="2:73" s="105" customFormat="1" ht="12.95" customHeight="1" x14ac:dyDescent="0.2">
      <c r="B15" s="165">
        <f>IF(ISNA(Z15),"",IF(OR(Z15=1,Z15=2),"    ",MAX($B$8:B14)+1))</f>
        <v>6</v>
      </c>
      <c r="C15" s="1375" t="str">
        <f t="shared" si="0"/>
        <v xml:space="preserve">      - Test Methodology (10.0%)</v>
      </c>
      <c r="D15" s="1375"/>
      <c r="E15" s="1375"/>
      <c r="F15" s="1376"/>
      <c r="G15" s="152">
        <f t="shared" si="1"/>
        <v>1</v>
      </c>
      <c r="H15" s="153" t="str">
        <f t="shared" si="2"/>
        <v>2</v>
      </c>
      <c r="I15" s="166">
        <f t="shared" si="2"/>
        <v>3</v>
      </c>
      <c r="J15" s="171"/>
      <c r="K15" s="168"/>
      <c r="L15" s="1075"/>
      <c r="M15" s="1076"/>
      <c r="N15" s="1076"/>
      <c r="O15" s="1076"/>
      <c r="P15" s="1076"/>
      <c r="Q15" s="1076"/>
      <c r="R15" s="1077"/>
      <c r="T15" s="119">
        <v>8</v>
      </c>
      <c r="U15" s="110" t="s">
        <v>309</v>
      </c>
      <c r="V15" s="206">
        <v>1</v>
      </c>
      <c r="W15" s="206">
        <v>1</v>
      </c>
      <c r="X15" s="206" t="s">
        <v>212</v>
      </c>
      <c r="Y15" s="206" t="s">
        <v>212</v>
      </c>
      <c r="Z15" s="160" t="s">
        <v>212</v>
      </c>
      <c r="AA15" s="160">
        <v>2</v>
      </c>
      <c r="AB15" s="160">
        <v>1</v>
      </c>
      <c r="AC15" s="206">
        <v>3</v>
      </c>
      <c r="AD15" s="206">
        <v>2</v>
      </c>
      <c r="AE15" s="206">
        <v>0</v>
      </c>
      <c r="AF15" s="206" t="b">
        <v>1</v>
      </c>
      <c r="AG15" s="206">
        <f t="shared" si="3"/>
        <v>2</v>
      </c>
      <c r="AH15" s="206">
        <f t="shared" si="4"/>
        <v>1</v>
      </c>
      <c r="AI15" s="86">
        <f>IF(NOT(OR(Z15=1,Z15=2)),IF(AQ15&gt;0,$AR$44*AQ15/SUMIF($AQ$8:$AQ$39,"&gt;0"),IF(AU15&gt;0,$AV$44*AU15/SUMIF($AU$8:$AU$39,"&gt;0"),IF(AS15&gt;0,$AT$44*AS15/SUMIF($AS$8:$AS$39,"&gt;0"),""))),IF(SUMIF(AJ16:$AJ$39,"=" &amp; AJ15,AI16:$AI$39)=0,"",SUMIF(AJ16:$AJ$39,"=" &amp; AJ15,AI16:$AI$39)))</f>
        <v>0.1</v>
      </c>
      <c r="AJ15" s="87">
        <f t="shared" si="34"/>
        <v>1</v>
      </c>
      <c r="AK15" s="206">
        <f t="shared" si="27"/>
        <v>2</v>
      </c>
      <c r="AL15" s="160" t="str">
        <f t="shared" si="28"/>
        <v/>
      </c>
      <c r="AM15" s="160" t="str">
        <f t="shared" si="35"/>
        <v/>
      </c>
      <c r="AN15" s="160" t="str">
        <f t="shared" si="5"/>
        <v/>
      </c>
      <c r="AO15" s="160" t="str">
        <f t="shared" si="6"/>
        <v/>
      </c>
      <c r="AP15" s="206" t="b">
        <f t="shared" si="7"/>
        <v>1</v>
      </c>
      <c r="AQ15" s="157">
        <f t="shared" si="29"/>
        <v>1</v>
      </c>
      <c r="AR15" s="88" t="str">
        <f t="shared" si="8"/>
        <v/>
      </c>
      <c r="AS15" s="89">
        <f t="shared" si="30"/>
        <v>0</v>
      </c>
      <c r="AT15" s="88" t="str">
        <f t="shared" si="9"/>
        <v/>
      </c>
      <c r="AU15" s="158">
        <f t="shared" si="10"/>
        <v>0</v>
      </c>
      <c r="AV15" s="90" t="str">
        <f t="shared" si="11"/>
        <v/>
      </c>
      <c r="AW15" s="158" t="b">
        <f t="shared" si="12"/>
        <v>0</v>
      </c>
      <c r="AX15" s="159" t="b">
        <f t="shared" si="13"/>
        <v>1</v>
      </c>
      <c r="AY15" s="158" t="b">
        <f t="shared" si="14"/>
        <v>0</v>
      </c>
      <c r="AZ15" s="159" t="b">
        <f t="shared" si="15"/>
        <v>0</v>
      </c>
      <c r="BA15" s="206" t="b">
        <f t="shared" si="16"/>
        <v>0</v>
      </c>
      <c r="BB15" s="206" t="b">
        <f t="shared" si="17"/>
        <v>0</v>
      </c>
      <c r="BC15" s="158" t="b">
        <f t="shared" si="18"/>
        <v>0</v>
      </c>
      <c r="BD15" s="160" t="b">
        <f t="shared" si="31"/>
        <v>0</v>
      </c>
      <c r="BE15" s="159" t="b">
        <f t="shared" si="19"/>
        <v>0</v>
      </c>
      <c r="BF15" s="161" t="b">
        <f t="shared" si="20"/>
        <v>0</v>
      </c>
      <c r="BG15" s="206" t="b">
        <f t="shared" si="21"/>
        <v>1</v>
      </c>
      <c r="BH15" s="206">
        <f t="shared" si="32"/>
        <v>1</v>
      </c>
      <c r="BI15" s="206">
        <f t="shared" si="22"/>
        <v>2</v>
      </c>
      <c r="BJ15" s="206" t="str">
        <f t="shared" si="23"/>
        <v>2</v>
      </c>
      <c r="BK15" s="206">
        <f t="shared" si="24"/>
        <v>3</v>
      </c>
      <c r="BL15" s="162">
        <f t="shared" si="33"/>
        <v>1</v>
      </c>
      <c r="BM15" s="206">
        <f t="shared" si="25"/>
        <v>2</v>
      </c>
      <c r="BN15" s="206">
        <f t="shared" si="26"/>
        <v>3</v>
      </c>
      <c r="BO15" s="106"/>
    </row>
    <row r="16" spans="2:73" s="105" customFormat="1" ht="12.95" customHeight="1" x14ac:dyDescent="0.2">
      <c r="B16" s="165">
        <f>IF(ISNA(Z16),"",IF(OR(Z16=1,Z16=2),"    ",MAX($B$8:B15)+1))</f>
        <v>7</v>
      </c>
      <c r="C16" s="1375" t="str">
        <f t="shared" si="0"/>
        <v xml:space="preserve">      - Evaluation Criteria (10.0%)</v>
      </c>
      <c r="D16" s="1375"/>
      <c r="E16" s="1375"/>
      <c r="F16" s="1376"/>
      <c r="G16" s="152">
        <f t="shared" si="1"/>
        <v>1</v>
      </c>
      <c r="H16" s="153" t="str">
        <f t="shared" si="2"/>
        <v>2</v>
      </c>
      <c r="I16" s="166">
        <f t="shared" si="2"/>
        <v>3</v>
      </c>
      <c r="J16" s="171"/>
      <c r="K16" s="168"/>
      <c r="L16" s="1075"/>
      <c r="M16" s="1076"/>
      <c r="N16" s="1076"/>
      <c r="O16" s="1076"/>
      <c r="P16" s="1076"/>
      <c r="Q16" s="1076"/>
      <c r="R16" s="1077"/>
      <c r="T16" s="119">
        <v>9</v>
      </c>
      <c r="U16" s="110" t="s">
        <v>310</v>
      </c>
      <c r="V16" s="206">
        <v>1</v>
      </c>
      <c r="W16" s="206">
        <v>1</v>
      </c>
      <c r="X16" s="206" t="s">
        <v>212</v>
      </c>
      <c r="Y16" s="206" t="s">
        <v>212</v>
      </c>
      <c r="Z16" s="160" t="s">
        <v>212</v>
      </c>
      <c r="AA16" s="160">
        <v>2</v>
      </c>
      <c r="AB16" s="160">
        <v>1</v>
      </c>
      <c r="AC16" s="206">
        <v>3</v>
      </c>
      <c r="AD16" s="206">
        <v>2</v>
      </c>
      <c r="AE16" s="206">
        <v>0</v>
      </c>
      <c r="AF16" s="206" t="b">
        <v>1</v>
      </c>
      <c r="AG16" s="206">
        <f t="shared" si="3"/>
        <v>2</v>
      </c>
      <c r="AH16" s="206">
        <f t="shared" si="4"/>
        <v>1</v>
      </c>
      <c r="AI16" s="86">
        <f>IF(NOT(OR(Z16=1,Z16=2)),IF(AQ16&gt;0,$AR$44*AQ16/SUMIF($AQ$8:$AQ$39,"&gt;0"),IF(AU16&gt;0,$AV$44*AU16/SUMIF($AU$8:$AU$39,"&gt;0"),IF(AS16&gt;0,$AT$44*AS16/SUMIF($AS$8:$AS$39,"&gt;0"),""))),IF(SUMIF(AJ17:$AJ$39,"=" &amp; AJ16,AI17:$AI$39)=0,"",SUMIF(AJ17:$AJ$39,"=" &amp; AJ16,AI17:$AI$39)))</f>
        <v>0.1</v>
      </c>
      <c r="AJ16" s="87">
        <f t="shared" si="34"/>
        <v>1</v>
      </c>
      <c r="AK16" s="206">
        <f t="shared" si="27"/>
        <v>2</v>
      </c>
      <c r="AL16" s="160" t="str">
        <f t="shared" si="28"/>
        <v/>
      </c>
      <c r="AM16" s="160" t="str">
        <f t="shared" si="35"/>
        <v/>
      </c>
      <c r="AN16" s="160" t="str">
        <f t="shared" si="5"/>
        <v/>
      </c>
      <c r="AO16" s="160" t="str">
        <f t="shared" si="6"/>
        <v/>
      </c>
      <c r="AP16" s="206" t="b">
        <f t="shared" si="7"/>
        <v>1</v>
      </c>
      <c r="AQ16" s="157">
        <f t="shared" si="29"/>
        <v>1</v>
      </c>
      <c r="AR16" s="88" t="str">
        <f t="shared" si="8"/>
        <v/>
      </c>
      <c r="AS16" s="89">
        <f t="shared" si="30"/>
        <v>0</v>
      </c>
      <c r="AT16" s="88" t="str">
        <f t="shared" si="9"/>
        <v/>
      </c>
      <c r="AU16" s="158">
        <f t="shared" si="10"/>
        <v>0</v>
      </c>
      <c r="AV16" s="90" t="str">
        <f t="shared" si="11"/>
        <v/>
      </c>
      <c r="AW16" s="158" t="b">
        <f t="shared" si="12"/>
        <v>0</v>
      </c>
      <c r="AX16" s="159" t="b">
        <f t="shared" si="13"/>
        <v>1</v>
      </c>
      <c r="AY16" s="158" t="b">
        <f t="shared" si="14"/>
        <v>0</v>
      </c>
      <c r="AZ16" s="159" t="b">
        <f t="shared" si="15"/>
        <v>0</v>
      </c>
      <c r="BA16" s="206" t="b">
        <f t="shared" si="16"/>
        <v>0</v>
      </c>
      <c r="BB16" s="206" t="b">
        <f t="shared" si="17"/>
        <v>0</v>
      </c>
      <c r="BC16" s="158" t="b">
        <f t="shared" si="18"/>
        <v>0</v>
      </c>
      <c r="BD16" s="160" t="b">
        <f t="shared" si="31"/>
        <v>0</v>
      </c>
      <c r="BE16" s="159" t="b">
        <f t="shared" si="19"/>
        <v>0</v>
      </c>
      <c r="BF16" s="161" t="b">
        <f t="shared" si="20"/>
        <v>0</v>
      </c>
      <c r="BG16" s="206" t="b">
        <f t="shared" si="21"/>
        <v>1</v>
      </c>
      <c r="BH16" s="206">
        <f t="shared" si="32"/>
        <v>1</v>
      </c>
      <c r="BI16" s="206">
        <f t="shared" si="22"/>
        <v>2</v>
      </c>
      <c r="BJ16" s="206" t="str">
        <f t="shared" si="23"/>
        <v>2</v>
      </c>
      <c r="BK16" s="206">
        <f t="shared" si="24"/>
        <v>3</v>
      </c>
      <c r="BL16" s="162">
        <f t="shared" si="33"/>
        <v>1</v>
      </c>
      <c r="BM16" s="206">
        <f t="shared" si="25"/>
        <v>2</v>
      </c>
      <c r="BN16" s="206">
        <f t="shared" si="26"/>
        <v>3</v>
      </c>
      <c r="BO16" s="169"/>
      <c r="BP16" s="174"/>
    </row>
    <row r="17" spans="2:73" s="105" customFormat="1" ht="12.95" customHeight="1" x14ac:dyDescent="0.2">
      <c r="B17" s="165" t="str">
        <f>IF(ISNA(Z17),"",IF(OR(Z17=1,Z17=2),"    ",MAX($B$8:B16)+1))</f>
        <v xml:space="preserve">    </v>
      </c>
      <c r="C17" s="1375" t="str">
        <f t="shared" si="0"/>
        <v>Test Cards (10.0%)</v>
      </c>
      <c r="D17" s="1375"/>
      <c r="E17" s="1375"/>
      <c r="F17" s="1376"/>
      <c r="G17" s="152" t="str">
        <f t="shared" si="1"/>
        <v/>
      </c>
      <c r="H17" s="153" t="str">
        <f t="shared" si="2"/>
        <v/>
      </c>
      <c r="I17" s="166" t="str">
        <f t="shared" si="2"/>
        <v/>
      </c>
      <c r="J17" s="172"/>
      <c r="K17" s="173"/>
      <c r="L17" s="1075"/>
      <c r="M17" s="1076"/>
      <c r="N17" s="1076"/>
      <c r="O17" s="1076"/>
      <c r="P17" s="1076"/>
      <c r="Q17" s="1076"/>
      <c r="R17" s="1077"/>
      <c r="T17" s="119">
        <v>10</v>
      </c>
      <c r="U17" s="110" t="s">
        <v>311</v>
      </c>
      <c r="V17" s="206" t="s">
        <v>212</v>
      </c>
      <c r="W17" s="206" t="s">
        <v>212</v>
      </c>
      <c r="X17" s="206" t="s">
        <v>212</v>
      </c>
      <c r="Y17" s="206" t="s">
        <v>212</v>
      </c>
      <c r="Z17" s="160">
        <v>2</v>
      </c>
      <c r="AA17" s="160">
        <v>1</v>
      </c>
      <c r="AB17" s="160">
        <v>1</v>
      </c>
      <c r="AC17" s="206" t="s">
        <v>212</v>
      </c>
      <c r="AD17" s="206" t="s">
        <v>212</v>
      </c>
      <c r="AE17" s="206" t="s">
        <v>212</v>
      </c>
      <c r="AF17" s="206" t="s">
        <v>212</v>
      </c>
      <c r="AG17" s="206" t="str">
        <f t="shared" si="3"/>
        <v/>
      </c>
      <c r="AH17" s="206" t="str">
        <f t="shared" si="4"/>
        <v/>
      </c>
      <c r="AI17" s="86">
        <f>IF(NOT(OR(Z17=1,Z17=2)),IF(AQ17&gt;0,$AR$44*AQ17/SUMIF($AQ$8:$AQ$39,"&gt;0"),IF(AU17&gt;0,$AV$44*AU17/SUMIF($AU$8:$AU$39,"&gt;0"),IF(AS17&gt;0,$AT$44*AS17/SUMIF($AS$8:$AS$39,"&gt;0"),""))),IF(SUMIF(AJ18:$AJ$39,"=" &amp; AJ17,AI18:$AI$39)=0,"",SUMIF(AJ18:$AJ$39,"=" &amp; AJ17,AI18:$AI$39)))</f>
        <v>0.1</v>
      </c>
      <c r="AJ17" s="87">
        <f t="shared" si="34"/>
        <v>2</v>
      </c>
      <c r="AK17" s="206" t="str">
        <f t="shared" si="27"/>
        <v/>
      </c>
      <c r="AL17" s="160" t="str">
        <f t="shared" si="28"/>
        <v/>
      </c>
      <c r="AM17" s="160" t="str">
        <f t="shared" si="35"/>
        <v/>
      </c>
      <c r="AN17" s="160" t="str">
        <f t="shared" si="5"/>
        <v/>
      </c>
      <c r="AO17" s="160" t="str">
        <f t="shared" si="6"/>
        <v/>
      </c>
      <c r="AP17" s="206" t="str">
        <f t="shared" si="7"/>
        <v/>
      </c>
      <c r="AQ17" s="157">
        <f t="shared" si="29"/>
        <v>0</v>
      </c>
      <c r="AR17" s="88" t="str">
        <f t="shared" si="8"/>
        <v/>
      </c>
      <c r="AS17" s="89">
        <f t="shared" si="30"/>
        <v>0</v>
      </c>
      <c r="AT17" s="88" t="str">
        <f t="shared" si="9"/>
        <v/>
      </c>
      <c r="AU17" s="158">
        <f t="shared" si="10"/>
        <v>0</v>
      </c>
      <c r="AV17" s="90" t="str">
        <f t="shared" si="11"/>
        <v/>
      </c>
      <c r="AW17" s="158" t="b">
        <f t="shared" si="12"/>
        <v>0</v>
      </c>
      <c r="AX17" s="159" t="b">
        <f t="shared" si="13"/>
        <v>0</v>
      </c>
      <c r="AY17" s="158" t="b">
        <f t="shared" si="14"/>
        <v>0</v>
      </c>
      <c r="AZ17" s="159" t="b">
        <f t="shared" si="15"/>
        <v>0</v>
      </c>
      <c r="BA17" s="206" t="b">
        <f t="shared" si="16"/>
        <v>0</v>
      </c>
      <c r="BB17" s="206" t="b">
        <f t="shared" si="17"/>
        <v>0</v>
      </c>
      <c r="BC17" s="158" t="b">
        <f t="shared" si="18"/>
        <v>0</v>
      </c>
      <c r="BD17" s="160" t="b">
        <f t="shared" si="31"/>
        <v>0</v>
      </c>
      <c r="BE17" s="159" t="b">
        <f t="shared" si="19"/>
        <v>0</v>
      </c>
      <c r="BF17" s="161" t="b">
        <f t="shared" si="20"/>
        <v>0</v>
      </c>
      <c r="BG17" s="206" t="b">
        <f t="shared" si="21"/>
        <v>0</v>
      </c>
      <c r="BH17" s="206" t="str">
        <f t="shared" si="32"/>
        <v/>
      </c>
      <c r="BI17" s="206" t="str">
        <f t="shared" si="22"/>
        <v/>
      </c>
      <c r="BJ17" s="206" t="str">
        <f t="shared" si="23"/>
        <v/>
      </c>
      <c r="BK17" s="206" t="str">
        <f t="shared" si="24"/>
        <v/>
      </c>
      <c r="BL17" s="162" t="str">
        <f t="shared" si="33"/>
        <v/>
      </c>
      <c r="BM17" s="206" t="str">
        <f t="shared" si="25"/>
        <v/>
      </c>
      <c r="BN17" s="206" t="str">
        <f t="shared" si="26"/>
        <v/>
      </c>
      <c r="BO17" s="106"/>
    </row>
    <row r="18" spans="2:73" s="105" customFormat="1" ht="12.95" customHeight="1" x14ac:dyDescent="0.2">
      <c r="B18" s="165">
        <f>IF(ISNA(Z18),"",IF(OR(Z18=1,Z18=2),"    ",MAX($B$8:B17)+1))</f>
        <v>8</v>
      </c>
      <c r="C18" s="1375" t="str">
        <f t="shared" si="0"/>
        <v xml:space="preserve">      - Test Cards (10.0%)</v>
      </c>
      <c r="D18" s="1375"/>
      <c r="E18" s="1375"/>
      <c r="F18" s="1376"/>
      <c r="G18" s="152">
        <f t="shared" si="1"/>
        <v>1</v>
      </c>
      <c r="H18" s="153" t="str">
        <f t="shared" si="2"/>
        <v>2</v>
      </c>
      <c r="I18" s="166">
        <f t="shared" si="2"/>
        <v>3</v>
      </c>
      <c r="J18" s="171"/>
      <c r="K18" s="168"/>
      <c r="L18" s="1075"/>
      <c r="M18" s="1076"/>
      <c r="N18" s="1076"/>
      <c r="O18" s="1076"/>
      <c r="P18" s="1076"/>
      <c r="Q18" s="1076"/>
      <c r="R18" s="1077"/>
      <c r="T18" s="119">
        <v>11</v>
      </c>
      <c r="U18" s="110" t="s">
        <v>312</v>
      </c>
      <c r="V18" s="206">
        <v>1</v>
      </c>
      <c r="W18" s="206">
        <v>1</v>
      </c>
      <c r="X18" s="206" t="s">
        <v>212</v>
      </c>
      <c r="Y18" s="206" t="s">
        <v>212</v>
      </c>
      <c r="Z18" s="160" t="s">
        <v>212</v>
      </c>
      <c r="AA18" s="160">
        <v>2</v>
      </c>
      <c r="AB18" s="160">
        <v>1</v>
      </c>
      <c r="AC18" s="206">
        <v>3</v>
      </c>
      <c r="AD18" s="206">
        <v>2</v>
      </c>
      <c r="AE18" s="206">
        <v>0</v>
      </c>
      <c r="AF18" s="206" t="b">
        <v>1</v>
      </c>
      <c r="AG18" s="206">
        <f t="shared" si="3"/>
        <v>2</v>
      </c>
      <c r="AH18" s="206">
        <f t="shared" si="4"/>
        <v>1</v>
      </c>
      <c r="AI18" s="86">
        <f>IF(NOT(OR(Z18=1,Z18=2)),IF(AQ18&gt;0,$AR$44*AQ18/SUMIF($AQ$8:$AQ$39,"&gt;0"),IF(AU18&gt;0,$AV$44*AU18/SUMIF($AU$8:$AU$39,"&gt;0"),IF(AS18&gt;0,$AT$44*AS18/SUMIF($AS$8:$AS$39,"&gt;0"),""))),IF(SUMIF(AJ19:$AJ$39,"=" &amp; AJ18,AI19:$AI$39)=0,"",SUMIF(AJ19:$AJ$39,"=" &amp; AJ18,AI19:$AI$39)))</f>
        <v>0.1</v>
      </c>
      <c r="AJ18" s="87">
        <f t="shared" si="34"/>
        <v>2</v>
      </c>
      <c r="AK18" s="206">
        <f t="shared" si="27"/>
        <v>2</v>
      </c>
      <c r="AL18" s="160" t="str">
        <f t="shared" si="28"/>
        <v/>
      </c>
      <c r="AM18" s="160" t="str">
        <f t="shared" si="35"/>
        <v/>
      </c>
      <c r="AN18" s="160" t="str">
        <f t="shared" si="5"/>
        <v/>
      </c>
      <c r="AO18" s="160" t="str">
        <f t="shared" si="6"/>
        <v/>
      </c>
      <c r="AP18" s="206" t="b">
        <f t="shared" si="7"/>
        <v>1</v>
      </c>
      <c r="AQ18" s="157">
        <f t="shared" si="29"/>
        <v>1</v>
      </c>
      <c r="AR18" s="88" t="str">
        <f t="shared" si="8"/>
        <v/>
      </c>
      <c r="AS18" s="89">
        <f t="shared" si="30"/>
        <v>0</v>
      </c>
      <c r="AT18" s="88" t="str">
        <f t="shared" si="9"/>
        <v/>
      </c>
      <c r="AU18" s="158">
        <f t="shared" si="10"/>
        <v>0</v>
      </c>
      <c r="AV18" s="90" t="str">
        <f t="shared" si="11"/>
        <v/>
      </c>
      <c r="AW18" s="158" t="b">
        <f t="shared" si="12"/>
        <v>0</v>
      </c>
      <c r="AX18" s="159" t="b">
        <f t="shared" si="13"/>
        <v>1</v>
      </c>
      <c r="AY18" s="158" t="b">
        <f t="shared" si="14"/>
        <v>0</v>
      </c>
      <c r="AZ18" s="159" t="b">
        <f t="shared" si="15"/>
        <v>0</v>
      </c>
      <c r="BA18" s="206" t="b">
        <f t="shared" si="16"/>
        <v>0</v>
      </c>
      <c r="BB18" s="206" t="b">
        <f t="shared" si="17"/>
        <v>0</v>
      </c>
      <c r="BC18" s="158" t="b">
        <f t="shared" si="18"/>
        <v>0</v>
      </c>
      <c r="BD18" s="160" t="b">
        <f t="shared" si="31"/>
        <v>0</v>
      </c>
      <c r="BE18" s="159" t="b">
        <f t="shared" si="19"/>
        <v>0</v>
      </c>
      <c r="BF18" s="161" t="b">
        <f t="shared" si="20"/>
        <v>0</v>
      </c>
      <c r="BG18" s="206" t="b">
        <f t="shared" si="21"/>
        <v>1</v>
      </c>
      <c r="BH18" s="206">
        <f t="shared" si="32"/>
        <v>1</v>
      </c>
      <c r="BI18" s="206">
        <f t="shared" si="22"/>
        <v>2</v>
      </c>
      <c r="BJ18" s="206" t="str">
        <f t="shared" si="23"/>
        <v>2</v>
      </c>
      <c r="BK18" s="206">
        <f t="shared" si="24"/>
        <v>3</v>
      </c>
      <c r="BL18" s="162">
        <f t="shared" si="33"/>
        <v>1</v>
      </c>
      <c r="BM18" s="206">
        <f t="shared" si="25"/>
        <v>2</v>
      </c>
      <c r="BN18" s="206">
        <f t="shared" si="26"/>
        <v>3</v>
      </c>
      <c r="BO18" s="104"/>
      <c r="BP18" s="174" t="s">
        <v>223</v>
      </c>
      <c r="BQ18" s="175"/>
      <c r="BR18" s="175"/>
      <c r="BS18" s="175"/>
      <c r="BT18" s="175"/>
      <c r="BU18" s="175"/>
    </row>
    <row r="19" spans="2:73" s="105" customFormat="1" ht="12.95" customHeight="1" x14ac:dyDescent="0.2">
      <c r="B19" s="165" t="str">
        <f>IF(ISNA(Z19),"",IF(OR(Z19=1,Z19=2),"    ",MAX($B$8:B18)+1))</f>
        <v xml:space="preserve">    </v>
      </c>
      <c r="C19" s="1375" t="str">
        <f t="shared" si="0"/>
        <v>Overall (20.0%)</v>
      </c>
      <c r="D19" s="1375"/>
      <c r="E19" s="1375"/>
      <c r="F19" s="1376"/>
      <c r="G19" s="152" t="str">
        <f t="shared" si="1"/>
        <v/>
      </c>
      <c r="H19" s="153" t="str">
        <f t="shared" si="2"/>
        <v/>
      </c>
      <c r="I19" s="166" t="str">
        <f t="shared" si="2"/>
        <v/>
      </c>
      <c r="J19" s="172"/>
      <c r="K19" s="173"/>
      <c r="L19" s="1075"/>
      <c r="M19" s="1076"/>
      <c r="N19" s="1076"/>
      <c r="O19" s="1076"/>
      <c r="P19" s="1076"/>
      <c r="Q19" s="1076"/>
      <c r="R19" s="1077"/>
      <c r="T19" s="119">
        <v>12</v>
      </c>
      <c r="U19" s="110" t="s">
        <v>289</v>
      </c>
      <c r="V19" s="206" t="s">
        <v>212</v>
      </c>
      <c r="W19" s="206" t="s">
        <v>212</v>
      </c>
      <c r="X19" s="206" t="s">
        <v>212</v>
      </c>
      <c r="Y19" s="206" t="s">
        <v>212</v>
      </c>
      <c r="Z19" s="160">
        <v>2</v>
      </c>
      <c r="AA19" s="160">
        <v>1</v>
      </c>
      <c r="AB19" s="160">
        <v>1</v>
      </c>
      <c r="AC19" s="206" t="s">
        <v>212</v>
      </c>
      <c r="AD19" s="206" t="s">
        <v>212</v>
      </c>
      <c r="AE19" s="206" t="s">
        <v>212</v>
      </c>
      <c r="AF19" s="206" t="s">
        <v>212</v>
      </c>
      <c r="AG19" s="206" t="str">
        <f t="shared" si="3"/>
        <v/>
      </c>
      <c r="AH19" s="206" t="str">
        <f t="shared" si="4"/>
        <v/>
      </c>
      <c r="AI19" s="86">
        <f>IF(NOT(OR(Z19=1,Z19=2)),IF(AQ19&gt;0,$AR$44*AQ19/SUMIF($AQ$8:$AQ$39,"&gt;0"),IF(AU19&gt;0,$AV$44*AU19/SUMIF($AU$8:$AU$39,"&gt;0"),IF(AS19&gt;0,$AT$44*AS19/SUMIF($AS$8:$AS$39,"&gt;0"),""))),IF(SUMIF(AJ20:$AJ$39,"=" &amp; AJ19,AI20:$AI$39)=0,"",SUMIF(AJ20:$AJ$39,"=" &amp; AJ19,AI20:$AI$39)))</f>
        <v>0.2</v>
      </c>
      <c r="AJ19" s="87">
        <f t="shared" si="34"/>
        <v>3</v>
      </c>
      <c r="AK19" s="206" t="str">
        <f t="shared" si="27"/>
        <v/>
      </c>
      <c r="AL19" s="160" t="str">
        <f t="shared" si="28"/>
        <v/>
      </c>
      <c r="AM19" s="160" t="str">
        <f t="shared" si="35"/>
        <v/>
      </c>
      <c r="AN19" s="160" t="str">
        <f t="shared" si="5"/>
        <v/>
      </c>
      <c r="AO19" s="160" t="str">
        <f t="shared" si="6"/>
        <v/>
      </c>
      <c r="AP19" s="206" t="str">
        <f t="shared" si="7"/>
        <v/>
      </c>
      <c r="AQ19" s="157">
        <f t="shared" si="29"/>
        <v>0</v>
      </c>
      <c r="AR19" s="88" t="str">
        <f t="shared" si="8"/>
        <v/>
      </c>
      <c r="AS19" s="89">
        <f t="shared" si="30"/>
        <v>0</v>
      </c>
      <c r="AT19" s="88" t="str">
        <f t="shared" si="9"/>
        <v/>
      </c>
      <c r="AU19" s="158">
        <f t="shared" si="10"/>
        <v>0</v>
      </c>
      <c r="AV19" s="90" t="str">
        <f t="shared" si="11"/>
        <v/>
      </c>
      <c r="AW19" s="158" t="b">
        <f t="shared" si="12"/>
        <v>0</v>
      </c>
      <c r="AX19" s="159" t="b">
        <f t="shared" si="13"/>
        <v>0</v>
      </c>
      <c r="AY19" s="158" t="b">
        <f t="shared" si="14"/>
        <v>0</v>
      </c>
      <c r="AZ19" s="159" t="b">
        <f t="shared" si="15"/>
        <v>0</v>
      </c>
      <c r="BA19" s="206" t="b">
        <f t="shared" si="16"/>
        <v>0</v>
      </c>
      <c r="BB19" s="206" t="b">
        <f t="shared" si="17"/>
        <v>0</v>
      </c>
      <c r="BC19" s="158" t="b">
        <f t="shared" si="18"/>
        <v>0</v>
      </c>
      <c r="BD19" s="160" t="b">
        <f t="shared" si="31"/>
        <v>0</v>
      </c>
      <c r="BE19" s="159" t="b">
        <f t="shared" si="19"/>
        <v>0</v>
      </c>
      <c r="BF19" s="161" t="b">
        <f t="shared" si="20"/>
        <v>0</v>
      </c>
      <c r="BG19" s="206" t="b">
        <f t="shared" si="21"/>
        <v>0</v>
      </c>
      <c r="BH19" s="206" t="str">
        <f t="shared" si="32"/>
        <v/>
      </c>
      <c r="BI19" s="206" t="str">
        <f t="shared" si="22"/>
        <v/>
      </c>
      <c r="BJ19" s="206" t="str">
        <f t="shared" si="23"/>
        <v/>
      </c>
      <c r="BK19" s="206" t="str">
        <f t="shared" si="24"/>
        <v/>
      </c>
      <c r="BL19" s="162" t="str">
        <f t="shared" si="33"/>
        <v/>
      </c>
      <c r="BM19" s="206" t="str">
        <f t="shared" si="25"/>
        <v/>
      </c>
      <c r="BN19" s="206" t="str">
        <f t="shared" si="26"/>
        <v/>
      </c>
      <c r="BO19" s="104"/>
      <c r="BP19" s="164"/>
      <c r="BQ19" s="1386" t="s">
        <v>224</v>
      </c>
      <c r="BR19" s="1386"/>
      <c r="BS19" s="1386"/>
      <c r="BT19" s="1386"/>
      <c r="BU19" s="1386"/>
    </row>
    <row r="20" spans="2:73" s="105" customFormat="1" ht="12.95" customHeight="1" x14ac:dyDescent="0.2">
      <c r="B20" s="165">
        <f>IF(ISNA(Z20),"",IF(OR(Z20=1,Z20=2),"    ",MAX($B$8:B19)+1))</f>
        <v>9</v>
      </c>
      <c r="C20" s="1375" t="str">
        <f t="shared" si="0"/>
        <v xml:space="preserve">      - Grammar (10.0%)</v>
      </c>
      <c r="D20" s="1375"/>
      <c r="E20" s="1375"/>
      <c r="F20" s="1376"/>
      <c r="G20" s="152">
        <f t="shared" si="1"/>
        <v>1</v>
      </c>
      <c r="H20" s="153" t="str">
        <f t="shared" si="2"/>
        <v>2*</v>
      </c>
      <c r="I20" s="166">
        <f t="shared" si="2"/>
        <v>3</v>
      </c>
      <c r="J20" s="171"/>
      <c r="K20" s="168"/>
      <c r="L20" s="1075"/>
      <c r="M20" s="1076"/>
      <c r="N20" s="1076"/>
      <c r="O20" s="1076"/>
      <c r="P20" s="1076"/>
      <c r="Q20" s="1076"/>
      <c r="R20" s="1077"/>
      <c r="T20" s="119">
        <v>13</v>
      </c>
      <c r="U20" s="110" t="s">
        <v>291</v>
      </c>
      <c r="V20" s="206">
        <v>1</v>
      </c>
      <c r="W20" s="206">
        <v>1</v>
      </c>
      <c r="X20" s="206" t="s">
        <v>212</v>
      </c>
      <c r="Y20" s="206" t="s">
        <v>212</v>
      </c>
      <c r="Z20" s="160" t="s">
        <v>212</v>
      </c>
      <c r="AA20" s="160">
        <v>2</v>
      </c>
      <c r="AB20" s="160">
        <v>1</v>
      </c>
      <c r="AC20" s="206">
        <v>3</v>
      </c>
      <c r="AD20" s="206">
        <v>2</v>
      </c>
      <c r="AE20" s="206">
        <v>1</v>
      </c>
      <c r="AF20" s="206" t="b">
        <v>1</v>
      </c>
      <c r="AG20" s="206">
        <f t="shared" si="3"/>
        <v>2</v>
      </c>
      <c r="AH20" s="206">
        <f t="shared" si="4"/>
        <v>1</v>
      </c>
      <c r="AI20" s="86">
        <f>IF(NOT(OR(Z20=1,Z20=2)),IF(AQ20&gt;0,$AR$44*AQ20/SUMIF($AQ$8:$AQ$39,"&gt;0"),IF(AU20&gt;0,$AV$44*AU20/SUMIF($AU$8:$AU$39,"&gt;0"),IF(AS20&gt;0,$AT$44*AS20/SUMIF($AS$8:$AS$39,"&gt;0"),""))),IF(SUMIF(AJ21:$AJ$39,"=" &amp; AJ20,AI21:$AI$39)=0,"",SUMIF(AJ21:$AJ$39,"=" &amp; AJ20,AI21:$AI$39)))</f>
        <v>0.1</v>
      </c>
      <c r="AJ20" s="87">
        <f t="shared" si="34"/>
        <v>3</v>
      </c>
      <c r="AK20" s="206">
        <f t="shared" si="27"/>
        <v>2</v>
      </c>
      <c r="AL20" s="160" t="str">
        <f t="shared" si="28"/>
        <v/>
      </c>
      <c r="AM20" s="160" t="str">
        <f t="shared" si="35"/>
        <v/>
      </c>
      <c r="AN20" s="160" t="str">
        <f t="shared" si="5"/>
        <v/>
      </c>
      <c r="AO20" s="160" t="str">
        <f t="shared" si="6"/>
        <v/>
      </c>
      <c r="AP20" s="206" t="b">
        <f t="shared" si="7"/>
        <v>1</v>
      </c>
      <c r="AQ20" s="157">
        <f t="shared" si="29"/>
        <v>1</v>
      </c>
      <c r="AR20" s="88" t="str">
        <f t="shared" si="8"/>
        <v/>
      </c>
      <c r="AS20" s="89">
        <f t="shared" si="30"/>
        <v>0</v>
      </c>
      <c r="AT20" s="88" t="str">
        <f t="shared" si="9"/>
        <v/>
      </c>
      <c r="AU20" s="158">
        <f t="shared" si="10"/>
        <v>0</v>
      </c>
      <c r="AV20" s="90" t="str">
        <f t="shared" si="11"/>
        <v/>
      </c>
      <c r="AW20" s="158" t="b">
        <f t="shared" si="12"/>
        <v>0</v>
      </c>
      <c r="AX20" s="159" t="b">
        <f t="shared" si="13"/>
        <v>1</v>
      </c>
      <c r="AY20" s="158" t="b">
        <f t="shared" si="14"/>
        <v>0</v>
      </c>
      <c r="AZ20" s="159" t="b">
        <f t="shared" si="15"/>
        <v>0</v>
      </c>
      <c r="BA20" s="206" t="b">
        <f t="shared" si="16"/>
        <v>0</v>
      </c>
      <c r="BB20" s="206" t="b">
        <f t="shared" si="17"/>
        <v>0</v>
      </c>
      <c r="BC20" s="158" t="b">
        <f t="shared" si="18"/>
        <v>0</v>
      </c>
      <c r="BD20" s="160" t="b">
        <f t="shared" si="31"/>
        <v>0</v>
      </c>
      <c r="BE20" s="159" t="b">
        <f t="shared" si="19"/>
        <v>0</v>
      </c>
      <c r="BF20" s="161" t="b">
        <f t="shared" si="20"/>
        <v>0</v>
      </c>
      <c r="BG20" s="206" t="b">
        <f t="shared" si="21"/>
        <v>1</v>
      </c>
      <c r="BH20" s="206">
        <f t="shared" si="32"/>
        <v>1</v>
      </c>
      <c r="BI20" s="206">
        <f t="shared" si="22"/>
        <v>2</v>
      </c>
      <c r="BJ20" s="206" t="str">
        <f t="shared" si="23"/>
        <v>2*</v>
      </c>
      <c r="BK20" s="206">
        <f t="shared" si="24"/>
        <v>3</v>
      </c>
      <c r="BL20" s="162">
        <f t="shared" si="33"/>
        <v>1</v>
      </c>
      <c r="BM20" s="206">
        <f t="shared" si="25"/>
        <v>2</v>
      </c>
      <c r="BN20" s="206">
        <f t="shared" si="26"/>
        <v>3</v>
      </c>
      <c r="BO20" s="104"/>
      <c r="BP20" s="104"/>
      <c r="BQ20" s="104">
        <v>0</v>
      </c>
      <c r="BR20" s="104">
        <v>1</v>
      </c>
      <c r="BS20" s="104">
        <v>2</v>
      </c>
      <c r="BT20" s="104">
        <v>3</v>
      </c>
      <c r="BU20" s="104">
        <v>4</v>
      </c>
    </row>
    <row r="21" spans="2:73" s="105" customFormat="1" ht="12.95" customHeight="1" x14ac:dyDescent="0.2">
      <c r="B21" s="165">
        <f>IF(ISNA(Z21),"",IF(OR(Z21=1,Z21=2),"    ",MAX($B$8:B20)+1))</f>
        <v>10</v>
      </c>
      <c r="C21" s="1375" t="str">
        <f t="shared" si="0"/>
        <v xml:space="preserve">      - Mechanics (10.0%)</v>
      </c>
      <c r="D21" s="1375"/>
      <c r="E21" s="1375"/>
      <c r="F21" s="1376"/>
      <c r="G21" s="152">
        <f t="shared" si="1"/>
        <v>1</v>
      </c>
      <c r="H21" s="153" t="str">
        <f t="shared" si="2"/>
        <v>2*</v>
      </c>
      <c r="I21" s="166">
        <f t="shared" si="2"/>
        <v>3</v>
      </c>
      <c r="J21" s="171"/>
      <c r="K21" s="168"/>
      <c r="L21" s="1075"/>
      <c r="M21" s="1076"/>
      <c r="N21" s="1076"/>
      <c r="O21" s="1076"/>
      <c r="P21" s="1076"/>
      <c r="Q21" s="1076"/>
      <c r="R21" s="1077"/>
      <c r="T21" s="119">
        <v>14</v>
      </c>
      <c r="U21" s="110" t="s">
        <v>292</v>
      </c>
      <c r="V21" s="206">
        <v>1</v>
      </c>
      <c r="W21" s="206">
        <v>1</v>
      </c>
      <c r="X21" s="206" t="s">
        <v>212</v>
      </c>
      <c r="Y21" s="206" t="s">
        <v>212</v>
      </c>
      <c r="Z21" s="160" t="s">
        <v>212</v>
      </c>
      <c r="AA21" s="160">
        <v>2</v>
      </c>
      <c r="AB21" s="160">
        <v>1</v>
      </c>
      <c r="AC21" s="206">
        <v>3</v>
      </c>
      <c r="AD21" s="206">
        <v>2</v>
      </c>
      <c r="AE21" s="206">
        <v>1</v>
      </c>
      <c r="AF21" s="206" t="b">
        <v>1</v>
      </c>
      <c r="AG21" s="206">
        <f t="shared" si="3"/>
        <v>2</v>
      </c>
      <c r="AH21" s="206">
        <f t="shared" si="4"/>
        <v>1</v>
      </c>
      <c r="AI21" s="86">
        <f>IF(NOT(OR(Z21=1,Z21=2)),IF(AQ21&gt;0,$AR$44*AQ21/SUMIF($AQ$8:$AQ$39,"&gt;0"),IF(AU21&gt;0,$AV$44*AU21/SUMIF($AU$8:$AU$39,"&gt;0"),IF(AS21&gt;0,$AT$44*AS21/SUMIF($AS$8:$AS$39,"&gt;0"),""))),IF(SUMIF(AJ22:$AJ$39,"=" &amp; AJ21,AI22:$AI$39)=0,"",SUMIF(AJ22:$AJ$39,"=" &amp; AJ21,AI22:$AI$39)))</f>
        <v>0.1</v>
      </c>
      <c r="AJ21" s="87">
        <f t="shared" si="34"/>
        <v>3</v>
      </c>
      <c r="AK21" s="206">
        <f t="shared" si="27"/>
        <v>2</v>
      </c>
      <c r="AL21" s="160" t="str">
        <f t="shared" si="28"/>
        <v/>
      </c>
      <c r="AM21" s="160" t="str">
        <f t="shared" si="35"/>
        <v/>
      </c>
      <c r="AN21" s="160" t="str">
        <f t="shared" si="5"/>
        <v/>
      </c>
      <c r="AO21" s="160" t="str">
        <f t="shared" si="6"/>
        <v/>
      </c>
      <c r="AP21" s="206" t="b">
        <f t="shared" si="7"/>
        <v>1</v>
      </c>
      <c r="AQ21" s="157">
        <f t="shared" si="29"/>
        <v>1</v>
      </c>
      <c r="AR21" s="88" t="str">
        <f t="shared" si="8"/>
        <v/>
      </c>
      <c r="AS21" s="89">
        <f t="shared" si="30"/>
        <v>0</v>
      </c>
      <c r="AT21" s="88" t="str">
        <f t="shared" si="9"/>
        <v/>
      </c>
      <c r="AU21" s="158">
        <f t="shared" si="10"/>
        <v>0</v>
      </c>
      <c r="AV21" s="90" t="str">
        <f t="shared" si="11"/>
        <v/>
      </c>
      <c r="AW21" s="158" t="b">
        <f t="shared" si="12"/>
        <v>0</v>
      </c>
      <c r="AX21" s="159" t="b">
        <f t="shared" si="13"/>
        <v>1</v>
      </c>
      <c r="AY21" s="158" t="b">
        <f t="shared" si="14"/>
        <v>0</v>
      </c>
      <c r="AZ21" s="159" t="b">
        <f t="shared" si="15"/>
        <v>0</v>
      </c>
      <c r="BA21" s="206" t="b">
        <f t="shared" si="16"/>
        <v>0</v>
      </c>
      <c r="BB21" s="206" t="b">
        <f t="shared" si="17"/>
        <v>0</v>
      </c>
      <c r="BC21" s="158" t="b">
        <f t="shared" si="18"/>
        <v>0</v>
      </c>
      <c r="BD21" s="160" t="b">
        <f t="shared" si="31"/>
        <v>0</v>
      </c>
      <c r="BE21" s="159" t="b">
        <f t="shared" si="19"/>
        <v>0</v>
      </c>
      <c r="BF21" s="161" t="b">
        <f t="shared" si="20"/>
        <v>0</v>
      </c>
      <c r="BG21" s="206" t="b">
        <f t="shared" si="21"/>
        <v>1</v>
      </c>
      <c r="BH21" s="206">
        <f t="shared" si="32"/>
        <v>1</v>
      </c>
      <c r="BI21" s="206">
        <f t="shared" si="22"/>
        <v>2</v>
      </c>
      <c r="BJ21" s="206" t="str">
        <f t="shared" si="23"/>
        <v>2*</v>
      </c>
      <c r="BK21" s="206">
        <f t="shared" si="24"/>
        <v>3</v>
      </c>
      <c r="BL21" s="162">
        <f t="shared" si="33"/>
        <v>1</v>
      </c>
      <c r="BM21" s="206">
        <f t="shared" si="25"/>
        <v>2</v>
      </c>
      <c r="BN21" s="206">
        <f t="shared" si="26"/>
        <v>3</v>
      </c>
      <c r="BO21" s="1387" t="s">
        <v>226</v>
      </c>
      <c r="BP21" s="104" t="s">
        <v>227</v>
      </c>
      <c r="BQ21" s="91">
        <f t="shared" ref="BQ21:BU29" si="36">AR50</f>
        <v>0.7</v>
      </c>
      <c r="BR21" s="92">
        <f t="shared" si="36"/>
        <v>0.9</v>
      </c>
      <c r="BS21" s="92">
        <f t="shared" si="36"/>
        <v>0.93330000000000002</v>
      </c>
      <c r="BT21" s="92">
        <f t="shared" si="36"/>
        <v>0.9667</v>
      </c>
      <c r="BU21" s="93">
        <f t="shared" si="36"/>
        <v>1</v>
      </c>
    </row>
    <row r="22" spans="2:73" s="105" customFormat="1" ht="12.95" customHeight="1" x14ac:dyDescent="0.2">
      <c r="B22" s="165" t="str">
        <f>IF(ISNA(Z22),"",IF(OR(Z22=1,Z22=2),"    ",MAX($B$8:B21)+1))</f>
        <v/>
      </c>
      <c r="C22" s="1375" t="str">
        <f t="shared" si="0"/>
        <v/>
      </c>
      <c r="D22" s="1375"/>
      <c r="E22" s="1375"/>
      <c r="F22" s="1376"/>
      <c r="G22" s="152" t="str">
        <f t="shared" si="1"/>
        <v/>
      </c>
      <c r="H22" s="153" t="str">
        <f t="shared" si="2"/>
        <v/>
      </c>
      <c r="I22" s="166" t="str">
        <f t="shared" si="2"/>
        <v/>
      </c>
      <c r="J22" s="172"/>
      <c r="K22" s="173"/>
      <c r="L22" s="1075"/>
      <c r="M22" s="1076"/>
      <c r="N22" s="1076"/>
      <c r="O22" s="1076"/>
      <c r="P22" s="1076"/>
      <c r="Q22" s="1076"/>
      <c r="R22" s="1077"/>
      <c r="T22" s="119">
        <v>15</v>
      </c>
      <c r="U22" s="110" t="e">
        <v>#N/A</v>
      </c>
      <c r="V22" s="206" t="e">
        <v>#N/A</v>
      </c>
      <c r="W22" s="206" t="e">
        <v>#N/A</v>
      </c>
      <c r="X22" s="206" t="e">
        <v>#N/A</v>
      </c>
      <c r="Y22" s="206" t="e">
        <v>#N/A</v>
      </c>
      <c r="Z22" s="160" t="e">
        <v>#N/A</v>
      </c>
      <c r="AA22" s="160" t="e">
        <v>#N/A</v>
      </c>
      <c r="AB22" s="160" t="e">
        <v>#N/A</v>
      </c>
      <c r="AC22" s="206" t="e">
        <v>#N/A</v>
      </c>
      <c r="AD22" s="206" t="e">
        <v>#N/A</v>
      </c>
      <c r="AE22" s="206" t="e">
        <v>#N/A</v>
      </c>
      <c r="AF22" s="206" t="e">
        <v>#N/A</v>
      </c>
      <c r="AG22" s="206" t="e">
        <f t="shared" si="3"/>
        <v>#N/A</v>
      </c>
      <c r="AH22" s="206" t="str">
        <f t="shared" si="4"/>
        <v/>
      </c>
      <c r="AI22" s="86" t="e">
        <f>IF(NOT(OR(Z22=1,Z22=2)),IF(AQ22&gt;0,$AR$44*AQ22/SUMIF($AQ$8:$AQ$39,"&gt;0"),IF(AU22&gt;0,$AV$44*AU22/SUMIF($AU$8:$AU$39,"&gt;0"),IF(AS22&gt;0,$AT$44*AS22/SUMIF($AS$8:$AS$39,"&gt;0"),""))),IF(SUMIF(AJ23:$AJ$39,"=" &amp; AJ22,AI23:$AI$39)=0,"",SUMIF(AJ23:$AJ$39,"=" &amp; AJ22,AI23:$AI$39)))</f>
        <v>#N/A</v>
      </c>
      <c r="AJ22" s="87" t="e">
        <f t="shared" si="34"/>
        <v>#N/A</v>
      </c>
      <c r="AK22" s="206" t="str">
        <f t="shared" si="27"/>
        <v/>
      </c>
      <c r="AL22" s="160" t="str">
        <f t="shared" si="28"/>
        <v/>
      </c>
      <c r="AM22" s="160" t="str">
        <f t="shared" si="35"/>
        <v/>
      </c>
      <c r="AN22" s="160" t="str">
        <f t="shared" si="5"/>
        <v/>
      </c>
      <c r="AO22" s="160" t="e">
        <f t="shared" si="6"/>
        <v>#N/A</v>
      </c>
      <c r="AP22" s="206" t="str">
        <f t="shared" si="7"/>
        <v/>
      </c>
      <c r="AQ22" s="157">
        <f t="shared" si="29"/>
        <v>0</v>
      </c>
      <c r="AR22" s="88" t="str">
        <f t="shared" si="8"/>
        <v/>
      </c>
      <c r="AS22" s="89">
        <f t="shared" si="30"/>
        <v>0</v>
      </c>
      <c r="AT22" s="88" t="str">
        <f t="shared" si="9"/>
        <v/>
      </c>
      <c r="AU22" s="158">
        <f t="shared" si="10"/>
        <v>0</v>
      </c>
      <c r="AV22" s="90" t="str">
        <f t="shared" si="11"/>
        <v/>
      </c>
      <c r="AW22" s="158" t="b">
        <f t="shared" si="12"/>
        <v>0</v>
      </c>
      <c r="AX22" s="159" t="b">
        <f t="shared" si="13"/>
        <v>0</v>
      </c>
      <c r="AY22" s="158" t="b">
        <f t="shared" si="14"/>
        <v>0</v>
      </c>
      <c r="AZ22" s="159" t="b">
        <f t="shared" si="15"/>
        <v>0</v>
      </c>
      <c r="BA22" s="206" t="b">
        <f t="shared" si="16"/>
        <v>0</v>
      </c>
      <c r="BB22" s="206" t="b">
        <f t="shared" si="17"/>
        <v>0</v>
      </c>
      <c r="BC22" s="158" t="b">
        <f t="shared" si="18"/>
        <v>0</v>
      </c>
      <c r="BD22" s="160" t="b">
        <f t="shared" si="31"/>
        <v>0</v>
      </c>
      <c r="BE22" s="159" t="b">
        <f>IF(OR(ISNA($Z22),K22&lt;&gt;"D"),FALSE,IF(OR(AND(H22="NG",J22=0),AND(H22&lt;&gt;"NG",NOT(OR(J22="NA",J22=0)))),TRUE,FALSE))</f>
        <v>0</v>
      </c>
      <c r="BF22" s="161" t="b">
        <f t="shared" si="20"/>
        <v>0</v>
      </c>
      <c r="BG22" s="206" t="str">
        <f>IF(ISNA($Z22),"NA",IF(OR(AZ22,AY22,AX22,AW22,AP22,BA22,BB22),TRUE,FALSE))</f>
        <v>NA</v>
      </c>
      <c r="BH22" s="206" t="str">
        <f t="shared" si="32"/>
        <v/>
      </c>
      <c r="BI22" s="206" t="str">
        <f t="shared" si="22"/>
        <v/>
      </c>
      <c r="BJ22" s="206" t="str">
        <f t="shared" si="23"/>
        <v/>
      </c>
      <c r="BK22" s="206" t="str">
        <f t="shared" si="24"/>
        <v/>
      </c>
      <c r="BL22" s="162" t="str">
        <f t="shared" si="33"/>
        <v/>
      </c>
      <c r="BM22" s="206" t="str">
        <f t="shared" si="25"/>
        <v/>
      </c>
      <c r="BN22" s="206" t="str">
        <f t="shared" si="26"/>
        <v/>
      </c>
      <c r="BO22" s="1387"/>
      <c r="BP22" s="104" t="s">
        <v>228</v>
      </c>
      <c r="BQ22" s="94">
        <f t="shared" si="36"/>
        <v>0.7</v>
      </c>
      <c r="BR22" s="95">
        <f t="shared" si="36"/>
        <v>0.8</v>
      </c>
      <c r="BS22" s="95">
        <f t="shared" si="36"/>
        <v>0.9</v>
      </c>
      <c r="BT22" s="95">
        <f t="shared" si="36"/>
        <v>0.95</v>
      </c>
      <c r="BU22" s="96">
        <f t="shared" si="36"/>
        <v>1</v>
      </c>
    </row>
    <row r="23" spans="2:73" s="105" customFormat="1" ht="12.95" customHeight="1" x14ac:dyDescent="0.2">
      <c r="B23" s="165" t="str">
        <f>IF(ISNA(Z23),"",IF(OR(Z23=1,Z23=2),"    ",MAX($B$8:B22)+1))</f>
        <v/>
      </c>
      <c r="C23" s="1375" t="str">
        <f t="shared" si="0"/>
        <v/>
      </c>
      <c r="D23" s="1375"/>
      <c r="E23" s="1375"/>
      <c r="F23" s="1376"/>
      <c r="G23" s="152" t="str">
        <f t="shared" si="1"/>
        <v/>
      </c>
      <c r="H23" s="153" t="str">
        <f t="shared" si="2"/>
        <v/>
      </c>
      <c r="I23" s="166" t="str">
        <f t="shared" si="2"/>
        <v/>
      </c>
      <c r="J23" s="172"/>
      <c r="K23" s="173"/>
      <c r="L23" s="1075"/>
      <c r="M23" s="1076"/>
      <c r="N23" s="1076"/>
      <c r="O23" s="1076"/>
      <c r="P23" s="1076"/>
      <c r="Q23" s="1076"/>
      <c r="R23" s="1077"/>
      <c r="T23" s="119">
        <v>16</v>
      </c>
      <c r="U23" s="110" t="e">
        <v>#N/A</v>
      </c>
      <c r="V23" s="206" t="e">
        <v>#N/A</v>
      </c>
      <c r="W23" s="206" t="e">
        <v>#N/A</v>
      </c>
      <c r="X23" s="206" t="e">
        <v>#N/A</v>
      </c>
      <c r="Y23" s="206" t="e">
        <v>#N/A</v>
      </c>
      <c r="Z23" s="160" t="e">
        <v>#N/A</v>
      </c>
      <c r="AA23" s="160" t="e">
        <v>#N/A</v>
      </c>
      <c r="AB23" s="160" t="e">
        <v>#N/A</v>
      </c>
      <c r="AC23" s="206" t="e">
        <v>#N/A</v>
      </c>
      <c r="AD23" s="206" t="e">
        <v>#N/A</v>
      </c>
      <c r="AE23" s="206" t="e">
        <v>#N/A</v>
      </c>
      <c r="AF23" s="206" t="e">
        <v>#N/A</v>
      </c>
      <c r="AG23" s="206" t="e">
        <f t="shared" si="3"/>
        <v>#N/A</v>
      </c>
      <c r="AH23" s="206" t="str">
        <f t="shared" si="4"/>
        <v/>
      </c>
      <c r="AI23" s="86" t="e">
        <f>IF(NOT(OR(Z23=1,Z23=2)),IF(AQ23&gt;0,$AR$44*AQ23/SUMIF($AQ$8:$AQ$39,"&gt;0"),IF(AU23&gt;0,$AV$44*AU23/SUMIF($AU$8:$AU$39,"&gt;0"),IF(AS23&gt;0,$AT$44*AS23/SUMIF($AS$8:$AS$39,"&gt;0"),""))),IF(SUMIF(AJ24:$AJ$39,"=" &amp; AJ23,AI24:$AI$39)=0,"",SUMIF(AJ24:$AJ$39,"=" &amp; AJ23,AI24:$AI$39)))</f>
        <v>#N/A</v>
      </c>
      <c r="AJ23" s="87" t="e">
        <f t="shared" si="34"/>
        <v>#N/A</v>
      </c>
      <c r="AK23" s="206" t="str">
        <f t="shared" si="27"/>
        <v/>
      </c>
      <c r="AL23" s="160" t="str">
        <f t="shared" si="28"/>
        <v/>
      </c>
      <c r="AM23" s="160" t="str">
        <f t="shared" si="35"/>
        <v/>
      </c>
      <c r="AN23" s="160" t="str">
        <f t="shared" si="5"/>
        <v/>
      </c>
      <c r="AO23" s="160" t="e">
        <f t="shared" si="6"/>
        <v>#N/A</v>
      </c>
      <c r="AP23" s="206" t="str">
        <f t="shared" si="7"/>
        <v/>
      </c>
      <c r="AQ23" s="157">
        <f t="shared" si="29"/>
        <v>0</v>
      </c>
      <c r="AR23" s="88" t="str">
        <f t="shared" si="8"/>
        <v/>
      </c>
      <c r="AS23" s="89">
        <f t="shared" si="30"/>
        <v>0</v>
      </c>
      <c r="AT23" s="88" t="str">
        <f t="shared" si="9"/>
        <v/>
      </c>
      <c r="AU23" s="158">
        <f t="shared" si="10"/>
        <v>0</v>
      </c>
      <c r="AV23" s="90" t="str">
        <f t="shared" si="11"/>
        <v/>
      </c>
      <c r="AW23" s="158" t="b">
        <f t="shared" si="12"/>
        <v>0</v>
      </c>
      <c r="AX23" s="159" t="b">
        <f t="shared" si="13"/>
        <v>0</v>
      </c>
      <c r="AY23" s="158" t="b">
        <f t="shared" si="14"/>
        <v>0</v>
      </c>
      <c r="AZ23" s="159" t="b">
        <f t="shared" si="15"/>
        <v>0</v>
      </c>
      <c r="BA23" s="206" t="b">
        <f t="shared" si="16"/>
        <v>0</v>
      </c>
      <c r="BB23" s="206" t="b">
        <f t="shared" si="17"/>
        <v>0</v>
      </c>
      <c r="BC23" s="158" t="b">
        <f t="shared" si="18"/>
        <v>0</v>
      </c>
      <c r="BD23" s="160" t="b">
        <f t="shared" si="31"/>
        <v>0</v>
      </c>
      <c r="BE23" s="159" t="b">
        <f t="shared" ref="BE23:BE39" si="37">IF(OR(ISNA($Z23),K23&lt;&gt;"D"),FALSE,IF(OR(AND(H23="NG",J23=0),AND(H23&lt;&gt;"NG",NOT(OR(J23="NA",J23=0)))),TRUE,FALSE))</f>
        <v>0</v>
      </c>
      <c r="BF23" s="161" t="b">
        <f t="shared" si="20"/>
        <v>0</v>
      </c>
      <c r="BG23" s="206" t="str">
        <f t="shared" ref="BG23:BG39" si="38">IF(ISNA($Z23),"NA",IF(OR(AZ23,AY23,AX23,AW23,AP23,BA23,BB23),TRUE,FALSE))</f>
        <v>NA</v>
      </c>
      <c r="BH23" s="206" t="str">
        <f t="shared" si="32"/>
        <v/>
      </c>
      <c r="BI23" s="206" t="str">
        <f t="shared" si="22"/>
        <v/>
      </c>
      <c r="BJ23" s="206" t="str">
        <f t="shared" si="23"/>
        <v/>
      </c>
      <c r="BK23" s="206" t="str">
        <f t="shared" si="24"/>
        <v/>
      </c>
      <c r="BL23" s="162" t="str">
        <f t="shared" si="33"/>
        <v/>
      </c>
      <c r="BM23" s="206" t="str">
        <f t="shared" si="25"/>
        <v/>
      </c>
      <c r="BN23" s="206" t="str">
        <f t="shared" si="26"/>
        <v/>
      </c>
      <c r="BO23" s="1387"/>
      <c r="BP23" s="104" t="s">
        <v>229</v>
      </c>
      <c r="BQ23" s="94">
        <f t="shared" si="36"/>
        <v>0.7</v>
      </c>
      <c r="BR23" s="95">
        <f t="shared" si="36"/>
        <v>0.76670000000000005</v>
      </c>
      <c r="BS23" s="95">
        <f t="shared" si="36"/>
        <v>0.83330000000000004</v>
      </c>
      <c r="BT23" s="95">
        <f t="shared" si="36"/>
        <v>0.9</v>
      </c>
      <c r="BU23" s="96">
        <f t="shared" si="36"/>
        <v>1</v>
      </c>
    </row>
    <row r="24" spans="2:73" s="105" customFormat="1" ht="12.95" customHeight="1" x14ac:dyDescent="0.2">
      <c r="B24" s="165" t="str">
        <f>IF(ISNA(Z24),"",IF(OR(Z24=1,Z24=2),"    ",MAX($B$8:B23)+1))</f>
        <v/>
      </c>
      <c r="C24" s="1375" t="str">
        <f t="shared" si="0"/>
        <v/>
      </c>
      <c r="D24" s="1375"/>
      <c r="E24" s="1375"/>
      <c r="F24" s="1376"/>
      <c r="G24" s="152" t="str">
        <f t="shared" si="1"/>
        <v/>
      </c>
      <c r="H24" s="153" t="str">
        <f t="shared" si="2"/>
        <v/>
      </c>
      <c r="I24" s="166" t="str">
        <f t="shared" si="2"/>
        <v/>
      </c>
      <c r="J24" s="172"/>
      <c r="K24" s="173"/>
      <c r="L24" s="1075"/>
      <c r="M24" s="1076"/>
      <c r="N24" s="1076"/>
      <c r="O24" s="1076"/>
      <c r="P24" s="1076"/>
      <c r="Q24" s="1076"/>
      <c r="R24" s="1077"/>
      <c r="T24" s="119">
        <v>17</v>
      </c>
      <c r="U24" s="110" t="e">
        <v>#N/A</v>
      </c>
      <c r="V24" s="206" t="e">
        <v>#N/A</v>
      </c>
      <c r="W24" s="206" t="e">
        <v>#N/A</v>
      </c>
      <c r="X24" s="206" t="e">
        <v>#N/A</v>
      </c>
      <c r="Y24" s="206" t="e">
        <v>#N/A</v>
      </c>
      <c r="Z24" s="160" t="e">
        <v>#N/A</v>
      </c>
      <c r="AA24" s="160" t="e">
        <v>#N/A</v>
      </c>
      <c r="AB24" s="160" t="e">
        <v>#N/A</v>
      </c>
      <c r="AC24" s="206" t="e">
        <v>#N/A</v>
      </c>
      <c r="AD24" s="206" t="e">
        <v>#N/A</v>
      </c>
      <c r="AE24" s="206" t="e">
        <v>#N/A</v>
      </c>
      <c r="AF24" s="206" t="e">
        <v>#N/A</v>
      </c>
      <c r="AG24" s="206" t="e">
        <f t="shared" si="3"/>
        <v>#N/A</v>
      </c>
      <c r="AH24" s="206" t="str">
        <f t="shared" si="4"/>
        <v/>
      </c>
      <c r="AI24" s="86" t="e">
        <f>IF(NOT(OR(Z24=1,Z24=2)),IF(AQ24&gt;0,$AR$44*AQ24/SUMIF($AQ$8:$AQ$39,"&gt;0"),IF(AU24&gt;0,$AV$44*AU24/SUMIF($AU$8:$AU$39,"&gt;0"),IF(AS24&gt;0,$AT$44*AS24/SUMIF($AS$8:$AS$39,"&gt;0"),""))),IF(SUMIF(AJ25:$AJ$39,"=" &amp; AJ24,AI25:$AI$39)=0,"",SUMIF(AJ25:$AJ$39,"=" &amp; AJ24,AI25:$AI$39)))</f>
        <v>#N/A</v>
      </c>
      <c r="AJ24" s="87" t="e">
        <f t="shared" si="34"/>
        <v>#N/A</v>
      </c>
      <c r="AK24" s="206" t="str">
        <f t="shared" si="27"/>
        <v/>
      </c>
      <c r="AL24" s="160" t="str">
        <f t="shared" si="28"/>
        <v/>
      </c>
      <c r="AM24" s="160" t="str">
        <f t="shared" si="35"/>
        <v/>
      </c>
      <c r="AN24" s="160" t="str">
        <f t="shared" si="5"/>
        <v/>
      </c>
      <c r="AO24" s="160" t="e">
        <f t="shared" si="6"/>
        <v>#N/A</v>
      </c>
      <c r="AP24" s="206" t="str">
        <f t="shared" si="7"/>
        <v/>
      </c>
      <c r="AQ24" s="157">
        <f t="shared" si="29"/>
        <v>0</v>
      </c>
      <c r="AR24" s="88" t="str">
        <f t="shared" si="8"/>
        <v/>
      </c>
      <c r="AS24" s="89">
        <f t="shared" si="30"/>
        <v>0</v>
      </c>
      <c r="AT24" s="88" t="str">
        <f t="shared" si="9"/>
        <v/>
      </c>
      <c r="AU24" s="158">
        <f t="shared" si="10"/>
        <v>0</v>
      </c>
      <c r="AV24" s="90" t="str">
        <f t="shared" si="11"/>
        <v/>
      </c>
      <c r="AW24" s="158" t="b">
        <f t="shared" si="12"/>
        <v>0</v>
      </c>
      <c r="AX24" s="159" t="b">
        <f t="shared" si="13"/>
        <v>0</v>
      </c>
      <c r="AY24" s="158" t="b">
        <f t="shared" si="14"/>
        <v>0</v>
      </c>
      <c r="AZ24" s="159" t="b">
        <f t="shared" si="15"/>
        <v>0</v>
      </c>
      <c r="BA24" s="206" t="b">
        <f t="shared" si="16"/>
        <v>0</v>
      </c>
      <c r="BB24" s="206" t="b">
        <f t="shared" si="17"/>
        <v>0</v>
      </c>
      <c r="BC24" s="158" t="b">
        <f t="shared" si="18"/>
        <v>0</v>
      </c>
      <c r="BD24" s="160" t="b">
        <f t="shared" si="31"/>
        <v>0</v>
      </c>
      <c r="BE24" s="159" t="b">
        <f t="shared" si="37"/>
        <v>0</v>
      </c>
      <c r="BF24" s="161" t="b">
        <f t="shared" si="20"/>
        <v>0</v>
      </c>
      <c r="BG24" s="206" t="str">
        <f t="shared" si="38"/>
        <v>NA</v>
      </c>
      <c r="BH24" s="206" t="str">
        <f t="shared" si="32"/>
        <v/>
      </c>
      <c r="BI24" s="206" t="str">
        <f t="shared" si="22"/>
        <v/>
      </c>
      <c r="BJ24" s="206" t="str">
        <f t="shared" si="23"/>
        <v/>
      </c>
      <c r="BK24" s="206" t="str">
        <f t="shared" si="24"/>
        <v/>
      </c>
      <c r="BL24" s="162" t="str">
        <f t="shared" si="33"/>
        <v/>
      </c>
      <c r="BM24" s="206" t="str">
        <f t="shared" si="25"/>
        <v/>
      </c>
      <c r="BN24" s="206" t="str">
        <f t="shared" si="26"/>
        <v/>
      </c>
      <c r="BO24" s="1387"/>
      <c r="BP24" s="104" t="s">
        <v>230</v>
      </c>
      <c r="BQ24" s="94">
        <f t="shared" si="36"/>
        <v>0.6</v>
      </c>
      <c r="BR24" s="95">
        <f t="shared" si="36"/>
        <v>0.9</v>
      </c>
      <c r="BS24" s="95">
        <f t="shared" si="36"/>
        <v>0.93330000000000002</v>
      </c>
      <c r="BT24" s="95">
        <f t="shared" si="36"/>
        <v>0.9667</v>
      </c>
      <c r="BU24" s="96">
        <f t="shared" si="36"/>
        <v>1</v>
      </c>
    </row>
    <row r="25" spans="2:73" s="105" customFormat="1" ht="12.95" customHeight="1" x14ac:dyDescent="0.2">
      <c r="B25" s="165" t="str">
        <f>IF(ISNA(Z25),"",IF(OR(Z25=1,Z25=2),"    ",MAX($B$8:B24)+1))</f>
        <v/>
      </c>
      <c r="C25" s="1375" t="str">
        <f t="shared" si="0"/>
        <v/>
      </c>
      <c r="D25" s="1375"/>
      <c r="E25" s="1375"/>
      <c r="F25" s="1376"/>
      <c r="G25" s="152" t="str">
        <f t="shared" si="1"/>
        <v/>
      </c>
      <c r="H25" s="153" t="str">
        <f t="shared" si="2"/>
        <v/>
      </c>
      <c r="I25" s="166" t="str">
        <f t="shared" si="2"/>
        <v/>
      </c>
      <c r="J25" s="172"/>
      <c r="K25" s="173"/>
      <c r="L25" s="1075"/>
      <c r="M25" s="1076"/>
      <c r="N25" s="1076"/>
      <c r="O25" s="1076"/>
      <c r="P25" s="1076"/>
      <c r="Q25" s="1076"/>
      <c r="R25" s="1077"/>
      <c r="T25" s="119">
        <v>18</v>
      </c>
      <c r="U25" s="110" t="e">
        <v>#N/A</v>
      </c>
      <c r="V25" s="206" t="e">
        <v>#N/A</v>
      </c>
      <c r="W25" s="206" t="e">
        <v>#N/A</v>
      </c>
      <c r="X25" s="206" t="e">
        <v>#N/A</v>
      </c>
      <c r="Y25" s="206" t="e">
        <v>#N/A</v>
      </c>
      <c r="Z25" s="160" t="e">
        <v>#N/A</v>
      </c>
      <c r="AA25" s="160" t="e">
        <v>#N/A</v>
      </c>
      <c r="AB25" s="160" t="e">
        <v>#N/A</v>
      </c>
      <c r="AC25" s="206" t="e">
        <v>#N/A</v>
      </c>
      <c r="AD25" s="206" t="e">
        <v>#N/A</v>
      </c>
      <c r="AE25" s="206" t="e">
        <v>#N/A</v>
      </c>
      <c r="AF25" s="206" t="e">
        <v>#N/A</v>
      </c>
      <c r="AG25" s="206" t="e">
        <f t="shared" si="3"/>
        <v>#N/A</v>
      </c>
      <c r="AH25" s="206" t="str">
        <f t="shared" si="4"/>
        <v/>
      </c>
      <c r="AI25" s="86" t="e">
        <f>IF(NOT(OR(Z25=1,Z25=2)),IF(AQ25&gt;0,$AR$44*AQ25/SUMIF($AQ$8:$AQ$39,"&gt;0"),IF(AU25&gt;0,$AV$44*AU25/SUMIF($AU$8:$AU$39,"&gt;0"),IF(AS25&gt;0,$AT$44*AS25/SUMIF($AS$8:$AS$39,"&gt;0"),""))),IF(SUMIF(AJ26:$AJ$39,"=" &amp; AJ25,AI26:$AI$39)=0,"",SUMIF(AJ26:$AJ$39,"=" &amp; AJ25,AI26:$AI$39)))</f>
        <v>#N/A</v>
      </c>
      <c r="AJ25" s="87" t="e">
        <f t="shared" si="34"/>
        <v>#N/A</v>
      </c>
      <c r="AK25" s="206" t="str">
        <f t="shared" si="27"/>
        <v/>
      </c>
      <c r="AL25" s="160" t="str">
        <f t="shared" si="28"/>
        <v/>
      </c>
      <c r="AM25" s="160" t="str">
        <f t="shared" si="35"/>
        <v/>
      </c>
      <c r="AN25" s="160" t="str">
        <f t="shared" si="5"/>
        <v/>
      </c>
      <c r="AO25" s="160" t="e">
        <f t="shared" si="6"/>
        <v>#N/A</v>
      </c>
      <c r="AP25" s="206" t="str">
        <f t="shared" si="7"/>
        <v/>
      </c>
      <c r="AQ25" s="157">
        <f t="shared" si="29"/>
        <v>0</v>
      </c>
      <c r="AR25" s="88" t="str">
        <f t="shared" si="8"/>
        <v/>
      </c>
      <c r="AS25" s="89">
        <f t="shared" si="30"/>
        <v>0</v>
      </c>
      <c r="AT25" s="88" t="str">
        <f t="shared" si="9"/>
        <v/>
      </c>
      <c r="AU25" s="158">
        <f t="shared" si="10"/>
        <v>0</v>
      </c>
      <c r="AV25" s="90" t="str">
        <f t="shared" si="11"/>
        <v/>
      </c>
      <c r="AW25" s="158" t="b">
        <f t="shared" si="12"/>
        <v>0</v>
      </c>
      <c r="AX25" s="159" t="b">
        <f t="shared" si="13"/>
        <v>0</v>
      </c>
      <c r="AY25" s="158" t="b">
        <f t="shared" si="14"/>
        <v>0</v>
      </c>
      <c r="AZ25" s="159" t="b">
        <f t="shared" si="15"/>
        <v>0</v>
      </c>
      <c r="BA25" s="206" t="b">
        <f t="shared" si="16"/>
        <v>0</v>
      </c>
      <c r="BB25" s="206" t="b">
        <f t="shared" si="17"/>
        <v>0</v>
      </c>
      <c r="BC25" s="158" t="b">
        <f t="shared" si="18"/>
        <v>0</v>
      </c>
      <c r="BD25" s="160" t="b">
        <f t="shared" si="31"/>
        <v>0</v>
      </c>
      <c r="BE25" s="159" t="b">
        <f t="shared" si="37"/>
        <v>0</v>
      </c>
      <c r="BF25" s="161" t="b">
        <f t="shared" si="20"/>
        <v>0</v>
      </c>
      <c r="BG25" s="206" t="str">
        <f t="shared" si="38"/>
        <v>NA</v>
      </c>
      <c r="BH25" s="206" t="str">
        <f t="shared" si="32"/>
        <v/>
      </c>
      <c r="BI25" s="206" t="str">
        <f t="shared" si="22"/>
        <v/>
      </c>
      <c r="BJ25" s="206" t="str">
        <f t="shared" si="23"/>
        <v/>
      </c>
      <c r="BK25" s="206" t="str">
        <f t="shared" si="24"/>
        <v/>
      </c>
      <c r="BL25" s="162" t="str">
        <f t="shared" si="33"/>
        <v/>
      </c>
      <c r="BM25" s="206" t="str">
        <f t="shared" si="25"/>
        <v/>
      </c>
      <c r="BN25" s="206" t="str">
        <f t="shared" si="26"/>
        <v/>
      </c>
      <c r="BO25" s="1387"/>
      <c r="BP25" s="104" t="s">
        <v>231</v>
      </c>
      <c r="BQ25" s="94">
        <f t="shared" si="36"/>
        <v>0.6</v>
      </c>
      <c r="BR25" s="95">
        <f t="shared" si="36"/>
        <v>0.7</v>
      </c>
      <c r="BS25" s="95">
        <f t="shared" si="36"/>
        <v>0.9</v>
      </c>
      <c r="BT25" s="95">
        <f t="shared" si="36"/>
        <v>0.95</v>
      </c>
      <c r="BU25" s="96">
        <f t="shared" si="36"/>
        <v>1</v>
      </c>
    </row>
    <row r="26" spans="2:73" s="105" customFormat="1" ht="12.95" customHeight="1" x14ac:dyDescent="0.2">
      <c r="B26" s="165" t="str">
        <f>IF(ISNA(Z26),"",IF(OR(Z26=1,Z26=2),"    ",MAX($B$8:B25)+1))</f>
        <v/>
      </c>
      <c r="C26" s="1375" t="str">
        <f t="shared" si="0"/>
        <v/>
      </c>
      <c r="D26" s="1375"/>
      <c r="E26" s="1375"/>
      <c r="F26" s="1376"/>
      <c r="G26" s="152" t="str">
        <f t="shared" si="1"/>
        <v/>
      </c>
      <c r="H26" s="153" t="str">
        <f t="shared" si="2"/>
        <v/>
      </c>
      <c r="I26" s="166" t="str">
        <f t="shared" si="2"/>
        <v/>
      </c>
      <c r="J26" s="172"/>
      <c r="K26" s="173"/>
      <c r="L26" s="1075"/>
      <c r="M26" s="1076"/>
      <c r="N26" s="1076"/>
      <c r="O26" s="1076"/>
      <c r="P26" s="1076"/>
      <c r="Q26" s="1076"/>
      <c r="R26" s="1077"/>
      <c r="T26" s="119">
        <v>19</v>
      </c>
      <c r="U26" s="110" t="e">
        <v>#N/A</v>
      </c>
      <c r="V26" s="206" t="e">
        <v>#N/A</v>
      </c>
      <c r="W26" s="206" t="e">
        <v>#N/A</v>
      </c>
      <c r="X26" s="206" t="e">
        <v>#N/A</v>
      </c>
      <c r="Y26" s="206" t="e">
        <v>#N/A</v>
      </c>
      <c r="Z26" s="160" t="e">
        <v>#N/A</v>
      </c>
      <c r="AA26" s="160" t="e">
        <v>#N/A</v>
      </c>
      <c r="AB26" s="160" t="e">
        <v>#N/A</v>
      </c>
      <c r="AC26" s="206" t="e">
        <v>#N/A</v>
      </c>
      <c r="AD26" s="206" t="e">
        <v>#N/A</v>
      </c>
      <c r="AE26" s="206" t="e">
        <v>#N/A</v>
      </c>
      <c r="AF26" s="206" t="e">
        <v>#N/A</v>
      </c>
      <c r="AG26" s="206" t="e">
        <f t="shared" si="3"/>
        <v>#N/A</v>
      </c>
      <c r="AH26" s="206" t="str">
        <f t="shared" si="4"/>
        <v/>
      </c>
      <c r="AI26" s="86" t="e">
        <f>IF(NOT(OR(Z26=1,Z26=2)),IF(AQ26&gt;0,$AR$44*AQ26/SUMIF($AQ$8:$AQ$39,"&gt;0"),IF(AU26&gt;0,$AV$44*AU26/SUMIF($AU$8:$AU$39,"&gt;0"),IF(AS26&gt;0,$AT$44*AS26/SUMIF($AS$8:$AS$39,"&gt;0"),""))),IF(SUMIF(AJ27:$AJ$39,"=" &amp; AJ26,AI27:$AI$39)=0,"",SUMIF(AJ27:$AJ$39,"=" &amp; AJ26,AI27:$AI$39)))</f>
        <v>#N/A</v>
      </c>
      <c r="AJ26" s="87" t="e">
        <f t="shared" si="34"/>
        <v>#N/A</v>
      </c>
      <c r="AK26" s="206" t="str">
        <f t="shared" si="27"/>
        <v/>
      </c>
      <c r="AL26" s="160" t="str">
        <f t="shared" si="28"/>
        <v/>
      </c>
      <c r="AM26" s="160" t="str">
        <f t="shared" si="35"/>
        <v/>
      </c>
      <c r="AN26" s="160" t="str">
        <f t="shared" si="5"/>
        <v/>
      </c>
      <c r="AO26" s="160" t="e">
        <f t="shared" si="6"/>
        <v>#N/A</v>
      </c>
      <c r="AP26" s="206" t="str">
        <f t="shared" si="7"/>
        <v/>
      </c>
      <c r="AQ26" s="157">
        <f t="shared" si="29"/>
        <v>0</v>
      </c>
      <c r="AR26" s="88" t="str">
        <f t="shared" si="8"/>
        <v/>
      </c>
      <c r="AS26" s="89">
        <f t="shared" si="30"/>
        <v>0</v>
      </c>
      <c r="AT26" s="88" t="str">
        <f t="shared" si="9"/>
        <v/>
      </c>
      <c r="AU26" s="158">
        <f t="shared" si="10"/>
        <v>0</v>
      </c>
      <c r="AV26" s="90" t="str">
        <f t="shared" si="11"/>
        <v/>
      </c>
      <c r="AW26" s="158" t="b">
        <f t="shared" si="12"/>
        <v>0</v>
      </c>
      <c r="AX26" s="159" t="b">
        <f t="shared" si="13"/>
        <v>0</v>
      </c>
      <c r="AY26" s="158" t="b">
        <f t="shared" si="14"/>
        <v>0</v>
      </c>
      <c r="AZ26" s="159" t="b">
        <f t="shared" si="15"/>
        <v>0</v>
      </c>
      <c r="BA26" s="206" t="b">
        <f t="shared" si="16"/>
        <v>0</v>
      </c>
      <c r="BB26" s="206" t="b">
        <f t="shared" si="17"/>
        <v>0</v>
      </c>
      <c r="BC26" s="158" t="b">
        <f t="shared" si="18"/>
        <v>0</v>
      </c>
      <c r="BD26" s="160" t="b">
        <f t="shared" si="31"/>
        <v>0</v>
      </c>
      <c r="BE26" s="159" t="b">
        <f t="shared" si="37"/>
        <v>0</v>
      </c>
      <c r="BF26" s="161" t="b">
        <f t="shared" si="20"/>
        <v>0</v>
      </c>
      <c r="BG26" s="206" t="str">
        <f t="shared" si="38"/>
        <v>NA</v>
      </c>
      <c r="BH26" s="206" t="str">
        <f t="shared" si="32"/>
        <v/>
      </c>
      <c r="BI26" s="206" t="str">
        <f t="shared" si="22"/>
        <v/>
      </c>
      <c r="BJ26" s="206" t="str">
        <f t="shared" si="23"/>
        <v/>
      </c>
      <c r="BK26" s="206" t="str">
        <f t="shared" si="24"/>
        <v/>
      </c>
      <c r="BL26" s="162" t="str">
        <f t="shared" si="33"/>
        <v/>
      </c>
      <c r="BM26" s="206" t="str">
        <f t="shared" si="25"/>
        <v/>
      </c>
      <c r="BN26" s="206" t="str">
        <f t="shared" si="26"/>
        <v/>
      </c>
      <c r="BO26" s="1387"/>
      <c r="BP26" s="104" t="s">
        <v>232</v>
      </c>
      <c r="BQ26" s="94">
        <f t="shared" si="36"/>
        <v>0.6</v>
      </c>
      <c r="BR26" s="95">
        <f t="shared" si="36"/>
        <v>0.7</v>
      </c>
      <c r="BS26" s="95">
        <f t="shared" si="36"/>
        <v>0.8</v>
      </c>
      <c r="BT26" s="95">
        <f t="shared" si="36"/>
        <v>0.9</v>
      </c>
      <c r="BU26" s="96">
        <f t="shared" si="36"/>
        <v>1</v>
      </c>
    </row>
    <row r="27" spans="2:73" s="105" customFormat="1" ht="12.95" customHeight="1" x14ac:dyDescent="0.2">
      <c r="B27" s="165" t="str">
        <f>IF(ISNA(Z27),"",IF(OR(Z27=1,Z27=2),"    ",MAX($B$8:B26)+1))</f>
        <v/>
      </c>
      <c r="C27" s="1375" t="str">
        <f t="shared" si="0"/>
        <v/>
      </c>
      <c r="D27" s="1375"/>
      <c r="E27" s="1375"/>
      <c r="F27" s="1376"/>
      <c r="G27" s="152" t="str">
        <f t="shared" si="1"/>
        <v/>
      </c>
      <c r="H27" s="153" t="str">
        <f t="shared" si="2"/>
        <v/>
      </c>
      <c r="I27" s="166" t="str">
        <f t="shared" si="2"/>
        <v/>
      </c>
      <c r="J27" s="172"/>
      <c r="K27" s="173"/>
      <c r="L27" s="1075"/>
      <c r="M27" s="1076"/>
      <c r="N27" s="1076"/>
      <c r="O27" s="1076"/>
      <c r="P27" s="1076"/>
      <c r="Q27" s="1076"/>
      <c r="R27" s="1077"/>
      <c r="T27" s="119">
        <v>20</v>
      </c>
      <c r="U27" s="110" t="e">
        <v>#N/A</v>
      </c>
      <c r="V27" s="206" t="e">
        <v>#N/A</v>
      </c>
      <c r="W27" s="206" t="e">
        <v>#N/A</v>
      </c>
      <c r="X27" s="206" t="e">
        <v>#N/A</v>
      </c>
      <c r="Y27" s="206" t="e">
        <v>#N/A</v>
      </c>
      <c r="Z27" s="160" t="e">
        <v>#N/A</v>
      </c>
      <c r="AA27" s="160" t="e">
        <v>#N/A</v>
      </c>
      <c r="AB27" s="160" t="e">
        <v>#N/A</v>
      </c>
      <c r="AC27" s="206" t="e">
        <v>#N/A</v>
      </c>
      <c r="AD27" s="206" t="e">
        <v>#N/A</v>
      </c>
      <c r="AE27" s="206" t="e">
        <v>#N/A</v>
      </c>
      <c r="AF27" s="206" t="e">
        <v>#N/A</v>
      </c>
      <c r="AG27" s="206" t="e">
        <f t="shared" si="3"/>
        <v>#N/A</v>
      </c>
      <c r="AH27" s="206" t="str">
        <f t="shared" si="4"/>
        <v/>
      </c>
      <c r="AI27" s="86" t="e">
        <f>IF(NOT(OR(Z27=1,Z27=2)),IF(AQ27&gt;0,$AR$44*AQ27/SUMIF($AQ$8:$AQ$39,"&gt;0"),IF(AU27&gt;0,$AV$44*AU27/SUMIF($AU$8:$AU$39,"&gt;0"),IF(AS27&gt;0,$AT$44*AS27/SUMIF($AS$8:$AS$39,"&gt;0"),""))),IF(SUMIF(AJ28:$AJ$39,"=" &amp; AJ27,AI28:$AI$39)=0,"",SUMIF(AJ28:$AJ$39,"=" &amp; AJ27,AI28:$AI$39)))</f>
        <v>#N/A</v>
      </c>
      <c r="AJ27" s="87" t="e">
        <f t="shared" si="34"/>
        <v>#N/A</v>
      </c>
      <c r="AK27" s="206" t="str">
        <f t="shared" si="27"/>
        <v/>
      </c>
      <c r="AL27" s="160" t="str">
        <f t="shared" si="28"/>
        <v/>
      </c>
      <c r="AM27" s="160" t="str">
        <f t="shared" si="35"/>
        <v/>
      </c>
      <c r="AN27" s="160" t="str">
        <f t="shared" si="5"/>
        <v/>
      </c>
      <c r="AO27" s="160" t="e">
        <f t="shared" si="6"/>
        <v>#N/A</v>
      </c>
      <c r="AP27" s="206" t="str">
        <f t="shared" si="7"/>
        <v/>
      </c>
      <c r="AQ27" s="157">
        <f t="shared" si="29"/>
        <v>0</v>
      </c>
      <c r="AR27" s="88" t="str">
        <f t="shared" si="8"/>
        <v/>
      </c>
      <c r="AS27" s="89">
        <f t="shared" si="30"/>
        <v>0</v>
      </c>
      <c r="AT27" s="88" t="str">
        <f t="shared" si="9"/>
        <v/>
      </c>
      <c r="AU27" s="158">
        <f t="shared" si="10"/>
        <v>0</v>
      </c>
      <c r="AV27" s="90" t="str">
        <f t="shared" si="11"/>
        <v/>
      </c>
      <c r="AW27" s="158" t="b">
        <f t="shared" si="12"/>
        <v>0</v>
      </c>
      <c r="AX27" s="159" t="b">
        <f t="shared" si="13"/>
        <v>0</v>
      </c>
      <c r="AY27" s="158" t="b">
        <f t="shared" si="14"/>
        <v>0</v>
      </c>
      <c r="AZ27" s="159" t="b">
        <f t="shared" si="15"/>
        <v>0</v>
      </c>
      <c r="BA27" s="206" t="b">
        <f t="shared" si="16"/>
        <v>0</v>
      </c>
      <c r="BB27" s="206" t="b">
        <f t="shared" si="17"/>
        <v>0</v>
      </c>
      <c r="BC27" s="158" t="b">
        <f t="shared" si="18"/>
        <v>0</v>
      </c>
      <c r="BD27" s="160" t="b">
        <f t="shared" si="31"/>
        <v>0</v>
      </c>
      <c r="BE27" s="159" t="b">
        <f t="shared" si="37"/>
        <v>0</v>
      </c>
      <c r="BF27" s="161" t="b">
        <f t="shared" si="20"/>
        <v>0</v>
      </c>
      <c r="BG27" s="206" t="str">
        <f t="shared" si="38"/>
        <v>NA</v>
      </c>
      <c r="BH27" s="206" t="str">
        <f t="shared" si="32"/>
        <v/>
      </c>
      <c r="BI27" s="206" t="str">
        <f t="shared" si="22"/>
        <v/>
      </c>
      <c r="BJ27" s="206" t="str">
        <f t="shared" si="23"/>
        <v/>
      </c>
      <c r="BK27" s="206" t="str">
        <f t="shared" si="24"/>
        <v/>
      </c>
      <c r="BL27" s="162" t="str">
        <f t="shared" si="33"/>
        <v/>
      </c>
      <c r="BM27" s="206" t="str">
        <f t="shared" si="25"/>
        <v/>
      </c>
      <c r="BN27" s="206" t="str">
        <f t="shared" si="26"/>
        <v/>
      </c>
      <c r="BO27" s="1387"/>
      <c r="BP27" s="104" t="s">
        <v>233</v>
      </c>
      <c r="BQ27" s="94">
        <f t="shared" si="36"/>
        <v>0.3</v>
      </c>
      <c r="BR27" s="95">
        <f t="shared" si="36"/>
        <v>0.6</v>
      </c>
      <c r="BS27" s="95">
        <f t="shared" si="36"/>
        <v>0.9</v>
      </c>
      <c r="BT27" s="95">
        <f t="shared" si="36"/>
        <v>0.95</v>
      </c>
      <c r="BU27" s="96">
        <f t="shared" si="36"/>
        <v>1</v>
      </c>
    </row>
    <row r="28" spans="2:73" s="105" customFormat="1" ht="12.95" customHeight="1" x14ac:dyDescent="0.2">
      <c r="B28" s="165" t="str">
        <f>IF(ISNA(Z28),"",IF(OR(Z28=1,Z28=2),"    ",MAX($B$8:B27)+1))</f>
        <v/>
      </c>
      <c r="C28" s="1375" t="str">
        <f t="shared" si="0"/>
        <v/>
      </c>
      <c r="D28" s="1375"/>
      <c r="E28" s="1375"/>
      <c r="F28" s="1376"/>
      <c r="G28" s="152" t="str">
        <f t="shared" si="1"/>
        <v/>
      </c>
      <c r="H28" s="153" t="str">
        <f t="shared" si="2"/>
        <v/>
      </c>
      <c r="I28" s="166" t="str">
        <f t="shared" si="2"/>
        <v/>
      </c>
      <c r="J28" s="172"/>
      <c r="K28" s="173"/>
      <c r="L28" s="1075"/>
      <c r="M28" s="1076"/>
      <c r="N28" s="1076"/>
      <c r="O28" s="1076"/>
      <c r="P28" s="1076"/>
      <c r="Q28" s="1076"/>
      <c r="R28" s="1077"/>
      <c r="T28" s="119">
        <v>21</v>
      </c>
      <c r="U28" s="110" t="e">
        <v>#N/A</v>
      </c>
      <c r="V28" s="206" t="e">
        <v>#N/A</v>
      </c>
      <c r="W28" s="206" t="e">
        <v>#N/A</v>
      </c>
      <c r="X28" s="206" t="e">
        <v>#N/A</v>
      </c>
      <c r="Y28" s="206" t="e">
        <v>#N/A</v>
      </c>
      <c r="Z28" s="160" t="e">
        <v>#N/A</v>
      </c>
      <c r="AA28" s="160" t="e">
        <v>#N/A</v>
      </c>
      <c r="AB28" s="160" t="e">
        <v>#N/A</v>
      </c>
      <c r="AC28" s="206" t="e">
        <v>#N/A</v>
      </c>
      <c r="AD28" s="206" t="e">
        <v>#N/A</v>
      </c>
      <c r="AE28" s="206" t="e">
        <v>#N/A</v>
      </c>
      <c r="AF28" s="206" t="e">
        <v>#N/A</v>
      </c>
      <c r="AG28" s="206" t="e">
        <f t="shared" si="3"/>
        <v>#N/A</v>
      </c>
      <c r="AH28" s="206" t="str">
        <f t="shared" si="4"/>
        <v/>
      </c>
      <c r="AI28" s="86" t="e">
        <f>IF(NOT(OR(Z28=1,Z28=2)),IF(AQ28&gt;0,$AR$44*AQ28/SUMIF($AQ$8:$AQ$39,"&gt;0"),IF(AU28&gt;0,$AV$44*AU28/SUMIF($AU$8:$AU$39,"&gt;0"),IF(AS28&gt;0,$AT$44*AS28/SUMIF($AS$8:$AS$39,"&gt;0"),""))),IF(SUMIF(AJ29:$AJ$39,"=" &amp; AJ28,AI29:$AI$39)=0,"",SUMIF(AJ29:$AJ$39,"=" &amp; AJ28,AI29:$AI$39)))</f>
        <v>#N/A</v>
      </c>
      <c r="AJ28" s="87" t="e">
        <f t="shared" si="34"/>
        <v>#N/A</v>
      </c>
      <c r="AK28" s="206" t="str">
        <f t="shared" si="27"/>
        <v/>
      </c>
      <c r="AL28" s="160" t="str">
        <f t="shared" si="28"/>
        <v/>
      </c>
      <c r="AM28" s="160" t="str">
        <f t="shared" si="35"/>
        <v/>
      </c>
      <c r="AN28" s="160" t="str">
        <f t="shared" si="5"/>
        <v/>
      </c>
      <c r="AO28" s="160" t="e">
        <f t="shared" si="6"/>
        <v>#N/A</v>
      </c>
      <c r="AP28" s="206" t="str">
        <f t="shared" si="7"/>
        <v/>
      </c>
      <c r="AQ28" s="157">
        <f t="shared" si="29"/>
        <v>0</v>
      </c>
      <c r="AR28" s="88" t="str">
        <f t="shared" si="8"/>
        <v/>
      </c>
      <c r="AS28" s="89">
        <f t="shared" si="30"/>
        <v>0</v>
      </c>
      <c r="AT28" s="88" t="str">
        <f t="shared" si="9"/>
        <v/>
      </c>
      <c r="AU28" s="158">
        <f t="shared" si="10"/>
        <v>0</v>
      </c>
      <c r="AV28" s="90" t="str">
        <f t="shared" si="11"/>
        <v/>
      </c>
      <c r="AW28" s="158" t="b">
        <f t="shared" si="12"/>
        <v>0</v>
      </c>
      <c r="AX28" s="159" t="b">
        <f t="shared" si="13"/>
        <v>0</v>
      </c>
      <c r="AY28" s="158" t="b">
        <f t="shared" si="14"/>
        <v>0</v>
      </c>
      <c r="AZ28" s="159" t="b">
        <f t="shared" si="15"/>
        <v>0</v>
      </c>
      <c r="BA28" s="206" t="b">
        <f t="shared" si="16"/>
        <v>0</v>
      </c>
      <c r="BB28" s="206" t="b">
        <f t="shared" si="17"/>
        <v>0</v>
      </c>
      <c r="BC28" s="158" t="b">
        <f t="shared" si="18"/>
        <v>0</v>
      </c>
      <c r="BD28" s="160" t="b">
        <f t="shared" si="31"/>
        <v>0</v>
      </c>
      <c r="BE28" s="159" t="b">
        <f t="shared" si="37"/>
        <v>0</v>
      </c>
      <c r="BF28" s="161" t="b">
        <f t="shared" si="20"/>
        <v>0</v>
      </c>
      <c r="BG28" s="206" t="str">
        <f t="shared" si="38"/>
        <v>NA</v>
      </c>
      <c r="BH28" s="206" t="str">
        <f t="shared" si="32"/>
        <v/>
      </c>
      <c r="BI28" s="206" t="str">
        <f t="shared" si="22"/>
        <v/>
      </c>
      <c r="BJ28" s="206" t="str">
        <f t="shared" si="23"/>
        <v/>
      </c>
      <c r="BK28" s="206" t="str">
        <f t="shared" si="24"/>
        <v/>
      </c>
      <c r="BL28" s="162" t="str">
        <f t="shared" si="33"/>
        <v/>
      </c>
      <c r="BM28" s="206" t="str">
        <f t="shared" si="25"/>
        <v/>
      </c>
      <c r="BN28" s="206" t="str">
        <f t="shared" si="26"/>
        <v/>
      </c>
      <c r="BO28" s="1387"/>
      <c r="BP28" s="104" t="s">
        <v>234</v>
      </c>
      <c r="BQ28" s="94">
        <f t="shared" si="36"/>
        <v>0.3</v>
      </c>
      <c r="BR28" s="95">
        <f t="shared" si="36"/>
        <v>0.6</v>
      </c>
      <c r="BS28" s="95">
        <f t="shared" si="36"/>
        <v>0.7</v>
      </c>
      <c r="BT28" s="95">
        <f t="shared" si="36"/>
        <v>0.9</v>
      </c>
      <c r="BU28" s="96">
        <f t="shared" si="36"/>
        <v>1</v>
      </c>
    </row>
    <row r="29" spans="2:73" s="105" customFormat="1" ht="12.95" customHeight="1" x14ac:dyDescent="0.2">
      <c r="B29" s="165" t="str">
        <f>IF(ISNA(Z29),"",IF(OR(Z29=1,Z29=2),"    ",MAX($B$8:B28)+1))</f>
        <v/>
      </c>
      <c r="C29" s="1375" t="str">
        <f t="shared" si="0"/>
        <v/>
      </c>
      <c r="D29" s="1375"/>
      <c r="E29" s="1375"/>
      <c r="F29" s="1376"/>
      <c r="G29" s="152" t="str">
        <f t="shared" si="1"/>
        <v/>
      </c>
      <c r="H29" s="153" t="str">
        <f t="shared" si="2"/>
        <v/>
      </c>
      <c r="I29" s="166" t="str">
        <f t="shared" si="2"/>
        <v/>
      </c>
      <c r="J29" s="172"/>
      <c r="K29" s="173"/>
      <c r="L29" s="1075"/>
      <c r="M29" s="1076"/>
      <c r="N29" s="1076"/>
      <c r="O29" s="1076"/>
      <c r="P29" s="1076"/>
      <c r="Q29" s="1076"/>
      <c r="R29" s="1077"/>
      <c r="T29" s="119">
        <v>22</v>
      </c>
      <c r="U29" s="110" t="e">
        <v>#N/A</v>
      </c>
      <c r="V29" s="206" t="e">
        <v>#N/A</v>
      </c>
      <c r="W29" s="206" t="e">
        <v>#N/A</v>
      </c>
      <c r="X29" s="206" t="e">
        <v>#N/A</v>
      </c>
      <c r="Y29" s="206" t="e">
        <v>#N/A</v>
      </c>
      <c r="Z29" s="160" t="e">
        <v>#N/A</v>
      </c>
      <c r="AA29" s="160" t="e">
        <v>#N/A</v>
      </c>
      <c r="AB29" s="160" t="e">
        <v>#N/A</v>
      </c>
      <c r="AC29" s="206" t="e">
        <v>#N/A</v>
      </c>
      <c r="AD29" s="206" t="e">
        <v>#N/A</v>
      </c>
      <c r="AE29" s="206" t="e">
        <v>#N/A</v>
      </c>
      <c r="AF29" s="206" t="e">
        <v>#N/A</v>
      </c>
      <c r="AG29" s="206" t="e">
        <f t="shared" si="3"/>
        <v>#N/A</v>
      </c>
      <c r="AH29" s="206" t="str">
        <f t="shared" si="4"/>
        <v/>
      </c>
      <c r="AI29" s="86" t="e">
        <f>IF(NOT(OR(Z29=1,Z29=2)),IF(AQ29&gt;0,$AR$44*AQ29/SUMIF($AQ$8:$AQ$39,"&gt;0"),IF(AU29&gt;0,$AV$44*AU29/SUMIF($AU$8:$AU$39,"&gt;0"),IF(AS29&gt;0,$AT$44*AS29/SUMIF($AS$8:$AS$39,"&gt;0"),""))),IF(SUMIF(AJ30:$AJ$39,"=" &amp; AJ29,AI30:$AI$39)=0,"",SUMIF(AJ30:$AJ$39,"=" &amp; AJ29,AI30:$AI$39)))</f>
        <v>#N/A</v>
      </c>
      <c r="AJ29" s="87" t="e">
        <f t="shared" si="34"/>
        <v>#N/A</v>
      </c>
      <c r="AK29" s="206" t="str">
        <f t="shared" si="27"/>
        <v/>
      </c>
      <c r="AL29" s="160" t="str">
        <f t="shared" si="28"/>
        <v/>
      </c>
      <c r="AM29" s="160" t="str">
        <f t="shared" si="35"/>
        <v/>
      </c>
      <c r="AN29" s="160" t="str">
        <f t="shared" si="5"/>
        <v/>
      </c>
      <c r="AO29" s="160" t="e">
        <f t="shared" si="6"/>
        <v>#N/A</v>
      </c>
      <c r="AP29" s="206" t="str">
        <f t="shared" si="7"/>
        <v/>
      </c>
      <c r="AQ29" s="157">
        <f t="shared" si="29"/>
        <v>0</v>
      </c>
      <c r="AR29" s="88" t="str">
        <f t="shared" si="8"/>
        <v/>
      </c>
      <c r="AS29" s="89">
        <f t="shared" si="30"/>
        <v>0</v>
      </c>
      <c r="AT29" s="88" t="str">
        <f t="shared" si="9"/>
        <v/>
      </c>
      <c r="AU29" s="158">
        <f t="shared" si="10"/>
        <v>0</v>
      </c>
      <c r="AV29" s="90" t="str">
        <f t="shared" si="11"/>
        <v/>
      </c>
      <c r="AW29" s="158" t="b">
        <f t="shared" si="12"/>
        <v>0</v>
      </c>
      <c r="AX29" s="159" t="b">
        <f t="shared" si="13"/>
        <v>0</v>
      </c>
      <c r="AY29" s="158" t="b">
        <f t="shared" si="14"/>
        <v>0</v>
      </c>
      <c r="AZ29" s="159" t="b">
        <f t="shared" si="15"/>
        <v>0</v>
      </c>
      <c r="BA29" s="206" t="b">
        <f t="shared" si="16"/>
        <v>0</v>
      </c>
      <c r="BB29" s="206" t="b">
        <f t="shared" si="17"/>
        <v>0</v>
      </c>
      <c r="BC29" s="158" t="b">
        <f t="shared" si="18"/>
        <v>0</v>
      </c>
      <c r="BD29" s="160" t="b">
        <f t="shared" si="31"/>
        <v>0</v>
      </c>
      <c r="BE29" s="159" t="b">
        <f t="shared" si="37"/>
        <v>0</v>
      </c>
      <c r="BF29" s="161" t="b">
        <f t="shared" si="20"/>
        <v>0</v>
      </c>
      <c r="BG29" s="206" t="str">
        <f t="shared" si="38"/>
        <v>NA</v>
      </c>
      <c r="BH29" s="206" t="str">
        <f t="shared" si="32"/>
        <v/>
      </c>
      <c r="BI29" s="206" t="str">
        <f t="shared" si="22"/>
        <v/>
      </c>
      <c r="BJ29" s="206" t="str">
        <f t="shared" si="23"/>
        <v/>
      </c>
      <c r="BK29" s="206" t="str">
        <f t="shared" si="24"/>
        <v/>
      </c>
      <c r="BL29" s="162" t="str">
        <f t="shared" si="33"/>
        <v/>
      </c>
      <c r="BM29" s="206" t="str">
        <f t="shared" si="25"/>
        <v/>
      </c>
      <c r="BN29" s="206" t="str">
        <f t="shared" si="26"/>
        <v/>
      </c>
      <c r="BO29" s="1387"/>
      <c r="BP29" s="104" t="s">
        <v>235</v>
      </c>
      <c r="BQ29" s="97">
        <f t="shared" si="36"/>
        <v>0</v>
      </c>
      <c r="BR29" s="98">
        <f t="shared" si="36"/>
        <v>0.3</v>
      </c>
      <c r="BS29" s="98">
        <f t="shared" si="36"/>
        <v>0.6</v>
      </c>
      <c r="BT29" s="98">
        <f t="shared" si="36"/>
        <v>0.9</v>
      </c>
      <c r="BU29" s="99">
        <f t="shared" si="36"/>
        <v>1</v>
      </c>
    </row>
    <row r="30" spans="2:73" s="105" customFormat="1" ht="12.95" customHeight="1" x14ac:dyDescent="0.2">
      <c r="B30" s="165" t="str">
        <f>IF(ISNA(Z30),"",IF(OR(Z30=1,Z30=2),"    ",MAX($B$8:B29)+1))</f>
        <v/>
      </c>
      <c r="C30" s="1375" t="str">
        <f t="shared" si="0"/>
        <v/>
      </c>
      <c r="D30" s="1375"/>
      <c r="E30" s="1375"/>
      <c r="F30" s="1376"/>
      <c r="G30" s="152" t="str">
        <f t="shared" si="1"/>
        <v/>
      </c>
      <c r="H30" s="153" t="str">
        <f t="shared" si="2"/>
        <v/>
      </c>
      <c r="I30" s="166" t="str">
        <f t="shared" si="2"/>
        <v/>
      </c>
      <c r="J30" s="172"/>
      <c r="K30" s="173"/>
      <c r="L30" s="1075"/>
      <c r="M30" s="1076"/>
      <c r="N30" s="1076"/>
      <c r="O30" s="1076"/>
      <c r="P30" s="1076"/>
      <c r="Q30" s="1076"/>
      <c r="R30" s="1077"/>
      <c r="T30" s="119">
        <v>23</v>
      </c>
      <c r="U30" s="110" t="e">
        <v>#N/A</v>
      </c>
      <c r="V30" s="206" t="e">
        <v>#N/A</v>
      </c>
      <c r="W30" s="206" t="e">
        <v>#N/A</v>
      </c>
      <c r="X30" s="206" t="e">
        <v>#N/A</v>
      </c>
      <c r="Y30" s="206" t="e">
        <v>#N/A</v>
      </c>
      <c r="Z30" s="160" t="e">
        <v>#N/A</v>
      </c>
      <c r="AA30" s="160" t="e">
        <v>#N/A</v>
      </c>
      <c r="AB30" s="160" t="e">
        <v>#N/A</v>
      </c>
      <c r="AC30" s="206" t="e">
        <v>#N/A</v>
      </c>
      <c r="AD30" s="206" t="e">
        <v>#N/A</v>
      </c>
      <c r="AE30" s="206" t="e">
        <v>#N/A</v>
      </c>
      <c r="AF30" s="206" t="e">
        <v>#N/A</v>
      </c>
      <c r="AG30" s="206" t="e">
        <f t="shared" si="3"/>
        <v>#N/A</v>
      </c>
      <c r="AH30" s="206" t="str">
        <f t="shared" si="4"/>
        <v/>
      </c>
      <c r="AI30" s="86" t="e">
        <f>IF(NOT(OR(Z30=1,Z30=2)),IF(AQ30&gt;0,$AR$44*AQ30/SUMIF($AQ$8:$AQ$39,"&gt;0"),IF(AU30&gt;0,$AV$44*AU30/SUMIF($AU$8:$AU$39,"&gt;0"),IF(AS30&gt;0,$AT$44*AS30/SUMIF($AS$8:$AS$39,"&gt;0"),""))),IF(SUMIF(AJ31:$AJ$39,"=" &amp; AJ30,AI31:$AI$39)=0,"",SUMIF(AJ31:$AJ$39,"=" &amp; AJ30,AI31:$AI$39)))</f>
        <v>#N/A</v>
      </c>
      <c r="AJ30" s="87" t="e">
        <f t="shared" si="34"/>
        <v>#N/A</v>
      </c>
      <c r="AK30" s="206" t="str">
        <f t="shared" si="27"/>
        <v/>
      </c>
      <c r="AL30" s="160" t="str">
        <f t="shared" si="28"/>
        <v/>
      </c>
      <c r="AM30" s="160" t="str">
        <f t="shared" si="35"/>
        <v/>
      </c>
      <c r="AN30" s="160" t="str">
        <f t="shared" si="5"/>
        <v/>
      </c>
      <c r="AO30" s="160" t="e">
        <f t="shared" si="6"/>
        <v>#N/A</v>
      </c>
      <c r="AP30" s="206" t="str">
        <f t="shared" si="7"/>
        <v/>
      </c>
      <c r="AQ30" s="157">
        <f t="shared" si="29"/>
        <v>0</v>
      </c>
      <c r="AR30" s="88" t="str">
        <f t="shared" si="8"/>
        <v/>
      </c>
      <c r="AS30" s="89">
        <f t="shared" si="30"/>
        <v>0</v>
      </c>
      <c r="AT30" s="88" t="str">
        <f t="shared" si="9"/>
        <v/>
      </c>
      <c r="AU30" s="158">
        <f t="shared" si="10"/>
        <v>0</v>
      </c>
      <c r="AV30" s="90" t="str">
        <f t="shared" si="11"/>
        <v/>
      </c>
      <c r="AW30" s="158" t="b">
        <f t="shared" si="12"/>
        <v>0</v>
      </c>
      <c r="AX30" s="159" t="b">
        <f t="shared" si="13"/>
        <v>0</v>
      </c>
      <c r="AY30" s="158" t="b">
        <f t="shared" si="14"/>
        <v>0</v>
      </c>
      <c r="AZ30" s="159" t="b">
        <f t="shared" si="15"/>
        <v>0</v>
      </c>
      <c r="BA30" s="206" t="b">
        <f t="shared" si="16"/>
        <v>0</v>
      </c>
      <c r="BB30" s="206" t="b">
        <f t="shared" si="17"/>
        <v>0</v>
      </c>
      <c r="BC30" s="158" t="b">
        <f t="shared" si="18"/>
        <v>0</v>
      </c>
      <c r="BD30" s="160" t="b">
        <f t="shared" si="31"/>
        <v>0</v>
      </c>
      <c r="BE30" s="159" t="b">
        <f t="shared" si="37"/>
        <v>0</v>
      </c>
      <c r="BF30" s="161" t="b">
        <f t="shared" si="20"/>
        <v>0</v>
      </c>
      <c r="BG30" s="206" t="str">
        <f t="shared" si="38"/>
        <v>NA</v>
      </c>
      <c r="BH30" s="206" t="str">
        <f t="shared" si="32"/>
        <v/>
      </c>
      <c r="BI30" s="206" t="str">
        <f t="shared" si="22"/>
        <v/>
      </c>
      <c r="BJ30" s="206" t="str">
        <f t="shared" si="23"/>
        <v/>
      </c>
      <c r="BK30" s="206" t="str">
        <f t="shared" si="24"/>
        <v/>
      </c>
      <c r="BL30" s="162" t="str">
        <f t="shared" si="33"/>
        <v/>
      </c>
      <c r="BM30" s="206" t="str">
        <f t="shared" si="25"/>
        <v/>
      </c>
      <c r="BN30" s="206" t="str">
        <f t="shared" si="26"/>
        <v/>
      </c>
      <c r="BO30" s="106"/>
    </row>
    <row r="31" spans="2:73" s="105" customFormat="1" ht="12.95" customHeight="1" x14ac:dyDescent="0.2">
      <c r="B31" s="165" t="str">
        <f>IF(ISNA(Z31),"",IF(OR(Z31=1,Z31=2),"    ",MAX($B$8:B30)+1))</f>
        <v/>
      </c>
      <c r="C31" s="1375" t="str">
        <f t="shared" si="0"/>
        <v/>
      </c>
      <c r="D31" s="1375"/>
      <c r="E31" s="1375"/>
      <c r="F31" s="1376"/>
      <c r="G31" s="152" t="str">
        <f t="shared" si="1"/>
        <v/>
      </c>
      <c r="H31" s="153" t="str">
        <f t="shared" si="2"/>
        <v/>
      </c>
      <c r="I31" s="166" t="str">
        <f t="shared" si="2"/>
        <v/>
      </c>
      <c r="J31" s="172"/>
      <c r="K31" s="173"/>
      <c r="L31" s="1075"/>
      <c r="M31" s="1076"/>
      <c r="N31" s="1076"/>
      <c r="O31" s="1076"/>
      <c r="P31" s="1076"/>
      <c r="Q31" s="1076"/>
      <c r="R31" s="1077"/>
      <c r="T31" s="119">
        <v>24</v>
      </c>
      <c r="U31" s="110" t="e">
        <v>#N/A</v>
      </c>
      <c r="V31" s="206" t="e">
        <v>#N/A</v>
      </c>
      <c r="W31" s="206" t="e">
        <v>#N/A</v>
      </c>
      <c r="X31" s="206" t="e">
        <v>#N/A</v>
      </c>
      <c r="Y31" s="206" t="e">
        <v>#N/A</v>
      </c>
      <c r="Z31" s="160" t="e">
        <v>#N/A</v>
      </c>
      <c r="AA31" s="160" t="e">
        <v>#N/A</v>
      </c>
      <c r="AB31" s="160" t="e">
        <v>#N/A</v>
      </c>
      <c r="AC31" s="206" t="e">
        <v>#N/A</v>
      </c>
      <c r="AD31" s="206" t="e">
        <v>#N/A</v>
      </c>
      <c r="AE31" s="206" t="e">
        <v>#N/A</v>
      </c>
      <c r="AF31" s="206" t="e">
        <v>#N/A</v>
      </c>
      <c r="AG31" s="206" t="e">
        <f t="shared" si="3"/>
        <v>#N/A</v>
      </c>
      <c r="AH31" s="206" t="str">
        <f t="shared" si="4"/>
        <v/>
      </c>
      <c r="AI31" s="86" t="e">
        <f>IF(NOT(OR(Z31=1,Z31=2)),IF(AQ31&gt;0,$AR$44*AQ31/SUMIF($AQ$8:$AQ$39,"&gt;0"),IF(AU31&gt;0,$AV$44*AU31/SUMIF($AU$8:$AU$39,"&gt;0"),IF(AS31&gt;0,$AT$44*AS31/SUMIF($AS$8:$AS$39,"&gt;0"),""))),IF(SUMIF(AJ32:$AJ$39,"=" &amp; AJ31,AI32:$AI$39)=0,"",SUMIF(AJ32:$AJ$39,"=" &amp; AJ31,AI32:$AI$39)))</f>
        <v>#N/A</v>
      </c>
      <c r="AJ31" s="87" t="e">
        <f t="shared" si="34"/>
        <v>#N/A</v>
      </c>
      <c r="AK31" s="206" t="str">
        <f t="shared" si="27"/>
        <v/>
      </c>
      <c r="AL31" s="160" t="str">
        <f t="shared" si="28"/>
        <v/>
      </c>
      <c r="AM31" s="160" t="str">
        <f t="shared" si="35"/>
        <v/>
      </c>
      <c r="AN31" s="160" t="str">
        <f t="shared" si="5"/>
        <v/>
      </c>
      <c r="AO31" s="160" t="e">
        <f t="shared" si="6"/>
        <v>#N/A</v>
      </c>
      <c r="AP31" s="206" t="str">
        <f t="shared" si="7"/>
        <v/>
      </c>
      <c r="AQ31" s="157">
        <f t="shared" si="29"/>
        <v>0</v>
      </c>
      <c r="AR31" s="88" t="str">
        <f t="shared" si="8"/>
        <v/>
      </c>
      <c r="AS31" s="89">
        <f t="shared" si="30"/>
        <v>0</v>
      </c>
      <c r="AT31" s="88" t="str">
        <f t="shared" si="9"/>
        <v/>
      </c>
      <c r="AU31" s="158">
        <f t="shared" si="10"/>
        <v>0</v>
      </c>
      <c r="AV31" s="90" t="str">
        <f t="shared" si="11"/>
        <v/>
      </c>
      <c r="AW31" s="158" t="b">
        <f t="shared" si="12"/>
        <v>0</v>
      </c>
      <c r="AX31" s="159" t="b">
        <f t="shared" si="13"/>
        <v>0</v>
      </c>
      <c r="AY31" s="158" t="b">
        <f t="shared" si="14"/>
        <v>0</v>
      </c>
      <c r="AZ31" s="159" t="b">
        <f t="shared" si="15"/>
        <v>0</v>
      </c>
      <c r="BA31" s="206" t="b">
        <f t="shared" si="16"/>
        <v>0</v>
      </c>
      <c r="BB31" s="206" t="b">
        <f t="shared" si="17"/>
        <v>0</v>
      </c>
      <c r="BC31" s="158" t="b">
        <f t="shared" si="18"/>
        <v>0</v>
      </c>
      <c r="BD31" s="160" t="b">
        <f>IF(OR(ISNA($Z31),ISNUMBER($Z31),NOT(ISNUMBER(K31))),FALSE,OR(NOT(ISNUMBER(J31)),J31=0,AND(J31=0,K31&lt;&gt;0)))</f>
        <v>0</v>
      </c>
      <c r="BE31" s="159" t="b">
        <f t="shared" si="37"/>
        <v>0</v>
      </c>
      <c r="BF31" s="161" t="b">
        <f>IF(OR(ISNA($Z31),H31&lt;&gt;"NG"),FALSE,IF(AND(J31="NA",K31&lt;&gt;""),TRUE,FALSE))</f>
        <v>0</v>
      </c>
      <c r="BG31" s="206" t="str">
        <f t="shared" si="38"/>
        <v>NA</v>
      </c>
      <c r="BH31" s="206" t="str">
        <f t="shared" si="32"/>
        <v/>
      </c>
      <c r="BI31" s="206" t="str">
        <f t="shared" si="22"/>
        <v/>
      </c>
      <c r="BJ31" s="206" t="str">
        <f t="shared" si="23"/>
        <v/>
      </c>
      <c r="BK31" s="206" t="str">
        <f t="shared" si="24"/>
        <v/>
      </c>
      <c r="BL31" s="162" t="str">
        <f t="shared" si="33"/>
        <v/>
      </c>
      <c r="BM31" s="206" t="str">
        <f t="shared" si="25"/>
        <v/>
      </c>
      <c r="BN31" s="206" t="str">
        <f t="shared" si="26"/>
        <v/>
      </c>
      <c r="BO31" s="169" t="s">
        <v>236</v>
      </c>
      <c r="BP31" s="175" t="s">
        <v>237</v>
      </c>
    </row>
    <row r="32" spans="2:73" s="105" customFormat="1" ht="12.95" customHeight="1" x14ac:dyDescent="0.2">
      <c r="B32" s="165" t="str">
        <f>IF(ISNA(Z32),"",IF(OR(Z32=1,Z32=2),"    ",MAX($B$8:B31)+1))</f>
        <v/>
      </c>
      <c r="C32" s="1375" t="str">
        <f t="shared" si="0"/>
        <v/>
      </c>
      <c r="D32" s="1375"/>
      <c r="E32" s="1375"/>
      <c r="F32" s="1376"/>
      <c r="G32" s="152" t="str">
        <f t="shared" si="1"/>
        <v/>
      </c>
      <c r="H32" s="153" t="str">
        <f t="shared" si="2"/>
        <v/>
      </c>
      <c r="I32" s="166" t="str">
        <f t="shared" si="2"/>
        <v/>
      </c>
      <c r="J32" s="172"/>
      <c r="K32" s="173"/>
      <c r="L32" s="1075"/>
      <c r="M32" s="1076"/>
      <c r="N32" s="1076"/>
      <c r="O32" s="1076"/>
      <c r="P32" s="1076"/>
      <c r="Q32" s="1076"/>
      <c r="R32" s="1077"/>
      <c r="T32" s="119">
        <v>25</v>
      </c>
      <c r="U32" s="110" t="e">
        <v>#N/A</v>
      </c>
      <c r="V32" s="206" t="e">
        <v>#N/A</v>
      </c>
      <c r="W32" s="206" t="e">
        <v>#N/A</v>
      </c>
      <c r="X32" s="206" t="e">
        <v>#N/A</v>
      </c>
      <c r="Y32" s="206" t="e">
        <v>#N/A</v>
      </c>
      <c r="Z32" s="160" t="e">
        <v>#N/A</v>
      </c>
      <c r="AA32" s="160" t="e">
        <v>#N/A</v>
      </c>
      <c r="AB32" s="160" t="e">
        <v>#N/A</v>
      </c>
      <c r="AC32" s="206" t="e">
        <v>#N/A</v>
      </c>
      <c r="AD32" s="206" t="e">
        <v>#N/A</v>
      </c>
      <c r="AE32" s="206" t="e">
        <v>#N/A</v>
      </c>
      <c r="AF32" s="206" t="e">
        <v>#N/A</v>
      </c>
      <c r="AG32" s="206" t="e">
        <f t="shared" si="3"/>
        <v>#N/A</v>
      </c>
      <c r="AH32" s="206" t="str">
        <f t="shared" si="4"/>
        <v/>
      </c>
      <c r="AI32" s="86" t="e">
        <f>IF(NOT(OR(Z32=1,Z32=2)),IF(AQ32&gt;0,$AR$44*AQ32/SUMIF($AQ$8:$AQ$39,"&gt;0"),IF(AU32&gt;0,$AV$44*AU32/SUMIF($AU$8:$AU$39,"&gt;0"),IF(AS32&gt;0,$AT$44*AS32/SUMIF($AS$8:$AS$39,"&gt;0"),""))),IF(SUMIF(AJ33:$AJ$39,"=" &amp; AJ32,AI33:$AI$39)=0,"",SUMIF(AJ33:$AJ$39,"=" &amp; AJ32,AI33:$AI$39)))</f>
        <v>#N/A</v>
      </c>
      <c r="AJ32" s="87" t="e">
        <f t="shared" si="34"/>
        <v>#N/A</v>
      </c>
      <c r="AK32" s="206" t="str">
        <f t="shared" si="27"/>
        <v/>
      </c>
      <c r="AL32" s="160" t="str">
        <f t="shared" si="28"/>
        <v/>
      </c>
      <c r="AM32" s="160" t="str">
        <f t="shared" si="35"/>
        <v/>
      </c>
      <c r="AN32" s="160" t="str">
        <f t="shared" si="5"/>
        <v/>
      </c>
      <c r="AO32" s="160" t="e">
        <f t="shared" si="6"/>
        <v>#N/A</v>
      </c>
      <c r="AP32" s="206" t="str">
        <f t="shared" si="7"/>
        <v/>
      </c>
      <c r="AQ32" s="157">
        <f t="shared" si="29"/>
        <v>0</v>
      </c>
      <c r="AR32" s="88" t="str">
        <f t="shared" si="8"/>
        <v/>
      </c>
      <c r="AS32" s="89">
        <f t="shared" si="30"/>
        <v>0</v>
      </c>
      <c r="AT32" s="88" t="str">
        <f t="shared" si="9"/>
        <v/>
      </c>
      <c r="AU32" s="158">
        <f t="shared" si="10"/>
        <v>0</v>
      </c>
      <c r="AV32" s="90" t="str">
        <f t="shared" si="11"/>
        <v/>
      </c>
      <c r="AW32" s="158" t="b">
        <f t="shared" si="12"/>
        <v>0</v>
      </c>
      <c r="AX32" s="159" t="b">
        <f t="shared" si="13"/>
        <v>0</v>
      </c>
      <c r="AY32" s="158" t="b">
        <f t="shared" si="14"/>
        <v>0</v>
      </c>
      <c r="AZ32" s="159" t="b">
        <f t="shared" si="15"/>
        <v>0</v>
      </c>
      <c r="BA32" s="206" t="b">
        <f t="shared" si="16"/>
        <v>0</v>
      </c>
      <c r="BB32" s="206" t="b">
        <f t="shared" si="17"/>
        <v>0</v>
      </c>
      <c r="BC32" s="158" t="b">
        <f t="shared" si="18"/>
        <v>0</v>
      </c>
      <c r="BD32" s="160" t="b">
        <f t="shared" si="31"/>
        <v>0</v>
      </c>
      <c r="BE32" s="159" t="b">
        <f t="shared" si="37"/>
        <v>0</v>
      </c>
      <c r="BF32" s="161" t="b">
        <f t="shared" ref="BF32:BF39" si="39">IF(OR(ISNA($Z32),H32&lt;&gt;"NG"),FALSE,IF(AND(J32="NA",K32&lt;&gt;""),TRUE,FALSE))</f>
        <v>0</v>
      </c>
      <c r="BG32" s="206" t="str">
        <f t="shared" si="38"/>
        <v>NA</v>
      </c>
      <c r="BH32" s="206" t="str">
        <f t="shared" si="32"/>
        <v/>
      </c>
      <c r="BI32" s="206" t="str">
        <f t="shared" si="22"/>
        <v/>
      </c>
      <c r="BJ32" s="206" t="str">
        <f t="shared" si="23"/>
        <v/>
      </c>
      <c r="BK32" s="206" t="str">
        <f t="shared" si="24"/>
        <v/>
      </c>
      <c r="BL32" s="162" t="str">
        <f t="shared" si="33"/>
        <v/>
      </c>
      <c r="BM32" s="206" t="str">
        <f t="shared" si="25"/>
        <v/>
      </c>
      <c r="BN32" s="206" t="str">
        <f t="shared" si="26"/>
        <v/>
      </c>
      <c r="BO32" s="169" t="s">
        <v>238</v>
      </c>
      <c r="BP32" s="175" t="s">
        <v>239</v>
      </c>
    </row>
    <row r="33" spans="2:73" s="105" customFormat="1" ht="12.95" customHeight="1" x14ac:dyDescent="0.2">
      <c r="B33" s="165" t="str">
        <f>IF(ISNA(Z33),"",IF(OR(Z33=1,Z33=2),"    ",MAX($B$8:B32)+1))</f>
        <v/>
      </c>
      <c r="C33" s="1375" t="str">
        <f t="shared" si="0"/>
        <v/>
      </c>
      <c r="D33" s="1375"/>
      <c r="E33" s="1375"/>
      <c r="F33" s="1376"/>
      <c r="G33" s="152" t="str">
        <f t="shared" si="1"/>
        <v/>
      </c>
      <c r="H33" s="153" t="str">
        <f t="shared" si="2"/>
        <v/>
      </c>
      <c r="I33" s="166" t="str">
        <f t="shared" si="2"/>
        <v/>
      </c>
      <c r="J33" s="172"/>
      <c r="K33" s="173"/>
      <c r="L33" s="1075"/>
      <c r="M33" s="1076"/>
      <c r="N33" s="1076"/>
      <c r="O33" s="1076"/>
      <c r="P33" s="1076"/>
      <c r="Q33" s="1076"/>
      <c r="R33" s="1077"/>
      <c r="T33" s="119">
        <v>26</v>
      </c>
      <c r="U33" s="110" t="e">
        <v>#N/A</v>
      </c>
      <c r="V33" s="206" t="e">
        <v>#N/A</v>
      </c>
      <c r="W33" s="206" t="e">
        <v>#N/A</v>
      </c>
      <c r="X33" s="206" t="e">
        <v>#N/A</v>
      </c>
      <c r="Y33" s="206" t="e">
        <v>#N/A</v>
      </c>
      <c r="Z33" s="160" t="e">
        <v>#N/A</v>
      </c>
      <c r="AA33" s="160" t="e">
        <v>#N/A</v>
      </c>
      <c r="AB33" s="160" t="e">
        <v>#N/A</v>
      </c>
      <c r="AC33" s="206" t="e">
        <v>#N/A</v>
      </c>
      <c r="AD33" s="206" t="e">
        <v>#N/A</v>
      </c>
      <c r="AE33" s="206" t="e">
        <v>#N/A</v>
      </c>
      <c r="AF33" s="206" t="e">
        <v>#N/A</v>
      </c>
      <c r="AG33" s="206" t="e">
        <f t="shared" si="3"/>
        <v>#N/A</v>
      </c>
      <c r="AH33" s="206" t="str">
        <f t="shared" si="4"/>
        <v/>
      </c>
      <c r="AI33" s="86" t="e">
        <f>IF(NOT(OR(Z33=1,Z33=2)),IF(AQ33&gt;0,$AR$44*AQ33/SUMIF($AQ$8:$AQ$39,"&gt;0"),IF(AU33&gt;0,$AV$44*AU33/SUMIF($AU$8:$AU$39,"&gt;0"),IF(AS33&gt;0,$AT$44*AS33/SUMIF($AS$8:$AS$39,"&gt;0"),""))),IF(SUMIF(AJ34:$AJ$39,"=" &amp; AJ33,AI34:$AI$39)=0,"",SUMIF(AJ34:$AJ$39,"=" &amp; AJ33,AI34:$AI$39)))</f>
        <v>#N/A</v>
      </c>
      <c r="AJ33" s="87" t="e">
        <f t="shared" si="34"/>
        <v>#N/A</v>
      </c>
      <c r="AK33" s="206" t="str">
        <f t="shared" si="27"/>
        <v/>
      </c>
      <c r="AL33" s="160" t="str">
        <f t="shared" si="28"/>
        <v/>
      </c>
      <c r="AM33" s="160" t="str">
        <f t="shared" si="35"/>
        <v/>
      </c>
      <c r="AN33" s="160" t="str">
        <f t="shared" si="5"/>
        <v/>
      </c>
      <c r="AO33" s="160" t="e">
        <f t="shared" si="6"/>
        <v>#N/A</v>
      </c>
      <c r="AP33" s="206" t="str">
        <f t="shared" si="7"/>
        <v/>
      </c>
      <c r="AQ33" s="157">
        <f t="shared" si="29"/>
        <v>0</v>
      </c>
      <c r="AR33" s="88" t="str">
        <f t="shared" si="8"/>
        <v/>
      </c>
      <c r="AS33" s="89">
        <f t="shared" si="30"/>
        <v>0</v>
      </c>
      <c r="AT33" s="88" t="str">
        <f t="shared" si="9"/>
        <v/>
      </c>
      <c r="AU33" s="158">
        <f t="shared" si="10"/>
        <v>0</v>
      </c>
      <c r="AV33" s="90" t="str">
        <f t="shared" si="11"/>
        <v/>
      </c>
      <c r="AW33" s="158" t="b">
        <f t="shared" si="12"/>
        <v>0</v>
      </c>
      <c r="AX33" s="159" t="b">
        <f t="shared" si="13"/>
        <v>0</v>
      </c>
      <c r="AY33" s="158" t="b">
        <f t="shared" si="14"/>
        <v>0</v>
      </c>
      <c r="AZ33" s="159" t="b">
        <f t="shared" si="15"/>
        <v>0</v>
      </c>
      <c r="BA33" s="206" t="b">
        <f t="shared" si="16"/>
        <v>0</v>
      </c>
      <c r="BB33" s="206" t="b">
        <f t="shared" si="17"/>
        <v>0</v>
      </c>
      <c r="BC33" s="158" t="b">
        <f t="shared" si="18"/>
        <v>0</v>
      </c>
      <c r="BD33" s="160" t="b">
        <f t="shared" si="31"/>
        <v>0</v>
      </c>
      <c r="BE33" s="159" t="b">
        <f t="shared" si="37"/>
        <v>0</v>
      </c>
      <c r="BF33" s="161" t="b">
        <f t="shared" si="39"/>
        <v>0</v>
      </c>
      <c r="BG33" s="206" t="str">
        <f t="shared" si="38"/>
        <v>NA</v>
      </c>
      <c r="BH33" s="206" t="str">
        <f t="shared" si="32"/>
        <v/>
      </c>
      <c r="BI33" s="206" t="str">
        <f t="shared" si="22"/>
        <v/>
      </c>
      <c r="BJ33" s="206" t="str">
        <f t="shared" si="23"/>
        <v/>
      </c>
      <c r="BK33" s="206" t="str">
        <f t="shared" si="24"/>
        <v/>
      </c>
      <c r="BL33" s="162" t="str">
        <f t="shared" si="33"/>
        <v/>
      </c>
      <c r="BM33" s="206" t="str">
        <f t="shared" si="25"/>
        <v/>
      </c>
      <c r="BN33" s="206" t="str">
        <f t="shared" si="26"/>
        <v/>
      </c>
      <c r="BO33" s="164" t="s">
        <v>240</v>
      </c>
      <c r="BP33" s="175"/>
      <c r="BQ33" s="175"/>
      <c r="BR33" s="175"/>
      <c r="BS33" s="175"/>
      <c r="BT33" s="175"/>
      <c r="BU33" s="175"/>
    </row>
    <row r="34" spans="2:73" s="105" customFormat="1" ht="12.95" customHeight="1" x14ac:dyDescent="0.2">
      <c r="B34" s="165" t="str">
        <f>IF(ISNA(Z34),"",IF(OR(Z34=1,Z34=2),"    ",MAX($B$8:B33)+1))</f>
        <v/>
      </c>
      <c r="C34" s="1375" t="str">
        <f t="shared" si="0"/>
        <v/>
      </c>
      <c r="D34" s="1375"/>
      <c r="E34" s="1375"/>
      <c r="F34" s="1376"/>
      <c r="G34" s="152" t="str">
        <f t="shared" si="1"/>
        <v/>
      </c>
      <c r="H34" s="153" t="str">
        <f t="shared" si="2"/>
        <v/>
      </c>
      <c r="I34" s="166" t="str">
        <f t="shared" si="2"/>
        <v/>
      </c>
      <c r="J34" s="172"/>
      <c r="K34" s="173"/>
      <c r="L34" s="1075"/>
      <c r="M34" s="1076"/>
      <c r="N34" s="1076"/>
      <c r="O34" s="1076"/>
      <c r="P34" s="1076"/>
      <c r="Q34" s="1076"/>
      <c r="R34" s="1077"/>
      <c r="T34" s="119">
        <v>27</v>
      </c>
      <c r="U34" s="110" t="e">
        <v>#N/A</v>
      </c>
      <c r="V34" s="206" t="e">
        <v>#N/A</v>
      </c>
      <c r="W34" s="206" t="e">
        <v>#N/A</v>
      </c>
      <c r="X34" s="206" t="e">
        <v>#N/A</v>
      </c>
      <c r="Y34" s="206" t="e">
        <v>#N/A</v>
      </c>
      <c r="Z34" s="160" t="e">
        <v>#N/A</v>
      </c>
      <c r="AA34" s="160" t="e">
        <v>#N/A</v>
      </c>
      <c r="AB34" s="160" t="e">
        <v>#N/A</v>
      </c>
      <c r="AC34" s="206" t="e">
        <v>#N/A</v>
      </c>
      <c r="AD34" s="206" t="e">
        <v>#N/A</v>
      </c>
      <c r="AE34" s="206" t="e">
        <v>#N/A</v>
      </c>
      <c r="AF34" s="206" t="e">
        <v>#N/A</v>
      </c>
      <c r="AG34" s="206" t="e">
        <f t="shared" si="3"/>
        <v>#N/A</v>
      </c>
      <c r="AH34" s="206" t="str">
        <f t="shared" si="4"/>
        <v/>
      </c>
      <c r="AI34" s="86" t="e">
        <f>IF(NOT(OR(Z34=1,Z34=2)),IF(AQ34&gt;0,$AR$44*AQ34/SUMIF($AQ$8:$AQ$39,"&gt;0"),IF(AU34&gt;0,$AV$44*AU34/SUMIF($AU$8:$AU$39,"&gt;0"),IF(AS34&gt;0,$AT$44*AS34/SUMIF($AS$8:$AS$39,"&gt;0"),""))),IF(SUMIF(AJ35:$AJ$39,"=" &amp; AJ34,AI35:$AI$39)=0,"",SUMIF(AJ35:$AJ$39,"=" &amp; AJ34,AI35:$AI$39)))</f>
        <v>#N/A</v>
      </c>
      <c r="AJ34" s="87" t="e">
        <f t="shared" si="34"/>
        <v>#N/A</v>
      </c>
      <c r="AK34" s="206" t="str">
        <f t="shared" si="27"/>
        <v/>
      </c>
      <c r="AL34" s="160" t="str">
        <f t="shared" si="28"/>
        <v/>
      </c>
      <c r="AM34" s="160" t="str">
        <f t="shared" si="35"/>
        <v/>
      </c>
      <c r="AN34" s="160" t="str">
        <f t="shared" si="5"/>
        <v/>
      </c>
      <c r="AO34" s="160" t="e">
        <f t="shared" si="6"/>
        <v>#N/A</v>
      </c>
      <c r="AP34" s="206" t="str">
        <f t="shared" si="7"/>
        <v/>
      </c>
      <c r="AQ34" s="157">
        <f t="shared" si="29"/>
        <v>0</v>
      </c>
      <c r="AR34" s="88" t="str">
        <f t="shared" si="8"/>
        <v/>
      </c>
      <c r="AS34" s="89">
        <f t="shared" si="30"/>
        <v>0</v>
      </c>
      <c r="AT34" s="88" t="str">
        <f t="shared" si="9"/>
        <v/>
      </c>
      <c r="AU34" s="158">
        <f t="shared" si="10"/>
        <v>0</v>
      </c>
      <c r="AV34" s="90" t="str">
        <f t="shared" si="11"/>
        <v/>
      </c>
      <c r="AW34" s="158" t="b">
        <f t="shared" si="12"/>
        <v>0</v>
      </c>
      <c r="AX34" s="159" t="b">
        <f t="shared" si="13"/>
        <v>0</v>
      </c>
      <c r="AY34" s="158" t="b">
        <f t="shared" si="14"/>
        <v>0</v>
      </c>
      <c r="AZ34" s="159" t="b">
        <f t="shared" si="15"/>
        <v>0</v>
      </c>
      <c r="BA34" s="206" t="b">
        <f t="shared" si="16"/>
        <v>0</v>
      </c>
      <c r="BB34" s="206" t="b">
        <f t="shared" si="17"/>
        <v>0</v>
      </c>
      <c r="BC34" s="158" t="b">
        <f t="shared" si="18"/>
        <v>0</v>
      </c>
      <c r="BD34" s="160" t="b">
        <f t="shared" si="31"/>
        <v>0</v>
      </c>
      <c r="BE34" s="159" t="b">
        <f t="shared" si="37"/>
        <v>0</v>
      </c>
      <c r="BF34" s="161" t="b">
        <f t="shared" si="39"/>
        <v>0</v>
      </c>
      <c r="BG34" s="206" t="str">
        <f t="shared" si="38"/>
        <v>NA</v>
      </c>
      <c r="BH34" s="206" t="str">
        <f t="shared" si="32"/>
        <v/>
      </c>
      <c r="BI34" s="206" t="str">
        <f t="shared" si="22"/>
        <v/>
      </c>
      <c r="BJ34" s="206" t="str">
        <f t="shared" si="23"/>
        <v/>
      </c>
      <c r="BK34" s="206" t="str">
        <f t="shared" si="24"/>
        <v/>
      </c>
      <c r="BL34" s="162" t="str">
        <f t="shared" si="33"/>
        <v/>
      </c>
      <c r="BM34" s="206" t="str">
        <f t="shared" si="25"/>
        <v/>
      </c>
      <c r="BN34" s="206" t="str">
        <f t="shared" si="26"/>
        <v/>
      </c>
      <c r="BO34" s="1346"/>
      <c r="BP34" s="1347"/>
      <c r="BQ34" s="1347"/>
      <c r="BR34" s="1347"/>
      <c r="BS34" s="1347"/>
      <c r="BT34" s="1347"/>
      <c r="BU34" s="1348"/>
    </row>
    <row r="35" spans="2:73" s="105" customFormat="1" ht="12.95" customHeight="1" x14ac:dyDescent="0.2">
      <c r="B35" s="165" t="str">
        <f>IF(ISNA(Z35),"",IF(OR(Z35=1,Z35=2),"    ",MAX($B$8:B34)+1))</f>
        <v/>
      </c>
      <c r="C35" s="1375" t="str">
        <f t="shared" si="0"/>
        <v/>
      </c>
      <c r="D35" s="1375"/>
      <c r="E35" s="1375"/>
      <c r="F35" s="1376"/>
      <c r="G35" s="152" t="str">
        <f t="shared" si="1"/>
        <v/>
      </c>
      <c r="H35" s="153" t="str">
        <f t="shared" si="2"/>
        <v/>
      </c>
      <c r="I35" s="166" t="str">
        <f t="shared" si="2"/>
        <v/>
      </c>
      <c r="J35" s="172"/>
      <c r="K35" s="173"/>
      <c r="L35" s="1075"/>
      <c r="M35" s="1076"/>
      <c r="N35" s="1076"/>
      <c r="O35" s="1076"/>
      <c r="P35" s="1076"/>
      <c r="Q35" s="1076"/>
      <c r="R35" s="1077"/>
      <c r="T35" s="119">
        <v>28</v>
      </c>
      <c r="U35" s="110" t="e">
        <v>#N/A</v>
      </c>
      <c r="V35" s="206" t="e">
        <v>#N/A</v>
      </c>
      <c r="W35" s="206" t="e">
        <v>#N/A</v>
      </c>
      <c r="X35" s="206" t="e">
        <v>#N/A</v>
      </c>
      <c r="Y35" s="206" t="e">
        <v>#N/A</v>
      </c>
      <c r="Z35" s="160" t="e">
        <v>#N/A</v>
      </c>
      <c r="AA35" s="160" t="e">
        <v>#N/A</v>
      </c>
      <c r="AB35" s="160" t="e">
        <v>#N/A</v>
      </c>
      <c r="AC35" s="206" t="e">
        <v>#N/A</v>
      </c>
      <c r="AD35" s="206" t="e">
        <v>#N/A</v>
      </c>
      <c r="AE35" s="206" t="e">
        <v>#N/A</v>
      </c>
      <c r="AF35" s="206" t="e">
        <v>#N/A</v>
      </c>
      <c r="AG35" s="206" t="e">
        <f t="shared" si="3"/>
        <v>#N/A</v>
      </c>
      <c r="AH35" s="206" t="str">
        <f t="shared" si="4"/>
        <v/>
      </c>
      <c r="AI35" s="86" t="e">
        <f>IF(NOT(OR(Z35=1,Z35=2)),IF(AQ35&gt;0,$AR$44*AQ35/SUMIF($AQ$8:$AQ$39,"&gt;0"),IF(AU35&gt;0,$AV$44*AU35/SUMIF($AU$8:$AU$39,"&gt;0"),IF(AS35&gt;0,$AT$44*AS35/SUMIF($AS$8:$AS$39,"&gt;0"),""))),IF(SUMIF(AJ36:$AJ$39,"=" &amp; AJ35,AI36:$AI$39)=0,"",SUMIF(AJ36:$AJ$39,"=" &amp; AJ35,AI36:$AI$39)))</f>
        <v>#N/A</v>
      </c>
      <c r="AJ35" s="87" t="e">
        <f t="shared" si="34"/>
        <v>#N/A</v>
      </c>
      <c r="AK35" s="206" t="str">
        <f t="shared" si="27"/>
        <v/>
      </c>
      <c r="AL35" s="160" t="str">
        <f t="shared" si="28"/>
        <v/>
      </c>
      <c r="AM35" s="160" t="str">
        <f t="shared" si="35"/>
        <v/>
      </c>
      <c r="AN35" s="160" t="str">
        <f t="shared" si="5"/>
        <v/>
      </c>
      <c r="AO35" s="160" t="e">
        <f t="shared" si="6"/>
        <v>#N/A</v>
      </c>
      <c r="AP35" s="206" t="str">
        <f t="shared" si="7"/>
        <v/>
      </c>
      <c r="AQ35" s="157">
        <f t="shared" si="29"/>
        <v>0</v>
      </c>
      <c r="AR35" s="88" t="str">
        <f t="shared" si="8"/>
        <v/>
      </c>
      <c r="AS35" s="89">
        <f t="shared" si="30"/>
        <v>0</v>
      </c>
      <c r="AT35" s="88" t="str">
        <f t="shared" si="9"/>
        <v/>
      </c>
      <c r="AU35" s="158">
        <f t="shared" si="10"/>
        <v>0</v>
      </c>
      <c r="AV35" s="90" t="str">
        <f t="shared" si="11"/>
        <v/>
      </c>
      <c r="AW35" s="158" t="b">
        <f t="shared" si="12"/>
        <v>0</v>
      </c>
      <c r="AX35" s="159" t="b">
        <f t="shared" si="13"/>
        <v>0</v>
      </c>
      <c r="AY35" s="158" t="b">
        <f t="shared" si="14"/>
        <v>0</v>
      </c>
      <c r="AZ35" s="159" t="b">
        <f t="shared" si="15"/>
        <v>0</v>
      </c>
      <c r="BA35" s="206" t="b">
        <f t="shared" si="16"/>
        <v>0</v>
      </c>
      <c r="BB35" s="206" t="b">
        <f t="shared" si="17"/>
        <v>0</v>
      </c>
      <c r="BC35" s="158" t="b">
        <f t="shared" si="18"/>
        <v>0</v>
      </c>
      <c r="BD35" s="160" t="b">
        <f t="shared" si="31"/>
        <v>0</v>
      </c>
      <c r="BE35" s="159" t="b">
        <f t="shared" si="37"/>
        <v>0</v>
      </c>
      <c r="BF35" s="161" t="b">
        <f t="shared" si="39"/>
        <v>0</v>
      </c>
      <c r="BG35" s="206" t="str">
        <f t="shared" si="38"/>
        <v>NA</v>
      </c>
      <c r="BH35" s="206" t="str">
        <f t="shared" si="32"/>
        <v/>
      </c>
      <c r="BI35" s="206" t="str">
        <f t="shared" si="22"/>
        <v/>
      </c>
      <c r="BJ35" s="206" t="str">
        <f t="shared" si="23"/>
        <v/>
      </c>
      <c r="BK35" s="206" t="str">
        <f t="shared" si="24"/>
        <v/>
      </c>
      <c r="BL35" s="162" t="str">
        <f t="shared" si="33"/>
        <v/>
      </c>
      <c r="BM35" s="206" t="str">
        <f t="shared" si="25"/>
        <v/>
      </c>
      <c r="BN35" s="206" t="str">
        <f t="shared" si="26"/>
        <v/>
      </c>
      <c r="BO35" s="1349"/>
      <c r="BP35" s="1350"/>
      <c r="BQ35" s="1350"/>
      <c r="BR35" s="1350"/>
      <c r="BS35" s="1350"/>
      <c r="BT35" s="1350"/>
      <c r="BU35" s="1351"/>
    </row>
    <row r="36" spans="2:73" s="105" customFormat="1" ht="12.95" customHeight="1" x14ac:dyDescent="0.2">
      <c r="B36" s="165" t="str">
        <f>IF(ISNA(Z36),"",IF(OR(Z36=1,Z36=2),"    ",MAX($B$8:B35)+1))</f>
        <v/>
      </c>
      <c r="C36" s="1375" t="str">
        <f t="shared" si="0"/>
        <v/>
      </c>
      <c r="D36" s="1375"/>
      <c r="E36" s="1375"/>
      <c r="F36" s="1376"/>
      <c r="G36" s="152" t="str">
        <f t="shared" si="1"/>
        <v/>
      </c>
      <c r="H36" s="153" t="str">
        <f t="shared" si="2"/>
        <v/>
      </c>
      <c r="I36" s="166" t="str">
        <f t="shared" si="2"/>
        <v/>
      </c>
      <c r="J36" s="172"/>
      <c r="K36" s="173"/>
      <c r="L36" s="1075"/>
      <c r="M36" s="1076"/>
      <c r="N36" s="1076"/>
      <c r="O36" s="1076"/>
      <c r="P36" s="1076"/>
      <c r="Q36" s="1076"/>
      <c r="R36" s="1077"/>
      <c r="T36" s="119">
        <v>29</v>
      </c>
      <c r="U36" s="110" t="e">
        <v>#N/A</v>
      </c>
      <c r="V36" s="206" t="e">
        <v>#N/A</v>
      </c>
      <c r="W36" s="206" t="e">
        <v>#N/A</v>
      </c>
      <c r="X36" s="206" t="e">
        <v>#N/A</v>
      </c>
      <c r="Y36" s="206" t="e">
        <v>#N/A</v>
      </c>
      <c r="Z36" s="160" t="e">
        <v>#N/A</v>
      </c>
      <c r="AA36" s="160" t="e">
        <v>#N/A</v>
      </c>
      <c r="AB36" s="160" t="e">
        <v>#N/A</v>
      </c>
      <c r="AC36" s="206" t="e">
        <v>#N/A</v>
      </c>
      <c r="AD36" s="206" t="e">
        <v>#N/A</v>
      </c>
      <c r="AE36" s="206" t="e">
        <v>#N/A</v>
      </c>
      <c r="AF36" s="206" t="e">
        <v>#N/A</v>
      </c>
      <c r="AG36" s="206" t="e">
        <f t="shared" si="3"/>
        <v>#N/A</v>
      </c>
      <c r="AH36" s="206" t="str">
        <f t="shared" si="4"/>
        <v/>
      </c>
      <c r="AI36" s="86" t="e">
        <f>IF(NOT(OR(Z36=1,Z36=2)),IF(AQ36&gt;0,$AR$44*AQ36/SUMIF($AQ$8:$AQ$39,"&gt;0"),IF(AU36&gt;0,$AV$44*AU36/SUMIF($AU$8:$AU$39,"&gt;0"),IF(AS36&gt;0,$AT$44*AS36/SUMIF($AS$8:$AS$39,"&gt;0"),""))),IF(SUMIF(AJ37:$AJ$39,"=" &amp; AJ36,AI37:$AI$39)=0,"",SUMIF(AJ37:$AJ$39,"=" &amp; AJ36,AI37:$AI$39)))</f>
        <v>#N/A</v>
      </c>
      <c r="AJ36" s="87" t="e">
        <f t="shared" si="34"/>
        <v>#N/A</v>
      </c>
      <c r="AK36" s="206" t="str">
        <f t="shared" si="27"/>
        <v/>
      </c>
      <c r="AL36" s="160" t="str">
        <f t="shared" si="28"/>
        <v/>
      </c>
      <c r="AM36" s="160" t="str">
        <f t="shared" si="35"/>
        <v/>
      </c>
      <c r="AN36" s="160" t="str">
        <f t="shared" si="5"/>
        <v/>
      </c>
      <c r="AO36" s="160" t="e">
        <f t="shared" si="6"/>
        <v>#N/A</v>
      </c>
      <c r="AP36" s="206" t="str">
        <f t="shared" si="7"/>
        <v/>
      </c>
      <c r="AQ36" s="157">
        <f t="shared" si="29"/>
        <v>0</v>
      </c>
      <c r="AR36" s="88" t="str">
        <f t="shared" si="8"/>
        <v/>
      </c>
      <c r="AS36" s="89">
        <f t="shared" si="30"/>
        <v>0</v>
      </c>
      <c r="AT36" s="88" t="str">
        <f t="shared" si="9"/>
        <v/>
      </c>
      <c r="AU36" s="158">
        <f t="shared" si="10"/>
        <v>0</v>
      </c>
      <c r="AV36" s="90" t="str">
        <f t="shared" si="11"/>
        <v/>
      </c>
      <c r="AW36" s="158" t="b">
        <f t="shared" si="12"/>
        <v>0</v>
      </c>
      <c r="AX36" s="159" t="b">
        <f t="shared" si="13"/>
        <v>0</v>
      </c>
      <c r="AY36" s="158" t="b">
        <f t="shared" si="14"/>
        <v>0</v>
      </c>
      <c r="AZ36" s="159" t="b">
        <f t="shared" si="15"/>
        <v>0</v>
      </c>
      <c r="BA36" s="206" t="b">
        <f t="shared" si="16"/>
        <v>0</v>
      </c>
      <c r="BB36" s="206" t="b">
        <f t="shared" si="17"/>
        <v>0</v>
      </c>
      <c r="BC36" s="158" t="b">
        <f t="shared" si="18"/>
        <v>0</v>
      </c>
      <c r="BD36" s="160" t="b">
        <f t="shared" si="31"/>
        <v>0</v>
      </c>
      <c r="BE36" s="159" t="b">
        <f t="shared" si="37"/>
        <v>0</v>
      </c>
      <c r="BF36" s="161" t="b">
        <f t="shared" si="39"/>
        <v>0</v>
      </c>
      <c r="BG36" s="206" t="str">
        <f t="shared" si="38"/>
        <v>NA</v>
      </c>
      <c r="BH36" s="206" t="str">
        <f t="shared" si="32"/>
        <v/>
      </c>
      <c r="BI36" s="206" t="str">
        <f t="shared" si="22"/>
        <v/>
      </c>
      <c r="BJ36" s="206" t="str">
        <f t="shared" si="23"/>
        <v/>
      </c>
      <c r="BK36" s="206" t="str">
        <f t="shared" si="24"/>
        <v/>
      </c>
      <c r="BL36" s="162" t="str">
        <f t="shared" si="33"/>
        <v/>
      </c>
      <c r="BM36" s="206" t="str">
        <f t="shared" si="25"/>
        <v/>
      </c>
      <c r="BN36" s="206" t="str">
        <f t="shared" si="26"/>
        <v/>
      </c>
      <c r="BO36" s="1349"/>
      <c r="BP36" s="1350"/>
      <c r="BQ36" s="1350"/>
      <c r="BR36" s="1350"/>
      <c r="BS36" s="1350"/>
      <c r="BT36" s="1350"/>
      <c r="BU36" s="1351"/>
    </row>
    <row r="37" spans="2:73" s="105" customFormat="1" ht="12.95" customHeight="1" x14ac:dyDescent="0.2">
      <c r="B37" s="165" t="str">
        <f>IF(ISNA(Z37),"",IF(OR(Z37=1,Z37=2),"    ",MAX($B$8:B36)+1))</f>
        <v/>
      </c>
      <c r="C37" s="1375" t="str">
        <f>IF(ISNA(Z37),"",CONCATENATE($U37,IF(ISNUMBER(AI37),TEXT(ROUND($AI37,3)," (0.0%)"),""),IF(AU37&gt;0," Bonus","")))</f>
        <v/>
      </c>
      <c r="D37" s="1375"/>
      <c r="E37" s="1375"/>
      <c r="F37" s="1376"/>
      <c r="G37" s="152" t="str">
        <f t="shared" si="1"/>
        <v/>
      </c>
      <c r="H37" s="153" t="str">
        <f t="shared" si="2"/>
        <v/>
      </c>
      <c r="I37" s="166" t="str">
        <f t="shared" si="2"/>
        <v/>
      </c>
      <c r="J37" s="172"/>
      <c r="K37" s="173"/>
      <c r="L37" s="1075"/>
      <c r="M37" s="1076"/>
      <c r="N37" s="1076"/>
      <c r="O37" s="1076"/>
      <c r="P37" s="1076"/>
      <c r="Q37" s="1076"/>
      <c r="R37" s="1077"/>
      <c r="T37" s="119">
        <v>30</v>
      </c>
      <c r="U37" s="110" t="e">
        <v>#N/A</v>
      </c>
      <c r="V37" s="206" t="e">
        <v>#N/A</v>
      </c>
      <c r="W37" s="206" t="e">
        <v>#N/A</v>
      </c>
      <c r="X37" s="206" t="e">
        <v>#N/A</v>
      </c>
      <c r="Y37" s="206" t="e">
        <v>#N/A</v>
      </c>
      <c r="Z37" s="160" t="e">
        <v>#N/A</v>
      </c>
      <c r="AA37" s="160" t="e">
        <v>#N/A</v>
      </c>
      <c r="AB37" s="160" t="e">
        <v>#N/A</v>
      </c>
      <c r="AC37" s="206" t="e">
        <v>#N/A</v>
      </c>
      <c r="AD37" s="206" t="e">
        <v>#N/A</v>
      </c>
      <c r="AE37" s="206" t="e">
        <v>#N/A</v>
      </c>
      <c r="AF37" s="206" t="e">
        <v>#N/A</v>
      </c>
      <c r="AG37" s="206" t="e">
        <f t="shared" si="3"/>
        <v>#N/A</v>
      </c>
      <c r="AH37" s="206" t="str">
        <f t="shared" si="4"/>
        <v/>
      </c>
      <c r="AI37" s="86" t="e">
        <f>IF(NOT(OR(Z37=1,Z37=2)),IF(AQ37&gt;0,$AR$44*AQ37/SUMIF($AQ$8:$AQ$39,"&gt;0"),IF(AU37&gt;0,$AV$44*AU37/SUMIF($AU$8:$AU$39,"&gt;0"),IF(AS37&gt;0,$AT$44*AS37/SUMIF($AS$8:$AS$39,"&gt;0"),""))),IF(SUMIF(AJ38:$AJ$39,"=" &amp; AJ37,AI38:$AI$39)=0,"",SUMIF(AJ38:$AJ$39,"=" &amp; AJ37,AI38:$AI$39)))</f>
        <v>#N/A</v>
      </c>
      <c r="AJ37" s="87" t="e">
        <f t="shared" si="34"/>
        <v>#N/A</v>
      </c>
      <c r="AK37" s="206" t="str">
        <f t="shared" si="27"/>
        <v/>
      </c>
      <c r="AL37" s="160" t="str">
        <f t="shared" si="28"/>
        <v/>
      </c>
      <c r="AM37" s="160" t="str">
        <f t="shared" si="35"/>
        <v/>
      </c>
      <c r="AN37" s="160" t="str">
        <f>IF(ISNUMBER(AH37),IF(AND(AB37=0,ISNUMBER(AC37),ISNUMBER(AL37)),1,""),"")</f>
        <v/>
      </c>
      <c r="AO37" s="160" t="e">
        <f t="shared" si="6"/>
        <v>#N/A</v>
      </c>
      <c r="AP37" s="206" t="str">
        <f t="shared" si="7"/>
        <v/>
      </c>
      <c r="AQ37" s="157">
        <f t="shared" si="29"/>
        <v>0</v>
      </c>
      <c r="AR37" s="88" t="str">
        <f t="shared" si="8"/>
        <v/>
      </c>
      <c r="AS37" s="89">
        <f t="shared" si="30"/>
        <v>0</v>
      </c>
      <c r="AT37" s="88" t="str">
        <f t="shared" si="9"/>
        <v/>
      </c>
      <c r="AU37" s="158">
        <f t="shared" si="10"/>
        <v>0</v>
      </c>
      <c r="AV37" s="90" t="str">
        <f t="shared" si="11"/>
        <v/>
      </c>
      <c r="AW37" s="158" t="b">
        <f t="shared" si="12"/>
        <v>0</v>
      </c>
      <c r="AX37" s="159" t="b">
        <f t="shared" si="13"/>
        <v>0</v>
      </c>
      <c r="AY37" s="158" t="b">
        <f t="shared" si="14"/>
        <v>0</v>
      </c>
      <c r="AZ37" s="159" t="b">
        <f t="shared" si="15"/>
        <v>0</v>
      </c>
      <c r="BA37" s="206" t="b">
        <f t="shared" si="16"/>
        <v>0</v>
      </c>
      <c r="BB37" s="206" t="b">
        <f t="shared" si="17"/>
        <v>0</v>
      </c>
      <c r="BC37" s="158" t="b">
        <f t="shared" si="18"/>
        <v>0</v>
      </c>
      <c r="BD37" s="160" t="b">
        <f t="shared" si="31"/>
        <v>0</v>
      </c>
      <c r="BE37" s="159" t="b">
        <f t="shared" si="37"/>
        <v>0</v>
      </c>
      <c r="BF37" s="161" t="b">
        <f t="shared" si="39"/>
        <v>0</v>
      </c>
      <c r="BG37" s="206" t="str">
        <f t="shared" si="38"/>
        <v>NA</v>
      </c>
      <c r="BH37" s="206" t="str">
        <f t="shared" si="32"/>
        <v/>
      </c>
      <c r="BI37" s="206" t="str">
        <f t="shared" si="22"/>
        <v/>
      </c>
      <c r="BJ37" s="206" t="str">
        <f t="shared" si="23"/>
        <v/>
      </c>
      <c r="BK37" s="206" t="str">
        <f t="shared" si="24"/>
        <v/>
      </c>
      <c r="BL37" s="162" t="str">
        <f t="shared" si="33"/>
        <v/>
      </c>
      <c r="BM37" s="206" t="str">
        <f t="shared" si="25"/>
        <v/>
      </c>
      <c r="BN37" s="206" t="str">
        <f t="shared" si="26"/>
        <v/>
      </c>
      <c r="BO37" s="1352"/>
      <c r="BP37" s="1353"/>
      <c r="BQ37" s="1353"/>
      <c r="BR37" s="1353"/>
      <c r="BS37" s="1353"/>
      <c r="BT37" s="1353"/>
      <c r="BU37" s="1354"/>
    </row>
    <row r="38" spans="2:73" s="105" customFormat="1" ht="12.95" customHeight="1" x14ac:dyDescent="0.2">
      <c r="B38" s="165" t="str">
        <f>IF(ISNA(Z38),"",IF(OR(Z38=1,Z38=2),"    ",MAX($B$8:B37)+1))</f>
        <v/>
      </c>
      <c r="C38" s="1375" t="str">
        <f t="shared" ref="C38:C39" si="40">IF(ISNA(Z38),"",CONCATENATE($U38,IF(ISNUMBER(AI38),TEXT(ROUND($AI38,3)," (0.0%)"),""),IF(AU38&gt;0," Bonus","")))</f>
        <v/>
      </c>
      <c r="D38" s="1375"/>
      <c r="E38" s="1375"/>
      <c r="F38" s="1376"/>
      <c r="G38" s="152" t="str">
        <f t="shared" si="1"/>
        <v/>
      </c>
      <c r="H38" s="153" t="str">
        <f t="shared" si="2"/>
        <v/>
      </c>
      <c r="I38" s="166" t="str">
        <f t="shared" si="2"/>
        <v/>
      </c>
      <c r="J38" s="172"/>
      <c r="K38" s="173"/>
      <c r="L38" s="1075"/>
      <c r="M38" s="1076"/>
      <c r="N38" s="1076"/>
      <c r="O38" s="1076"/>
      <c r="P38" s="1076"/>
      <c r="Q38" s="1076"/>
      <c r="R38" s="1077"/>
      <c r="T38" s="119">
        <v>31</v>
      </c>
      <c r="U38" s="110" t="e">
        <v>#N/A</v>
      </c>
      <c r="V38" s="206" t="e">
        <v>#N/A</v>
      </c>
      <c r="W38" s="206" t="e">
        <v>#N/A</v>
      </c>
      <c r="X38" s="206" t="e">
        <v>#N/A</v>
      </c>
      <c r="Y38" s="206" t="e">
        <v>#N/A</v>
      </c>
      <c r="Z38" s="160" t="e">
        <v>#N/A</v>
      </c>
      <c r="AA38" s="160" t="e">
        <v>#N/A</v>
      </c>
      <c r="AB38" s="160" t="e">
        <v>#N/A</v>
      </c>
      <c r="AC38" s="206" t="e">
        <v>#N/A</v>
      </c>
      <c r="AD38" s="206" t="e">
        <v>#N/A</v>
      </c>
      <c r="AE38" s="206" t="e">
        <v>#N/A</v>
      </c>
      <c r="AF38" s="206" t="e">
        <v>#N/A</v>
      </c>
      <c r="AG38" s="206" t="e">
        <f t="shared" si="3"/>
        <v>#N/A</v>
      </c>
      <c r="AH38" s="206" t="str">
        <f t="shared" si="4"/>
        <v/>
      </c>
      <c r="AI38" s="86" t="e">
        <f>IF(NOT(OR(Z38=1,Z38=2)),IF(AQ38&gt;0,$AR$44*AQ38/SUMIF($AQ$8:$AQ$39,"&gt;0"),IF(AU38&gt;0,$AV$44*AU38/SUMIF($AU$8:$AU$39,"&gt;0"),IF(AS38&gt;0,$AT$44*AS38/SUMIF($AS$8:$AS$39,"&gt;0"),""))),IF(SUMIF(AJ39:$AJ$39,"=" &amp; AJ38,AI39:$AI$39)=0,"",SUMIF(AJ39:$AJ$39,"=" &amp; AJ38,AI39:$AI$39)))</f>
        <v>#N/A</v>
      </c>
      <c r="AJ38" s="87" t="e">
        <f t="shared" si="34"/>
        <v>#N/A</v>
      </c>
      <c r="AK38" s="206" t="str">
        <f t="shared" si="27"/>
        <v/>
      </c>
      <c r="AL38" s="160" t="str">
        <f t="shared" si="28"/>
        <v/>
      </c>
      <c r="AM38" s="160" t="str">
        <f t="shared" si="35"/>
        <v/>
      </c>
      <c r="AN38" s="160" t="str">
        <f>IF(ISNUMBER(AH38),IF(AND(AB38=0,ISNUMBER(AC38),ISNUMBER(AL38)),1,""),"")</f>
        <v/>
      </c>
      <c r="AO38" s="160" t="e">
        <f t="shared" si="6"/>
        <v>#N/A</v>
      </c>
      <c r="AP38" s="206" t="str">
        <f t="shared" si="7"/>
        <v/>
      </c>
      <c r="AQ38" s="157">
        <f t="shared" si="29"/>
        <v>0</v>
      </c>
      <c r="AR38" s="88" t="str">
        <f t="shared" si="8"/>
        <v/>
      </c>
      <c r="AS38" s="89">
        <f t="shared" si="30"/>
        <v>0</v>
      </c>
      <c r="AT38" s="88" t="str">
        <f t="shared" si="9"/>
        <v/>
      </c>
      <c r="AU38" s="158">
        <f t="shared" si="10"/>
        <v>0</v>
      </c>
      <c r="AV38" s="90" t="str">
        <f t="shared" si="11"/>
        <v/>
      </c>
      <c r="AW38" s="158" t="b">
        <f t="shared" si="12"/>
        <v>0</v>
      </c>
      <c r="AX38" s="159" t="b">
        <f t="shared" si="13"/>
        <v>0</v>
      </c>
      <c r="AY38" s="158" t="b">
        <f t="shared" si="14"/>
        <v>0</v>
      </c>
      <c r="AZ38" s="159" t="b">
        <f t="shared" si="15"/>
        <v>0</v>
      </c>
      <c r="BA38" s="206" t="b">
        <f t="shared" si="16"/>
        <v>0</v>
      </c>
      <c r="BB38" s="206" t="b">
        <f t="shared" si="17"/>
        <v>0</v>
      </c>
      <c r="BC38" s="158" t="b">
        <f t="shared" si="18"/>
        <v>0</v>
      </c>
      <c r="BD38" s="160" t="b">
        <f t="shared" si="31"/>
        <v>0</v>
      </c>
      <c r="BE38" s="159" t="b">
        <f t="shared" si="37"/>
        <v>0</v>
      </c>
      <c r="BF38" s="161" t="b">
        <f t="shared" si="39"/>
        <v>0</v>
      </c>
      <c r="BG38" s="206" t="str">
        <f t="shared" si="38"/>
        <v>NA</v>
      </c>
      <c r="BH38" s="206" t="str">
        <f t="shared" si="32"/>
        <v/>
      </c>
      <c r="BI38" s="206" t="str">
        <f t="shared" si="22"/>
        <v/>
      </c>
      <c r="BJ38" s="206" t="str">
        <f t="shared" si="23"/>
        <v/>
      </c>
      <c r="BK38" s="206" t="str">
        <f t="shared" si="24"/>
        <v/>
      </c>
      <c r="BL38" s="162" t="str">
        <f t="shared" si="33"/>
        <v/>
      </c>
      <c r="BM38" s="206" t="str">
        <f t="shared" si="25"/>
        <v/>
      </c>
      <c r="BN38" s="206" t="str">
        <f t="shared" si="26"/>
        <v/>
      </c>
      <c r="BO38" s="164" t="s">
        <v>241</v>
      </c>
      <c r="BP38" s="164"/>
      <c r="BQ38" s="164"/>
      <c r="BR38" s="164"/>
      <c r="BS38" s="164"/>
      <c r="BT38" s="164"/>
      <c r="BU38" s="164"/>
    </row>
    <row r="39" spans="2:73" s="105" customFormat="1" ht="12.95" customHeight="1" thickBot="1" x14ac:dyDescent="0.25">
      <c r="B39" s="165" t="str">
        <f>IF(ISNA(Z39),"",IF(OR(Z39=1,Z39=2),"    ",MAX($B$8:B38)+1))</f>
        <v/>
      </c>
      <c r="C39" s="1375" t="str">
        <f t="shared" si="40"/>
        <v/>
      </c>
      <c r="D39" s="1375"/>
      <c r="E39" s="1375"/>
      <c r="F39" s="1376"/>
      <c r="G39" s="176" t="str">
        <f t="shared" si="1"/>
        <v/>
      </c>
      <c r="H39" s="153" t="str">
        <f t="shared" si="2"/>
        <v/>
      </c>
      <c r="I39" s="177" t="str">
        <f t="shared" si="2"/>
        <v/>
      </c>
      <c r="J39" s="178"/>
      <c r="K39" s="179"/>
      <c r="L39" s="1078"/>
      <c r="M39" s="1079"/>
      <c r="N39" s="1079"/>
      <c r="O39" s="1079"/>
      <c r="P39" s="1079"/>
      <c r="Q39" s="1079"/>
      <c r="R39" s="1080"/>
      <c r="T39" s="119">
        <v>32</v>
      </c>
      <c r="U39" s="110" t="e">
        <v>#N/A</v>
      </c>
      <c r="V39" s="206" t="e">
        <v>#N/A</v>
      </c>
      <c r="W39" s="206" t="e">
        <v>#N/A</v>
      </c>
      <c r="X39" s="206" t="e">
        <v>#N/A</v>
      </c>
      <c r="Y39" s="206" t="e">
        <v>#N/A</v>
      </c>
      <c r="Z39" s="160" t="e">
        <v>#N/A</v>
      </c>
      <c r="AA39" s="160" t="e">
        <v>#N/A</v>
      </c>
      <c r="AB39" s="160" t="e">
        <v>#N/A</v>
      </c>
      <c r="AC39" s="206" t="e">
        <v>#N/A</v>
      </c>
      <c r="AD39" s="206" t="e">
        <v>#N/A</v>
      </c>
      <c r="AE39" s="206" t="e">
        <v>#N/A</v>
      </c>
      <c r="AF39" s="206" t="e">
        <v>#N/A</v>
      </c>
      <c r="AG39" s="206" t="e">
        <f t="shared" si="3"/>
        <v>#N/A</v>
      </c>
      <c r="AH39" s="206" t="str">
        <f t="shared" si="4"/>
        <v/>
      </c>
      <c r="AI39" s="86" t="e">
        <f>IF(NOT(OR(Z39=1,Z39=2)),IF(AQ39&gt;0,$AR$44*AQ39/SUMIF($AQ$8:$AQ$39,"&gt;0"),IF(AU39&gt;0,$AV$44*AU39/SUMIF($AU$8:$AU$39,"&gt;0"),IF(AS39&gt;0,$AT$44*AS39/SUMIF($AS$8:$AS$39,"&gt;0"),""))),IF(SUMIF(AJ$39:$AJ40,"=" &amp; AJ39,AI$39:$AI40)=0,"",SUMIF(AJ$39:$AJ40,"=" &amp; AJ39,AI$39:$AI40)))</f>
        <v>#N/A</v>
      </c>
      <c r="AJ39" s="87" t="e">
        <f t="shared" si="34"/>
        <v>#N/A</v>
      </c>
      <c r="AK39" s="206" t="str">
        <f t="shared" si="27"/>
        <v/>
      </c>
      <c r="AL39" s="160" t="str">
        <f t="shared" si="28"/>
        <v/>
      </c>
      <c r="AM39" s="160" t="str">
        <f t="shared" si="35"/>
        <v/>
      </c>
      <c r="AN39" s="160" t="str">
        <f>IF(ISNUMBER(AH39),IF(AND(AB39=0,ISNUMBER(AC39),ISNUMBER(AL39)),1,""),"")</f>
        <v/>
      </c>
      <c r="AO39" s="160" t="e">
        <f t="shared" si="6"/>
        <v>#N/A</v>
      </c>
      <c r="AP39" s="206" t="str">
        <f t="shared" si="7"/>
        <v/>
      </c>
      <c r="AQ39" s="157">
        <f t="shared" si="29"/>
        <v>0</v>
      </c>
      <c r="AR39" s="88" t="str">
        <f t="shared" si="8"/>
        <v/>
      </c>
      <c r="AS39" s="89">
        <f t="shared" si="30"/>
        <v>0</v>
      </c>
      <c r="AT39" s="88" t="str">
        <f t="shared" si="9"/>
        <v/>
      </c>
      <c r="AU39" s="158">
        <f t="shared" si="10"/>
        <v>0</v>
      </c>
      <c r="AV39" s="90" t="str">
        <f t="shared" si="11"/>
        <v/>
      </c>
      <c r="AW39" s="158" t="b">
        <f t="shared" si="12"/>
        <v>0</v>
      </c>
      <c r="AX39" s="159" t="b">
        <f t="shared" si="13"/>
        <v>0</v>
      </c>
      <c r="AY39" s="158" t="b">
        <f t="shared" si="14"/>
        <v>0</v>
      </c>
      <c r="AZ39" s="159" t="b">
        <f t="shared" si="15"/>
        <v>0</v>
      </c>
      <c r="BA39" s="206" t="b">
        <f t="shared" si="16"/>
        <v>0</v>
      </c>
      <c r="BB39" s="206" t="b">
        <f t="shared" si="17"/>
        <v>0</v>
      </c>
      <c r="BC39" s="158" t="b">
        <f t="shared" si="18"/>
        <v>0</v>
      </c>
      <c r="BD39" s="160" t="b">
        <f t="shared" si="31"/>
        <v>0</v>
      </c>
      <c r="BE39" s="159" t="b">
        <f t="shared" si="37"/>
        <v>0</v>
      </c>
      <c r="BF39" s="161" t="b">
        <f t="shared" si="39"/>
        <v>0</v>
      </c>
      <c r="BG39" s="206" t="str">
        <f t="shared" si="38"/>
        <v>NA</v>
      </c>
      <c r="BH39" s="206" t="str">
        <f t="shared" si="32"/>
        <v/>
      </c>
      <c r="BI39" s="206" t="str">
        <f t="shared" si="22"/>
        <v/>
      </c>
      <c r="BJ39" s="206" t="str">
        <f t="shared" si="23"/>
        <v/>
      </c>
      <c r="BK39" s="206" t="str">
        <f t="shared" si="24"/>
        <v/>
      </c>
      <c r="BL39" s="206" t="str">
        <f t="shared" si="33"/>
        <v/>
      </c>
      <c r="BM39" s="206" t="str">
        <f t="shared" si="25"/>
        <v/>
      </c>
      <c r="BN39" s="206" t="str">
        <f t="shared" si="26"/>
        <v/>
      </c>
      <c r="BO39" s="1346"/>
      <c r="BP39" s="1347"/>
      <c r="BQ39" s="1347"/>
      <c r="BR39" s="1347"/>
      <c r="BS39" s="1347"/>
      <c r="BT39" s="1347"/>
      <c r="BU39" s="1348"/>
    </row>
    <row r="40" spans="2:73" s="112" customFormat="1" ht="8.25" customHeight="1" x14ac:dyDescent="0.2">
      <c r="B40" s="1355" t="s">
        <v>242</v>
      </c>
      <c r="C40" s="1356"/>
      <c r="D40" s="1357"/>
      <c r="E40" s="205" t="s">
        <v>243</v>
      </c>
      <c r="F40" s="1358" t="s">
        <v>244</v>
      </c>
      <c r="G40" s="1359"/>
      <c r="H40" s="1359" t="s">
        <v>245</v>
      </c>
      <c r="I40" s="1359"/>
      <c r="J40" s="1360" t="s">
        <v>246</v>
      </c>
      <c r="K40" s="1361"/>
      <c r="L40" s="180" t="s">
        <v>247</v>
      </c>
      <c r="M40" s="1362" t="s">
        <v>248</v>
      </c>
      <c r="N40" s="1362"/>
      <c r="O40" s="1363" t="str">
        <f>IF(U44,"DO REVIEW","DO REV N/A")</f>
        <v>DO REV N/A</v>
      </c>
      <c r="P40" s="1364"/>
      <c r="Q40" s="181" t="str">
        <f>IF(U45,"ED REVIEW","ED REV N/A")</f>
        <v>ED REVIEW</v>
      </c>
      <c r="R40" s="182"/>
      <c r="S40" s="183">
        <v>0</v>
      </c>
      <c r="AI40" s="184"/>
      <c r="AJ40" s="113"/>
      <c r="AK40" s="113"/>
      <c r="AL40" s="113"/>
      <c r="AM40" s="113"/>
      <c r="AN40" s="113"/>
      <c r="AO40" s="110"/>
      <c r="AP40" s="113"/>
      <c r="AQ40" s="185"/>
      <c r="AR40" s="113"/>
      <c r="AS40" s="185"/>
      <c r="AT40" s="113"/>
      <c r="AU40" s="185"/>
      <c r="AV40" s="186"/>
      <c r="AW40" s="113"/>
      <c r="AX40" s="113"/>
      <c r="AY40" s="113"/>
      <c r="AZ40" s="113"/>
      <c r="BA40" s="113"/>
      <c r="BB40" s="113"/>
      <c r="BC40" s="113"/>
      <c r="BD40" s="113"/>
      <c r="BE40" s="113"/>
      <c r="BF40" s="113"/>
      <c r="BG40" s="113"/>
      <c r="BH40" s="110"/>
      <c r="BI40" s="110"/>
      <c r="BJ40" s="110"/>
      <c r="BK40" s="110"/>
      <c r="BL40" s="110"/>
      <c r="BM40" s="110"/>
      <c r="BN40" s="110"/>
      <c r="BO40" s="1349"/>
      <c r="BP40" s="1350"/>
      <c r="BQ40" s="1350"/>
      <c r="BR40" s="1350"/>
      <c r="BS40" s="1350"/>
      <c r="BT40" s="1350"/>
      <c r="BU40" s="1351"/>
    </row>
    <row r="41" spans="2:73" ht="18.75" customHeight="1" thickBot="1" x14ac:dyDescent="0.25">
      <c r="B41" s="1365" t="str">
        <f>IF(ISERROR(AR46),"",TEXT(AR45,"0.0%"))</f>
        <v>0.0%</v>
      </c>
      <c r="C41" s="1366"/>
      <c r="D41" s="1367"/>
      <c r="E41" s="187" t="str">
        <f>IF(AU41=0,"N/A",CONCATENATE(TEXT(AV45,"0.0%")," of ",TEXT(AV44,"0.0%")))</f>
        <v>N/A</v>
      </c>
      <c r="F41" s="1369" t="str">
        <f>IF((graded_aca_events+graded_amn_events)&lt;1,"---",IF(AND(AW4,AX4),"INCOMPLETE",IF(AND(NOT(AW4),AX4),"ACA INC",IF(AND(AW4,NOT(AX4)),"AMN INC","COMPLETE"))))</f>
        <v>---</v>
      </c>
      <c r="G41" s="1369"/>
      <c r="H41" s="1369" t="str">
        <f>IF(AU4,IF(OR(AY4="UNK",NOT(AN6)),"---",IF(AY4,"UNSAT",IF(AVERAGEIFS(AT8:AT39,AS8:AS39,"&gt;0")&lt;0.9,"MARG","SAT"))),"N/A")</f>
        <v>N/A</v>
      </c>
      <c r="I41" s="1369"/>
      <c r="J41" s="1370" t="str">
        <f>IF(OR(AZ4="UNK",NOT(AM6)),"---",IF(OR(AZ4,AR45&lt;0.7),"FAIL","PASS"))</f>
        <v>---</v>
      </c>
      <c r="K41" s="1371"/>
      <c r="L41" s="188"/>
      <c r="M41" s="1372"/>
      <c r="N41" s="1372"/>
      <c r="O41" s="1373" t="s">
        <v>139</v>
      </c>
      <c r="P41" s="1373"/>
      <c r="Q41" s="1373" t="s">
        <v>139</v>
      </c>
      <c r="R41" s="1374"/>
      <c r="S41" s="189"/>
      <c r="T41" s="119" t="s">
        <v>249</v>
      </c>
      <c r="U41" s="160" t="s">
        <v>250</v>
      </c>
      <c r="V41" s="190"/>
      <c r="W41" s="190"/>
      <c r="X41" s="190"/>
      <c r="Y41" s="190"/>
      <c r="Z41" s="190"/>
      <c r="AA41" s="190"/>
      <c r="AB41" s="190"/>
      <c r="AC41" s="190"/>
      <c r="AD41" s="190"/>
      <c r="AE41" s="190"/>
      <c r="AF41" s="190"/>
      <c r="AG41" s="190"/>
      <c r="AH41" s="190"/>
      <c r="AI41" s="109"/>
      <c r="AJ41" s="108"/>
      <c r="AK41" s="190"/>
      <c r="AL41" s="190"/>
      <c r="AM41" s="190">
        <f>SUM(AM8:AM39)</f>
        <v>0</v>
      </c>
      <c r="AN41" s="190">
        <f>SUM(AN8:AN39)</f>
        <v>0</v>
      </c>
      <c r="AO41" s="119"/>
      <c r="AP41" s="108"/>
      <c r="AQ41" s="191">
        <f>SUMIF(AQ8:AQ39,"&gt;0")</f>
        <v>10</v>
      </c>
      <c r="AR41" s="192">
        <f>IF(AQ41=0,0,SUMPRODUCT($AQ$8:$AQ$39,AR8:AR39)/SUM($AQ$8:$AQ$39))</f>
        <v>0</v>
      </c>
      <c r="AS41" s="193">
        <f>SUMIF(AS8:AS39,"&gt;0")</f>
        <v>0</v>
      </c>
      <c r="AT41" s="192">
        <f>IF(AS41=0,0,SUMPRODUCT($AS$8:$AS$39,AT8:AT39)/SUM($AS$8:$AS$39))</f>
        <v>0</v>
      </c>
      <c r="AU41" s="193">
        <f>SUM(AU9:AU39)</f>
        <v>0</v>
      </c>
      <c r="AV41" s="192">
        <f>IF(AU41=0,0,SUMPRODUCT($AU$8:$AU$39,AV8:AV39)/SUM($AU$8:$AU$39))</f>
        <v>0</v>
      </c>
      <c r="AW41" s="194"/>
      <c r="AX41" s="194"/>
      <c r="AY41" s="194"/>
      <c r="AZ41" s="194"/>
      <c r="BA41" s="194"/>
      <c r="BB41" s="194"/>
      <c r="BC41" s="110" t="s">
        <v>251</v>
      </c>
      <c r="BD41" s="110" t="s">
        <v>252</v>
      </c>
      <c r="BE41" s="110" t="s">
        <v>253</v>
      </c>
      <c r="BO41" s="1349"/>
      <c r="BP41" s="1350"/>
      <c r="BQ41" s="1350"/>
      <c r="BR41" s="1350"/>
      <c r="BS41" s="1350"/>
      <c r="BT41" s="1350"/>
      <c r="BU41" s="1351"/>
    </row>
    <row r="42" spans="2:73" ht="7.5" customHeight="1" thickTop="1" x14ac:dyDescent="0.2">
      <c r="L42" s="1368" t="s">
        <v>300</v>
      </c>
      <c r="M42" s="1368"/>
      <c r="N42" s="1368"/>
      <c r="O42" s="1368"/>
      <c r="P42" s="1368"/>
      <c r="Q42" s="1368"/>
      <c r="R42" s="1368"/>
      <c r="AP42" s="190"/>
      <c r="AQ42" s="108"/>
      <c r="AR42" s="108"/>
      <c r="AT42" s="192"/>
      <c r="AU42" s="192"/>
      <c r="AV42" s="192"/>
      <c r="AW42" s="108"/>
      <c r="AX42" s="192"/>
      <c r="BO42" s="1352"/>
      <c r="BP42" s="1353"/>
      <c r="BQ42" s="1353"/>
      <c r="BR42" s="1353"/>
      <c r="BS42" s="1353"/>
      <c r="BT42" s="1353"/>
      <c r="BU42" s="1354"/>
    </row>
    <row r="43" spans="2:73" ht="30.75" customHeight="1" x14ac:dyDescent="0.2">
      <c r="T43" s="195" t="s">
        <v>254</v>
      </c>
      <c r="U43" s="160" t="b">
        <v>0</v>
      </c>
      <c r="AI43" s="111">
        <f ca="1">SUMIF(AJ8:$AJ$39,"=" &amp; AJ8,AI9:$AI$39)</f>
        <v>0.7</v>
      </c>
      <c r="AO43" s="196"/>
      <c r="AS43" s="137" t="s">
        <v>255</v>
      </c>
      <c r="AT43" s="197">
        <f>SUMIF(X8:X39,"&gt;0")/SUMIF(W8:W39,"&gt;0")</f>
        <v>0</v>
      </c>
      <c r="AU43" s="137" t="s">
        <v>256</v>
      </c>
      <c r="AV43" s="100">
        <f>SUMIF(AU8:AU39,"&gt;0")/SUMIF(AQ8:AQ39,"&gt;0")</f>
        <v>0</v>
      </c>
      <c r="AW43" s="198"/>
      <c r="BE43" s="110" t="b">
        <f>AND(ISBLANK($K30),J30&gt;0)</f>
        <v>0</v>
      </c>
      <c r="BO43" s="110"/>
      <c r="BP43" s="110"/>
      <c r="BQ43" s="106"/>
    </row>
    <row r="44" spans="2:73" ht="30.75" customHeight="1" x14ac:dyDescent="0.2">
      <c r="J44" s="199"/>
      <c r="T44" s="200" t="s">
        <v>257</v>
      </c>
      <c r="U44" s="110" t="b">
        <f>IF(AND(Flight?,OR(AW4,AY4,BA4,AZ4,AR45&lt;0.7,H41="MARG")),TRUE,FALSE)</f>
        <v>0</v>
      </c>
      <c r="AO44" s="201"/>
      <c r="AQ44" s="137" t="s">
        <v>258</v>
      </c>
      <c r="AR44" s="197">
        <f>1-AT44</f>
        <v>1</v>
      </c>
      <c r="AS44" s="137" t="s">
        <v>259</v>
      </c>
      <c r="AT44" s="197">
        <f>MIN(AT43,AT6)</f>
        <v>0</v>
      </c>
      <c r="AU44" s="137" t="s">
        <v>260</v>
      </c>
      <c r="AV44" s="111">
        <f>MIN(AV43,AV6)</f>
        <v>0</v>
      </c>
      <c r="BO44" s="110"/>
      <c r="BP44" s="110"/>
      <c r="BQ44" s="106"/>
    </row>
    <row r="45" spans="2:73" ht="25.5" x14ac:dyDescent="0.2">
      <c r="T45" s="200" t="s">
        <v>261</v>
      </c>
      <c r="U45" s="110" t="b">
        <f>IF(OR(AX4,AY4,AZ4,BB4,AR45&lt;0.7),TRUE,FALSE)</f>
        <v>1</v>
      </c>
      <c r="AO45" s="202"/>
      <c r="AQ45" s="137" t="s">
        <v>262</v>
      </c>
      <c r="AR45" s="111">
        <f>AR41*(1-AT44)+(AT41*AT44)</f>
        <v>0</v>
      </c>
      <c r="AU45" s="110" t="s">
        <v>196</v>
      </c>
      <c r="AV45" s="111">
        <f>AV41*AV44</f>
        <v>0</v>
      </c>
      <c r="BO45" s="110"/>
      <c r="BP45" s="110"/>
      <c r="BQ45" s="106"/>
    </row>
    <row r="46" spans="2:73" ht="25.5" x14ac:dyDescent="0.2">
      <c r="T46" s="200" t="s">
        <v>263</v>
      </c>
      <c r="U46" s="110" t="b">
        <v>0</v>
      </c>
      <c r="AO46" s="202"/>
      <c r="AQ46" s="137" t="s">
        <v>264</v>
      </c>
      <c r="AR46" s="111">
        <f>MIN(1,IF(NOT(OR(AY4,AZ4)),AR45+AV45,MIN(0.69,AR45+AV45)))</f>
        <v>0</v>
      </c>
      <c r="BO46" s="110"/>
      <c r="BP46" s="110"/>
      <c r="BQ46" s="106"/>
    </row>
    <row r="47" spans="2:73" x14ac:dyDescent="0.2">
      <c r="T47" s="200" t="s">
        <v>265</v>
      </c>
      <c r="U47" s="110" t="b">
        <f>IF(NOT(Flight?),TRUE,NOT(OR(ISBLANK(comments),ISBLANK(hdr_class),ISBLANK(date),ISBLANK(hdr_stud),ISBLANK(instructor),ISBLANK(hdr_acft),ISBLANK(hdr_time),F41="---")))</f>
        <v>1</v>
      </c>
      <c r="AO47" s="202"/>
      <c r="AR47" s="137"/>
      <c r="AS47" s="111"/>
    </row>
    <row r="48" spans="2:73" x14ac:dyDescent="0.2">
      <c r="T48" s="200" t="s">
        <v>266</v>
      </c>
      <c r="U48" s="110" t="b">
        <f>IF(Flight?,TRUE,NOT(OR(ISBLANK(comments),ISBLANK(hdr_class),ISBLANK(date),ISBLANK(hdr_stud),ISBLANK(instructor),F41="---")))</f>
        <v>0</v>
      </c>
      <c r="AO48" s="201"/>
      <c r="AP48" s="108" t="s">
        <v>267</v>
      </c>
      <c r="AQ48" s="108"/>
      <c r="AR48" s="108"/>
      <c r="AS48" s="108"/>
      <c r="AT48" s="108"/>
    </row>
    <row r="49" spans="20:56" x14ac:dyDescent="0.2">
      <c r="T49" s="200" t="s">
        <v>268</v>
      </c>
      <c r="U49" s="110" t="b">
        <f>AND(U47:U48)</f>
        <v>0</v>
      </c>
      <c r="AO49" s="201"/>
      <c r="AP49" s="108"/>
      <c r="AQ49" s="108"/>
      <c r="AR49" s="108">
        <v>0</v>
      </c>
      <c r="AS49" s="108">
        <v>1</v>
      </c>
      <c r="AT49" s="108">
        <v>2</v>
      </c>
      <c r="AU49" s="108">
        <v>3</v>
      </c>
      <c r="AV49" s="108">
        <v>4</v>
      </c>
    </row>
    <row r="50" spans="20:56" x14ac:dyDescent="0.2">
      <c r="AO50" s="201"/>
      <c r="AP50" s="108" t="s">
        <v>227</v>
      </c>
      <c r="AQ50" s="108">
        <v>1</v>
      </c>
      <c r="AR50" s="203">
        <v>0.7</v>
      </c>
      <c r="AS50" s="203">
        <v>0.9</v>
      </c>
      <c r="AT50" s="203">
        <v>0.93330000000000002</v>
      </c>
      <c r="AU50" s="203">
        <v>0.9667</v>
      </c>
      <c r="AV50" s="203">
        <v>1</v>
      </c>
    </row>
    <row r="51" spans="20:56" x14ac:dyDescent="0.2">
      <c r="AO51" s="201"/>
      <c r="AP51" s="108" t="s">
        <v>228</v>
      </c>
      <c r="AQ51" s="108">
        <v>2</v>
      </c>
      <c r="AR51" s="203">
        <v>0.7</v>
      </c>
      <c r="AS51" s="203">
        <v>0.8</v>
      </c>
      <c r="AT51" s="203">
        <v>0.9</v>
      </c>
      <c r="AU51" s="203">
        <v>0.95</v>
      </c>
      <c r="AV51" s="203">
        <v>1</v>
      </c>
    </row>
    <row r="52" spans="20:56" x14ac:dyDescent="0.2">
      <c r="AO52" s="201"/>
      <c r="AP52" s="108" t="s">
        <v>229</v>
      </c>
      <c r="AQ52" s="108">
        <v>3</v>
      </c>
      <c r="AR52" s="203">
        <v>0.7</v>
      </c>
      <c r="AS52" s="203">
        <v>0.76670000000000005</v>
      </c>
      <c r="AT52" s="203">
        <v>0.83330000000000004</v>
      </c>
      <c r="AU52" s="203">
        <v>0.9</v>
      </c>
      <c r="AV52" s="203">
        <v>1</v>
      </c>
    </row>
    <row r="53" spans="20:56" x14ac:dyDescent="0.2">
      <c r="AP53" s="204" t="s">
        <v>230</v>
      </c>
      <c r="AQ53" s="108">
        <v>11</v>
      </c>
      <c r="AR53" s="203">
        <v>0.6</v>
      </c>
      <c r="AS53" s="203">
        <v>0.9</v>
      </c>
      <c r="AT53" s="203">
        <v>0.93330000000000002</v>
      </c>
      <c r="AU53" s="203">
        <v>0.9667</v>
      </c>
      <c r="AV53" s="203">
        <v>1</v>
      </c>
    </row>
    <row r="54" spans="20:56" x14ac:dyDescent="0.2">
      <c r="AP54" s="204" t="s">
        <v>231</v>
      </c>
      <c r="AQ54" s="108">
        <v>12</v>
      </c>
      <c r="AR54" s="203">
        <v>0.6</v>
      </c>
      <c r="AS54" s="203">
        <v>0.7</v>
      </c>
      <c r="AT54" s="203">
        <v>0.9</v>
      </c>
      <c r="AU54" s="203">
        <v>0.95</v>
      </c>
      <c r="AV54" s="203">
        <v>1</v>
      </c>
    </row>
    <row r="55" spans="20:56" x14ac:dyDescent="0.2">
      <c r="AP55" s="204" t="s">
        <v>232</v>
      </c>
      <c r="AQ55" s="108">
        <v>13</v>
      </c>
      <c r="AR55" s="203">
        <v>0.6</v>
      </c>
      <c r="AS55" s="203">
        <v>0.7</v>
      </c>
      <c r="AT55" s="203">
        <v>0.8</v>
      </c>
      <c r="AU55" s="203">
        <v>0.9</v>
      </c>
      <c r="AV55" s="203">
        <v>1</v>
      </c>
    </row>
    <row r="56" spans="20:56" x14ac:dyDescent="0.2">
      <c r="AP56" s="204" t="s">
        <v>233</v>
      </c>
      <c r="AQ56" s="108">
        <v>22</v>
      </c>
      <c r="AR56" s="203">
        <v>0.3</v>
      </c>
      <c r="AS56" s="203">
        <v>0.6</v>
      </c>
      <c r="AT56" s="203">
        <v>0.9</v>
      </c>
      <c r="AU56" s="203">
        <v>0.95</v>
      </c>
      <c r="AV56" s="203">
        <v>1</v>
      </c>
    </row>
    <row r="57" spans="20:56" x14ac:dyDescent="0.2">
      <c r="AP57" s="204" t="s">
        <v>234</v>
      </c>
      <c r="AQ57" s="108">
        <v>23</v>
      </c>
      <c r="AR57" s="203">
        <v>0.3</v>
      </c>
      <c r="AS57" s="203">
        <v>0.6</v>
      </c>
      <c r="AT57" s="203">
        <v>0.7</v>
      </c>
      <c r="AU57" s="203">
        <v>0.9</v>
      </c>
      <c r="AV57" s="203">
        <v>1</v>
      </c>
    </row>
    <row r="58" spans="20:56" x14ac:dyDescent="0.2">
      <c r="AP58" s="204" t="s">
        <v>235</v>
      </c>
      <c r="AQ58" s="108">
        <v>33</v>
      </c>
      <c r="AR58" s="203">
        <v>0</v>
      </c>
      <c r="AS58" s="203">
        <v>0.3</v>
      </c>
      <c r="AT58" s="203">
        <v>0.6</v>
      </c>
      <c r="AU58" s="203">
        <v>0.9</v>
      </c>
      <c r="AV58" s="203">
        <v>1</v>
      </c>
      <c r="AW58" s="83"/>
      <c r="AX58" s="84"/>
      <c r="BC58" s="84"/>
      <c r="BD58" s="84"/>
    </row>
    <row r="59" spans="20:56" x14ac:dyDescent="0.2">
      <c r="AW59" s="84"/>
      <c r="AX59" s="84"/>
      <c r="BC59" s="84"/>
      <c r="BD59" s="84"/>
    </row>
    <row r="60" spans="20:56" x14ac:dyDescent="0.2">
      <c r="AP60" s="84"/>
      <c r="AQ60" s="83"/>
      <c r="AR60" s="84"/>
      <c r="AS60" s="84"/>
      <c r="AT60" s="84"/>
      <c r="AU60" s="84"/>
      <c r="AV60" s="84"/>
      <c r="AW60" s="83"/>
      <c r="AX60" s="83"/>
      <c r="BC60" s="84"/>
      <c r="BD60" s="84"/>
    </row>
    <row r="61" spans="20:56" x14ac:dyDescent="0.2">
      <c r="AP61" s="101"/>
      <c r="AQ61" s="83"/>
      <c r="AR61" s="84"/>
      <c r="AS61" s="84"/>
      <c r="AT61" s="84"/>
      <c r="AU61" s="84"/>
      <c r="AV61" s="84"/>
      <c r="AW61" s="83"/>
      <c r="AX61" s="83"/>
      <c r="BC61" s="84"/>
      <c r="BD61" s="84"/>
    </row>
    <row r="62" spans="20:56" x14ac:dyDescent="0.2">
      <c r="AP62" s="83"/>
      <c r="AQ62" s="83"/>
      <c r="AR62" s="84"/>
      <c r="AS62" s="84"/>
      <c r="AT62" s="84"/>
      <c r="AU62" s="84"/>
      <c r="AV62" s="84"/>
      <c r="AW62" s="83"/>
      <c r="AX62" s="83"/>
      <c r="BC62" s="84"/>
      <c r="BD62" s="84"/>
    </row>
    <row r="63" spans="20:56" x14ac:dyDescent="0.2">
      <c r="AP63" s="83"/>
      <c r="AQ63" s="83"/>
      <c r="AR63" s="84"/>
      <c r="AS63" s="84"/>
      <c r="AT63" s="84"/>
      <c r="AU63" s="84"/>
      <c r="AV63" s="84"/>
      <c r="AW63" s="83"/>
      <c r="AX63" s="84"/>
      <c r="BC63" s="84"/>
      <c r="BD63" s="84"/>
    </row>
    <row r="64" spans="20:56" x14ac:dyDescent="0.2">
      <c r="AP64" s="83"/>
      <c r="AQ64" s="83"/>
      <c r="AR64" s="84"/>
      <c r="AS64" s="84"/>
      <c r="AT64" s="84"/>
      <c r="AU64" s="84"/>
      <c r="AV64" s="84"/>
      <c r="AW64" s="83"/>
      <c r="AX64" s="84"/>
      <c r="BC64" s="84"/>
      <c r="BD64" s="84"/>
    </row>
    <row r="65" spans="42:48" x14ac:dyDescent="0.2">
      <c r="AP65" s="83"/>
      <c r="AQ65" s="83"/>
      <c r="AR65" s="84"/>
      <c r="AS65" s="84"/>
      <c r="AT65" s="84"/>
      <c r="AU65" s="84"/>
      <c r="AV65" s="84"/>
    </row>
    <row r="66" spans="42:48" x14ac:dyDescent="0.2">
      <c r="AP66" s="83"/>
      <c r="AQ66" s="83"/>
      <c r="AR66" s="84"/>
      <c r="AS66" s="84"/>
      <c r="AT66" s="84"/>
      <c r="AU66" s="84"/>
      <c r="AV66" s="84"/>
    </row>
  </sheetData>
  <sheetProtection algorithmName="SHA-512" hashValue="JbJuJ9t3yJwAAclLgAFu7FjBf+sdM9OqrgkL9zd07bdXAu5nINd5XnAmihxWn1S9LziYneru8lktQZJhMv8TSQ==" saltValue="tjSL1sgFY2+h0piIp1mnYg==" spinCount="100000" sheet="1" selectLockedCell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46" priority="8" stopIfTrue="1">
      <formula>IF($Z8=1,TRUE,FALSE)</formula>
    </cfRule>
    <cfRule type="expression" dxfId="245" priority="9">
      <formula>IF($Z8=2,TRUE,FALSE)</formula>
    </cfRule>
  </conditionalFormatting>
  <conditionalFormatting sqref="C8:F39">
    <cfRule type="expression" dxfId="244" priority="1" stopIfTrue="1">
      <formula>IF($AF8=FALSE,TRUE,FALSE)</formula>
    </cfRule>
  </conditionalFormatting>
  <conditionalFormatting sqref="F5:G6 M5:P6">
    <cfRule type="expression" dxfId="243" priority="4" stopIfTrue="1">
      <formula>NOT($AU$4)</formula>
    </cfRule>
  </conditionalFormatting>
  <conditionalFormatting sqref="F6:G6">
    <cfRule type="cellIs" dxfId="242" priority="3" operator="equal">
      <formula>""</formula>
    </cfRule>
  </conditionalFormatting>
  <conditionalFormatting sqref="G8:K39">
    <cfRule type="expression" dxfId="241" priority="6" stopIfTrue="1">
      <formula>IF($Z8=1,TRUE,FALSE)</formula>
    </cfRule>
    <cfRule type="expression" dxfId="240" priority="7" stopIfTrue="1">
      <formula>IF($Z8=2,TRUE,FALSE)</formula>
    </cfRule>
  </conditionalFormatting>
  <conditionalFormatting sqref="H8:H39">
    <cfRule type="expression" dxfId="239" priority="10" stopIfTrue="1">
      <formula>IF($AB8=0,TRUE,FALSE)</formula>
    </cfRule>
  </conditionalFormatting>
  <conditionalFormatting sqref="H40:I41">
    <cfRule type="expression" dxfId="238" priority="2" stopIfTrue="1">
      <formula>IF($H$41="N/A",TRUE,FALSE)</formula>
    </cfRule>
  </conditionalFormatting>
  <conditionalFormatting sqref="H6:P6 O4:R4 B6 L8 L41 O41:R41">
    <cfRule type="containsBlanks" dxfId="237" priority="5">
      <formula>LEN(TRIM(B4))=0</formula>
    </cfRule>
  </conditionalFormatting>
  <conditionalFormatting sqref="J8:J39">
    <cfRule type="expression" dxfId="236" priority="14">
      <formula>IF($Z8=1,FALSE,OR($BE8,$BD8))</formula>
    </cfRule>
  </conditionalFormatting>
  <conditionalFormatting sqref="J8:K39 C8:F39">
    <cfRule type="expression" dxfId="235" priority="13">
      <formula>IF($Z8=1,FALSE,OR($AW8,$AX8,$AY8,$AZ8))</formula>
    </cfRule>
  </conditionalFormatting>
  <conditionalFormatting sqref="J8:K39">
    <cfRule type="expression" dxfId="234" priority="11" stopIfTrue="1">
      <formula>IF(ISNA($Z8),TRUE,FALSE)</formula>
    </cfRule>
  </conditionalFormatting>
  <conditionalFormatting sqref="K8:K39">
    <cfRule type="expression" dxfId="233" priority="12">
      <formula>IF(OR($Z8=1,$Z8=2),FALSE,OR($BC8,$BE8,$BF8))</formula>
    </cfRule>
  </conditionalFormatting>
  <dataValidations count="6">
    <dataValidation type="list" allowBlank="1" showInputMessage="1" showErrorMessage="1" sqref="F6:G6" xr:uid="{D1250EBF-51D2-4E68-A61E-770FCCFBA14A}">
      <formula1>"No,Yes"</formula1>
    </dataValidation>
    <dataValidation type="list" allowBlank="1" showInputMessage="1" showErrorMessage="1" sqref="J8:J39" xr:uid="{FE73F969-995F-4A4A-B207-6B3AC82CC02B}">
      <formula1>"NA,0,1,2,3,4,5,6,7,8,9,10,11,12,13,14,15"</formula1>
    </dataValidation>
    <dataValidation type="list" allowBlank="1" showInputMessage="1" showErrorMessage="1" sqref="K8:K39" xr:uid="{1776E9F5-4EFB-490A-9069-36FAFB4207C7}">
      <formula1>"D,0,1,2,3,4"</formula1>
    </dataValidation>
    <dataValidation showInputMessage="1" showErrorMessage="1" sqref="O41:R41" xr:uid="{1A4F628C-AFC4-4D64-80F9-A6F7790BB7E7}"/>
    <dataValidation type="decimal" allowBlank="1" showInputMessage="1" showErrorMessage="1" sqref="O6:P6" xr:uid="{73730FFB-F3F8-4C36-A712-058B8EC8333B}">
      <formula1>0</formula1>
      <formula2>10</formula2>
    </dataValidation>
    <dataValidation type="date" allowBlank="1" showInputMessage="1" showErrorMessage="1" sqref="Q4:R4" xr:uid="{97043C7E-EEC3-4650-938B-52B55F07CADD}">
      <formula1>41151</formula1>
      <formula2>77433</formula2>
    </dataValidation>
  </dataValidations>
  <hyperlinks>
    <hyperlink ref="BP3:BU4" location="AS!A1" display="AS Summary Page" xr:uid="{3EBC25E8-722A-4951-AC51-A8D059D3F0D2}"/>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826"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5827"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5828"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5829"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5830"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862FE-EE90-47EC-9332-722A960E6262}">
  <sheetPr>
    <tabColor rgb="FF00B0F0"/>
    <pageSetUpPr autoPageBreaks="0"/>
  </sheetPr>
  <dimension ref="A1:AVW69"/>
  <sheetViews>
    <sheetView showGridLines="0" showRowColHeaders="0" topLeftCell="B5" zoomScaleNormal="100" workbookViewId="0">
      <selection activeCell="L11" sqref="L11:R42"/>
    </sheetView>
  </sheetViews>
  <sheetFormatPr defaultColWidth="9.140625" defaultRowHeight="15" x14ac:dyDescent="0.25"/>
  <cols>
    <col min="1" max="1" width="1.5703125" style="376" customWidth="1"/>
    <col min="2" max="2" width="3.5703125" style="376" customWidth="1"/>
    <col min="3" max="3" width="5.5703125" style="371" customWidth="1"/>
    <col min="4" max="4" width="9.140625" style="371"/>
    <col min="5" max="5" width="14" style="371" customWidth="1"/>
    <col min="6" max="6" width="7.85546875" style="371" customWidth="1"/>
    <col min="7" max="11" width="5.140625" style="371" customWidth="1"/>
    <col min="12" max="12" width="21.5703125" style="371" customWidth="1"/>
    <col min="13" max="13" width="6.5703125" style="371" customWidth="1"/>
    <col min="14" max="14" width="12.5703125" style="371" customWidth="1"/>
    <col min="15" max="15" width="7.85546875" style="371" customWidth="1"/>
    <col min="16" max="16" width="2.7109375" style="371" customWidth="1"/>
    <col min="17" max="17" width="4.85546875" style="371" customWidth="1"/>
    <col min="18" max="18" width="7.28515625" style="371" customWidth="1"/>
    <col min="19" max="19" width="1.7109375" style="371" customWidth="1"/>
    <col min="20" max="20" width="19.140625" style="374" hidden="1" customWidth="1"/>
    <col min="21" max="21" width="31.140625" style="374" hidden="1" customWidth="1"/>
    <col min="22" max="22" width="5.140625" style="374" hidden="1" customWidth="1"/>
    <col min="23" max="24" width="6.28515625" style="374" hidden="1" customWidth="1"/>
    <col min="25" max="25" width="8.42578125" style="374" hidden="1" customWidth="1"/>
    <col min="26" max="26" width="7.85546875" style="374" hidden="1" customWidth="1"/>
    <col min="27" max="27" width="10.7109375" style="374" hidden="1" customWidth="1"/>
    <col min="28" max="28" width="8" style="374" hidden="1" customWidth="1"/>
    <col min="29" max="31" width="5.140625" style="374" hidden="1" customWidth="1"/>
    <col min="32" max="34" width="5.85546875" style="374" hidden="1" customWidth="1"/>
    <col min="35" max="35" width="8.5703125" style="375" hidden="1" customWidth="1"/>
    <col min="36" max="36" width="7" style="374" hidden="1" customWidth="1"/>
    <col min="37" max="38" width="5.28515625" style="374" hidden="1" customWidth="1"/>
    <col min="39" max="40" width="7" style="374" hidden="1" customWidth="1"/>
    <col min="41" max="41" width="5.140625" style="374" hidden="1" customWidth="1"/>
    <col min="42" max="42" width="11.28515625" style="374" hidden="1" customWidth="1"/>
    <col min="43" max="43" width="6.42578125" style="374" hidden="1" customWidth="1"/>
    <col min="44" max="44" width="8.28515625" style="374" hidden="1" customWidth="1"/>
    <col min="45" max="45" width="8.85546875" style="374" hidden="1" customWidth="1"/>
    <col min="46" max="46" width="10.7109375" style="374" hidden="1" customWidth="1"/>
    <col min="47" max="47" width="8.85546875" style="374" hidden="1" customWidth="1"/>
    <col min="48" max="48" width="6.28515625" style="374" hidden="1" customWidth="1"/>
    <col min="49" max="49" width="10" style="374" hidden="1" customWidth="1"/>
    <col min="50" max="50" width="7.5703125" style="374" hidden="1" customWidth="1"/>
    <col min="51" max="51" width="7" style="374" hidden="1" customWidth="1"/>
    <col min="52" max="52" width="8.140625" style="374" hidden="1" customWidth="1"/>
    <col min="53" max="53" width="12.5703125" style="374" hidden="1" customWidth="1"/>
    <col min="54" max="54" width="7.7109375" style="374" hidden="1" customWidth="1"/>
    <col min="55" max="55" width="12.7109375" style="374" hidden="1" customWidth="1"/>
    <col min="56" max="56" width="7" style="374" hidden="1" customWidth="1"/>
    <col min="57" max="57" width="15.5703125" style="373" hidden="1" customWidth="1"/>
    <col min="58" max="58" width="9.140625" style="373" hidden="1" customWidth="1"/>
    <col min="59" max="59" width="10" style="374" hidden="1" customWidth="1"/>
    <col min="60" max="60" width="5.28515625" style="373" hidden="1" customWidth="1"/>
    <col min="61" max="61" width="4" style="373" hidden="1" customWidth="1"/>
    <col min="62" max="62" width="4.7109375" style="373" hidden="1" customWidth="1"/>
    <col min="63" max="63" width="5.5703125" style="373" hidden="1" customWidth="1"/>
    <col min="64" max="64" width="5.28515625" style="373" hidden="1" customWidth="1"/>
    <col min="65" max="65" width="4" style="373" hidden="1" customWidth="1"/>
    <col min="66" max="66" width="5.5703125" style="373" hidden="1" customWidth="1"/>
    <col min="67" max="67" width="5.140625" style="372" customWidth="1"/>
    <col min="68" max="73" width="5.140625" style="371" customWidth="1"/>
    <col min="74" max="16384" width="9.140625" style="371"/>
  </cols>
  <sheetData>
    <row r="1" spans="2:73" s="447" customFormat="1" ht="12" hidden="1" x14ac:dyDescent="0.2">
      <c r="T1" s="378"/>
      <c r="U1" s="378"/>
      <c r="V1" s="378"/>
      <c r="W1" s="378"/>
      <c r="X1" s="378"/>
      <c r="Y1" s="378"/>
      <c r="Z1" s="378"/>
      <c r="AA1" s="378"/>
      <c r="AB1" s="378"/>
      <c r="AC1" s="378"/>
      <c r="AD1" s="378"/>
      <c r="AE1" s="378"/>
      <c r="AF1" s="378"/>
      <c r="AG1" s="378"/>
      <c r="AH1" s="378"/>
      <c r="AI1" s="402"/>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row>
    <row r="2" spans="2:73" s="447" customFormat="1" ht="12" hidden="1" x14ac:dyDescent="0.2">
      <c r="T2" s="378"/>
      <c r="U2" s="378"/>
      <c r="V2" s="378"/>
      <c r="W2" s="378"/>
      <c r="X2" s="378"/>
      <c r="Y2" s="378"/>
      <c r="Z2" s="378"/>
      <c r="AA2" s="378"/>
      <c r="AB2" s="378"/>
      <c r="AC2" s="378"/>
      <c r="AD2" s="378"/>
      <c r="AE2" s="378"/>
      <c r="AF2" s="378"/>
      <c r="AG2" s="378"/>
      <c r="AH2" s="378"/>
      <c r="AI2" s="402"/>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row>
    <row r="3" spans="2:73" s="447" customFormat="1" ht="12" hidden="1" x14ac:dyDescent="0.2">
      <c r="T3" s="378"/>
      <c r="U3" s="378"/>
      <c r="V3" s="378"/>
      <c r="W3" s="378"/>
      <c r="X3" s="378"/>
      <c r="Y3" s="378"/>
      <c r="Z3" s="378"/>
      <c r="AA3" s="378"/>
      <c r="AB3" s="378"/>
      <c r="AC3" s="378"/>
      <c r="AD3" s="378"/>
      <c r="AE3" s="378"/>
      <c r="AF3" s="378"/>
      <c r="AG3" s="378"/>
      <c r="AH3" s="378"/>
      <c r="AI3" s="402"/>
      <c r="AJ3" s="378"/>
      <c r="AK3" s="378"/>
      <c r="AL3" s="378"/>
      <c r="AM3" s="378"/>
      <c r="AN3" s="378"/>
      <c r="AO3" s="378"/>
      <c r="AP3" s="378"/>
      <c r="AQ3" s="378"/>
      <c r="AR3" s="378"/>
      <c r="AS3" s="378"/>
      <c r="AT3" s="378"/>
      <c r="AU3" s="378"/>
      <c r="AV3" s="378"/>
      <c r="AW3" s="378"/>
      <c r="AX3" s="378"/>
      <c r="AY3" s="378"/>
      <c r="AZ3" s="378"/>
      <c r="BA3" s="378"/>
      <c r="BB3" s="378"/>
      <c r="BC3" s="378"/>
      <c r="BD3" s="378"/>
      <c r="BE3" s="378"/>
      <c r="BF3" s="378"/>
      <c r="BG3" s="378"/>
      <c r="BH3" s="378"/>
      <c r="BI3" s="378"/>
      <c r="BJ3" s="378"/>
      <c r="BK3" s="378"/>
      <c r="BL3" s="378"/>
      <c r="BM3" s="378"/>
      <c r="BN3" s="378"/>
    </row>
    <row r="4" spans="2:73" s="447" customFormat="1" ht="12" hidden="1" x14ac:dyDescent="0.2">
      <c r="T4" s="378"/>
      <c r="U4" s="378"/>
      <c r="V4" s="378"/>
      <c r="W4" s="378"/>
      <c r="X4" s="378"/>
      <c r="Y4" s="378"/>
      <c r="Z4" s="378"/>
      <c r="AA4" s="378"/>
      <c r="AB4" s="378"/>
      <c r="AC4" s="378"/>
      <c r="AD4" s="378"/>
      <c r="AE4" s="378"/>
      <c r="AF4" s="378"/>
      <c r="AG4" s="378"/>
      <c r="AH4" s="378"/>
      <c r="AI4" s="402"/>
      <c r="AJ4" s="378"/>
      <c r="AK4" s="378"/>
      <c r="AL4" s="378"/>
      <c r="AM4" s="378"/>
      <c r="AN4" s="378"/>
      <c r="AO4" s="378"/>
      <c r="AP4" s="378"/>
      <c r="AQ4" s="378"/>
      <c r="AR4" s="378"/>
      <c r="AS4" s="378"/>
      <c r="AT4" s="378"/>
      <c r="AU4" s="378"/>
      <c r="AV4" s="378"/>
      <c r="AW4" s="378"/>
      <c r="AX4" s="378"/>
      <c r="AY4" s="378"/>
      <c r="AZ4" s="378"/>
      <c r="BA4" s="378"/>
      <c r="BB4" s="378"/>
      <c r="BC4" s="378"/>
      <c r="BD4" s="378"/>
      <c r="BE4" s="378"/>
      <c r="BF4" s="378"/>
      <c r="BG4" s="378"/>
      <c r="BH4" s="378"/>
      <c r="BI4" s="378"/>
      <c r="BJ4" s="378"/>
      <c r="BK4" s="378"/>
      <c r="BL4" s="378"/>
      <c r="BM4" s="378"/>
      <c r="BN4" s="378"/>
    </row>
    <row r="5" spans="2:73" ht="15.75" thickBot="1" x14ac:dyDescent="0.3">
      <c r="BE5" s="374"/>
      <c r="BF5" s="374"/>
      <c r="BG5" s="373"/>
    </row>
    <row r="6" spans="2:73" ht="13.5" customHeight="1" thickTop="1" x14ac:dyDescent="0.25">
      <c r="B6" s="1576" t="s">
        <v>141</v>
      </c>
      <c r="C6" s="1577"/>
      <c r="D6" s="1577"/>
      <c r="E6" s="1577"/>
      <c r="F6" s="1577"/>
      <c r="G6" s="1578"/>
      <c r="H6" s="1589" t="s">
        <v>647</v>
      </c>
      <c r="I6" s="1590"/>
      <c r="J6" s="1590"/>
      <c r="K6" s="1590"/>
      <c r="L6" s="1590"/>
      <c r="M6" s="1590"/>
      <c r="N6" s="1591"/>
      <c r="O6" s="1592" t="s">
        <v>142</v>
      </c>
      <c r="P6" s="1593"/>
      <c r="Q6" s="1592" t="s">
        <v>143</v>
      </c>
      <c r="R6" s="1594"/>
      <c r="S6" s="406"/>
      <c r="T6" s="407"/>
      <c r="U6" s="407"/>
      <c r="V6" s="407"/>
      <c r="W6" s="407"/>
      <c r="X6" s="407"/>
      <c r="Y6" s="407"/>
      <c r="Z6" s="407"/>
      <c r="AA6" s="407"/>
      <c r="AB6" s="407"/>
      <c r="AC6" s="407"/>
      <c r="AD6" s="407"/>
      <c r="AE6" s="407"/>
      <c r="AF6" s="407"/>
      <c r="AG6" s="407"/>
      <c r="AH6" s="407"/>
      <c r="AI6" s="492"/>
      <c r="AJ6" s="407"/>
      <c r="AK6" s="407"/>
      <c r="AL6" s="407"/>
      <c r="AM6" s="407"/>
      <c r="AN6" s="407"/>
      <c r="AO6" s="407"/>
      <c r="AP6" s="407"/>
      <c r="AQ6" s="378"/>
      <c r="AR6" s="378"/>
      <c r="AW6" s="374" t="s">
        <v>144</v>
      </c>
      <c r="AX6" s="374" t="s">
        <v>145</v>
      </c>
      <c r="AY6" s="374" t="s">
        <v>146</v>
      </c>
      <c r="AZ6" s="374" t="s">
        <v>147</v>
      </c>
      <c r="BA6" s="374" t="s">
        <v>148</v>
      </c>
      <c r="BB6" s="374" t="s">
        <v>149</v>
      </c>
      <c r="BE6" s="374"/>
      <c r="BF6" s="374"/>
      <c r="BG6" s="373"/>
      <c r="BP6" s="1638" t="s">
        <v>318</v>
      </c>
      <c r="BQ6" s="1638"/>
      <c r="BR6" s="1638"/>
      <c r="BS6" s="1638"/>
      <c r="BT6" s="1638"/>
      <c r="BU6" s="1638"/>
    </row>
    <row r="7" spans="2:73" s="416" customFormat="1" ht="15.75" customHeight="1" x14ac:dyDescent="0.2">
      <c r="B7" s="1579" t="s">
        <v>293</v>
      </c>
      <c r="C7" s="1580"/>
      <c r="D7" s="1580"/>
      <c r="E7" s="1580"/>
      <c r="F7" s="1580"/>
      <c r="G7" s="1581"/>
      <c r="H7" s="1598" t="s">
        <v>316</v>
      </c>
      <c r="I7" s="1599"/>
      <c r="J7" s="1599"/>
      <c r="K7" s="1599"/>
      <c r="L7" s="1599"/>
      <c r="M7" s="1599"/>
      <c r="N7" s="1600"/>
      <c r="O7" s="1601"/>
      <c r="P7" s="1602"/>
      <c r="Q7" s="1603"/>
      <c r="R7" s="1604"/>
      <c r="S7" s="498"/>
      <c r="T7" s="496"/>
      <c r="U7" s="496"/>
      <c r="V7" s="496"/>
      <c r="W7" s="496"/>
      <c r="X7" s="496"/>
      <c r="Y7" s="496"/>
      <c r="Z7" s="496"/>
      <c r="AA7" s="496"/>
      <c r="AB7" s="496"/>
      <c r="AC7" s="496"/>
      <c r="AD7" s="496"/>
      <c r="AE7" s="496"/>
      <c r="AF7" s="496"/>
      <c r="AG7" s="496"/>
      <c r="AH7" s="496"/>
      <c r="AI7" s="497"/>
      <c r="AJ7" s="496"/>
      <c r="AK7" s="496"/>
      <c r="AL7" s="496"/>
      <c r="AM7" s="496"/>
      <c r="AN7" s="496"/>
      <c r="AO7" s="496"/>
      <c r="AP7" s="496"/>
      <c r="AQ7" s="487"/>
      <c r="AR7" s="487"/>
      <c r="AS7" s="401"/>
      <c r="AT7" s="495" t="s">
        <v>151</v>
      </c>
      <c r="AU7" s="494" t="b">
        <v>0</v>
      </c>
      <c r="AV7" s="401">
        <v>0</v>
      </c>
      <c r="AW7" s="401" t="b">
        <f>IF(ISERR(OR(AW11:AW42)),"UNK",IF(AND(graded_aca_events&gt;=1,input_test),FALSE,OR(AW11:AW42)))</f>
        <v>0</v>
      </c>
      <c r="AX7" s="401" t="b">
        <f>IF(ISERR(OR(AX11:AX42)),"UNK",IF(AND(graded_aca_events&gt;=1,input_test),FALSE,OR(AX11:AX42)))</f>
        <v>1</v>
      </c>
      <c r="AY7" s="401" t="b">
        <f>IF(ISERR(OR(AY11:AY42)),"UNK",OR(AY11:AY42))</f>
        <v>0</v>
      </c>
      <c r="AZ7" s="401" t="b">
        <f>IF(ISERR(OR(AZ11:AZ42)),"UNK",OR(AZ11:AZ42))</f>
        <v>0</v>
      </c>
      <c r="BA7" s="401" t="b">
        <f>IF(ISERR(OR(BA11:BA42)),"UNK",OR(BA11:BA42))</f>
        <v>0</v>
      </c>
      <c r="BB7" s="401" t="b">
        <f>IF(ISERR(OR(BB11:BB42)),"UNK",OR(BB11:BB42))</f>
        <v>0</v>
      </c>
      <c r="BC7" s="493" t="b">
        <f>OR(BC11:BC42)</f>
        <v>0</v>
      </c>
      <c r="BD7" s="493" t="b">
        <f>OR(BD11:BD42)</f>
        <v>0</v>
      </c>
      <c r="BE7" s="493" t="b">
        <f>OR(BE11:BE42)</f>
        <v>0</v>
      </c>
      <c r="BF7" s="493"/>
      <c r="BG7" s="401"/>
      <c r="BH7" s="1558" t="s">
        <v>152</v>
      </c>
      <c r="BI7" s="1558"/>
      <c r="BJ7" s="1558"/>
      <c r="BK7" s="1558"/>
      <c r="BL7" s="1559" t="s">
        <v>153</v>
      </c>
      <c r="BM7" s="1559"/>
      <c r="BN7" s="1559"/>
      <c r="BO7" s="372"/>
      <c r="BP7" s="1638"/>
      <c r="BQ7" s="1638"/>
      <c r="BR7" s="1638"/>
      <c r="BS7" s="1638"/>
      <c r="BT7" s="1638"/>
      <c r="BU7" s="1638"/>
    </row>
    <row r="8" spans="2:73" s="406" customFormat="1" ht="7.5" customHeight="1" x14ac:dyDescent="0.25">
      <c r="B8" s="1560" t="s">
        <v>154</v>
      </c>
      <c r="C8" s="1561"/>
      <c r="D8" s="1561"/>
      <c r="E8" s="1562"/>
      <c r="F8" s="1563" t="s">
        <v>155</v>
      </c>
      <c r="G8" s="1562"/>
      <c r="H8" s="1563" t="s">
        <v>156</v>
      </c>
      <c r="I8" s="1561"/>
      <c r="J8" s="1561"/>
      <c r="K8" s="1561"/>
      <c r="L8" s="1562"/>
      <c r="M8" s="1564" t="s">
        <v>157</v>
      </c>
      <c r="N8" s="1565"/>
      <c r="O8" s="1595" t="s">
        <v>158</v>
      </c>
      <c r="P8" s="1596"/>
      <c r="Q8" s="1563" t="str">
        <f>IF(AU44=0,"GRADE","GRADE (inc. bonus)")</f>
        <v>GRADE</v>
      </c>
      <c r="R8" s="1597"/>
      <c r="T8" s="407"/>
      <c r="U8" s="407"/>
      <c r="V8" s="407"/>
      <c r="W8" s="407"/>
      <c r="X8" s="407"/>
      <c r="Y8" s="407"/>
      <c r="Z8" s="407"/>
      <c r="AA8" s="407"/>
      <c r="AB8" s="407"/>
      <c r="AC8" s="407"/>
      <c r="AD8" s="407"/>
      <c r="AE8" s="407"/>
      <c r="AF8" s="407"/>
      <c r="AG8" s="407"/>
      <c r="AH8" s="407"/>
      <c r="AI8" s="492"/>
      <c r="AJ8" s="407"/>
      <c r="AK8" s="407"/>
      <c r="AL8" s="407"/>
      <c r="AM8" s="407"/>
      <c r="AN8" s="407"/>
      <c r="AO8" s="407"/>
      <c r="AP8" s="407"/>
      <c r="AQ8" s="407"/>
      <c r="AR8" s="407"/>
      <c r="AS8" s="407"/>
      <c r="AT8" s="407"/>
      <c r="AU8" s="407"/>
      <c r="AV8" s="407"/>
      <c r="AW8" s="407"/>
      <c r="AX8" s="407"/>
      <c r="AY8" s="407"/>
      <c r="AZ8" s="407"/>
      <c r="BA8" s="407"/>
      <c r="BB8" s="407"/>
      <c r="BC8" s="407"/>
      <c r="BD8" s="407"/>
      <c r="BE8" s="407"/>
      <c r="BF8" s="407"/>
      <c r="BG8" s="407"/>
      <c r="BH8" s="1558"/>
      <c r="BI8" s="1558"/>
      <c r="BJ8" s="1558"/>
      <c r="BK8" s="1558"/>
      <c r="BL8" s="1559"/>
      <c r="BM8" s="1559"/>
      <c r="BN8" s="1559"/>
      <c r="BO8" s="491"/>
    </row>
    <row r="9" spans="2:73" s="416" customFormat="1" ht="15.75" customHeight="1" thickBot="1" x14ac:dyDescent="0.25">
      <c r="B9" s="1566"/>
      <c r="C9" s="1567"/>
      <c r="D9" s="1567"/>
      <c r="E9" s="1568"/>
      <c r="F9" s="1569" t="s">
        <v>270</v>
      </c>
      <c r="G9" s="1570"/>
      <c r="H9" s="1571"/>
      <c r="I9" s="1572"/>
      <c r="J9" s="1572"/>
      <c r="K9" s="1572"/>
      <c r="L9" s="1573"/>
      <c r="M9" s="1574"/>
      <c r="N9" s="1575"/>
      <c r="O9" s="1585"/>
      <c r="P9" s="1586"/>
      <c r="Q9" s="1587" t="str">
        <f>IF((graded_aca_events+graded_amn_events)&lt;1,"---",IF(ISERROR(AR49),"",IF(F44&lt;&gt;"COMPLETE","INCOMPLETE",AR49)))</f>
        <v>---</v>
      </c>
      <c r="R9" s="1588"/>
      <c r="S9" s="371"/>
      <c r="T9" s="401"/>
      <c r="U9" s="401">
        <v>2</v>
      </c>
      <c r="V9" s="401">
        <v>3</v>
      </c>
      <c r="W9" s="401">
        <v>6</v>
      </c>
      <c r="X9" s="401">
        <v>7</v>
      </c>
      <c r="Y9" s="401">
        <v>11</v>
      </c>
      <c r="Z9" s="401">
        <v>8</v>
      </c>
      <c r="AA9" s="490">
        <v>9</v>
      </c>
      <c r="AB9" s="490">
        <v>10</v>
      </c>
      <c r="AC9" s="490">
        <v>5</v>
      </c>
      <c r="AD9" s="490">
        <v>4</v>
      </c>
      <c r="AE9" s="490">
        <v>12</v>
      </c>
      <c r="AF9" s="490">
        <v>13</v>
      </c>
      <c r="AG9" s="490"/>
      <c r="AH9" s="490"/>
      <c r="AI9" s="489"/>
      <c r="AJ9" s="488"/>
      <c r="AK9" s="488"/>
      <c r="AL9" s="488"/>
      <c r="AM9" s="488" t="b">
        <f>IF(COUNT(AM11:AM42)&gt;0,TRUE,FALSE)</f>
        <v>0</v>
      </c>
      <c r="AN9" s="488" t="b">
        <f>IF(COUNT(AN11:AN42)&gt;0,TRUE,FALSE)</f>
        <v>0</v>
      </c>
      <c r="AO9" s="401"/>
      <c r="AP9" s="401"/>
      <c r="AQ9" s="487"/>
      <c r="AR9" s="487"/>
      <c r="AS9" s="401"/>
      <c r="AT9" s="486">
        <v>0.2</v>
      </c>
      <c r="AU9" s="401"/>
      <c r="AV9" s="485">
        <f>0.01*input_maxb</f>
        <v>0</v>
      </c>
      <c r="AW9" s="483" t="s">
        <v>159</v>
      </c>
      <c r="AX9" s="484"/>
      <c r="AY9" s="483" t="s">
        <v>160</v>
      </c>
      <c r="AZ9" s="484"/>
      <c r="BA9" s="482" t="s">
        <v>161</v>
      </c>
      <c r="BB9" s="482"/>
      <c r="BC9" s="483" t="s">
        <v>162</v>
      </c>
      <c r="BD9" s="482"/>
      <c r="BE9" s="481"/>
      <c r="BF9" s="480"/>
      <c r="BG9" s="401" t="s">
        <v>163</v>
      </c>
      <c r="BH9" s="1558"/>
      <c r="BI9" s="1558"/>
      <c r="BJ9" s="1558"/>
      <c r="BK9" s="1558"/>
      <c r="BL9" s="1559"/>
      <c r="BM9" s="1559"/>
      <c r="BN9" s="1559"/>
      <c r="BO9" s="372"/>
    </row>
    <row r="10" spans="2:73" ht="27" customHeight="1" thickBot="1" x14ac:dyDescent="0.3">
      <c r="B10" s="1582" t="s">
        <v>164</v>
      </c>
      <c r="C10" s="1583"/>
      <c r="D10" s="1583"/>
      <c r="E10" s="1583"/>
      <c r="F10" s="1584"/>
      <c r="G10" s="479" t="s">
        <v>165</v>
      </c>
      <c r="H10" s="478" t="s">
        <v>166</v>
      </c>
      <c r="I10" s="477" t="s">
        <v>167</v>
      </c>
      <c r="J10" s="476" t="s">
        <v>168</v>
      </c>
      <c r="K10" s="475" t="s">
        <v>169</v>
      </c>
      <c r="L10" s="1605" t="s">
        <v>170</v>
      </c>
      <c r="M10" s="1583"/>
      <c r="N10" s="1583"/>
      <c r="O10" s="1583"/>
      <c r="P10" s="1583"/>
      <c r="Q10" s="1583"/>
      <c r="R10" s="1606"/>
      <c r="S10" s="376"/>
      <c r="T10" s="385" t="s">
        <v>171</v>
      </c>
      <c r="U10" s="385"/>
      <c r="V10" s="385" t="s">
        <v>172</v>
      </c>
      <c r="W10" s="385" t="s">
        <v>173</v>
      </c>
      <c r="X10" s="385" t="s">
        <v>174</v>
      </c>
      <c r="Y10" s="385" t="s">
        <v>175</v>
      </c>
      <c r="Z10" s="385" t="s">
        <v>176</v>
      </c>
      <c r="AA10" s="385" t="s">
        <v>177</v>
      </c>
      <c r="AB10" s="385" t="s">
        <v>178</v>
      </c>
      <c r="AC10" s="385" t="s">
        <v>179</v>
      </c>
      <c r="AD10" s="385" t="s">
        <v>180</v>
      </c>
      <c r="AE10" s="385" t="s">
        <v>181</v>
      </c>
      <c r="AF10" s="385" t="s">
        <v>182</v>
      </c>
      <c r="AG10" s="385" t="s">
        <v>183</v>
      </c>
      <c r="AH10" s="385" t="s">
        <v>184</v>
      </c>
      <c r="AI10" s="474" t="s">
        <v>185</v>
      </c>
      <c r="AJ10" s="472" t="s">
        <v>186</v>
      </c>
      <c r="AK10" s="473" t="s">
        <v>187</v>
      </c>
      <c r="AL10" s="473" t="s">
        <v>188</v>
      </c>
      <c r="AM10" s="473" t="s">
        <v>189</v>
      </c>
      <c r="AN10" s="473" t="s">
        <v>190</v>
      </c>
      <c r="AO10" s="472" t="s">
        <v>191</v>
      </c>
      <c r="AP10" s="472" t="s">
        <v>192</v>
      </c>
      <c r="AQ10" s="470" t="s">
        <v>193</v>
      </c>
      <c r="AR10" s="471" t="s">
        <v>1</v>
      </c>
      <c r="AS10" s="470" t="s">
        <v>194</v>
      </c>
      <c r="AT10" s="471" t="s">
        <v>1</v>
      </c>
      <c r="AU10" s="470" t="s">
        <v>195</v>
      </c>
      <c r="AV10" s="469" t="s">
        <v>196</v>
      </c>
      <c r="AW10" s="468" t="s">
        <v>197</v>
      </c>
      <c r="AX10" s="467" t="s">
        <v>198</v>
      </c>
      <c r="AY10" s="468" t="s">
        <v>199</v>
      </c>
      <c r="AZ10" s="467" t="s">
        <v>200</v>
      </c>
      <c r="BA10" s="466" t="s">
        <v>201</v>
      </c>
      <c r="BB10" s="466" t="s">
        <v>202</v>
      </c>
      <c r="BC10" s="465" t="s">
        <v>203</v>
      </c>
      <c r="BD10" s="464" t="s">
        <v>204</v>
      </c>
      <c r="BE10" s="463" t="s">
        <v>205</v>
      </c>
      <c r="BF10" s="462" t="s">
        <v>206</v>
      </c>
      <c r="BG10" s="373"/>
      <c r="BH10" s="373" t="s">
        <v>207</v>
      </c>
      <c r="BI10" s="373" t="s">
        <v>208</v>
      </c>
      <c r="BJ10" s="385" t="s">
        <v>209</v>
      </c>
      <c r="BK10" s="373" t="s">
        <v>210</v>
      </c>
      <c r="BL10" s="373" t="s">
        <v>207</v>
      </c>
      <c r="BM10" s="373" t="s">
        <v>208</v>
      </c>
      <c r="BN10" s="373" t="s">
        <v>210</v>
      </c>
    </row>
    <row r="11" spans="2:73" ht="12.95" customHeight="1" x14ac:dyDescent="0.25">
      <c r="B11" s="461" t="str">
        <f>IF(ISNA(Z11),"",IF(OR(Z11=1,Z11=2),"",1))</f>
        <v/>
      </c>
      <c r="C11" s="1607" t="str">
        <f t="shared" ref="C11:C42" si="0">IF(ISNA(Z11),"",CONCATENATE($U11,IF(ISNUMBER(AI11),TEXT(ROUND($AI11,3)," (0.0%)"),""),IF(AU11&gt;0," Bonus","")))</f>
        <v>Structure &amp; Logic (30.0%)</v>
      </c>
      <c r="D11" s="1607"/>
      <c r="E11" s="1607"/>
      <c r="F11" s="1608"/>
      <c r="G11" s="437" t="str">
        <f t="shared" ref="G11:G42" si="1">BH11</f>
        <v/>
      </c>
      <c r="H11" s="431" t="str">
        <f t="shared" ref="H11:H42" si="2">BJ11</f>
        <v/>
      </c>
      <c r="I11" s="460" t="str">
        <f t="shared" ref="I11:I42" si="3">BK11</f>
        <v/>
      </c>
      <c r="J11" s="459"/>
      <c r="K11" s="458"/>
      <c r="L11" s="1609"/>
      <c r="M11" s="1610"/>
      <c r="N11" s="1610"/>
      <c r="O11" s="1610"/>
      <c r="P11" s="1610"/>
      <c r="Q11" s="1610"/>
      <c r="R11" s="1611"/>
      <c r="T11" s="374">
        <v>1</v>
      </c>
      <c r="U11" s="374" t="s">
        <v>646</v>
      </c>
      <c r="V11" s="421" t="s">
        <v>212</v>
      </c>
      <c r="W11" s="421" t="s">
        <v>212</v>
      </c>
      <c r="X11" s="421" t="s">
        <v>212</v>
      </c>
      <c r="Y11" s="421" t="s">
        <v>212</v>
      </c>
      <c r="Z11" s="421">
        <v>2</v>
      </c>
      <c r="AA11" s="421">
        <v>1</v>
      </c>
      <c r="AB11" s="421">
        <v>1</v>
      </c>
      <c r="AC11" s="421" t="s">
        <v>212</v>
      </c>
      <c r="AD11" s="421" t="s">
        <v>212</v>
      </c>
      <c r="AE11" s="421" t="s">
        <v>212</v>
      </c>
      <c r="AF11" s="421" t="s">
        <v>212</v>
      </c>
      <c r="AG11" s="421" t="str">
        <f t="shared" ref="AG11:AG42" si="4">IF(CrewSoloQual="Yes",$AC11,$AD11)</f>
        <v/>
      </c>
      <c r="AH11" s="421" t="str">
        <f t="shared" ref="AH11:AH42" si="5">IF(ISNUMBER(AC11),IF(CrewSoloQual="Yes",$AC11-1,$AD11-1),"")</f>
        <v/>
      </c>
      <c r="AI11" s="427">
        <f>IF(NOT(OR(Z11=1,Z11=2)),IF(AQ11&gt;0,$AR$47*AQ11/SUMIF($AQ$11:$AQ$42,"&gt;0"),IF(AU11&gt;0,$AV$47*AU11/SUMIF($AU$11:$AU$42,"&gt;0"),IF(AS11&gt;0,$AT$47*AS11/SUMIF($AS$11:$AS$42,"&gt;0"),""))),IF(SUMIF(AJ12:$AJ$42,"=" &amp; AJ11,AI12:$AI$42)=0,"",SUMIF(AJ12:$AJ$42,"=" &amp; AJ11,AI12:$AI$42)))</f>
        <v>0.29999997965999931</v>
      </c>
      <c r="AJ11" s="426">
        <f>0</f>
        <v>0</v>
      </c>
      <c r="AK11" s="421" t="str">
        <f t="shared" ref="AK11:AK42" si="6">BI11</f>
        <v/>
      </c>
      <c r="AL11" s="421" t="str">
        <f t="shared" ref="AL11:AL42" si="7">IF(ISBLANK(K11),"",K11)</f>
        <v/>
      </c>
      <c r="AM11" s="421" t="str">
        <f t="shared" ref="AM11:AM42" si="8">IF(ISNUMBER(AK11),IF(ISNUMBER(AL11),1,""),"")</f>
        <v/>
      </c>
      <c r="AN11" s="421" t="str">
        <f t="shared" ref="AN11:AN42" si="9">IF(ISNUMBER(AH11),IF(AND(AB11=0,ISNUMBER(AC11),ISNUMBER(AL11)),1,""),"")</f>
        <v/>
      </c>
      <c r="AO11" s="421" t="str">
        <f t="shared" ref="AO11:AO42" si="10">IF(AB11=0,IF(CrewSoloQual="No",BI11,BK11),"")</f>
        <v/>
      </c>
      <c r="AP11" s="421" t="str">
        <f t="shared" ref="AP11:AP42" si="11">IF(ISNA(Z11),"",IF(AND(ISNUMBER(B11),G11&gt;=1,H11&lt;&gt;"NG"),IF(K11&lt;BK11,TRUE,FALSE),IF(AND(G11&gt;=1,J11="NA"),TRUE,IF(AND(AM11=1,G11=0,AL11&lt;BI11),TRUE,""))))</f>
        <v/>
      </c>
      <c r="AQ11" s="425">
        <f t="shared" ref="AQ11:AQ42" si="12">IF(ISNA(Z11),0,IF(OR(J11="NA",W11="",AB11=0),0,W11))</f>
        <v>0</v>
      </c>
      <c r="AR11" s="423" t="str">
        <f t="shared" ref="AR11:AR42" si="13">IF(ISNA(Z11),"",IF(AND(NOT(OR(Z11=1,Z11=2,AK11="NG",AB11=0)),IF(ISNUMBER(AL11),AL11&gt;=0,FALSE)),VLOOKUP((10*AD11+AC11),$AQ$53:$AV$61,2+AL11,FALSE),IF(AND(input_test=TRUE,ISNUMBER(AD11),V11&lt;&gt;0),VLOOKUP((10*AD11+AC11),$AQ$53:$AV$61,2,FALSE),"")))</f>
        <v/>
      </c>
      <c r="AS11" s="424">
        <f t="shared" ref="AS11:AS42" si="14">IF(ISNA(Z11),0,IF(OR(J11="NA",X11="",AB11=1),0,X11))</f>
        <v>0</v>
      </c>
      <c r="AT11" s="423" t="str">
        <f t="shared" ref="AT11:AT42" si="15">IF(ISNA(Z11),"",IF(AND(NOT(OR(Z11=1,Z11=2,AK11="NG",AB11=1)),IF(ISNUMBER(AL11),AL11&gt;=0,FALSE)),VLOOKUP((10*AH11+AG11),$AQ$53:$AV$61,2+AL11,FALSE),IF(AND(input_test=TRUE,ISNUMBER(AD11),V11&lt;&gt;0),VLOOKUP((10*AH11+AG11),$AQ$53:$AV$61,2,FALSE),"")))</f>
        <v/>
      </c>
      <c r="AU11" s="420">
        <f t="shared" ref="AU11:AU42" si="16">IF(ISNA(Z11),0,IF(OR(J11="NA",Y11=""),0,Y11))</f>
        <v>0</v>
      </c>
      <c r="AV11" s="422" t="str">
        <f t="shared" ref="AV11:AV42" si="17">AR11</f>
        <v/>
      </c>
      <c r="AW11" s="420" t="b">
        <f t="shared" ref="AW11:AW42" si="18">IF(ISNA(Z11),FALSE,IF(OR(AB11=1,G11=0,Z11=1,Z11=2),FALSE,IF(OR(J11="NA",J11&gt;=G11),FALSE,TRUE)))</f>
        <v>0</v>
      </c>
      <c r="AX11" s="419" t="b">
        <f t="shared" ref="AX11:AX42" si="19">IF(ISNA(Z11),FALSE,IF(OR(AB11=0,G11=0,Z11=1,Z11=2,J11="NA"),FALSE,IF(AK11="NG",IF(NOT(ISBLANK(K11)),FALSE,TRUE),IF(J11&gt;=G11,FALSE,TRUE))))</f>
        <v>0</v>
      </c>
      <c r="AY11" s="420" t="b">
        <f t="shared" ref="AY11:AY42" si="20">IF(ISNA(Z11),FALSE,IF(OR(AB11=1,G11&lt;1,Z11=1,Z11=2,AE11=0,ISBLANK(K11)),FALSE,IF(OR(J11="NA",K11&gt;=BI11),FALSE,TRUE)))</f>
        <v>0</v>
      </c>
      <c r="AZ11" s="419" t="b">
        <f t="shared" ref="AZ11:AZ42" si="21">IF(ISNA(Z11),FALSE,IF(OR(AB11=0,G11=0,Z11=1,Z11=2,AE11=0,BI11="NG",K11="",ISBLANK(K11)),FALSE,IF(OR(J11="NA",K11&gt;=AK11),FALSE,TRUE)))</f>
        <v>0</v>
      </c>
      <c r="BA11" s="421" t="b">
        <f t="shared" ref="BA11:BA42" si="22">IF(ISNA(Z11),FALSE,IF(OR(AB11=1,G11&lt;1,Z11=1,Z11=2,AE11=0),FALSE,IF(J11="NA",TRUE,FALSE)))</f>
        <v>0</v>
      </c>
      <c r="BB11" s="421" t="b">
        <f t="shared" ref="BB11:BB42" si="23">IF(ISNA(Z11),FALSE,IF(OR(AB11=0,G11=0,Z11=1,Z11=2),FALSE,IF(J11="NA",TRUE,FALSE)))</f>
        <v>0</v>
      </c>
      <c r="BC11" s="420" t="b">
        <f t="shared" ref="BC11:BC42" si="24">IF(OR(ISNA($Z11),ISNUMBER($Z11),NOT(ISNUMBER($J11)),K11="D"),FALSE,IF(AND(NOT(ISNUMBER($K11)),J11&gt;0),TRUE,FALSE))</f>
        <v>0</v>
      </c>
      <c r="BD11" s="393" t="b">
        <f t="shared" ref="BD11:BD42" si="25">IF(OR(ISNA($Z11),ISNUMBER($Z11),NOT(ISNUMBER(K11))),FALSE,OR(NOT(ISNUMBER(J11)),J11=0,AND(J11=0,K11&lt;&gt;0)))</f>
        <v>0</v>
      </c>
      <c r="BE11" s="419" t="b">
        <f t="shared" ref="BE11:BE42" si="26">IF(OR(ISNA($Z11),K11&lt;&gt;"D"),FALSE,IF(OR(AND(H11="NG",J11=0),AND(H11&lt;&gt;"NG",NOT(OR(J11="NA",J11=0)))),TRUE,FALSE))</f>
        <v>0</v>
      </c>
      <c r="BF11" s="418" t="b">
        <f t="shared" ref="BF11:BF42" si="27">IF(OR(ISNA($Z11),H11&lt;&gt;"NG"),FALSE,IF(AND(J11="NA",K11&lt;&gt;""),TRUE,FALSE))</f>
        <v>0</v>
      </c>
      <c r="BG11" s="417" t="b">
        <f t="shared" ref="BG11:BG42" si="28">IF(ISNA($Z11),"NA",IF(OR(AZ11,AY11,AX11,AW11,AP11,BA11,BB11),TRUE,FALSE))</f>
        <v>0</v>
      </c>
      <c r="BH11" s="435" t="str">
        <f t="shared" ref="BH11:BH42" si="29">IF(ISNA($Z11),"",IF(OR($Z11=1,$Z11=2),"",$V11))</f>
        <v/>
      </c>
      <c r="BI11" s="417" t="str">
        <f t="shared" ref="BI11:BI42" si="30">IF(ISNA($Z11),"",IF(OR($Z11=1,$Z11=2,$G11=""),"",IF(AB11=0,AH11,$AD11)))</f>
        <v/>
      </c>
      <c r="BJ11" s="417" t="str">
        <f t="shared" ref="BJ11:BJ42" si="31">IF(ISNA(AE11),"",IF(OR(Z11=1,Z11=2),"",IF(OR(AE11=0,AD11="NG"),TEXT(BI11,"0"),CONCATENATE(TEXT(BI11,"0"),"*"))))</f>
        <v/>
      </c>
      <c r="BK11" s="417" t="str">
        <f t="shared" ref="BK11:BK42" si="32">IF(ISNA($Z11),"",IF(OR($Z11=1,$Z11=2,$G11=""),"",IF(AB11=0,AG11,$AC11)))</f>
        <v/>
      </c>
      <c r="BL11" s="435" t="str">
        <f t="shared" ref="BL11:BL42" si="33">IF(ISBLANK(BH11),"",IF(BH11=0,"",BH11))</f>
        <v/>
      </c>
      <c r="BM11" s="417" t="str">
        <f t="shared" ref="BM11:BM42" si="34">IF($BH11=0,"",IF($BI11="NG","D",$BI11))</f>
        <v/>
      </c>
      <c r="BN11" s="417" t="str">
        <f t="shared" ref="BN11:BN42" si="35">IF(ISNA(U11),"",IF($BH11=0,"",IF($BI11="NG","D",BK11)))</f>
        <v/>
      </c>
      <c r="BO11" s="457" t="s">
        <v>213</v>
      </c>
      <c r="BP11" s="434"/>
    </row>
    <row r="12" spans="2:73" s="416" customFormat="1" ht="12.95" customHeight="1" x14ac:dyDescent="0.25">
      <c r="B12" s="433">
        <f>IF(ISNA(Z12),"",IF(OR(Z12=1,Z12=2),"    ",MAX($B$11:B11)+1))</f>
        <v>1</v>
      </c>
      <c r="C12" s="1618" t="str">
        <f t="shared" si="0"/>
        <v xml:space="preserve">      - Executive Summary (8.0%)</v>
      </c>
      <c r="D12" s="1618"/>
      <c r="E12" s="1618"/>
      <c r="F12" s="1619"/>
      <c r="G12" s="437">
        <f t="shared" si="1"/>
        <v>1</v>
      </c>
      <c r="H12" s="431" t="str">
        <f t="shared" si="2"/>
        <v>2*</v>
      </c>
      <c r="I12" s="436">
        <f t="shared" si="3"/>
        <v>3</v>
      </c>
      <c r="J12" s="456"/>
      <c r="K12" s="448"/>
      <c r="L12" s="1612"/>
      <c r="M12" s="1613"/>
      <c r="N12" s="1613"/>
      <c r="O12" s="1613"/>
      <c r="P12" s="1613"/>
      <c r="Q12" s="1613"/>
      <c r="R12" s="1614"/>
      <c r="T12" s="401">
        <v>2</v>
      </c>
      <c r="U12" s="374" t="s">
        <v>290</v>
      </c>
      <c r="V12" s="421">
        <v>1</v>
      </c>
      <c r="W12" s="421">
        <v>2.6666660000000002</v>
      </c>
      <c r="X12" s="421" t="s">
        <v>212</v>
      </c>
      <c r="Y12" s="421" t="s">
        <v>212</v>
      </c>
      <c r="Z12" s="393" t="s">
        <v>212</v>
      </c>
      <c r="AA12" s="393">
        <v>2</v>
      </c>
      <c r="AB12" s="393">
        <v>1</v>
      </c>
      <c r="AC12" s="421">
        <v>3</v>
      </c>
      <c r="AD12" s="421">
        <v>2</v>
      </c>
      <c r="AE12" s="421">
        <v>1</v>
      </c>
      <c r="AF12" s="421" t="b">
        <v>1</v>
      </c>
      <c r="AG12" s="421">
        <f t="shared" si="4"/>
        <v>2</v>
      </c>
      <c r="AH12" s="421">
        <f t="shared" si="5"/>
        <v>1</v>
      </c>
      <c r="AI12" s="427">
        <f>IF(NOT(OR(Z12=1,Z12=2)),IF(AQ12&gt;0,$AR$47*AQ12/SUMIF($AQ$11:$AQ$42,"&gt;0"),IF(AU12&gt;0,$AV$47*AU12/SUMIF($AU$11:$AU$42,"&gt;0"),IF(AS12&gt;0,$AT$47*AS12/SUMIF($AS$11:$AS$42,"&gt;0"),""))),IF(SUMIF(AJ13:$AJ$42,"=" &amp; AJ12,AI13:$AI$42)=0,"",SUMIF(AJ13:$AJ$42,"=" &amp; AJ12,AI13:$AI$42)))</f>
        <v>7.9999982575999426E-2</v>
      </c>
      <c r="AJ12" s="426">
        <f t="shared" ref="AJ12:AJ42" si="36">IF(OR(Z12=1,Z12=2,AA12&lt;AA11),AJ11+1,AJ11)</f>
        <v>0</v>
      </c>
      <c r="AK12" s="421">
        <f t="shared" si="6"/>
        <v>2</v>
      </c>
      <c r="AL12" s="393" t="str">
        <f t="shared" si="7"/>
        <v/>
      </c>
      <c r="AM12" s="393" t="str">
        <f t="shared" si="8"/>
        <v/>
      </c>
      <c r="AN12" s="393" t="str">
        <f t="shared" si="9"/>
        <v/>
      </c>
      <c r="AO12" s="393" t="str">
        <f t="shared" si="10"/>
        <v/>
      </c>
      <c r="AP12" s="421" t="b">
        <f t="shared" si="11"/>
        <v>1</v>
      </c>
      <c r="AQ12" s="425">
        <f t="shared" si="12"/>
        <v>2.6666660000000002</v>
      </c>
      <c r="AR12" s="423" t="str">
        <f t="shared" si="13"/>
        <v/>
      </c>
      <c r="AS12" s="424">
        <f t="shared" si="14"/>
        <v>0</v>
      </c>
      <c r="AT12" s="423" t="str">
        <f t="shared" si="15"/>
        <v/>
      </c>
      <c r="AU12" s="420">
        <f t="shared" si="16"/>
        <v>0</v>
      </c>
      <c r="AV12" s="422" t="str">
        <f t="shared" si="17"/>
        <v/>
      </c>
      <c r="AW12" s="420" t="b">
        <f t="shared" si="18"/>
        <v>0</v>
      </c>
      <c r="AX12" s="419" t="b">
        <f t="shared" si="19"/>
        <v>1</v>
      </c>
      <c r="AY12" s="420" t="b">
        <f t="shared" si="20"/>
        <v>0</v>
      </c>
      <c r="AZ12" s="419" t="b">
        <f t="shared" si="21"/>
        <v>0</v>
      </c>
      <c r="BA12" s="421" t="b">
        <f t="shared" si="22"/>
        <v>0</v>
      </c>
      <c r="BB12" s="421" t="b">
        <f t="shared" si="23"/>
        <v>0</v>
      </c>
      <c r="BC12" s="420" t="b">
        <f t="shared" si="24"/>
        <v>0</v>
      </c>
      <c r="BD12" s="393" t="b">
        <f t="shared" si="25"/>
        <v>0</v>
      </c>
      <c r="BE12" s="419" t="b">
        <f t="shared" si="26"/>
        <v>0</v>
      </c>
      <c r="BF12" s="418" t="b">
        <f t="shared" si="27"/>
        <v>0</v>
      </c>
      <c r="BG12" s="417" t="b">
        <f t="shared" si="28"/>
        <v>1</v>
      </c>
      <c r="BH12" s="417">
        <f t="shared" si="29"/>
        <v>1</v>
      </c>
      <c r="BI12" s="417">
        <f t="shared" si="30"/>
        <v>2</v>
      </c>
      <c r="BJ12" s="417" t="str">
        <f t="shared" si="31"/>
        <v>2*</v>
      </c>
      <c r="BK12" s="417">
        <f t="shared" si="32"/>
        <v>3</v>
      </c>
      <c r="BL12" s="435">
        <f t="shared" si="33"/>
        <v>1</v>
      </c>
      <c r="BM12" s="417">
        <f t="shared" si="34"/>
        <v>2</v>
      </c>
      <c r="BN12" s="417">
        <f t="shared" si="35"/>
        <v>3</v>
      </c>
      <c r="BO12" s="439" t="s">
        <v>214</v>
      </c>
      <c r="BP12" s="455" t="s">
        <v>139</v>
      </c>
    </row>
    <row r="13" spans="2:73" s="416" customFormat="1" ht="12.95" customHeight="1" x14ac:dyDescent="0.25">
      <c r="B13" s="433">
        <f>IF(ISNA(Z13),"",IF(OR(Z13=1,Z13=2),"    ",MAX($B$11:B12)+1))</f>
        <v>2</v>
      </c>
      <c r="C13" s="1618" t="str">
        <f t="shared" si="0"/>
        <v xml:space="preserve">      - Report Org. &amp; Structure (10.0%)</v>
      </c>
      <c r="D13" s="1618"/>
      <c r="E13" s="1618"/>
      <c r="F13" s="1619"/>
      <c r="G13" s="437">
        <f t="shared" si="1"/>
        <v>1</v>
      </c>
      <c r="H13" s="431" t="str">
        <f t="shared" si="2"/>
        <v>2*</v>
      </c>
      <c r="I13" s="436">
        <f t="shared" si="3"/>
        <v>3</v>
      </c>
      <c r="J13" s="449"/>
      <c r="K13" s="448"/>
      <c r="L13" s="1612"/>
      <c r="M13" s="1613"/>
      <c r="N13" s="1613"/>
      <c r="O13" s="1613"/>
      <c r="P13" s="1613"/>
      <c r="Q13" s="1613"/>
      <c r="R13" s="1614"/>
      <c r="T13" s="401">
        <v>3</v>
      </c>
      <c r="U13" s="374" t="s">
        <v>645</v>
      </c>
      <c r="V13" s="421">
        <v>1</v>
      </c>
      <c r="W13" s="421">
        <v>3.3333330000000001</v>
      </c>
      <c r="X13" s="421" t="s">
        <v>212</v>
      </c>
      <c r="Y13" s="421" t="s">
        <v>212</v>
      </c>
      <c r="Z13" s="393" t="s">
        <v>212</v>
      </c>
      <c r="AA13" s="393">
        <v>2</v>
      </c>
      <c r="AB13" s="393">
        <v>1</v>
      </c>
      <c r="AC13" s="421">
        <v>3</v>
      </c>
      <c r="AD13" s="421">
        <v>2</v>
      </c>
      <c r="AE13" s="421">
        <v>1</v>
      </c>
      <c r="AF13" s="421" t="b">
        <v>1</v>
      </c>
      <c r="AG13" s="421">
        <f t="shared" si="4"/>
        <v>2</v>
      </c>
      <c r="AH13" s="421">
        <f t="shared" si="5"/>
        <v>1</v>
      </c>
      <c r="AI13" s="427">
        <f>IF(NOT(OR(Z13=1,Z13=2)),IF(AQ13&gt;0,$AR$47*AQ13/SUMIF($AQ$11:$AQ$42,"&gt;0"),IF(AU13&gt;0,$AV$47*AU13/SUMIF($AU$11:$AU$42,"&gt;0"),IF(AS13&gt;0,$AT$47*AS13/SUMIF($AS$11:$AS$42,"&gt;0"),""))),IF(SUMIF(AJ14:$AJ$42,"=" &amp; AJ13,AI14:$AI$42)=0,"",SUMIF(AJ14:$AJ$42,"=" &amp; AJ13,AI14:$AI$42)))</f>
        <v>9.9999993219999764E-2</v>
      </c>
      <c r="AJ13" s="426">
        <f t="shared" si="36"/>
        <v>0</v>
      </c>
      <c r="AK13" s="421">
        <f t="shared" si="6"/>
        <v>2</v>
      </c>
      <c r="AL13" s="393" t="str">
        <f t="shared" si="7"/>
        <v/>
      </c>
      <c r="AM13" s="393" t="str">
        <f t="shared" si="8"/>
        <v/>
      </c>
      <c r="AN13" s="393" t="str">
        <f t="shared" si="9"/>
        <v/>
      </c>
      <c r="AO13" s="393" t="str">
        <f t="shared" si="10"/>
        <v/>
      </c>
      <c r="AP13" s="421" t="b">
        <f t="shared" si="11"/>
        <v>1</v>
      </c>
      <c r="AQ13" s="425">
        <f t="shared" si="12"/>
        <v>3.3333330000000001</v>
      </c>
      <c r="AR13" s="423" t="str">
        <f t="shared" si="13"/>
        <v/>
      </c>
      <c r="AS13" s="424">
        <f t="shared" si="14"/>
        <v>0</v>
      </c>
      <c r="AT13" s="423" t="str">
        <f t="shared" si="15"/>
        <v/>
      </c>
      <c r="AU13" s="420">
        <f t="shared" si="16"/>
        <v>0</v>
      </c>
      <c r="AV13" s="422" t="str">
        <f t="shared" si="17"/>
        <v/>
      </c>
      <c r="AW13" s="420" t="b">
        <f t="shared" si="18"/>
        <v>0</v>
      </c>
      <c r="AX13" s="419" t="b">
        <f t="shared" si="19"/>
        <v>1</v>
      </c>
      <c r="AY13" s="420" t="b">
        <f t="shared" si="20"/>
        <v>0</v>
      </c>
      <c r="AZ13" s="419" t="b">
        <f t="shared" si="21"/>
        <v>0</v>
      </c>
      <c r="BA13" s="421" t="b">
        <f t="shared" si="22"/>
        <v>0</v>
      </c>
      <c r="BB13" s="421" t="b">
        <f t="shared" si="23"/>
        <v>0</v>
      </c>
      <c r="BC13" s="420" t="b">
        <f t="shared" si="24"/>
        <v>0</v>
      </c>
      <c r="BD13" s="393" t="b">
        <f t="shared" si="25"/>
        <v>0</v>
      </c>
      <c r="BE13" s="419" t="b">
        <f t="shared" si="26"/>
        <v>0</v>
      </c>
      <c r="BF13" s="418" t="b">
        <f t="shared" si="27"/>
        <v>0</v>
      </c>
      <c r="BG13" s="417" t="b">
        <f t="shared" si="28"/>
        <v>1</v>
      </c>
      <c r="BH13" s="417">
        <f t="shared" si="29"/>
        <v>1</v>
      </c>
      <c r="BI13" s="417">
        <f t="shared" si="30"/>
        <v>2</v>
      </c>
      <c r="BJ13" s="417" t="str">
        <f t="shared" si="31"/>
        <v>2*</v>
      </c>
      <c r="BK13" s="417">
        <f t="shared" si="32"/>
        <v>3</v>
      </c>
      <c r="BL13" s="435">
        <f t="shared" si="33"/>
        <v>1</v>
      </c>
      <c r="BM13" s="417">
        <f t="shared" si="34"/>
        <v>2</v>
      </c>
      <c r="BN13" s="417">
        <f t="shared" si="35"/>
        <v>3</v>
      </c>
      <c r="BO13" s="439">
        <v>0</v>
      </c>
      <c r="BP13" s="455" t="s">
        <v>287</v>
      </c>
    </row>
    <row r="14" spans="2:73" s="416" customFormat="1" ht="12.95" customHeight="1" x14ac:dyDescent="0.25">
      <c r="B14" s="433">
        <f>IF(ISNA(Z14),"",IF(OR(Z14=1,Z14=2),"    ",MAX($B$11:B13)+1))</f>
        <v>3</v>
      </c>
      <c r="C14" s="1618" t="str">
        <f t="shared" si="0"/>
        <v xml:space="preserve">      - Logical Chain of Reasoning (12.0%)</v>
      </c>
      <c r="D14" s="1618"/>
      <c r="E14" s="1618"/>
      <c r="F14" s="1619"/>
      <c r="G14" s="437">
        <f t="shared" si="1"/>
        <v>1</v>
      </c>
      <c r="H14" s="431" t="str">
        <f t="shared" si="2"/>
        <v>2*</v>
      </c>
      <c r="I14" s="436">
        <f t="shared" si="3"/>
        <v>3</v>
      </c>
      <c r="J14" s="449"/>
      <c r="K14" s="448"/>
      <c r="L14" s="1612"/>
      <c r="M14" s="1613"/>
      <c r="N14" s="1613"/>
      <c r="O14" s="1613"/>
      <c r="P14" s="1613"/>
      <c r="Q14" s="1613"/>
      <c r="R14" s="1614"/>
      <c r="T14" s="401">
        <v>4</v>
      </c>
      <c r="U14" s="374" t="s">
        <v>644</v>
      </c>
      <c r="V14" s="421">
        <v>1</v>
      </c>
      <c r="W14" s="421">
        <v>4</v>
      </c>
      <c r="X14" s="421" t="s">
        <v>212</v>
      </c>
      <c r="Y14" s="421" t="s">
        <v>212</v>
      </c>
      <c r="Z14" s="393" t="s">
        <v>212</v>
      </c>
      <c r="AA14" s="393">
        <v>2</v>
      </c>
      <c r="AB14" s="393">
        <v>1</v>
      </c>
      <c r="AC14" s="421">
        <v>3</v>
      </c>
      <c r="AD14" s="421">
        <v>2</v>
      </c>
      <c r="AE14" s="421">
        <v>1</v>
      </c>
      <c r="AF14" s="421" t="b">
        <v>1</v>
      </c>
      <c r="AG14" s="421">
        <f t="shared" si="4"/>
        <v>2</v>
      </c>
      <c r="AH14" s="421">
        <f t="shared" si="5"/>
        <v>1</v>
      </c>
      <c r="AI14" s="427">
        <f>IF(NOT(OR(Z14=1,Z14=2)),IF(AQ14&gt;0,$AR$47*AQ14/SUMIF($AQ$11:$AQ$42,"&gt;0"),IF(AU14&gt;0,$AV$47*AU14/SUMIF($AU$11:$AU$42,"&gt;0"),IF(AS14&gt;0,$AT$47*AS14/SUMIF($AS$11:$AS$42,"&gt;0"),""))),IF(SUMIF(AJ15:$AJ$42,"=" &amp; AJ14,AI15:$AI$42)=0,"",SUMIF(AJ15:$AJ$42,"=" &amp; AJ14,AI15:$AI$42)))</f>
        <v>0.1200000038640001</v>
      </c>
      <c r="AJ14" s="426">
        <f t="shared" si="36"/>
        <v>0</v>
      </c>
      <c r="AK14" s="421">
        <f t="shared" si="6"/>
        <v>2</v>
      </c>
      <c r="AL14" s="393" t="str">
        <f t="shared" si="7"/>
        <v/>
      </c>
      <c r="AM14" s="393" t="str">
        <f t="shared" si="8"/>
        <v/>
      </c>
      <c r="AN14" s="393" t="str">
        <f t="shared" si="9"/>
        <v/>
      </c>
      <c r="AO14" s="393" t="str">
        <f t="shared" si="10"/>
        <v/>
      </c>
      <c r="AP14" s="421" t="b">
        <f t="shared" si="11"/>
        <v>1</v>
      </c>
      <c r="AQ14" s="425">
        <f t="shared" si="12"/>
        <v>4</v>
      </c>
      <c r="AR14" s="423" t="str">
        <f t="shared" si="13"/>
        <v/>
      </c>
      <c r="AS14" s="424">
        <f t="shared" si="14"/>
        <v>0</v>
      </c>
      <c r="AT14" s="423" t="str">
        <f t="shared" si="15"/>
        <v/>
      </c>
      <c r="AU14" s="420">
        <f t="shared" si="16"/>
        <v>0</v>
      </c>
      <c r="AV14" s="422" t="str">
        <f t="shared" si="17"/>
        <v/>
      </c>
      <c r="AW14" s="420" t="b">
        <f t="shared" si="18"/>
        <v>0</v>
      </c>
      <c r="AX14" s="419" t="b">
        <f t="shared" si="19"/>
        <v>1</v>
      </c>
      <c r="AY14" s="420" t="b">
        <f t="shared" si="20"/>
        <v>0</v>
      </c>
      <c r="AZ14" s="419" t="b">
        <f t="shared" si="21"/>
        <v>0</v>
      </c>
      <c r="BA14" s="421" t="b">
        <f t="shared" si="22"/>
        <v>0</v>
      </c>
      <c r="BB14" s="421" t="b">
        <f t="shared" si="23"/>
        <v>0</v>
      </c>
      <c r="BC14" s="420" t="b">
        <f t="shared" si="24"/>
        <v>0</v>
      </c>
      <c r="BD14" s="393" t="b">
        <f t="shared" si="25"/>
        <v>0</v>
      </c>
      <c r="BE14" s="419" t="b">
        <f t="shared" si="26"/>
        <v>0</v>
      </c>
      <c r="BF14" s="418" t="b">
        <f t="shared" si="27"/>
        <v>0</v>
      </c>
      <c r="BG14" s="417" t="b">
        <f t="shared" si="28"/>
        <v>1</v>
      </c>
      <c r="BH14" s="417">
        <f t="shared" si="29"/>
        <v>1</v>
      </c>
      <c r="BI14" s="417">
        <f t="shared" si="30"/>
        <v>2</v>
      </c>
      <c r="BJ14" s="417" t="str">
        <f t="shared" si="31"/>
        <v>2*</v>
      </c>
      <c r="BK14" s="417">
        <f t="shared" si="32"/>
        <v>3</v>
      </c>
      <c r="BL14" s="435">
        <f t="shared" si="33"/>
        <v>1</v>
      </c>
      <c r="BM14" s="417">
        <f t="shared" si="34"/>
        <v>2</v>
      </c>
      <c r="BN14" s="417">
        <f t="shared" si="35"/>
        <v>3</v>
      </c>
      <c r="BO14" s="439">
        <v>1</v>
      </c>
      <c r="BP14" s="455" t="s">
        <v>288</v>
      </c>
    </row>
    <row r="15" spans="2:73" s="416" customFormat="1" ht="12.95" customHeight="1" x14ac:dyDescent="0.25">
      <c r="B15" s="433" t="str">
        <f>IF(ISNA(Z15),"",IF(OR(Z15=1,Z15=2),"    ",MAX($B$11:B14)+1))</f>
        <v xml:space="preserve">    </v>
      </c>
      <c r="C15" s="1618" t="str">
        <f t="shared" si="0"/>
        <v>Test and Evaluation  (40.0%)</v>
      </c>
      <c r="D15" s="1618"/>
      <c r="E15" s="1618"/>
      <c r="F15" s="1619"/>
      <c r="G15" s="437" t="str">
        <f t="shared" si="1"/>
        <v/>
      </c>
      <c r="H15" s="431" t="str">
        <f t="shared" si="2"/>
        <v/>
      </c>
      <c r="I15" s="436" t="str">
        <f t="shared" si="3"/>
        <v/>
      </c>
      <c r="J15" s="429"/>
      <c r="K15" s="428"/>
      <c r="L15" s="1612"/>
      <c r="M15" s="1613"/>
      <c r="N15" s="1613"/>
      <c r="O15" s="1613"/>
      <c r="P15" s="1613"/>
      <c r="Q15" s="1613"/>
      <c r="R15" s="1614"/>
      <c r="T15" s="401">
        <v>5</v>
      </c>
      <c r="U15" s="374" t="s">
        <v>643</v>
      </c>
      <c r="V15" s="421" t="s">
        <v>212</v>
      </c>
      <c r="W15" s="421" t="s">
        <v>212</v>
      </c>
      <c r="X15" s="421" t="s">
        <v>212</v>
      </c>
      <c r="Y15" s="421" t="s">
        <v>212</v>
      </c>
      <c r="Z15" s="393">
        <v>2</v>
      </c>
      <c r="AA15" s="393">
        <v>1</v>
      </c>
      <c r="AB15" s="393">
        <v>1</v>
      </c>
      <c r="AC15" s="421" t="s">
        <v>212</v>
      </c>
      <c r="AD15" s="421" t="s">
        <v>212</v>
      </c>
      <c r="AE15" s="421" t="s">
        <v>212</v>
      </c>
      <c r="AF15" s="421" t="s">
        <v>212</v>
      </c>
      <c r="AG15" s="421" t="str">
        <f t="shared" si="4"/>
        <v/>
      </c>
      <c r="AH15" s="421" t="str">
        <f t="shared" si="5"/>
        <v/>
      </c>
      <c r="AI15" s="427">
        <f>IF(NOT(OR(Z15=1,Z15=2)),IF(AQ15&gt;0,$AR$47*AQ15/SUMIF($AQ$11:$AQ$42,"&gt;0"),IF(AU15&gt;0,$AV$47*AU15/SUMIF($AU$11:$AU$42,"&gt;0"),IF(AS15&gt;0,$AT$47*AS15/SUMIF($AS$11:$AS$42,"&gt;0"),""))),IF(SUMIF(AJ16:$AJ$42,"=" &amp; AJ15,AI16:$AI$42)=0,"",SUMIF(AJ16:$AJ$42,"=" &amp; AJ15,AI16:$AI$42)))</f>
        <v>0.40000001188000028</v>
      </c>
      <c r="AJ15" s="426">
        <f t="shared" si="36"/>
        <v>1</v>
      </c>
      <c r="AK15" s="421" t="str">
        <f t="shared" si="6"/>
        <v/>
      </c>
      <c r="AL15" s="393" t="str">
        <f t="shared" si="7"/>
        <v/>
      </c>
      <c r="AM15" s="393" t="str">
        <f t="shared" si="8"/>
        <v/>
      </c>
      <c r="AN15" s="393" t="str">
        <f t="shared" si="9"/>
        <v/>
      </c>
      <c r="AO15" s="393" t="str">
        <f t="shared" si="10"/>
        <v/>
      </c>
      <c r="AP15" s="421" t="str">
        <f t="shared" si="11"/>
        <v/>
      </c>
      <c r="AQ15" s="425">
        <f t="shared" si="12"/>
        <v>0</v>
      </c>
      <c r="AR15" s="423" t="str">
        <f t="shared" si="13"/>
        <v/>
      </c>
      <c r="AS15" s="424">
        <f t="shared" si="14"/>
        <v>0</v>
      </c>
      <c r="AT15" s="423" t="str">
        <f t="shared" si="15"/>
        <v/>
      </c>
      <c r="AU15" s="420">
        <f t="shared" si="16"/>
        <v>0</v>
      </c>
      <c r="AV15" s="422" t="str">
        <f t="shared" si="17"/>
        <v/>
      </c>
      <c r="AW15" s="420" t="b">
        <f t="shared" si="18"/>
        <v>0</v>
      </c>
      <c r="AX15" s="419" t="b">
        <f t="shared" si="19"/>
        <v>0</v>
      </c>
      <c r="AY15" s="420" t="b">
        <f t="shared" si="20"/>
        <v>0</v>
      </c>
      <c r="AZ15" s="419" t="b">
        <f t="shared" si="21"/>
        <v>0</v>
      </c>
      <c r="BA15" s="421" t="b">
        <f t="shared" si="22"/>
        <v>0</v>
      </c>
      <c r="BB15" s="421" t="b">
        <f t="shared" si="23"/>
        <v>0</v>
      </c>
      <c r="BC15" s="420" t="b">
        <f t="shared" si="24"/>
        <v>0</v>
      </c>
      <c r="BD15" s="393" t="b">
        <f t="shared" si="25"/>
        <v>0</v>
      </c>
      <c r="BE15" s="419" t="b">
        <f t="shared" si="26"/>
        <v>0</v>
      </c>
      <c r="BF15" s="418" t="b">
        <f t="shared" si="27"/>
        <v>0</v>
      </c>
      <c r="BG15" s="417" t="b">
        <f t="shared" si="28"/>
        <v>0</v>
      </c>
      <c r="BH15" s="417" t="str">
        <f t="shared" si="29"/>
        <v/>
      </c>
      <c r="BI15" s="417" t="str">
        <f t="shared" si="30"/>
        <v/>
      </c>
      <c r="BJ15" s="417" t="str">
        <f t="shared" si="31"/>
        <v/>
      </c>
      <c r="BK15" s="417" t="str">
        <f t="shared" si="32"/>
        <v/>
      </c>
      <c r="BL15" s="435" t="str">
        <f t="shared" si="33"/>
        <v/>
      </c>
      <c r="BM15" s="417" t="str">
        <f t="shared" si="34"/>
        <v/>
      </c>
      <c r="BN15" s="417" t="str">
        <f t="shared" si="35"/>
        <v/>
      </c>
      <c r="BO15" s="439">
        <v>2</v>
      </c>
      <c r="BP15" s="455" t="s">
        <v>218</v>
      </c>
    </row>
    <row r="16" spans="2:73" s="416" customFormat="1" ht="12.95" customHeight="1" x14ac:dyDescent="0.25">
      <c r="B16" s="433">
        <f>IF(ISNA(Z16),"",IF(OR(Z16=1,Z16=2),"    ",MAX($B$11:B15)+1))</f>
        <v>4</v>
      </c>
      <c r="C16" s="1618" t="str">
        <f t="shared" si="0"/>
        <v xml:space="preserve">      - Test Methods and Conditions (6.0%)</v>
      </c>
      <c r="D16" s="1618"/>
      <c r="E16" s="1618"/>
      <c r="F16" s="1619"/>
      <c r="G16" s="437">
        <f t="shared" si="1"/>
        <v>1</v>
      </c>
      <c r="H16" s="431" t="str">
        <f t="shared" si="2"/>
        <v>2*</v>
      </c>
      <c r="I16" s="436">
        <f t="shared" si="3"/>
        <v>3</v>
      </c>
      <c r="J16" s="449"/>
      <c r="K16" s="448"/>
      <c r="L16" s="1612"/>
      <c r="M16" s="1613"/>
      <c r="N16" s="1613"/>
      <c r="O16" s="1613"/>
      <c r="P16" s="1613"/>
      <c r="Q16" s="1613"/>
      <c r="R16" s="1614"/>
      <c r="T16" s="401">
        <v>6</v>
      </c>
      <c r="U16" s="374" t="s">
        <v>642</v>
      </c>
      <c r="V16" s="421">
        <v>1</v>
      </c>
      <c r="W16" s="421">
        <v>2</v>
      </c>
      <c r="X16" s="421" t="s">
        <v>212</v>
      </c>
      <c r="Y16" s="421" t="s">
        <v>212</v>
      </c>
      <c r="Z16" s="393" t="s">
        <v>212</v>
      </c>
      <c r="AA16" s="393">
        <v>2</v>
      </c>
      <c r="AB16" s="393">
        <v>1</v>
      </c>
      <c r="AC16" s="421">
        <v>3</v>
      </c>
      <c r="AD16" s="421">
        <v>2</v>
      </c>
      <c r="AE16" s="421">
        <v>1</v>
      </c>
      <c r="AF16" s="421" t="b">
        <v>1</v>
      </c>
      <c r="AG16" s="421">
        <f t="shared" si="4"/>
        <v>2</v>
      </c>
      <c r="AH16" s="421">
        <f t="shared" si="5"/>
        <v>1</v>
      </c>
      <c r="AI16" s="427">
        <f>IF(NOT(OR(Z16=1,Z16=2)),IF(AQ16&gt;0,$AR$47*AQ16/SUMIF($AQ$11:$AQ$42,"&gt;0"),IF(AU16&gt;0,$AV$47*AU16/SUMIF($AU$11:$AU$42,"&gt;0"),IF(AS16&gt;0,$AT$47*AS16/SUMIF($AS$11:$AS$42,"&gt;0"),""))),IF(SUMIF(AJ17:$AJ$42,"=" &amp; AJ16,AI17:$AI$42)=0,"",SUMIF(AJ17:$AJ$42,"=" &amp; AJ16,AI17:$AI$42)))</f>
        <v>6.0000001932000051E-2</v>
      </c>
      <c r="AJ16" s="426">
        <f t="shared" si="36"/>
        <v>1</v>
      </c>
      <c r="AK16" s="421">
        <f t="shared" si="6"/>
        <v>2</v>
      </c>
      <c r="AL16" s="393" t="str">
        <f t="shared" si="7"/>
        <v/>
      </c>
      <c r="AM16" s="393" t="str">
        <f t="shared" si="8"/>
        <v/>
      </c>
      <c r="AN16" s="393" t="str">
        <f t="shared" si="9"/>
        <v/>
      </c>
      <c r="AO16" s="393" t="str">
        <f t="shared" si="10"/>
        <v/>
      </c>
      <c r="AP16" s="421" t="b">
        <f t="shared" si="11"/>
        <v>1</v>
      </c>
      <c r="AQ16" s="425">
        <f t="shared" si="12"/>
        <v>2</v>
      </c>
      <c r="AR16" s="423" t="str">
        <f t="shared" si="13"/>
        <v/>
      </c>
      <c r="AS16" s="424">
        <f t="shared" si="14"/>
        <v>0</v>
      </c>
      <c r="AT16" s="423" t="str">
        <f t="shared" si="15"/>
        <v/>
      </c>
      <c r="AU16" s="420">
        <f t="shared" si="16"/>
        <v>0</v>
      </c>
      <c r="AV16" s="422" t="str">
        <f t="shared" si="17"/>
        <v/>
      </c>
      <c r="AW16" s="420" t="b">
        <f t="shared" si="18"/>
        <v>0</v>
      </c>
      <c r="AX16" s="419" t="b">
        <f t="shared" si="19"/>
        <v>1</v>
      </c>
      <c r="AY16" s="420" t="b">
        <f t="shared" si="20"/>
        <v>0</v>
      </c>
      <c r="AZ16" s="419" t="b">
        <f t="shared" si="21"/>
        <v>0</v>
      </c>
      <c r="BA16" s="421" t="b">
        <f t="shared" si="22"/>
        <v>0</v>
      </c>
      <c r="BB16" s="421" t="b">
        <f t="shared" si="23"/>
        <v>0</v>
      </c>
      <c r="BC16" s="420" t="b">
        <f t="shared" si="24"/>
        <v>0</v>
      </c>
      <c r="BD16" s="393" t="b">
        <f t="shared" si="25"/>
        <v>0</v>
      </c>
      <c r="BE16" s="419" t="b">
        <f t="shared" si="26"/>
        <v>0</v>
      </c>
      <c r="BF16" s="418" t="b">
        <f t="shared" si="27"/>
        <v>0</v>
      </c>
      <c r="BG16" s="417" t="b">
        <f t="shared" si="28"/>
        <v>1</v>
      </c>
      <c r="BH16" s="417">
        <f t="shared" si="29"/>
        <v>1</v>
      </c>
      <c r="BI16" s="417">
        <f t="shared" si="30"/>
        <v>2</v>
      </c>
      <c r="BJ16" s="417" t="str">
        <f t="shared" si="31"/>
        <v>2*</v>
      </c>
      <c r="BK16" s="417">
        <f t="shared" si="32"/>
        <v>3</v>
      </c>
      <c r="BL16" s="435">
        <f t="shared" si="33"/>
        <v>1</v>
      </c>
      <c r="BM16" s="417">
        <f t="shared" si="34"/>
        <v>2</v>
      </c>
      <c r="BN16" s="417">
        <f t="shared" si="35"/>
        <v>3</v>
      </c>
      <c r="BO16" s="439">
        <v>3</v>
      </c>
      <c r="BP16" s="455" t="s">
        <v>220</v>
      </c>
    </row>
    <row r="17" spans="2:75" s="416" customFormat="1" ht="12.95" customHeight="1" x14ac:dyDescent="0.25">
      <c r="B17" s="433">
        <f>IF(ISNA(Z17),"",IF(OR(Z17=1,Z17=2),"    ",MAX($B$11:B16)+1))</f>
        <v>5</v>
      </c>
      <c r="C17" s="1618" t="str">
        <f t="shared" si="0"/>
        <v xml:space="preserve">      - Objective Results (12.0%)</v>
      </c>
      <c r="D17" s="1618"/>
      <c r="E17" s="1618"/>
      <c r="F17" s="1619"/>
      <c r="G17" s="437">
        <f t="shared" si="1"/>
        <v>1</v>
      </c>
      <c r="H17" s="431" t="str">
        <f t="shared" si="2"/>
        <v>2*</v>
      </c>
      <c r="I17" s="436">
        <f t="shared" si="3"/>
        <v>3</v>
      </c>
      <c r="J17" s="449"/>
      <c r="K17" s="448"/>
      <c r="L17" s="1612"/>
      <c r="M17" s="1613"/>
      <c r="N17" s="1613"/>
      <c r="O17" s="1613"/>
      <c r="P17" s="1613"/>
      <c r="Q17" s="1613"/>
      <c r="R17" s="1614"/>
      <c r="T17" s="401">
        <v>7</v>
      </c>
      <c r="U17" s="374" t="s">
        <v>641</v>
      </c>
      <c r="V17" s="421">
        <v>1</v>
      </c>
      <c r="W17" s="421">
        <v>4</v>
      </c>
      <c r="X17" s="421" t="s">
        <v>212</v>
      </c>
      <c r="Y17" s="421" t="s">
        <v>212</v>
      </c>
      <c r="Z17" s="393" t="s">
        <v>212</v>
      </c>
      <c r="AA17" s="393">
        <v>2</v>
      </c>
      <c r="AB17" s="393">
        <v>1</v>
      </c>
      <c r="AC17" s="421">
        <v>3</v>
      </c>
      <c r="AD17" s="421">
        <v>2</v>
      </c>
      <c r="AE17" s="421">
        <v>1</v>
      </c>
      <c r="AF17" s="421" t="b">
        <v>1</v>
      </c>
      <c r="AG17" s="421">
        <f t="shared" si="4"/>
        <v>2</v>
      </c>
      <c r="AH17" s="421">
        <f t="shared" si="5"/>
        <v>1</v>
      </c>
      <c r="AI17" s="427">
        <f>IF(NOT(OR(Z17=1,Z17=2)),IF(AQ17&gt;0,$AR$47*AQ17/SUMIF($AQ$11:$AQ$42,"&gt;0"),IF(AU17&gt;0,$AV$47*AU17/SUMIF($AU$11:$AU$42,"&gt;0"),IF(AS17&gt;0,$AT$47*AS17/SUMIF($AS$11:$AS$42,"&gt;0"),""))),IF(SUMIF(AJ18:$AJ$42,"=" &amp; AJ17,AI18:$AI$42)=0,"",SUMIF(AJ18:$AJ$42,"=" &amp; AJ17,AI18:$AI$42)))</f>
        <v>0.1200000038640001</v>
      </c>
      <c r="AJ17" s="426">
        <f t="shared" si="36"/>
        <v>1</v>
      </c>
      <c r="AK17" s="421">
        <f t="shared" si="6"/>
        <v>2</v>
      </c>
      <c r="AL17" s="393" t="str">
        <f t="shared" si="7"/>
        <v/>
      </c>
      <c r="AM17" s="393" t="str">
        <f t="shared" si="8"/>
        <v/>
      </c>
      <c r="AN17" s="393" t="str">
        <f t="shared" si="9"/>
        <v/>
      </c>
      <c r="AO17" s="393" t="str">
        <f t="shared" si="10"/>
        <v/>
      </c>
      <c r="AP17" s="421" t="b">
        <f t="shared" si="11"/>
        <v>1</v>
      </c>
      <c r="AQ17" s="425">
        <f t="shared" si="12"/>
        <v>4</v>
      </c>
      <c r="AR17" s="423" t="str">
        <f t="shared" si="13"/>
        <v/>
      </c>
      <c r="AS17" s="424">
        <f t="shared" si="14"/>
        <v>0</v>
      </c>
      <c r="AT17" s="423" t="str">
        <f t="shared" si="15"/>
        <v/>
      </c>
      <c r="AU17" s="420">
        <f t="shared" si="16"/>
        <v>0</v>
      </c>
      <c r="AV17" s="422" t="str">
        <f t="shared" si="17"/>
        <v/>
      </c>
      <c r="AW17" s="420" t="b">
        <f t="shared" si="18"/>
        <v>0</v>
      </c>
      <c r="AX17" s="419" t="b">
        <f t="shared" si="19"/>
        <v>1</v>
      </c>
      <c r="AY17" s="420" t="b">
        <f t="shared" si="20"/>
        <v>0</v>
      </c>
      <c r="AZ17" s="419" t="b">
        <f t="shared" si="21"/>
        <v>0</v>
      </c>
      <c r="BA17" s="421" t="b">
        <f t="shared" si="22"/>
        <v>0</v>
      </c>
      <c r="BB17" s="421" t="b">
        <f t="shared" si="23"/>
        <v>0</v>
      </c>
      <c r="BC17" s="420" t="b">
        <f t="shared" si="24"/>
        <v>0</v>
      </c>
      <c r="BD17" s="393" t="b">
        <f t="shared" si="25"/>
        <v>0</v>
      </c>
      <c r="BE17" s="419" t="b">
        <f t="shared" si="26"/>
        <v>0</v>
      </c>
      <c r="BF17" s="418" t="b">
        <f t="shared" si="27"/>
        <v>0</v>
      </c>
      <c r="BG17" s="417" t="b">
        <f t="shared" si="28"/>
        <v>1</v>
      </c>
      <c r="BH17" s="417">
        <f t="shared" si="29"/>
        <v>1</v>
      </c>
      <c r="BI17" s="417">
        <f t="shared" si="30"/>
        <v>2</v>
      </c>
      <c r="BJ17" s="417" t="str">
        <f t="shared" si="31"/>
        <v>2*</v>
      </c>
      <c r="BK17" s="417">
        <f t="shared" si="32"/>
        <v>3</v>
      </c>
      <c r="BL17" s="435">
        <f t="shared" si="33"/>
        <v>1</v>
      </c>
      <c r="BM17" s="417">
        <f t="shared" si="34"/>
        <v>2</v>
      </c>
      <c r="BN17" s="417">
        <f t="shared" si="35"/>
        <v>3</v>
      </c>
      <c r="BO17" s="439">
        <v>4</v>
      </c>
      <c r="BP17" s="455" t="s">
        <v>222</v>
      </c>
    </row>
    <row r="18" spans="2:75" s="416" customFormat="1" ht="12.95" customHeight="1" x14ac:dyDescent="0.25">
      <c r="B18" s="433">
        <f>IF(ISNA(Z18),"",IF(OR(Z18=1,Z18=2),"    ",MAX($B$11:B17)+1))</f>
        <v>6</v>
      </c>
      <c r="C18" s="1618" t="str">
        <f t="shared" si="0"/>
        <v xml:space="preserve">      - Eng Analysis &amp; Oper. Impact (12.0%)</v>
      </c>
      <c r="D18" s="1618"/>
      <c r="E18" s="1618"/>
      <c r="F18" s="1619"/>
      <c r="G18" s="437">
        <f t="shared" si="1"/>
        <v>1</v>
      </c>
      <c r="H18" s="431" t="str">
        <f t="shared" si="2"/>
        <v>2*</v>
      </c>
      <c r="I18" s="436">
        <f t="shared" si="3"/>
        <v>3</v>
      </c>
      <c r="J18" s="449"/>
      <c r="K18" s="448"/>
      <c r="L18" s="1612"/>
      <c r="M18" s="1613"/>
      <c r="N18" s="1613"/>
      <c r="O18" s="1613"/>
      <c r="P18" s="1613"/>
      <c r="Q18" s="1613"/>
      <c r="R18" s="1614"/>
      <c r="T18" s="401">
        <v>8</v>
      </c>
      <c r="U18" s="374" t="s">
        <v>640</v>
      </c>
      <c r="V18" s="421">
        <v>1</v>
      </c>
      <c r="W18" s="421">
        <v>4</v>
      </c>
      <c r="X18" s="421" t="s">
        <v>212</v>
      </c>
      <c r="Y18" s="421" t="s">
        <v>212</v>
      </c>
      <c r="Z18" s="393" t="s">
        <v>212</v>
      </c>
      <c r="AA18" s="393">
        <v>2</v>
      </c>
      <c r="AB18" s="393">
        <v>1</v>
      </c>
      <c r="AC18" s="421">
        <v>3</v>
      </c>
      <c r="AD18" s="421">
        <v>2</v>
      </c>
      <c r="AE18" s="421">
        <v>1</v>
      </c>
      <c r="AF18" s="421" t="b">
        <v>1</v>
      </c>
      <c r="AG18" s="421">
        <f t="shared" si="4"/>
        <v>2</v>
      </c>
      <c r="AH18" s="421">
        <f t="shared" si="5"/>
        <v>1</v>
      </c>
      <c r="AI18" s="427">
        <f>IF(NOT(OR(Z18=1,Z18=2)),IF(AQ18&gt;0,$AR$47*AQ18/SUMIF($AQ$11:$AQ$42,"&gt;0"),IF(AU18&gt;0,$AV$47*AU18/SUMIF($AU$11:$AU$42,"&gt;0"),IF(AS18&gt;0,$AT$47*AS18/SUMIF($AS$11:$AS$42,"&gt;0"),""))),IF(SUMIF(AJ19:$AJ$42,"=" &amp; AJ18,AI19:$AI$42)=0,"",SUMIF(AJ19:$AJ$42,"=" &amp; AJ18,AI19:$AI$42)))</f>
        <v>0.1200000038640001</v>
      </c>
      <c r="AJ18" s="426">
        <f t="shared" si="36"/>
        <v>1</v>
      </c>
      <c r="AK18" s="421">
        <f t="shared" si="6"/>
        <v>2</v>
      </c>
      <c r="AL18" s="393" t="str">
        <f t="shared" si="7"/>
        <v/>
      </c>
      <c r="AM18" s="393" t="str">
        <f t="shared" si="8"/>
        <v/>
      </c>
      <c r="AN18" s="393" t="str">
        <f t="shared" si="9"/>
        <v/>
      </c>
      <c r="AO18" s="393" t="str">
        <f t="shared" si="10"/>
        <v/>
      </c>
      <c r="AP18" s="421" t="b">
        <f t="shared" si="11"/>
        <v>1</v>
      </c>
      <c r="AQ18" s="425">
        <f t="shared" si="12"/>
        <v>4</v>
      </c>
      <c r="AR18" s="423" t="str">
        <f t="shared" si="13"/>
        <v/>
      </c>
      <c r="AS18" s="424">
        <f t="shared" si="14"/>
        <v>0</v>
      </c>
      <c r="AT18" s="423" t="str">
        <f t="shared" si="15"/>
        <v/>
      </c>
      <c r="AU18" s="420">
        <f t="shared" si="16"/>
        <v>0</v>
      </c>
      <c r="AV18" s="422" t="str">
        <f t="shared" si="17"/>
        <v/>
      </c>
      <c r="AW18" s="420" t="b">
        <f t="shared" si="18"/>
        <v>0</v>
      </c>
      <c r="AX18" s="419" t="b">
        <f t="shared" si="19"/>
        <v>1</v>
      </c>
      <c r="AY18" s="420" t="b">
        <f t="shared" si="20"/>
        <v>0</v>
      </c>
      <c r="AZ18" s="419" t="b">
        <f t="shared" si="21"/>
        <v>0</v>
      </c>
      <c r="BA18" s="421" t="b">
        <f t="shared" si="22"/>
        <v>0</v>
      </c>
      <c r="BB18" s="421" t="b">
        <f t="shared" si="23"/>
        <v>0</v>
      </c>
      <c r="BC18" s="420" t="b">
        <f t="shared" si="24"/>
        <v>0</v>
      </c>
      <c r="BD18" s="393" t="b">
        <f t="shared" si="25"/>
        <v>0</v>
      </c>
      <c r="BE18" s="419" t="b">
        <f t="shared" si="26"/>
        <v>0</v>
      </c>
      <c r="BF18" s="418" t="b">
        <f t="shared" si="27"/>
        <v>0</v>
      </c>
      <c r="BG18" s="417" t="b">
        <f t="shared" si="28"/>
        <v>1</v>
      </c>
      <c r="BH18" s="417">
        <f t="shared" si="29"/>
        <v>1</v>
      </c>
      <c r="BI18" s="417">
        <f t="shared" si="30"/>
        <v>2</v>
      </c>
      <c r="BJ18" s="417" t="str">
        <f t="shared" si="31"/>
        <v>2*</v>
      </c>
      <c r="BK18" s="417">
        <f t="shared" si="32"/>
        <v>3</v>
      </c>
      <c r="BL18" s="435">
        <f t="shared" si="33"/>
        <v>1</v>
      </c>
      <c r="BM18" s="417">
        <f t="shared" si="34"/>
        <v>2</v>
      </c>
      <c r="BN18" s="417">
        <f t="shared" si="35"/>
        <v>3</v>
      </c>
      <c r="BO18" s="372"/>
    </row>
    <row r="19" spans="2:75" s="416" customFormat="1" ht="12.95" customHeight="1" x14ac:dyDescent="0.25">
      <c r="B19" s="433">
        <f>IF(ISNA(Z19),"",IF(OR(Z19=1,Z19=2),"    ",MAX($B$11:B18)+1))</f>
        <v>7</v>
      </c>
      <c r="C19" s="1618" t="str">
        <f t="shared" si="0"/>
        <v xml:space="preserve">      - Conclusions &amp; Recomm. (10.0%)</v>
      </c>
      <c r="D19" s="1618"/>
      <c r="E19" s="1618"/>
      <c r="F19" s="1619"/>
      <c r="G19" s="437">
        <f t="shared" si="1"/>
        <v>1</v>
      </c>
      <c r="H19" s="431" t="str">
        <f t="shared" si="2"/>
        <v>2*</v>
      </c>
      <c r="I19" s="436">
        <f t="shared" si="3"/>
        <v>3</v>
      </c>
      <c r="J19" s="449"/>
      <c r="K19" s="448"/>
      <c r="L19" s="1612"/>
      <c r="M19" s="1613"/>
      <c r="N19" s="1613"/>
      <c r="O19" s="1613"/>
      <c r="P19" s="1613"/>
      <c r="Q19" s="1613"/>
      <c r="R19" s="1614"/>
      <c r="T19" s="401">
        <v>9</v>
      </c>
      <c r="U19" s="374" t="s">
        <v>639</v>
      </c>
      <c r="V19" s="421">
        <v>1</v>
      </c>
      <c r="W19" s="421">
        <v>3.3333333000000001</v>
      </c>
      <c r="X19" s="421" t="s">
        <v>212</v>
      </c>
      <c r="Y19" s="421" t="s">
        <v>212</v>
      </c>
      <c r="Z19" s="393" t="s">
        <v>212</v>
      </c>
      <c r="AA19" s="393">
        <v>2</v>
      </c>
      <c r="AB19" s="393">
        <v>1</v>
      </c>
      <c r="AC19" s="421">
        <v>3</v>
      </c>
      <c r="AD19" s="421">
        <v>2</v>
      </c>
      <c r="AE19" s="421">
        <v>1</v>
      </c>
      <c r="AF19" s="421" t="b">
        <v>1</v>
      </c>
      <c r="AG19" s="421">
        <f t="shared" si="4"/>
        <v>2</v>
      </c>
      <c r="AH19" s="421">
        <f t="shared" si="5"/>
        <v>1</v>
      </c>
      <c r="AI19" s="427">
        <f>IF(NOT(OR(Z19=1,Z19=2)),IF(AQ19&gt;0,$AR$47*AQ19/SUMIF($AQ$11:$AQ$42,"&gt;0"),IF(AU19&gt;0,$AV$47*AU19/SUMIF($AU$11:$AU$42,"&gt;0"),IF(AS19&gt;0,$AT$47*AS19/SUMIF($AS$11:$AS$42,"&gt;0"),""))),IF(SUMIF(AJ20:$AJ$42,"=" &amp; AJ19,AI20:$AI$42)=0,"",SUMIF(AJ20:$AJ$42,"=" &amp; AJ19,AI20:$AI$42)))</f>
        <v>0.10000000222000005</v>
      </c>
      <c r="AJ19" s="426">
        <f t="shared" si="36"/>
        <v>1</v>
      </c>
      <c r="AK19" s="421">
        <f t="shared" si="6"/>
        <v>2</v>
      </c>
      <c r="AL19" s="393" t="str">
        <f t="shared" si="7"/>
        <v/>
      </c>
      <c r="AM19" s="393" t="str">
        <f t="shared" si="8"/>
        <v/>
      </c>
      <c r="AN19" s="393" t="str">
        <f t="shared" si="9"/>
        <v/>
      </c>
      <c r="AO19" s="393" t="str">
        <f t="shared" si="10"/>
        <v/>
      </c>
      <c r="AP19" s="421" t="b">
        <f t="shared" si="11"/>
        <v>1</v>
      </c>
      <c r="AQ19" s="425">
        <f t="shared" si="12"/>
        <v>3.3333333000000001</v>
      </c>
      <c r="AR19" s="423" t="str">
        <f t="shared" si="13"/>
        <v/>
      </c>
      <c r="AS19" s="424">
        <f t="shared" si="14"/>
        <v>0</v>
      </c>
      <c r="AT19" s="423" t="str">
        <f t="shared" si="15"/>
        <v/>
      </c>
      <c r="AU19" s="420">
        <f t="shared" si="16"/>
        <v>0</v>
      </c>
      <c r="AV19" s="422" t="str">
        <f t="shared" si="17"/>
        <v/>
      </c>
      <c r="AW19" s="420" t="b">
        <f t="shared" si="18"/>
        <v>0</v>
      </c>
      <c r="AX19" s="419" t="b">
        <f t="shared" si="19"/>
        <v>1</v>
      </c>
      <c r="AY19" s="420" t="b">
        <f t="shared" si="20"/>
        <v>0</v>
      </c>
      <c r="AZ19" s="419" t="b">
        <f t="shared" si="21"/>
        <v>0</v>
      </c>
      <c r="BA19" s="421" t="b">
        <f t="shared" si="22"/>
        <v>0</v>
      </c>
      <c r="BB19" s="421" t="b">
        <f t="shared" si="23"/>
        <v>0</v>
      </c>
      <c r="BC19" s="420" t="b">
        <f t="shared" si="24"/>
        <v>0</v>
      </c>
      <c r="BD19" s="393" t="b">
        <f t="shared" si="25"/>
        <v>0</v>
      </c>
      <c r="BE19" s="419" t="b">
        <f t="shared" si="26"/>
        <v>0</v>
      </c>
      <c r="BF19" s="418" t="b">
        <f t="shared" si="27"/>
        <v>0</v>
      </c>
      <c r="BG19" s="417" t="b">
        <f t="shared" si="28"/>
        <v>1</v>
      </c>
      <c r="BH19" s="417">
        <f t="shared" si="29"/>
        <v>1</v>
      </c>
      <c r="BI19" s="417">
        <f t="shared" si="30"/>
        <v>2</v>
      </c>
      <c r="BJ19" s="417" t="str">
        <f t="shared" si="31"/>
        <v>2*</v>
      </c>
      <c r="BK19" s="417">
        <f t="shared" si="32"/>
        <v>3</v>
      </c>
      <c r="BL19" s="435">
        <f t="shared" si="33"/>
        <v>1</v>
      </c>
      <c r="BM19" s="417">
        <f t="shared" si="34"/>
        <v>2</v>
      </c>
      <c r="BN19" s="417">
        <f t="shared" si="35"/>
        <v>3</v>
      </c>
      <c r="BO19" s="439"/>
      <c r="BP19" s="454"/>
    </row>
    <row r="20" spans="2:75" s="416" customFormat="1" ht="12.95" customHeight="1" x14ac:dyDescent="0.25">
      <c r="B20" s="433" t="str">
        <f>IF(ISNA(Z20),"",IF(OR(Z20=1,Z20=2),"    ",MAX($B$11:B19)+1))</f>
        <v xml:space="preserve">    </v>
      </c>
      <c r="C20" s="1618" t="str">
        <f t="shared" si="0"/>
        <v>Clarity &amp; Precision (Mechanics) (10.0%)</v>
      </c>
      <c r="D20" s="1618"/>
      <c r="E20" s="1618"/>
      <c r="F20" s="1619"/>
      <c r="G20" s="437" t="str">
        <f t="shared" si="1"/>
        <v/>
      </c>
      <c r="H20" s="431" t="str">
        <f t="shared" si="2"/>
        <v/>
      </c>
      <c r="I20" s="436" t="str">
        <f t="shared" si="3"/>
        <v/>
      </c>
      <c r="J20" s="429"/>
      <c r="K20" s="428"/>
      <c r="L20" s="1612"/>
      <c r="M20" s="1613"/>
      <c r="N20" s="1613"/>
      <c r="O20" s="1613"/>
      <c r="P20" s="1613"/>
      <c r="Q20" s="1613"/>
      <c r="R20" s="1614"/>
      <c r="T20" s="401">
        <v>10</v>
      </c>
      <c r="U20" s="374" t="s">
        <v>638</v>
      </c>
      <c r="V20" s="421" t="s">
        <v>212</v>
      </c>
      <c r="W20" s="421" t="s">
        <v>212</v>
      </c>
      <c r="X20" s="421" t="s">
        <v>212</v>
      </c>
      <c r="Y20" s="421" t="s">
        <v>212</v>
      </c>
      <c r="Z20" s="393">
        <v>2</v>
      </c>
      <c r="AA20" s="393">
        <v>1</v>
      </c>
      <c r="AB20" s="393">
        <v>1</v>
      </c>
      <c r="AC20" s="421" t="s">
        <v>212</v>
      </c>
      <c r="AD20" s="421" t="s">
        <v>212</v>
      </c>
      <c r="AE20" s="421" t="s">
        <v>212</v>
      </c>
      <c r="AF20" s="421" t="s">
        <v>212</v>
      </c>
      <c r="AG20" s="421" t="str">
        <f t="shared" si="4"/>
        <v/>
      </c>
      <c r="AH20" s="421" t="str">
        <f t="shared" si="5"/>
        <v/>
      </c>
      <c r="AI20" s="427">
        <f>IF(NOT(OR(Z20=1,Z20=2)),IF(AQ20&gt;0,$AR$47*AQ20/SUMIF($AQ$11:$AQ$42,"&gt;0"),IF(AU20&gt;0,$AV$47*AU20/SUMIF($AU$11:$AU$42,"&gt;0"),IF(AS20&gt;0,$AT$47*AS20/SUMIF($AS$11:$AS$42,"&gt;0"),""))),IF(SUMIF(AJ21:$AJ$42,"=" &amp; AJ20,AI21:$AI$42)=0,"",SUMIF(AJ21:$AJ$42,"=" &amp; AJ20,AI21:$AI$42)))</f>
        <v>0.10000000222000006</v>
      </c>
      <c r="AJ20" s="426">
        <f t="shared" si="36"/>
        <v>2</v>
      </c>
      <c r="AK20" s="421" t="str">
        <f t="shared" si="6"/>
        <v/>
      </c>
      <c r="AL20" s="393" t="str">
        <f t="shared" si="7"/>
        <v/>
      </c>
      <c r="AM20" s="393" t="str">
        <f t="shared" si="8"/>
        <v/>
      </c>
      <c r="AN20" s="393" t="str">
        <f t="shared" si="9"/>
        <v/>
      </c>
      <c r="AO20" s="393" t="str">
        <f t="shared" si="10"/>
        <v/>
      </c>
      <c r="AP20" s="421" t="str">
        <f t="shared" si="11"/>
        <v/>
      </c>
      <c r="AQ20" s="425">
        <f t="shared" si="12"/>
        <v>0</v>
      </c>
      <c r="AR20" s="423" t="str">
        <f t="shared" si="13"/>
        <v/>
      </c>
      <c r="AS20" s="424">
        <f t="shared" si="14"/>
        <v>0</v>
      </c>
      <c r="AT20" s="423" t="str">
        <f t="shared" si="15"/>
        <v/>
      </c>
      <c r="AU20" s="420">
        <f t="shared" si="16"/>
        <v>0</v>
      </c>
      <c r="AV20" s="422" t="str">
        <f t="shared" si="17"/>
        <v/>
      </c>
      <c r="AW20" s="420" t="b">
        <f t="shared" si="18"/>
        <v>0</v>
      </c>
      <c r="AX20" s="419" t="b">
        <f t="shared" si="19"/>
        <v>0</v>
      </c>
      <c r="AY20" s="420" t="b">
        <f t="shared" si="20"/>
        <v>0</v>
      </c>
      <c r="AZ20" s="419" t="b">
        <f t="shared" si="21"/>
        <v>0</v>
      </c>
      <c r="BA20" s="421" t="b">
        <f t="shared" si="22"/>
        <v>0</v>
      </c>
      <c r="BB20" s="421" t="b">
        <f t="shared" si="23"/>
        <v>0</v>
      </c>
      <c r="BC20" s="420" t="b">
        <f t="shared" si="24"/>
        <v>0</v>
      </c>
      <c r="BD20" s="393" t="b">
        <f t="shared" si="25"/>
        <v>0</v>
      </c>
      <c r="BE20" s="419" t="b">
        <f t="shared" si="26"/>
        <v>0</v>
      </c>
      <c r="BF20" s="418" t="b">
        <f t="shared" si="27"/>
        <v>0</v>
      </c>
      <c r="BG20" s="417" t="b">
        <f t="shared" si="28"/>
        <v>0</v>
      </c>
      <c r="BH20" s="417" t="str">
        <f t="shared" si="29"/>
        <v/>
      </c>
      <c r="BI20" s="417" t="str">
        <f t="shared" si="30"/>
        <v/>
      </c>
      <c r="BJ20" s="417" t="str">
        <f t="shared" si="31"/>
        <v/>
      </c>
      <c r="BK20" s="417" t="str">
        <f t="shared" si="32"/>
        <v/>
      </c>
      <c r="BL20" s="435" t="str">
        <f t="shared" si="33"/>
        <v/>
      </c>
      <c r="BM20" s="417" t="str">
        <f t="shared" si="34"/>
        <v/>
      </c>
      <c r="BN20" s="417" t="str">
        <f t="shared" si="35"/>
        <v/>
      </c>
      <c r="BO20" s="372"/>
    </row>
    <row r="21" spans="2:75" s="416" customFormat="1" ht="12.95" customHeight="1" x14ac:dyDescent="0.25">
      <c r="B21" s="433">
        <f>IF(ISNA(Z21),"",IF(OR(Z21=1,Z21=2),"    ",MAX($B$11:B20)+1))</f>
        <v>8</v>
      </c>
      <c r="C21" s="1618" t="str">
        <f t="shared" si="0"/>
        <v xml:space="preserve">      - Grammar &amp; Syntax (4.0%)</v>
      </c>
      <c r="D21" s="1618"/>
      <c r="E21" s="1618"/>
      <c r="F21" s="1619"/>
      <c r="G21" s="437">
        <f t="shared" si="1"/>
        <v>1</v>
      </c>
      <c r="H21" s="431" t="str">
        <f t="shared" si="2"/>
        <v>2*</v>
      </c>
      <c r="I21" s="436">
        <f t="shared" si="3"/>
        <v>3</v>
      </c>
      <c r="J21" s="449"/>
      <c r="K21" s="448"/>
      <c r="L21" s="1612"/>
      <c r="M21" s="1613"/>
      <c r="N21" s="1613"/>
      <c r="O21" s="1613"/>
      <c r="P21" s="1613"/>
      <c r="Q21" s="1613"/>
      <c r="R21" s="1614"/>
      <c r="T21" s="401">
        <v>11</v>
      </c>
      <c r="U21" s="374" t="s">
        <v>637</v>
      </c>
      <c r="V21" s="421">
        <v>1</v>
      </c>
      <c r="W21" s="421">
        <v>1.3333333000000001</v>
      </c>
      <c r="X21" s="421" t="s">
        <v>212</v>
      </c>
      <c r="Y21" s="421" t="s">
        <v>212</v>
      </c>
      <c r="Z21" s="393" t="s">
        <v>212</v>
      </c>
      <c r="AA21" s="393">
        <v>2</v>
      </c>
      <c r="AB21" s="393">
        <v>1</v>
      </c>
      <c r="AC21" s="421">
        <v>3</v>
      </c>
      <c r="AD21" s="421">
        <v>2</v>
      </c>
      <c r="AE21" s="421">
        <v>1</v>
      </c>
      <c r="AF21" s="421" t="b">
        <v>1</v>
      </c>
      <c r="AG21" s="421">
        <f t="shared" si="4"/>
        <v>2</v>
      </c>
      <c r="AH21" s="421">
        <f t="shared" si="5"/>
        <v>1</v>
      </c>
      <c r="AI21" s="427">
        <f>IF(NOT(OR(Z21=1,Z21=2)),IF(AQ21&gt;0,$AR$47*AQ21/SUMIF($AQ$11:$AQ$42,"&gt;0"),IF(AU21&gt;0,$AV$47*AU21/SUMIF($AU$11:$AU$42,"&gt;0"),IF(AS21&gt;0,$AT$47*AS21/SUMIF($AS$11:$AS$42,"&gt;0"),""))),IF(SUMIF(AJ22:$AJ$42,"=" &amp; AJ21,AI22:$AI$42)=0,"",SUMIF(AJ22:$AJ$42,"=" &amp; AJ21,AI22:$AI$42)))</f>
        <v>4.0000000288000007E-2</v>
      </c>
      <c r="AJ21" s="426">
        <f t="shared" si="36"/>
        <v>2</v>
      </c>
      <c r="AK21" s="421">
        <f t="shared" si="6"/>
        <v>2</v>
      </c>
      <c r="AL21" s="393" t="str">
        <f t="shared" si="7"/>
        <v/>
      </c>
      <c r="AM21" s="393" t="str">
        <f t="shared" si="8"/>
        <v/>
      </c>
      <c r="AN21" s="393" t="str">
        <f t="shared" si="9"/>
        <v/>
      </c>
      <c r="AO21" s="393" t="str">
        <f t="shared" si="10"/>
        <v/>
      </c>
      <c r="AP21" s="421" t="b">
        <f t="shared" si="11"/>
        <v>1</v>
      </c>
      <c r="AQ21" s="425">
        <f t="shared" si="12"/>
        <v>1.3333333000000001</v>
      </c>
      <c r="AR21" s="423" t="str">
        <f t="shared" si="13"/>
        <v/>
      </c>
      <c r="AS21" s="424">
        <f t="shared" si="14"/>
        <v>0</v>
      </c>
      <c r="AT21" s="423" t="str">
        <f t="shared" si="15"/>
        <v/>
      </c>
      <c r="AU21" s="420">
        <f t="shared" si="16"/>
        <v>0</v>
      </c>
      <c r="AV21" s="422" t="str">
        <f t="shared" si="17"/>
        <v/>
      </c>
      <c r="AW21" s="420" t="b">
        <f t="shared" si="18"/>
        <v>0</v>
      </c>
      <c r="AX21" s="419" t="b">
        <f t="shared" si="19"/>
        <v>1</v>
      </c>
      <c r="AY21" s="420" t="b">
        <f t="shared" si="20"/>
        <v>0</v>
      </c>
      <c r="AZ21" s="419" t="b">
        <f t="shared" si="21"/>
        <v>0</v>
      </c>
      <c r="BA21" s="421" t="b">
        <f t="shared" si="22"/>
        <v>0</v>
      </c>
      <c r="BB21" s="421" t="b">
        <f t="shared" si="23"/>
        <v>0</v>
      </c>
      <c r="BC21" s="420" t="b">
        <f t="shared" si="24"/>
        <v>0</v>
      </c>
      <c r="BD21" s="393" t="b">
        <f t="shared" si="25"/>
        <v>0</v>
      </c>
      <c r="BE21" s="419" t="b">
        <f t="shared" si="26"/>
        <v>0</v>
      </c>
      <c r="BF21" s="418" t="b">
        <f t="shared" si="27"/>
        <v>0</v>
      </c>
      <c r="BG21" s="417" t="b">
        <f t="shared" si="28"/>
        <v>1</v>
      </c>
      <c r="BH21" s="417">
        <f t="shared" si="29"/>
        <v>1</v>
      </c>
      <c r="BI21" s="417">
        <f t="shared" si="30"/>
        <v>2</v>
      </c>
      <c r="BJ21" s="417" t="str">
        <f t="shared" si="31"/>
        <v>2*</v>
      </c>
      <c r="BK21" s="417">
        <f t="shared" si="32"/>
        <v>3</v>
      </c>
      <c r="BL21" s="435">
        <f t="shared" si="33"/>
        <v>1</v>
      </c>
      <c r="BM21" s="417">
        <f t="shared" si="34"/>
        <v>2</v>
      </c>
      <c r="BN21" s="417">
        <f t="shared" si="35"/>
        <v>3</v>
      </c>
      <c r="BO21" s="443"/>
      <c r="BP21" s="454" t="s">
        <v>223</v>
      </c>
      <c r="BQ21" s="438"/>
      <c r="BR21" s="438"/>
      <c r="BS21" s="438"/>
      <c r="BT21" s="438"/>
      <c r="BU21" s="438"/>
    </row>
    <row r="22" spans="2:75" s="416" customFormat="1" ht="12.95" customHeight="1" x14ac:dyDescent="0.25">
      <c r="B22" s="433">
        <f>IF(ISNA(Z22),"",IF(OR(Z22=1,Z22=2),"    ",MAX($B$11:B21)+1))</f>
        <v>9</v>
      </c>
      <c r="C22" s="1618" t="str">
        <f t="shared" si="0"/>
        <v xml:space="preserve">      - Punct. Acronyms &amp; Format (3.0%)</v>
      </c>
      <c r="D22" s="1618"/>
      <c r="E22" s="1618"/>
      <c r="F22" s="1619"/>
      <c r="G22" s="437">
        <f t="shared" si="1"/>
        <v>1</v>
      </c>
      <c r="H22" s="431" t="str">
        <f t="shared" si="2"/>
        <v>2*</v>
      </c>
      <c r="I22" s="436">
        <f t="shared" si="3"/>
        <v>3</v>
      </c>
      <c r="J22" s="449"/>
      <c r="K22" s="448"/>
      <c r="L22" s="1612"/>
      <c r="M22" s="1613"/>
      <c r="N22" s="1613"/>
      <c r="O22" s="1613"/>
      <c r="P22" s="1613"/>
      <c r="Q22" s="1613"/>
      <c r="R22" s="1614"/>
      <c r="T22" s="401">
        <v>12</v>
      </c>
      <c r="U22" s="374" t="s">
        <v>636</v>
      </c>
      <c r="V22" s="421">
        <v>1</v>
      </c>
      <c r="W22" s="421">
        <v>1</v>
      </c>
      <c r="X22" s="421" t="s">
        <v>212</v>
      </c>
      <c r="Y22" s="421" t="s">
        <v>212</v>
      </c>
      <c r="Z22" s="393" t="s">
        <v>212</v>
      </c>
      <c r="AA22" s="393">
        <v>2</v>
      </c>
      <c r="AB22" s="393">
        <v>1</v>
      </c>
      <c r="AC22" s="421">
        <v>3</v>
      </c>
      <c r="AD22" s="421">
        <v>2</v>
      </c>
      <c r="AE22" s="421">
        <v>1</v>
      </c>
      <c r="AF22" s="421" t="b">
        <v>1</v>
      </c>
      <c r="AG22" s="421">
        <f t="shared" si="4"/>
        <v>2</v>
      </c>
      <c r="AH22" s="421">
        <f t="shared" si="5"/>
        <v>1</v>
      </c>
      <c r="AI22" s="427">
        <f>IF(NOT(OR(Z22=1,Z22=2)),IF(AQ22&gt;0,$AR$47*AQ22/SUMIF($AQ$11:$AQ$42,"&gt;0"),IF(AU22&gt;0,$AV$47*AU22/SUMIF($AU$11:$AU$42,"&gt;0"),IF(AS22&gt;0,$AT$47*AS22/SUMIF($AS$11:$AS$42,"&gt;0"),""))),IF(SUMIF(AJ23:$AJ$42,"=" &amp; AJ22,AI23:$AI$42)=0,"",SUMIF(AJ23:$AJ$42,"=" &amp; AJ22,AI23:$AI$42)))</f>
        <v>3.0000000966000025E-2</v>
      </c>
      <c r="AJ22" s="426">
        <f t="shared" si="36"/>
        <v>2</v>
      </c>
      <c r="AK22" s="421">
        <f t="shared" si="6"/>
        <v>2</v>
      </c>
      <c r="AL22" s="393" t="str">
        <f t="shared" si="7"/>
        <v/>
      </c>
      <c r="AM22" s="393" t="str">
        <f t="shared" si="8"/>
        <v/>
      </c>
      <c r="AN22" s="393" t="str">
        <f t="shared" si="9"/>
        <v/>
      </c>
      <c r="AO22" s="393" t="str">
        <f t="shared" si="10"/>
        <v/>
      </c>
      <c r="AP22" s="421" t="b">
        <f t="shared" si="11"/>
        <v>1</v>
      </c>
      <c r="AQ22" s="425">
        <f t="shared" si="12"/>
        <v>1</v>
      </c>
      <c r="AR22" s="423" t="str">
        <f t="shared" si="13"/>
        <v/>
      </c>
      <c r="AS22" s="424">
        <f t="shared" si="14"/>
        <v>0</v>
      </c>
      <c r="AT22" s="423" t="str">
        <f t="shared" si="15"/>
        <v/>
      </c>
      <c r="AU22" s="420">
        <f t="shared" si="16"/>
        <v>0</v>
      </c>
      <c r="AV22" s="422" t="str">
        <f t="shared" si="17"/>
        <v/>
      </c>
      <c r="AW22" s="420" t="b">
        <f t="shared" si="18"/>
        <v>0</v>
      </c>
      <c r="AX22" s="419" t="b">
        <f t="shared" si="19"/>
        <v>1</v>
      </c>
      <c r="AY22" s="420" t="b">
        <f t="shared" si="20"/>
        <v>0</v>
      </c>
      <c r="AZ22" s="419" t="b">
        <f t="shared" si="21"/>
        <v>0</v>
      </c>
      <c r="BA22" s="421" t="b">
        <f t="shared" si="22"/>
        <v>0</v>
      </c>
      <c r="BB22" s="421" t="b">
        <f t="shared" si="23"/>
        <v>0</v>
      </c>
      <c r="BC22" s="420" t="b">
        <f t="shared" si="24"/>
        <v>0</v>
      </c>
      <c r="BD22" s="393" t="b">
        <f t="shared" si="25"/>
        <v>0</v>
      </c>
      <c r="BE22" s="419" t="b">
        <f t="shared" si="26"/>
        <v>0</v>
      </c>
      <c r="BF22" s="418" t="b">
        <f t="shared" si="27"/>
        <v>0</v>
      </c>
      <c r="BG22" s="417" t="b">
        <f t="shared" si="28"/>
        <v>1</v>
      </c>
      <c r="BH22" s="417">
        <f t="shared" si="29"/>
        <v>1</v>
      </c>
      <c r="BI22" s="417">
        <f t="shared" si="30"/>
        <v>2</v>
      </c>
      <c r="BJ22" s="417" t="str">
        <f t="shared" si="31"/>
        <v>2*</v>
      </c>
      <c r="BK22" s="417">
        <f t="shared" si="32"/>
        <v>3</v>
      </c>
      <c r="BL22" s="435">
        <f t="shared" si="33"/>
        <v>1</v>
      </c>
      <c r="BM22" s="417">
        <f t="shared" si="34"/>
        <v>2</v>
      </c>
      <c r="BN22" s="417">
        <f t="shared" si="35"/>
        <v>3</v>
      </c>
      <c r="BO22" s="443"/>
      <c r="BP22" s="434"/>
      <c r="BQ22" s="1629" t="s">
        <v>224</v>
      </c>
      <c r="BR22" s="1629"/>
      <c r="BS22" s="1629"/>
      <c r="BT22" s="1629"/>
      <c r="BU22" s="1629"/>
    </row>
    <row r="23" spans="2:75" s="416" customFormat="1" ht="12.95" customHeight="1" x14ac:dyDescent="0.25">
      <c r="B23" s="433">
        <f>IF(ISNA(Z23),"",IF(OR(Z23=1,Z23=2),"    ",MAX($B$11:B22)+1))</f>
        <v>10</v>
      </c>
      <c r="C23" s="1618" t="str">
        <f t="shared" si="0"/>
        <v xml:space="preserve">      - Profess. Tone &amp; Word Choice (3.0%)</v>
      </c>
      <c r="D23" s="1618"/>
      <c r="E23" s="1618"/>
      <c r="F23" s="1619"/>
      <c r="G23" s="437">
        <f t="shared" si="1"/>
        <v>1</v>
      </c>
      <c r="H23" s="431" t="str">
        <f t="shared" si="2"/>
        <v>2*</v>
      </c>
      <c r="I23" s="436">
        <f t="shared" si="3"/>
        <v>3</v>
      </c>
      <c r="J23" s="449"/>
      <c r="K23" s="448"/>
      <c r="L23" s="1612"/>
      <c r="M23" s="1613"/>
      <c r="N23" s="1613"/>
      <c r="O23" s="1613"/>
      <c r="P23" s="1613"/>
      <c r="Q23" s="1613"/>
      <c r="R23" s="1614"/>
      <c r="T23" s="401">
        <v>13</v>
      </c>
      <c r="U23" s="374" t="s">
        <v>635</v>
      </c>
      <c r="V23" s="421">
        <v>1</v>
      </c>
      <c r="W23" s="421">
        <v>1</v>
      </c>
      <c r="X23" s="421" t="s">
        <v>212</v>
      </c>
      <c r="Y23" s="421" t="s">
        <v>212</v>
      </c>
      <c r="Z23" s="393" t="s">
        <v>212</v>
      </c>
      <c r="AA23" s="393">
        <v>2</v>
      </c>
      <c r="AB23" s="393">
        <v>1</v>
      </c>
      <c r="AC23" s="421">
        <v>3</v>
      </c>
      <c r="AD23" s="421">
        <v>2</v>
      </c>
      <c r="AE23" s="421">
        <v>1</v>
      </c>
      <c r="AF23" s="421" t="b">
        <v>1</v>
      </c>
      <c r="AG23" s="421">
        <f t="shared" si="4"/>
        <v>2</v>
      </c>
      <c r="AH23" s="421">
        <f t="shared" si="5"/>
        <v>1</v>
      </c>
      <c r="AI23" s="427">
        <f>IF(NOT(OR(Z23=1,Z23=2)),IF(AQ23&gt;0,$AR$47*AQ23/SUMIF($AQ$11:$AQ$42,"&gt;0"),IF(AU23&gt;0,$AV$47*AU23/SUMIF($AU$11:$AU$42,"&gt;0"),IF(AS23&gt;0,$AT$47*AS23/SUMIF($AS$11:$AS$42,"&gt;0"),""))),IF(SUMIF(AJ24:$AJ$42,"=" &amp; AJ23,AI24:$AI$42)=0,"",SUMIF(AJ24:$AJ$42,"=" &amp; AJ23,AI24:$AI$42)))</f>
        <v>3.0000000966000025E-2</v>
      </c>
      <c r="AJ23" s="426">
        <f t="shared" si="36"/>
        <v>2</v>
      </c>
      <c r="AK23" s="421">
        <f t="shared" si="6"/>
        <v>2</v>
      </c>
      <c r="AL23" s="393" t="str">
        <f t="shared" si="7"/>
        <v/>
      </c>
      <c r="AM23" s="393" t="str">
        <f t="shared" si="8"/>
        <v/>
      </c>
      <c r="AN23" s="393" t="str">
        <f t="shared" si="9"/>
        <v/>
      </c>
      <c r="AO23" s="393" t="str">
        <f t="shared" si="10"/>
        <v/>
      </c>
      <c r="AP23" s="421" t="b">
        <f t="shared" si="11"/>
        <v>1</v>
      </c>
      <c r="AQ23" s="425">
        <f t="shared" si="12"/>
        <v>1</v>
      </c>
      <c r="AR23" s="423" t="str">
        <f t="shared" si="13"/>
        <v/>
      </c>
      <c r="AS23" s="424">
        <f t="shared" si="14"/>
        <v>0</v>
      </c>
      <c r="AT23" s="423" t="str">
        <f t="shared" si="15"/>
        <v/>
      </c>
      <c r="AU23" s="420">
        <f t="shared" si="16"/>
        <v>0</v>
      </c>
      <c r="AV23" s="422" t="str">
        <f t="shared" si="17"/>
        <v/>
      </c>
      <c r="AW23" s="420" t="b">
        <f t="shared" si="18"/>
        <v>0</v>
      </c>
      <c r="AX23" s="419" t="b">
        <f t="shared" si="19"/>
        <v>1</v>
      </c>
      <c r="AY23" s="420" t="b">
        <f t="shared" si="20"/>
        <v>0</v>
      </c>
      <c r="AZ23" s="419" t="b">
        <f t="shared" si="21"/>
        <v>0</v>
      </c>
      <c r="BA23" s="421" t="b">
        <f t="shared" si="22"/>
        <v>0</v>
      </c>
      <c r="BB23" s="421" t="b">
        <f t="shared" si="23"/>
        <v>0</v>
      </c>
      <c r="BC23" s="420" t="b">
        <f t="shared" si="24"/>
        <v>0</v>
      </c>
      <c r="BD23" s="393" t="b">
        <f t="shared" si="25"/>
        <v>0</v>
      </c>
      <c r="BE23" s="419" t="b">
        <f t="shared" si="26"/>
        <v>0</v>
      </c>
      <c r="BF23" s="418" t="b">
        <f t="shared" si="27"/>
        <v>0</v>
      </c>
      <c r="BG23" s="417" t="b">
        <f t="shared" si="28"/>
        <v>1</v>
      </c>
      <c r="BH23" s="417">
        <f t="shared" si="29"/>
        <v>1</v>
      </c>
      <c r="BI23" s="417">
        <f t="shared" si="30"/>
        <v>2</v>
      </c>
      <c r="BJ23" s="417" t="str">
        <f t="shared" si="31"/>
        <v>2*</v>
      </c>
      <c r="BK23" s="417">
        <f t="shared" si="32"/>
        <v>3</v>
      </c>
      <c r="BL23" s="435">
        <f t="shared" si="33"/>
        <v>1</v>
      </c>
      <c r="BM23" s="417">
        <f t="shared" si="34"/>
        <v>2</v>
      </c>
      <c r="BN23" s="417">
        <f t="shared" si="35"/>
        <v>3</v>
      </c>
      <c r="BO23" s="443"/>
      <c r="BP23" s="443"/>
      <c r="BQ23" s="443">
        <v>0</v>
      </c>
      <c r="BR23" s="443">
        <v>1</v>
      </c>
      <c r="BS23" s="443">
        <v>2</v>
      </c>
      <c r="BT23" s="443">
        <v>3</v>
      </c>
      <c r="BU23" s="443">
        <v>4</v>
      </c>
    </row>
    <row r="24" spans="2:75" s="416" customFormat="1" ht="12.95" customHeight="1" x14ac:dyDescent="0.25">
      <c r="B24" s="433" t="str">
        <f>IF(ISNA(Z24),"",IF(OR(Z24=1,Z24=2),"    ",MAX($B$11:B23)+1))</f>
        <v xml:space="preserve">    </v>
      </c>
      <c r="C24" s="1618" t="str">
        <f t="shared" si="0"/>
        <v>Visual Eng &amp; Data Presentation (20.0%)</v>
      </c>
      <c r="D24" s="1618"/>
      <c r="E24" s="1618"/>
      <c r="F24" s="1619"/>
      <c r="G24" s="437" t="str">
        <f t="shared" si="1"/>
        <v/>
      </c>
      <c r="H24" s="431" t="str">
        <f t="shared" si="2"/>
        <v/>
      </c>
      <c r="I24" s="436" t="str">
        <f t="shared" si="3"/>
        <v/>
      </c>
      <c r="J24" s="429"/>
      <c r="K24" s="428"/>
      <c r="L24" s="1612"/>
      <c r="M24" s="1613"/>
      <c r="N24" s="1613"/>
      <c r="O24" s="1613"/>
      <c r="P24" s="1613"/>
      <c r="Q24" s="1613"/>
      <c r="R24" s="1614"/>
      <c r="T24" s="401">
        <v>14</v>
      </c>
      <c r="U24" s="374" t="s">
        <v>634</v>
      </c>
      <c r="V24" s="421" t="s">
        <v>212</v>
      </c>
      <c r="W24" s="421" t="s">
        <v>212</v>
      </c>
      <c r="X24" s="421" t="s">
        <v>212</v>
      </c>
      <c r="Y24" s="421" t="s">
        <v>212</v>
      </c>
      <c r="Z24" s="393">
        <v>2</v>
      </c>
      <c r="AA24" s="393">
        <v>1</v>
      </c>
      <c r="AB24" s="393">
        <v>1</v>
      </c>
      <c r="AC24" s="421" t="s">
        <v>212</v>
      </c>
      <c r="AD24" s="421" t="s">
        <v>212</v>
      </c>
      <c r="AE24" s="421" t="s">
        <v>212</v>
      </c>
      <c r="AF24" s="421" t="s">
        <v>212</v>
      </c>
      <c r="AG24" s="421" t="str">
        <f t="shared" si="4"/>
        <v/>
      </c>
      <c r="AH24" s="421" t="str">
        <f t="shared" si="5"/>
        <v/>
      </c>
      <c r="AI24" s="427">
        <f>IF(NOT(OR(Z24=1,Z24=2)),IF(AQ24&gt;0,$AR$47*AQ24/SUMIF($AQ$11:$AQ$42,"&gt;0"),IF(AU24&gt;0,$AV$47*AU24/SUMIF($AU$11:$AU$42,"&gt;0"),IF(AS24&gt;0,$AT$47*AS24/SUMIF($AS$11:$AS$42,"&gt;0"),""))),IF(SUMIF(AJ25:$AJ$42,"=" &amp; AJ24,AI25:$AI$42)=0,"",SUMIF(AJ25:$AJ$42,"=" &amp; AJ24,AI25:$AI$42)))</f>
        <v>0.20000000624000017</v>
      </c>
      <c r="AJ24" s="426">
        <f t="shared" si="36"/>
        <v>3</v>
      </c>
      <c r="AK24" s="421" t="str">
        <f t="shared" si="6"/>
        <v/>
      </c>
      <c r="AL24" s="393" t="str">
        <f t="shared" si="7"/>
        <v/>
      </c>
      <c r="AM24" s="393" t="str">
        <f t="shared" si="8"/>
        <v/>
      </c>
      <c r="AN24" s="393" t="str">
        <f t="shared" si="9"/>
        <v/>
      </c>
      <c r="AO24" s="393" t="str">
        <f t="shared" si="10"/>
        <v/>
      </c>
      <c r="AP24" s="421" t="str">
        <f t="shared" si="11"/>
        <v/>
      </c>
      <c r="AQ24" s="425">
        <f t="shared" si="12"/>
        <v>0</v>
      </c>
      <c r="AR24" s="423" t="str">
        <f t="shared" si="13"/>
        <v/>
      </c>
      <c r="AS24" s="424">
        <f t="shared" si="14"/>
        <v>0</v>
      </c>
      <c r="AT24" s="423" t="str">
        <f t="shared" si="15"/>
        <v/>
      </c>
      <c r="AU24" s="420">
        <f t="shared" si="16"/>
        <v>0</v>
      </c>
      <c r="AV24" s="422" t="str">
        <f t="shared" si="17"/>
        <v/>
      </c>
      <c r="AW24" s="420" t="b">
        <f t="shared" si="18"/>
        <v>0</v>
      </c>
      <c r="AX24" s="419" t="b">
        <f t="shared" si="19"/>
        <v>0</v>
      </c>
      <c r="AY24" s="420" t="b">
        <f t="shared" si="20"/>
        <v>0</v>
      </c>
      <c r="AZ24" s="419" t="b">
        <f t="shared" si="21"/>
        <v>0</v>
      </c>
      <c r="BA24" s="421" t="b">
        <f t="shared" si="22"/>
        <v>0</v>
      </c>
      <c r="BB24" s="421" t="b">
        <f t="shared" si="23"/>
        <v>0</v>
      </c>
      <c r="BC24" s="420" t="b">
        <f t="shared" si="24"/>
        <v>0</v>
      </c>
      <c r="BD24" s="393" t="b">
        <f t="shared" si="25"/>
        <v>0</v>
      </c>
      <c r="BE24" s="419" t="b">
        <f t="shared" si="26"/>
        <v>0</v>
      </c>
      <c r="BF24" s="418" t="b">
        <f t="shared" si="27"/>
        <v>0</v>
      </c>
      <c r="BG24" s="417" t="b">
        <f t="shared" si="28"/>
        <v>0</v>
      </c>
      <c r="BH24" s="417" t="str">
        <f t="shared" si="29"/>
        <v/>
      </c>
      <c r="BI24" s="417" t="str">
        <f t="shared" si="30"/>
        <v/>
      </c>
      <c r="BJ24" s="417" t="str">
        <f t="shared" si="31"/>
        <v/>
      </c>
      <c r="BK24" s="417" t="str">
        <f t="shared" si="32"/>
        <v/>
      </c>
      <c r="BL24" s="435" t="str">
        <f t="shared" si="33"/>
        <v/>
      </c>
      <c r="BM24" s="417" t="str">
        <f t="shared" si="34"/>
        <v/>
      </c>
      <c r="BN24" s="417" t="str">
        <f t="shared" si="35"/>
        <v/>
      </c>
      <c r="BO24" s="1630" t="s">
        <v>226</v>
      </c>
      <c r="BP24" s="443" t="s">
        <v>227</v>
      </c>
      <c r="BQ24" s="453">
        <f t="shared" ref="BQ24:BQ32" si="37">AR53</f>
        <v>0.7</v>
      </c>
      <c r="BR24" s="452">
        <f t="shared" ref="BR24:BR32" si="38">AS53</f>
        <v>0.9</v>
      </c>
      <c r="BS24" s="452">
        <f t="shared" ref="BS24:BS32" si="39">AT53</f>
        <v>0.93330000000000002</v>
      </c>
      <c r="BT24" s="452">
        <f t="shared" ref="BT24:BT32" si="40">AU53</f>
        <v>0.9667</v>
      </c>
      <c r="BU24" s="451">
        <f t="shared" ref="BU24:BU32" si="41">AV53</f>
        <v>1</v>
      </c>
      <c r="BV24" s="450"/>
      <c r="BW24" s="447"/>
    </row>
    <row r="25" spans="2:75" s="416" customFormat="1" ht="12.95" customHeight="1" x14ac:dyDescent="0.25">
      <c r="B25" s="433">
        <f>IF(ISNA(Z25),"",IF(OR(Z25=1,Z25=2),"    ",MAX($B$11:B24)+1))</f>
        <v>11</v>
      </c>
      <c r="C25" s="1618" t="str">
        <f t="shared" si="0"/>
        <v xml:space="preserve">      - Anatomy of a Valid Plot/Table (8.0%)</v>
      </c>
      <c r="D25" s="1618"/>
      <c r="E25" s="1618"/>
      <c r="F25" s="1619"/>
      <c r="G25" s="437">
        <f t="shared" si="1"/>
        <v>1</v>
      </c>
      <c r="H25" s="431" t="str">
        <f t="shared" si="2"/>
        <v>2*</v>
      </c>
      <c r="I25" s="436">
        <f t="shared" si="3"/>
        <v>3</v>
      </c>
      <c r="J25" s="449"/>
      <c r="K25" s="448"/>
      <c r="L25" s="1612"/>
      <c r="M25" s="1613"/>
      <c r="N25" s="1613"/>
      <c r="O25" s="1613"/>
      <c r="P25" s="1613"/>
      <c r="Q25" s="1613"/>
      <c r="R25" s="1614"/>
      <c r="T25" s="401">
        <v>15</v>
      </c>
      <c r="U25" s="374" t="s">
        <v>633</v>
      </c>
      <c r="V25" s="421">
        <v>1</v>
      </c>
      <c r="W25" s="421">
        <v>2.6666666600000002</v>
      </c>
      <c r="X25" s="421" t="s">
        <v>212</v>
      </c>
      <c r="Y25" s="421" t="s">
        <v>212</v>
      </c>
      <c r="Z25" s="393" t="s">
        <v>212</v>
      </c>
      <c r="AA25" s="393">
        <v>2</v>
      </c>
      <c r="AB25" s="393">
        <v>1</v>
      </c>
      <c r="AC25" s="421">
        <v>3</v>
      </c>
      <c r="AD25" s="421">
        <v>2</v>
      </c>
      <c r="AE25" s="421">
        <v>1</v>
      </c>
      <c r="AF25" s="421" t="b">
        <v>1</v>
      </c>
      <c r="AG25" s="421">
        <f t="shared" si="4"/>
        <v>2</v>
      </c>
      <c r="AH25" s="421">
        <f t="shared" si="5"/>
        <v>1</v>
      </c>
      <c r="AI25" s="427">
        <f>IF(NOT(OR(Z25=1,Z25=2)),IF(AQ25&gt;0,$AR$47*AQ25/SUMIF($AQ$11:$AQ$42,"&gt;0"),IF(AU25&gt;0,$AV$47*AU25/SUMIF($AU$11:$AU$42,"&gt;0"),IF(AS25&gt;0,$AT$47*AS25/SUMIF($AS$11:$AS$42,"&gt;0"),""))),IF(SUMIF(AJ26:$AJ$42,"=" &amp; AJ25,AI26:$AI$42)=0,"",SUMIF(AJ26:$AJ$42,"=" &amp; AJ25,AI26:$AI$42)))</f>
        <v>8.0000002376000065E-2</v>
      </c>
      <c r="AJ25" s="426">
        <f t="shared" si="36"/>
        <v>3</v>
      </c>
      <c r="AK25" s="421">
        <f t="shared" si="6"/>
        <v>2</v>
      </c>
      <c r="AL25" s="393" t="str">
        <f t="shared" si="7"/>
        <v/>
      </c>
      <c r="AM25" s="393" t="str">
        <f t="shared" si="8"/>
        <v/>
      </c>
      <c r="AN25" s="393" t="str">
        <f t="shared" si="9"/>
        <v/>
      </c>
      <c r="AO25" s="393" t="str">
        <f t="shared" si="10"/>
        <v/>
      </c>
      <c r="AP25" s="421" t="b">
        <f t="shared" si="11"/>
        <v>1</v>
      </c>
      <c r="AQ25" s="425">
        <f t="shared" si="12"/>
        <v>2.6666666600000002</v>
      </c>
      <c r="AR25" s="423" t="str">
        <f t="shared" si="13"/>
        <v/>
      </c>
      <c r="AS25" s="424">
        <f t="shared" si="14"/>
        <v>0</v>
      </c>
      <c r="AT25" s="423" t="str">
        <f t="shared" si="15"/>
        <v/>
      </c>
      <c r="AU25" s="420">
        <f t="shared" si="16"/>
        <v>0</v>
      </c>
      <c r="AV25" s="422" t="str">
        <f t="shared" si="17"/>
        <v/>
      </c>
      <c r="AW25" s="420" t="b">
        <f t="shared" si="18"/>
        <v>0</v>
      </c>
      <c r="AX25" s="419" t="b">
        <f t="shared" si="19"/>
        <v>1</v>
      </c>
      <c r="AY25" s="420" t="b">
        <f t="shared" si="20"/>
        <v>0</v>
      </c>
      <c r="AZ25" s="419" t="b">
        <f t="shared" si="21"/>
        <v>0</v>
      </c>
      <c r="BA25" s="421" t="b">
        <f t="shared" si="22"/>
        <v>0</v>
      </c>
      <c r="BB25" s="421" t="b">
        <f t="shared" si="23"/>
        <v>0</v>
      </c>
      <c r="BC25" s="420" t="b">
        <f t="shared" si="24"/>
        <v>0</v>
      </c>
      <c r="BD25" s="393" t="b">
        <f t="shared" si="25"/>
        <v>0</v>
      </c>
      <c r="BE25" s="419" t="b">
        <f t="shared" si="26"/>
        <v>0</v>
      </c>
      <c r="BF25" s="418" t="b">
        <f t="shared" si="27"/>
        <v>0</v>
      </c>
      <c r="BG25" s="417" t="b">
        <f t="shared" si="28"/>
        <v>1</v>
      </c>
      <c r="BH25" s="417">
        <f t="shared" si="29"/>
        <v>1</v>
      </c>
      <c r="BI25" s="417">
        <f t="shared" si="30"/>
        <v>2</v>
      </c>
      <c r="BJ25" s="417" t="str">
        <f t="shared" si="31"/>
        <v>2*</v>
      </c>
      <c r="BK25" s="417">
        <f t="shared" si="32"/>
        <v>3</v>
      </c>
      <c r="BL25" s="435">
        <f t="shared" si="33"/>
        <v>1</v>
      </c>
      <c r="BM25" s="417">
        <f t="shared" si="34"/>
        <v>2</v>
      </c>
      <c r="BN25" s="417">
        <f t="shared" si="35"/>
        <v>3</v>
      </c>
      <c r="BO25" s="1630"/>
      <c r="BP25" s="443" t="s">
        <v>228</v>
      </c>
      <c r="BQ25" s="446">
        <f t="shared" si="37"/>
        <v>0.7</v>
      </c>
      <c r="BR25" s="445">
        <f t="shared" si="38"/>
        <v>0.8</v>
      </c>
      <c r="BS25" s="445">
        <f t="shared" si="39"/>
        <v>0.9</v>
      </c>
      <c r="BT25" s="445">
        <f t="shared" si="40"/>
        <v>0.95</v>
      </c>
      <c r="BU25" s="444">
        <f t="shared" si="41"/>
        <v>1</v>
      </c>
      <c r="BV25" s="447"/>
      <c r="BW25" s="403"/>
    </row>
    <row r="26" spans="2:75" s="416" customFormat="1" ht="12.95" customHeight="1" x14ac:dyDescent="0.25">
      <c r="B26" s="433">
        <f>IF(ISNA(Z26),"",IF(OR(Z26=1,Z26=2),"    ",MAX($B$11:B25)+1))</f>
        <v>12</v>
      </c>
      <c r="C26" s="1618" t="str">
        <f t="shared" si="0"/>
        <v xml:space="preserve">      - Data-Ink Ratio &amp; Clarity (6.0%)</v>
      </c>
      <c r="D26" s="1618"/>
      <c r="E26" s="1618"/>
      <c r="F26" s="1619"/>
      <c r="G26" s="437">
        <f t="shared" si="1"/>
        <v>1</v>
      </c>
      <c r="H26" s="431" t="str">
        <f t="shared" si="2"/>
        <v>2*</v>
      </c>
      <c r="I26" s="436">
        <f t="shared" si="3"/>
        <v>3</v>
      </c>
      <c r="J26" s="449"/>
      <c r="K26" s="448"/>
      <c r="L26" s="1612"/>
      <c r="M26" s="1613"/>
      <c r="N26" s="1613"/>
      <c r="O26" s="1613"/>
      <c r="P26" s="1613"/>
      <c r="Q26" s="1613"/>
      <c r="R26" s="1614"/>
      <c r="T26" s="401">
        <v>16</v>
      </c>
      <c r="U26" s="374" t="s">
        <v>632</v>
      </c>
      <c r="V26" s="421">
        <v>1</v>
      </c>
      <c r="W26" s="421">
        <v>2</v>
      </c>
      <c r="X26" s="421" t="s">
        <v>212</v>
      </c>
      <c r="Y26" s="421" t="s">
        <v>212</v>
      </c>
      <c r="Z26" s="393" t="s">
        <v>212</v>
      </c>
      <c r="AA26" s="393">
        <v>2</v>
      </c>
      <c r="AB26" s="393">
        <v>1</v>
      </c>
      <c r="AC26" s="421">
        <v>3</v>
      </c>
      <c r="AD26" s="421">
        <v>2</v>
      </c>
      <c r="AE26" s="421">
        <v>1</v>
      </c>
      <c r="AF26" s="421" t="b">
        <v>1</v>
      </c>
      <c r="AG26" s="421">
        <f t="shared" si="4"/>
        <v>2</v>
      </c>
      <c r="AH26" s="421">
        <f t="shared" si="5"/>
        <v>1</v>
      </c>
      <c r="AI26" s="427">
        <f>IF(NOT(OR(Z26=1,Z26=2)),IF(AQ26&gt;0,$AR$47*AQ26/SUMIF($AQ$11:$AQ$42,"&gt;0"),IF(AU26&gt;0,$AV$47*AU26/SUMIF($AU$11:$AU$42,"&gt;0"),IF(AS26&gt;0,$AT$47*AS26/SUMIF($AS$11:$AS$42,"&gt;0"),""))),IF(SUMIF(AJ27:$AJ$42,"=" &amp; AJ26,AI27:$AI$42)=0,"",SUMIF(AJ27:$AJ$42,"=" &amp; AJ26,AI27:$AI$42)))</f>
        <v>6.0000001932000051E-2</v>
      </c>
      <c r="AJ26" s="426">
        <f t="shared" si="36"/>
        <v>3</v>
      </c>
      <c r="AK26" s="421">
        <f t="shared" si="6"/>
        <v>2</v>
      </c>
      <c r="AL26" s="393" t="str">
        <f t="shared" si="7"/>
        <v/>
      </c>
      <c r="AM26" s="393" t="str">
        <f t="shared" si="8"/>
        <v/>
      </c>
      <c r="AN26" s="393" t="str">
        <f t="shared" si="9"/>
        <v/>
      </c>
      <c r="AO26" s="393" t="str">
        <f t="shared" si="10"/>
        <v/>
      </c>
      <c r="AP26" s="421" t="b">
        <f t="shared" si="11"/>
        <v>1</v>
      </c>
      <c r="AQ26" s="425">
        <f t="shared" si="12"/>
        <v>2</v>
      </c>
      <c r="AR26" s="423" t="str">
        <f t="shared" si="13"/>
        <v/>
      </c>
      <c r="AS26" s="424">
        <f t="shared" si="14"/>
        <v>0</v>
      </c>
      <c r="AT26" s="423" t="str">
        <f t="shared" si="15"/>
        <v/>
      </c>
      <c r="AU26" s="420">
        <f t="shared" si="16"/>
        <v>0</v>
      </c>
      <c r="AV26" s="422" t="str">
        <f t="shared" si="17"/>
        <v/>
      </c>
      <c r="AW26" s="420" t="b">
        <f t="shared" si="18"/>
        <v>0</v>
      </c>
      <c r="AX26" s="419" t="b">
        <f t="shared" si="19"/>
        <v>1</v>
      </c>
      <c r="AY26" s="420" t="b">
        <f t="shared" si="20"/>
        <v>0</v>
      </c>
      <c r="AZ26" s="419" t="b">
        <f t="shared" si="21"/>
        <v>0</v>
      </c>
      <c r="BA26" s="421" t="b">
        <f t="shared" si="22"/>
        <v>0</v>
      </c>
      <c r="BB26" s="421" t="b">
        <f t="shared" si="23"/>
        <v>0</v>
      </c>
      <c r="BC26" s="420" t="b">
        <f t="shared" si="24"/>
        <v>0</v>
      </c>
      <c r="BD26" s="393" t="b">
        <f t="shared" si="25"/>
        <v>0</v>
      </c>
      <c r="BE26" s="419" t="b">
        <f t="shared" si="26"/>
        <v>0</v>
      </c>
      <c r="BF26" s="418" t="b">
        <f t="shared" si="27"/>
        <v>0</v>
      </c>
      <c r="BG26" s="417" t="b">
        <f t="shared" si="28"/>
        <v>1</v>
      </c>
      <c r="BH26" s="417">
        <f t="shared" si="29"/>
        <v>1</v>
      </c>
      <c r="BI26" s="417">
        <f t="shared" si="30"/>
        <v>2</v>
      </c>
      <c r="BJ26" s="417" t="str">
        <f t="shared" si="31"/>
        <v>2*</v>
      </c>
      <c r="BK26" s="417">
        <f t="shared" si="32"/>
        <v>3</v>
      </c>
      <c r="BL26" s="435">
        <f t="shared" si="33"/>
        <v>1</v>
      </c>
      <c r="BM26" s="417">
        <f t="shared" si="34"/>
        <v>2</v>
      </c>
      <c r="BN26" s="417">
        <f t="shared" si="35"/>
        <v>3</v>
      </c>
      <c r="BO26" s="1630"/>
      <c r="BP26" s="443" t="s">
        <v>229</v>
      </c>
      <c r="BQ26" s="446">
        <f t="shared" si="37"/>
        <v>0.7</v>
      </c>
      <c r="BR26" s="445">
        <f t="shared" si="38"/>
        <v>0.76670000000000005</v>
      </c>
      <c r="BS26" s="445">
        <f t="shared" si="39"/>
        <v>0.83330000000000004</v>
      </c>
      <c r="BT26" s="445">
        <f t="shared" si="40"/>
        <v>0.9</v>
      </c>
      <c r="BU26" s="444">
        <f t="shared" si="41"/>
        <v>1</v>
      </c>
      <c r="BV26" s="447"/>
      <c r="BW26" s="403"/>
    </row>
    <row r="27" spans="2:75" s="416" customFormat="1" ht="12.95" customHeight="1" x14ac:dyDescent="0.25">
      <c r="B27" s="433">
        <f>IF(ISNA(Z27),"",IF(OR(Z27=1,Z27=2),"    ",MAX($B$11:B26)+1))</f>
        <v>13</v>
      </c>
      <c r="C27" s="1618" t="str">
        <f t="shared" si="0"/>
        <v xml:space="preserve">      - Data Honesty &amp; Context (6.0%)</v>
      </c>
      <c r="D27" s="1618"/>
      <c r="E27" s="1618"/>
      <c r="F27" s="1619"/>
      <c r="G27" s="437">
        <f t="shared" si="1"/>
        <v>1</v>
      </c>
      <c r="H27" s="431" t="str">
        <f t="shared" si="2"/>
        <v>2*</v>
      </c>
      <c r="I27" s="436">
        <f t="shared" si="3"/>
        <v>3</v>
      </c>
      <c r="J27" s="449"/>
      <c r="K27" s="448"/>
      <c r="L27" s="1612"/>
      <c r="M27" s="1613"/>
      <c r="N27" s="1613"/>
      <c r="O27" s="1613"/>
      <c r="P27" s="1613"/>
      <c r="Q27" s="1613"/>
      <c r="R27" s="1614"/>
      <c r="T27" s="401">
        <v>17</v>
      </c>
      <c r="U27" s="374" t="s">
        <v>631</v>
      </c>
      <c r="V27" s="421">
        <v>1</v>
      </c>
      <c r="W27" s="421">
        <v>2</v>
      </c>
      <c r="X27" s="421" t="s">
        <v>212</v>
      </c>
      <c r="Y27" s="421" t="s">
        <v>212</v>
      </c>
      <c r="Z27" s="393" t="s">
        <v>212</v>
      </c>
      <c r="AA27" s="393">
        <v>2</v>
      </c>
      <c r="AB27" s="393">
        <v>1</v>
      </c>
      <c r="AC27" s="421">
        <v>3</v>
      </c>
      <c r="AD27" s="421">
        <v>2</v>
      </c>
      <c r="AE27" s="421">
        <v>1</v>
      </c>
      <c r="AF27" s="421" t="b">
        <v>1</v>
      </c>
      <c r="AG27" s="421">
        <f t="shared" si="4"/>
        <v>2</v>
      </c>
      <c r="AH27" s="421">
        <f t="shared" si="5"/>
        <v>1</v>
      </c>
      <c r="AI27" s="427">
        <f>IF(NOT(OR(Z27=1,Z27=2)),IF(AQ27&gt;0,$AR$47*AQ27/SUMIF($AQ$11:$AQ$42,"&gt;0"),IF(AU27&gt;0,$AV$47*AU27/SUMIF($AU$11:$AU$42,"&gt;0"),IF(AS27&gt;0,$AT$47*AS27/SUMIF($AS$11:$AS$42,"&gt;0"),""))),IF(SUMIF(AJ28:$AJ$42,"=" &amp; AJ27,AI28:$AI$42)=0,"",SUMIF(AJ28:$AJ$42,"=" &amp; AJ27,AI28:$AI$42)))</f>
        <v>6.0000001932000051E-2</v>
      </c>
      <c r="AJ27" s="426">
        <f t="shared" si="36"/>
        <v>3</v>
      </c>
      <c r="AK27" s="421">
        <f t="shared" si="6"/>
        <v>2</v>
      </c>
      <c r="AL27" s="393" t="str">
        <f t="shared" si="7"/>
        <v/>
      </c>
      <c r="AM27" s="393" t="str">
        <f t="shared" si="8"/>
        <v/>
      </c>
      <c r="AN27" s="393" t="str">
        <f t="shared" si="9"/>
        <v/>
      </c>
      <c r="AO27" s="393" t="str">
        <f t="shared" si="10"/>
        <v/>
      </c>
      <c r="AP27" s="421" t="b">
        <f t="shared" si="11"/>
        <v>1</v>
      </c>
      <c r="AQ27" s="425">
        <f t="shared" si="12"/>
        <v>2</v>
      </c>
      <c r="AR27" s="423" t="str">
        <f t="shared" si="13"/>
        <v/>
      </c>
      <c r="AS27" s="424">
        <f t="shared" si="14"/>
        <v>0</v>
      </c>
      <c r="AT27" s="423" t="str">
        <f t="shared" si="15"/>
        <v/>
      </c>
      <c r="AU27" s="420">
        <f t="shared" si="16"/>
        <v>0</v>
      </c>
      <c r="AV27" s="422" t="str">
        <f t="shared" si="17"/>
        <v/>
      </c>
      <c r="AW27" s="420" t="b">
        <f t="shared" si="18"/>
        <v>0</v>
      </c>
      <c r="AX27" s="419" t="b">
        <f t="shared" si="19"/>
        <v>1</v>
      </c>
      <c r="AY27" s="420" t="b">
        <f t="shared" si="20"/>
        <v>0</v>
      </c>
      <c r="AZ27" s="419" t="b">
        <f t="shared" si="21"/>
        <v>0</v>
      </c>
      <c r="BA27" s="421" t="b">
        <f t="shared" si="22"/>
        <v>0</v>
      </c>
      <c r="BB27" s="421" t="b">
        <f t="shared" si="23"/>
        <v>0</v>
      </c>
      <c r="BC27" s="420" t="b">
        <f t="shared" si="24"/>
        <v>0</v>
      </c>
      <c r="BD27" s="393" t="b">
        <f t="shared" si="25"/>
        <v>0</v>
      </c>
      <c r="BE27" s="419" t="b">
        <f t="shared" si="26"/>
        <v>0</v>
      </c>
      <c r="BF27" s="418" t="b">
        <f t="shared" si="27"/>
        <v>0</v>
      </c>
      <c r="BG27" s="417" t="b">
        <f t="shared" si="28"/>
        <v>1</v>
      </c>
      <c r="BH27" s="417">
        <f t="shared" si="29"/>
        <v>1</v>
      </c>
      <c r="BI27" s="417">
        <f t="shared" si="30"/>
        <v>2</v>
      </c>
      <c r="BJ27" s="417" t="str">
        <f t="shared" si="31"/>
        <v>2*</v>
      </c>
      <c r="BK27" s="417">
        <f t="shared" si="32"/>
        <v>3</v>
      </c>
      <c r="BL27" s="435">
        <f t="shared" si="33"/>
        <v>1</v>
      </c>
      <c r="BM27" s="417">
        <f t="shared" si="34"/>
        <v>2</v>
      </c>
      <c r="BN27" s="417">
        <f t="shared" si="35"/>
        <v>3</v>
      </c>
      <c r="BO27" s="1630"/>
      <c r="BP27" s="443" t="s">
        <v>230</v>
      </c>
      <c r="BQ27" s="446">
        <f t="shared" si="37"/>
        <v>0.6</v>
      </c>
      <c r="BR27" s="445">
        <f t="shared" si="38"/>
        <v>0.9</v>
      </c>
      <c r="BS27" s="445">
        <f t="shared" si="39"/>
        <v>0.93330000000000002</v>
      </c>
      <c r="BT27" s="445">
        <f t="shared" si="40"/>
        <v>0.9667</v>
      </c>
      <c r="BU27" s="444">
        <f t="shared" si="41"/>
        <v>1</v>
      </c>
      <c r="BV27" s="447"/>
      <c r="BW27" s="403"/>
    </row>
    <row r="28" spans="2:75" s="416" customFormat="1" ht="12.95" customHeight="1" x14ac:dyDescent="0.25">
      <c r="B28" s="433" t="str">
        <f>IF(ISNA(Z28),"",IF(OR(Z28=1,Z28=2),"    ",MAX($B$11:B27)+1))</f>
        <v/>
      </c>
      <c r="C28" s="1618" t="str">
        <f t="shared" si="0"/>
        <v/>
      </c>
      <c r="D28" s="1618"/>
      <c r="E28" s="1618"/>
      <c r="F28" s="1619"/>
      <c r="G28" s="437" t="str">
        <f t="shared" si="1"/>
        <v/>
      </c>
      <c r="H28" s="431" t="str">
        <f t="shared" si="2"/>
        <v/>
      </c>
      <c r="I28" s="436" t="str">
        <f t="shared" si="3"/>
        <v/>
      </c>
      <c r="J28" s="429"/>
      <c r="K28" s="428"/>
      <c r="L28" s="1612"/>
      <c r="M28" s="1613"/>
      <c r="N28" s="1613"/>
      <c r="O28" s="1613"/>
      <c r="P28" s="1613"/>
      <c r="Q28" s="1613"/>
      <c r="R28" s="1614"/>
      <c r="T28" s="401">
        <v>18</v>
      </c>
      <c r="U28" s="374" t="e">
        <v>#N/A</v>
      </c>
      <c r="V28" s="421" t="e">
        <v>#N/A</v>
      </c>
      <c r="W28" s="421" t="e">
        <v>#N/A</v>
      </c>
      <c r="X28" s="421" t="e">
        <v>#N/A</v>
      </c>
      <c r="Y28" s="421" t="e">
        <v>#N/A</v>
      </c>
      <c r="Z28" s="393" t="e">
        <v>#N/A</v>
      </c>
      <c r="AA28" s="393" t="e">
        <v>#N/A</v>
      </c>
      <c r="AB28" s="393" t="e">
        <v>#N/A</v>
      </c>
      <c r="AC28" s="421" t="e">
        <v>#N/A</v>
      </c>
      <c r="AD28" s="421" t="e">
        <v>#N/A</v>
      </c>
      <c r="AE28" s="421" t="e">
        <v>#N/A</v>
      </c>
      <c r="AF28" s="421" t="e">
        <v>#N/A</v>
      </c>
      <c r="AG28" s="421" t="e">
        <f t="shared" si="4"/>
        <v>#N/A</v>
      </c>
      <c r="AH28" s="421" t="str">
        <f t="shared" si="5"/>
        <v/>
      </c>
      <c r="AI28" s="427" t="e">
        <f>IF(NOT(OR(Z28=1,Z28=2)),IF(AQ28&gt;0,$AR$47*AQ28/SUMIF($AQ$11:$AQ$42,"&gt;0"),IF(AU28&gt;0,$AV$47*AU28/SUMIF($AU$11:$AU$42,"&gt;0"),IF(AS28&gt;0,$AT$47*AS28/SUMIF($AS$11:$AS$42,"&gt;0"),""))),IF(SUMIF(AJ29:$AJ$42,"=" &amp; AJ28,AI29:$AI$42)=0,"",SUMIF(AJ29:$AJ$42,"=" &amp; AJ28,AI29:$AI$42)))</f>
        <v>#N/A</v>
      </c>
      <c r="AJ28" s="426" t="e">
        <f t="shared" si="36"/>
        <v>#N/A</v>
      </c>
      <c r="AK28" s="421" t="str">
        <f t="shared" si="6"/>
        <v/>
      </c>
      <c r="AL28" s="393" t="str">
        <f t="shared" si="7"/>
        <v/>
      </c>
      <c r="AM28" s="393" t="str">
        <f t="shared" si="8"/>
        <v/>
      </c>
      <c r="AN28" s="393" t="str">
        <f t="shared" si="9"/>
        <v/>
      </c>
      <c r="AO28" s="393" t="e">
        <f t="shared" si="10"/>
        <v>#N/A</v>
      </c>
      <c r="AP28" s="421" t="str">
        <f t="shared" si="11"/>
        <v/>
      </c>
      <c r="AQ28" s="425">
        <f t="shared" si="12"/>
        <v>0</v>
      </c>
      <c r="AR28" s="423" t="str">
        <f t="shared" si="13"/>
        <v/>
      </c>
      <c r="AS28" s="424">
        <f t="shared" si="14"/>
        <v>0</v>
      </c>
      <c r="AT28" s="423" t="str">
        <f t="shared" si="15"/>
        <v/>
      </c>
      <c r="AU28" s="420">
        <f t="shared" si="16"/>
        <v>0</v>
      </c>
      <c r="AV28" s="422" t="str">
        <f t="shared" si="17"/>
        <v/>
      </c>
      <c r="AW28" s="420" t="b">
        <f t="shared" si="18"/>
        <v>0</v>
      </c>
      <c r="AX28" s="419" t="b">
        <f t="shared" si="19"/>
        <v>0</v>
      </c>
      <c r="AY28" s="420" t="b">
        <f t="shared" si="20"/>
        <v>0</v>
      </c>
      <c r="AZ28" s="419" t="b">
        <f t="shared" si="21"/>
        <v>0</v>
      </c>
      <c r="BA28" s="421" t="b">
        <f t="shared" si="22"/>
        <v>0</v>
      </c>
      <c r="BB28" s="421" t="b">
        <f t="shared" si="23"/>
        <v>0</v>
      </c>
      <c r="BC28" s="420" t="b">
        <f t="shared" si="24"/>
        <v>0</v>
      </c>
      <c r="BD28" s="393" t="b">
        <f t="shared" si="25"/>
        <v>0</v>
      </c>
      <c r="BE28" s="419" t="b">
        <f t="shared" si="26"/>
        <v>0</v>
      </c>
      <c r="BF28" s="418" t="b">
        <f t="shared" si="27"/>
        <v>0</v>
      </c>
      <c r="BG28" s="417" t="str">
        <f t="shared" si="28"/>
        <v>NA</v>
      </c>
      <c r="BH28" s="417" t="str">
        <f t="shared" si="29"/>
        <v/>
      </c>
      <c r="BI28" s="417" t="str">
        <f t="shared" si="30"/>
        <v/>
      </c>
      <c r="BJ28" s="417" t="str">
        <f t="shared" si="31"/>
        <v/>
      </c>
      <c r="BK28" s="417" t="str">
        <f t="shared" si="32"/>
        <v/>
      </c>
      <c r="BL28" s="435" t="str">
        <f t="shared" si="33"/>
        <v/>
      </c>
      <c r="BM28" s="417" t="str">
        <f t="shared" si="34"/>
        <v/>
      </c>
      <c r="BN28" s="417" t="str">
        <f t="shared" si="35"/>
        <v/>
      </c>
      <c r="BO28" s="1630"/>
      <c r="BP28" s="443" t="s">
        <v>231</v>
      </c>
      <c r="BQ28" s="446">
        <f t="shared" si="37"/>
        <v>0.6</v>
      </c>
      <c r="BR28" s="445">
        <f t="shared" si="38"/>
        <v>0.7</v>
      </c>
      <c r="BS28" s="445">
        <f t="shared" si="39"/>
        <v>0.9</v>
      </c>
      <c r="BT28" s="445">
        <f t="shared" si="40"/>
        <v>0.95</v>
      </c>
      <c r="BU28" s="444">
        <f t="shared" si="41"/>
        <v>1</v>
      </c>
      <c r="BV28" s="447"/>
      <c r="BW28" s="403"/>
    </row>
    <row r="29" spans="2:75" s="416" customFormat="1" ht="12.95" customHeight="1" x14ac:dyDescent="0.25">
      <c r="B29" s="433" t="str">
        <f>IF(ISNA(Z29),"",IF(OR(Z29=1,Z29=2),"    ",MAX($B$11:B28)+1))</f>
        <v/>
      </c>
      <c r="C29" s="1618" t="str">
        <f t="shared" si="0"/>
        <v/>
      </c>
      <c r="D29" s="1618"/>
      <c r="E29" s="1618"/>
      <c r="F29" s="1619"/>
      <c r="G29" s="437" t="str">
        <f t="shared" si="1"/>
        <v/>
      </c>
      <c r="H29" s="431" t="str">
        <f t="shared" si="2"/>
        <v/>
      </c>
      <c r="I29" s="436" t="str">
        <f t="shared" si="3"/>
        <v/>
      </c>
      <c r="J29" s="429"/>
      <c r="K29" s="428"/>
      <c r="L29" s="1612"/>
      <c r="M29" s="1613"/>
      <c r="N29" s="1613"/>
      <c r="O29" s="1613"/>
      <c r="P29" s="1613"/>
      <c r="Q29" s="1613"/>
      <c r="R29" s="1614"/>
      <c r="T29" s="401">
        <v>19</v>
      </c>
      <c r="U29" s="374" t="e">
        <v>#N/A</v>
      </c>
      <c r="V29" s="421" t="e">
        <v>#N/A</v>
      </c>
      <c r="W29" s="421" t="e">
        <v>#N/A</v>
      </c>
      <c r="X29" s="421" t="e">
        <v>#N/A</v>
      </c>
      <c r="Y29" s="421" t="e">
        <v>#N/A</v>
      </c>
      <c r="Z29" s="393" t="e">
        <v>#N/A</v>
      </c>
      <c r="AA29" s="393" t="e">
        <v>#N/A</v>
      </c>
      <c r="AB29" s="393" t="e">
        <v>#N/A</v>
      </c>
      <c r="AC29" s="421" t="e">
        <v>#N/A</v>
      </c>
      <c r="AD29" s="421" t="e">
        <v>#N/A</v>
      </c>
      <c r="AE29" s="421" t="e">
        <v>#N/A</v>
      </c>
      <c r="AF29" s="421" t="e">
        <v>#N/A</v>
      </c>
      <c r="AG29" s="421" t="e">
        <f t="shared" si="4"/>
        <v>#N/A</v>
      </c>
      <c r="AH29" s="421" t="str">
        <f t="shared" si="5"/>
        <v/>
      </c>
      <c r="AI29" s="427" t="e">
        <f>IF(NOT(OR(Z29=1,Z29=2)),IF(AQ29&gt;0,$AR$47*AQ29/SUMIF($AQ$11:$AQ$42,"&gt;0"),IF(AU29&gt;0,$AV$47*AU29/SUMIF($AU$11:$AU$42,"&gt;0"),IF(AS29&gt;0,$AT$47*AS29/SUMIF($AS$11:$AS$42,"&gt;0"),""))),IF(SUMIF(AJ30:$AJ$42,"=" &amp; AJ29,AI30:$AI$42)=0,"",SUMIF(AJ30:$AJ$42,"=" &amp; AJ29,AI30:$AI$42)))</f>
        <v>#N/A</v>
      </c>
      <c r="AJ29" s="426" t="e">
        <f t="shared" si="36"/>
        <v>#N/A</v>
      </c>
      <c r="AK29" s="421" t="str">
        <f t="shared" si="6"/>
        <v/>
      </c>
      <c r="AL29" s="393" t="str">
        <f t="shared" si="7"/>
        <v/>
      </c>
      <c r="AM29" s="393" t="str">
        <f t="shared" si="8"/>
        <v/>
      </c>
      <c r="AN29" s="393" t="str">
        <f t="shared" si="9"/>
        <v/>
      </c>
      <c r="AO29" s="393" t="e">
        <f t="shared" si="10"/>
        <v>#N/A</v>
      </c>
      <c r="AP29" s="421" t="str">
        <f t="shared" si="11"/>
        <v/>
      </c>
      <c r="AQ29" s="425">
        <f t="shared" si="12"/>
        <v>0</v>
      </c>
      <c r="AR29" s="423" t="str">
        <f t="shared" si="13"/>
        <v/>
      </c>
      <c r="AS29" s="424">
        <f t="shared" si="14"/>
        <v>0</v>
      </c>
      <c r="AT29" s="423" t="str">
        <f t="shared" si="15"/>
        <v/>
      </c>
      <c r="AU29" s="420">
        <f t="shared" si="16"/>
        <v>0</v>
      </c>
      <c r="AV29" s="422" t="str">
        <f t="shared" si="17"/>
        <v/>
      </c>
      <c r="AW29" s="420" t="b">
        <f t="shared" si="18"/>
        <v>0</v>
      </c>
      <c r="AX29" s="419" t="b">
        <f t="shared" si="19"/>
        <v>0</v>
      </c>
      <c r="AY29" s="420" t="b">
        <f t="shared" si="20"/>
        <v>0</v>
      </c>
      <c r="AZ29" s="419" t="b">
        <f t="shared" si="21"/>
        <v>0</v>
      </c>
      <c r="BA29" s="421" t="b">
        <f t="shared" si="22"/>
        <v>0</v>
      </c>
      <c r="BB29" s="421" t="b">
        <f t="shared" si="23"/>
        <v>0</v>
      </c>
      <c r="BC29" s="420" t="b">
        <f t="shared" si="24"/>
        <v>0</v>
      </c>
      <c r="BD29" s="393" t="b">
        <f t="shared" si="25"/>
        <v>0</v>
      </c>
      <c r="BE29" s="419" t="b">
        <f t="shared" si="26"/>
        <v>0</v>
      </c>
      <c r="BF29" s="418" t="b">
        <f t="shared" si="27"/>
        <v>0</v>
      </c>
      <c r="BG29" s="417" t="str">
        <f t="shared" si="28"/>
        <v>NA</v>
      </c>
      <c r="BH29" s="417" t="str">
        <f t="shared" si="29"/>
        <v/>
      </c>
      <c r="BI29" s="417" t="str">
        <f t="shared" si="30"/>
        <v/>
      </c>
      <c r="BJ29" s="417" t="str">
        <f t="shared" si="31"/>
        <v/>
      </c>
      <c r="BK29" s="417" t="str">
        <f t="shared" si="32"/>
        <v/>
      </c>
      <c r="BL29" s="435" t="str">
        <f t="shared" si="33"/>
        <v/>
      </c>
      <c r="BM29" s="417" t="str">
        <f t="shared" si="34"/>
        <v/>
      </c>
      <c r="BN29" s="417" t="str">
        <f t="shared" si="35"/>
        <v/>
      </c>
      <c r="BO29" s="1630"/>
      <c r="BP29" s="443" t="s">
        <v>232</v>
      </c>
      <c r="BQ29" s="446">
        <f t="shared" si="37"/>
        <v>0.6</v>
      </c>
      <c r="BR29" s="445">
        <f t="shared" si="38"/>
        <v>0.7</v>
      </c>
      <c r="BS29" s="445">
        <f t="shared" si="39"/>
        <v>0.8</v>
      </c>
      <c r="BT29" s="445">
        <f t="shared" si="40"/>
        <v>0.9</v>
      </c>
      <c r="BU29" s="444">
        <f t="shared" si="41"/>
        <v>1</v>
      </c>
    </row>
    <row r="30" spans="2:75" s="416" customFormat="1" ht="12.95" customHeight="1" x14ac:dyDescent="0.25">
      <c r="B30" s="433" t="str">
        <f>IF(ISNA(Z30),"",IF(OR(Z30=1,Z30=2),"    ",MAX($B$11:B29)+1))</f>
        <v/>
      </c>
      <c r="C30" s="1618" t="str">
        <f t="shared" si="0"/>
        <v/>
      </c>
      <c r="D30" s="1618"/>
      <c r="E30" s="1618"/>
      <c r="F30" s="1619"/>
      <c r="G30" s="437" t="str">
        <f t="shared" si="1"/>
        <v/>
      </c>
      <c r="H30" s="431" t="str">
        <f t="shared" si="2"/>
        <v/>
      </c>
      <c r="I30" s="436" t="str">
        <f t="shared" si="3"/>
        <v/>
      </c>
      <c r="J30" s="429"/>
      <c r="K30" s="428"/>
      <c r="L30" s="1612"/>
      <c r="M30" s="1613"/>
      <c r="N30" s="1613"/>
      <c r="O30" s="1613"/>
      <c r="P30" s="1613"/>
      <c r="Q30" s="1613"/>
      <c r="R30" s="1614"/>
      <c r="T30" s="401">
        <v>20</v>
      </c>
      <c r="U30" s="374" t="e">
        <v>#N/A</v>
      </c>
      <c r="V30" s="421" t="e">
        <v>#N/A</v>
      </c>
      <c r="W30" s="421" t="e">
        <v>#N/A</v>
      </c>
      <c r="X30" s="421" t="e">
        <v>#N/A</v>
      </c>
      <c r="Y30" s="421" t="e">
        <v>#N/A</v>
      </c>
      <c r="Z30" s="393" t="e">
        <v>#N/A</v>
      </c>
      <c r="AA30" s="393" t="e">
        <v>#N/A</v>
      </c>
      <c r="AB30" s="393" t="e">
        <v>#N/A</v>
      </c>
      <c r="AC30" s="421" t="e">
        <v>#N/A</v>
      </c>
      <c r="AD30" s="421" t="e">
        <v>#N/A</v>
      </c>
      <c r="AE30" s="421" t="e">
        <v>#N/A</v>
      </c>
      <c r="AF30" s="421" t="e">
        <v>#N/A</v>
      </c>
      <c r="AG30" s="421" t="e">
        <f t="shared" si="4"/>
        <v>#N/A</v>
      </c>
      <c r="AH30" s="421" t="str">
        <f t="shared" si="5"/>
        <v/>
      </c>
      <c r="AI30" s="427" t="e">
        <f>IF(NOT(OR(Z30=1,Z30=2)),IF(AQ30&gt;0,$AR$47*AQ30/SUMIF($AQ$11:$AQ$42,"&gt;0"),IF(AU30&gt;0,$AV$47*AU30/SUMIF($AU$11:$AU$42,"&gt;0"),IF(AS30&gt;0,$AT$47*AS30/SUMIF($AS$11:$AS$42,"&gt;0"),""))),IF(SUMIF(AJ31:$AJ$42,"=" &amp; AJ30,AI31:$AI$42)=0,"",SUMIF(AJ31:$AJ$42,"=" &amp; AJ30,AI31:$AI$42)))</f>
        <v>#N/A</v>
      </c>
      <c r="AJ30" s="426" t="e">
        <f t="shared" si="36"/>
        <v>#N/A</v>
      </c>
      <c r="AK30" s="421" t="str">
        <f t="shared" si="6"/>
        <v/>
      </c>
      <c r="AL30" s="393" t="str">
        <f t="shared" si="7"/>
        <v/>
      </c>
      <c r="AM30" s="393" t="str">
        <f t="shared" si="8"/>
        <v/>
      </c>
      <c r="AN30" s="393" t="str">
        <f t="shared" si="9"/>
        <v/>
      </c>
      <c r="AO30" s="393" t="e">
        <f t="shared" si="10"/>
        <v>#N/A</v>
      </c>
      <c r="AP30" s="421" t="str">
        <f t="shared" si="11"/>
        <v/>
      </c>
      <c r="AQ30" s="425">
        <f t="shared" si="12"/>
        <v>0</v>
      </c>
      <c r="AR30" s="423" t="str">
        <f t="shared" si="13"/>
        <v/>
      </c>
      <c r="AS30" s="424">
        <f t="shared" si="14"/>
        <v>0</v>
      </c>
      <c r="AT30" s="423" t="str">
        <f t="shared" si="15"/>
        <v/>
      </c>
      <c r="AU30" s="420">
        <f t="shared" si="16"/>
        <v>0</v>
      </c>
      <c r="AV30" s="422" t="str">
        <f t="shared" si="17"/>
        <v/>
      </c>
      <c r="AW30" s="420" t="b">
        <f t="shared" si="18"/>
        <v>0</v>
      </c>
      <c r="AX30" s="419" t="b">
        <f t="shared" si="19"/>
        <v>0</v>
      </c>
      <c r="AY30" s="420" t="b">
        <f t="shared" si="20"/>
        <v>0</v>
      </c>
      <c r="AZ30" s="419" t="b">
        <f t="shared" si="21"/>
        <v>0</v>
      </c>
      <c r="BA30" s="421" t="b">
        <f t="shared" si="22"/>
        <v>0</v>
      </c>
      <c r="BB30" s="421" t="b">
        <f t="shared" si="23"/>
        <v>0</v>
      </c>
      <c r="BC30" s="420" t="b">
        <f t="shared" si="24"/>
        <v>0</v>
      </c>
      <c r="BD30" s="393" t="b">
        <f t="shared" si="25"/>
        <v>0</v>
      </c>
      <c r="BE30" s="419" t="b">
        <f t="shared" si="26"/>
        <v>0</v>
      </c>
      <c r="BF30" s="418" t="b">
        <f t="shared" si="27"/>
        <v>0</v>
      </c>
      <c r="BG30" s="417" t="str">
        <f t="shared" si="28"/>
        <v>NA</v>
      </c>
      <c r="BH30" s="417" t="str">
        <f t="shared" si="29"/>
        <v/>
      </c>
      <c r="BI30" s="417" t="str">
        <f t="shared" si="30"/>
        <v/>
      </c>
      <c r="BJ30" s="417" t="str">
        <f t="shared" si="31"/>
        <v/>
      </c>
      <c r="BK30" s="417" t="str">
        <f t="shared" si="32"/>
        <v/>
      </c>
      <c r="BL30" s="435" t="str">
        <f t="shared" si="33"/>
        <v/>
      </c>
      <c r="BM30" s="417" t="str">
        <f t="shared" si="34"/>
        <v/>
      </c>
      <c r="BN30" s="417" t="str">
        <f t="shared" si="35"/>
        <v/>
      </c>
      <c r="BO30" s="1630"/>
      <c r="BP30" s="443" t="s">
        <v>233</v>
      </c>
      <c r="BQ30" s="446">
        <f t="shared" si="37"/>
        <v>0.3</v>
      </c>
      <c r="BR30" s="445">
        <f t="shared" si="38"/>
        <v>0.6</v>
      </c>
      <c r="BS30" s="445">
        <f t="shared" si="39"/>
        <v>0.9</v>
      </c>
      <c r="BT30" s="445">
        <f t="shared" si="40"/>
        <v>0.95</v>
      </c>
      <c r="BU30" s="444">
        <f t="shared" si="41"/>
        <v>1</v>
      </c>
    </row>
    <row r="31" spans="2:75" s="416" customFormat="1" ht="12.95" customHeight="1" x14ac:dyDescent="0.25">
      <c r="B31" s="433" t="str">
        <f>IF(ISNA(Z31),"",IF(OR(Z31=1,Z31=2),"    ",MAX($B$11:B30)+1))</f>
        <v/>
      </c>
      <c r="C31" s="1618" t="str">
        <f t="shared" si="0"/>
        <v/>
      </c>
      <c r="D31" s="1618"/>
      <c r="E31" s="1618"/>
      <c r="F31" s="1619"/>
      <c r="G31" s="437" t="str">
        <f t="shared" si="1"/>
        <v/>
      </c>
      <c r="H31" s="431" t="str">
        <f t="shared" si="2"/>
        <v/>
      </c>
      <c r="I31" s="436" t="str">
        <f t="shared" si="3"/>
        <v/>
      </c>
      <c r="J31" s="429"/>
      <c r="K31" s="428"/>
      <c r="L31" s="1612"/>
      <c r="M31" s="1613"/>
      <c r="N31" s="1613"/>
      <c r="O31" s="1613"/>
      <c r="P31" s="1613"/>
      <c r="Q31" s="1613"/>
      <c r="R31" s="1614"/>
      <c r="T31" s="401">
        <v>21</v>
      </c>
      <c r="U31" s="374" t="e">
        <v>#N/A</v>
      </c>
      <c r="V31" s="421" t="e">
        <v>#N/A</v>
      </c>
      <c r="W31" s="421" t="e">
        <v>#N/A</v>
      </c>
      <c r="X31" s="421" t="e">
        <v>#N/A</v>
      </c>
      <c r="Y31" s="421" t="e">
        <v>#N/A</v>
      </c>
      <c r="Z31" s="393" t="e">
        <v>#N/A</v>
      </c>
      <c r="AA31" s="393" t="e">
        <v>#N/A</v>
      </c>
      <c r="AB31" s="393" t="e">
        <v>#N/A</v>
      </c>
      <c r="AC31" s="421" t="e">
        <v>#N/A</v>
      </c>
      <c r="AD31" s="421" t="e">
        <v>#N/A</v>
      </c>
      <c r="AE31" s="421" t="e">
        <v>#N/A</v>
      </c>
      <c r="AF31" s="421" t="e">
        <v>#N/A</v>
      </c>
      <c r="AG31" s="421" t="e">
        <f t="shared" si="4"/>
        <v>#N/A</v>
      </c>
      <c r="AH31" s="421" t="str">
        <f t="shared" si="5"/>
        <v/>
      </c>
      <c r="AI31" s="427" t="e">
        <f>IF(NOT(OR(Z31=1,Z31=2)),IF(AQ31&gt;0,$AR$47*AQ31/SUMIF($AQ$11:$AQ$42,"&gt;0"),IF(AU31&gt;0,$AV$47*AU31/SUMIF($AU$11:$AU$42,"&gt;0"),IF(AS31&gt;0,$AT$47*AS31/SUMIF($AS$11:$AS$42,"&gt;0"),""))),IF(SUMIF(AJ32:$AJ$42,"=" &amp; AJ31,AI32:$AI$42)=0,"",SUMIF(AJ32:$AJ$42,"=" &amp; AJ31,AI32:$AI$42)))</f>
        <v>#N/A</v>
      </c>
      <c r="AJ31" s="426" t="e">
        <f t="shared" si="36"/>
        <v>#N/A</v>
      </c>
      <c r="AK31" s="421" t="str">
        <f t="shared" si="6"/>
        <v/>
      </c>
      <c r="AL31" s="393" t="str">
        <f t="shared" si="7"/>
        <v/>
      </c>
      <c r="AM31" s="393" t="str">
        <f t="shared" si="8"/>
        <v/>
      </c>
      <c r="AN31" s="393" t="str">
        <f t="shared" si="9"/>
        <v/>
      </c>
      <c r="AO31" s="393" t="e">
        <f t="shared" si="10"/>
        <v>#N/A</v>
      </c>
      <c r="AP31" s="421" t="str">
        <f t="shared" si="11"/>
        <v/>
      </c>
      <c r="AQ31" s="425">
        <f t="shared" si="12"/>
        <v>0</v>
      </c>
      <c r="AR31" s="423" t="str">
        <f t="shared" si="13"/>
        <v/>
      </c>
      <c r="AS31" s="424">
        <f t="shared" si="14"/>
        <v>0</v>
      </c>
      <c r="AT31" s="423" t="str">
        <f t="shared" si="15"/>
        <v/>
      </c>
      <c r="AU31" s="420">
        <f t="shared" si="16"/>
        <v>0</v>
      </c>
      <c r="AV31" s="422" t="str">
        <f t="shared" si="17"/>
        <v/>
      </c>
      <c r="AW31" s="420" t="b">
        <f t="shared" si="18"/>
        <v>0</v>
      </c>
      <c r="AX31" s="419" t="b">
        <f t="shared" si="19"/>
        <v>0</v>
      </c>
      <c r="AY31" s="420" t="b">
        <f t="shared" si="20"/>
        <v>0</v>
      </c>
      <c r="AZ31" s="419" t="b">
        <f t="shared" si="21"/>
        <v>0</v>
      </c>
      <c r="BA31" s="421" t="b">
        <f t="shared" si="22"/>
        <v>0</v>
      </c>
      <c r="BB31" s="421" t="b">
        <f t="shared" si="23"/>
        <v>0</v>
      </c>
      <c r="BC31" s="420" t="b">
        <f t="shared" si="24"/>
        <v>0</v>
      </c>
      <c r="BD31" s="393" t="b">
        <f t="shared" si="25"/>
        <v>0</v>
      </c>
      <c r="BE31" s="419" t="b">
        <f t="shared" si="26"/>
        <v>0</v>
      </c>
      <c r="BF31" s="418" t="b">
        <f t="shared" si="27"/>
        <v>0</v>
      </c>
      <c r="BG31" s="417" t="str">
        <f t="shared" si="28"/>
        <v>NA</v>
      </c>
      <c r="BH31" s="417" t="str">
        <f t="shared" si="29"/>
        <v/>
      </c>
      <c r="BI31" s="417" t="str">
        <f t="shared" si="30"/>
        <v/>
      </c>
      <c r="BJ31" s="417" t="str">
        <f t="shared" si="31"/>
        <v/>
      </c>
      <c r="BK31" s="417" t="str">
        <f t="shared" si="32"/>
        <v/>
      </c>
      <c r="BL31" s="435" t="str">
        <f t="shared" si="33"/>
        <v/>
      </c>
      <c r="BM31" s="417" t="str">
        <f t="shared" si="34"/>
        <v/>
      </c>
      <c r="BN31" s="417" t="str">
        <f t="shared" si="35"/>
        <v/>
      </c>
      <c r="BO31" s="1630"/>
      <c r="BP31" s="443" t="s">
        <v>234</v>
      </c>
      <c r="BQ31" s="446">
        <f t="shared" si="37"/>
        <v>0.3</v>
      </c>
      <c r="BR31" s="445">
        <f t="shared" si="38"/>
        <v>0.6</v>
      </c>
      <c r="BS31" s="445">
        <f t="shared" si="39"/>
        <v>0.7</v>
      </c>
      <c r="BT31" s="445">
        <f t="shared" si="40"/>
        <v>0.9</v>
      </c>
      <c r="BU31" s="444">
        <f t="shared" si="41"/>
        <v>1</v>
      </c>
    </row>
    <row r="32" spans="2:75" s="416" customFormat="1" ht="12.95" customHeight="1" x14ac:dyDescent="0.25">
      <c r="B32" s="433" t="str">
        <f>IF(ISNA(Z32),"",IF(OR(Z32=1,Z32=2),"    ",MAX($B$11:B31)+1))</f>
        <v/>
      </c>
      <c r="C32" s="1618" t="str">
        <f t="shared" si="0"/>
        <v/>
      </c>
      <c r="D32" s="1618"/>
      <c r="E32" s="1618"/>
      <c r="F32" s="1619"/>
      <c r="G32" s="437" t="str">
        <f t="shared" si="1"/>
        <v/>
      </c>
      <c r="H32" s="431" t="str">
        <f t="shared" si="2"/>
        <v/>
      </c>
      <c r="I32" s="436" t="str">
        <f t="shared" si="3"/>
        <v/>
      </c>
      <c r="J32" s="429"/>
      <c r="K32" s="428"/>
      <c r="L32" s="1612"/>
      <c r="M32" s="1613"/>
      <c r="N32" s="1613"/>
      <c r="O32" s="1613"/>
      <c r="P32" s="1613"/>
      <c r="Q32" s="1613"/>
      <c r="R32" s="1614"/>
      <c r="T32" s="401">
        <v>22</v>
      </c>
      <c r="U32" s="374" t="e">
        <v>#N/A</v>
      </c>
      <c r="V32" s="421" t="e">
        <v>#N/A</v>
      </c>
      <c r="W32" s="421" t="e">
        <v>#N/A</v>
      </c>
      <c r="X32" s="421" t="e">
        <v>#N/A</v>
      </c>
      <c r="Y32" s="421" t="e">
        <v>#N/A</v>
      </c>
      <c r="Z32" s="393" t="e">
        <v>#N/A</v>
      </c>
      <c r="AA32" s="393" t="e">
        <v>#N/A</v>
      </c>
      <c r="AB32" s="393" t="e">
        <v>#N/A</v>
      </c>
      <c r="AC32" s="421" t="e">
        <v>#N/A</v>
      </c>
      <c r="AD32" s="421" t="e">
        <v>#N/A</v>
      </c>
      <c r="AE32" s="421" t="e">
        <v>#N/A</v>
      </c>
      <c r="AF32" s="421" t="e">
        <v>#N/A</v>
      </c>
      <c r="AG32" s="421" t="e">
        <f t="shared" si="4"/>
        <v>#N/A</v>
      </c>
      <c r="AH32" s="421" t="str">
        <f t="shared" si="5"/>
        <v/>
      </c>
      <c r="AI32" s="427" t="e">
        <f>IF(NOT(OR(Z32=1,Z32=2)),IF(AQ32&gt;0,$AR$47*AQ32/SUMIF($AQ$11:$AQ$42,"&gt;0"),IF(AU32&gt;0,$AV$47*AU32/SUMIF($AU$11:$AU$42,"&gt;0"),IF(AS32&gt;0,$AT$47*AS32/SUMIF($AS$11:$AS$42,"&gt;0"),""))),IF(SUMIF(AJ33:$AJ$42,"=" &amp; AJ32,AI33:$AI$42)=0,"",SUMIF(AJ33:$AJ$42,"=" &amp; AJ32,AI33:$AI$42)))</f>
        <v>#N/A</v>
      </c>
      <c r="AJ32" s="426" t="e">
        <f t="shared" si="36"/>
        <v>#N/A</v>
      </c>
      <c r="AK32" s="421" t="str">
        <f t="shared" si="6"/>
        <v/>
      </c>
      <c r="AL32" s="393" t="str">
        <f t="shared" si="7"/>
        <v/>
      </c>
      <c r="AM32" s="393" t="str">
        <f t="shared" si="8"/>
        <v/>
      </c>
      <c r="AN32" s="393" t="str">
        <f t="shared" si="9"/>
        <v/>
      </c>
      <c r="AO32" s="393" t="e">
        <f t="shared" si="10"/>
        <v>#N/A</v>
      </c>
      <c r="AP32" s="421" t="str">
        <f t="shared" si="11"/>
        <v/>
      </c>
      <c r="AQ32" s="425">
        <f t="shared" si="12"/>
        <v>0</v>
      </c>
      <c r="AR32" s="423" t="str">
        <f t="shared" si="13"/>
        <v/>
      </c>
      <c r="AS32" s="424">
        <f t="shared" si="14"/>
        <v>0</v>
      </c>
      <c r="AT32" s="423" t="str">
        <f t="shared" si="15"/>
        <v/>
      </c>
      <c r="AU32" s="420">
        <f t="shared" si="16"/>
        <v>0</v>
      </c>
      <c r="AV32" s="422" t="str">
        <f t="shared" si="17"/>
        <v/>
      </c>
      <c r="AW32" s="420" t="b">
        <f t="shared" si="18"/>
        <v>0</v>
      </c>
      <c r="AX32" s="419" t="b">
        <f t="shared" si="19"/>
        <v>0</v>
      </c>
      <c r="AY32" s="420" t="b">
        <f t="shared" si="20"/>
        <v>0</v>
      </c>
      <c r="AZ32" s="419" t="b">
        <f t="shared" si="21"/>
        <v>0</v>
      </c>
      <c r="BA32" s="421" t="b">
        <f t="shared" si="22"/>
        <v>0</v>
      </c>
      <c r="BB32" s="421" t="b">
        <f t="shared" si="23"/>
        <v>0</v>
      </c>
      <c r="BC32" s="420" t="b">
        <f t="shared" si="24"/>
        <v>0</v>
      </c>
      <c r="BD32" s="393" t="b">
        <f t="shared" si="25"/>
        <v>0</v>
      </c>
      <c r="BE32" s="419" t="b">
        <f t="shared" si="26"/>
        <v>0</v>
      </c>
      <c r="BF32" s="418" t="b">
        <f t="shared" si="27"/>
        <v>0</v>
      </c>
      <c r="BG32" s="417" t="str">
        <f t="shared" si="28"/>
        <v>NA</v>
      </c>
      <c r="BH32" s="417" t="str">
        <f t="shared" si="29"/>
        <v/>
      </c>
      <c r="BI32" s="417" t="str">
        <f t="shared" si="30"/>
        <v/>
      </c>
      <c r="BJ32" s="417" t="str">
        <f t="shared" si="31"/>
        <v/>
      </c>
      <c r="BK32" s="417" t="str">
        <f t="shared" si="32"/>
        <v/>
      </c>
      <c r="BL32" s="435" t="str">
        <f t="shared" si="33"/>
        <v/>
      </c>
      <c r="BM32" s="417" t="str">
        <f t="shared" si="34"/>
        <v/>
      </c>
      <c r="BN32" s="417" t="str">
        <f t="shared" si="35"/>
        <v/>
      </c>
      <c r="BO32" s="1630"/>
      <c r="BP32" s="443" t="s">
        <v>235</v>
      </c>
      <c r="BQ32" s="442">
        <f t="shared" si="37"/>
        <v>0</v>
      </c>
      <c r="BR32" s="441">
        <f t="shared" si="38"/>
        <v>0.3</v>
      </c>
      <c r="BS32" s="441">
        <f t="shared" si="39"/>
        <v>0.6</v>
      </c>
      <c r="BT32" s="441">
        <f t="shared" si="40"/>
        <v>0.9</v>
      </c>
      <c r="BU32" s="440">
        <f t="shared" si="41"/>
        <v>1</v>
      </c>
    </row>
    <row r="33" spans="2:73 1271:1271" s="416" customFormat="1" ht="12.95" customHeight="1" x14ac:dyDescent="0.25">
      <c r="B33" s="433" t="str">
        <f>IF(ISNA(Z33),"",IF(OR(Z33=1,Z33=2),"    ",MAX($B$11:B32)+1))</f>
        <v/>
      </c>
      <c r="C33" s="1618" t="str">
        <f t="shared" si="0"/>
        <v/>
      </c>
      <c r="D33" s="1618"/>
      <c r="E33" s="1618"/>
      <c r="F33" s="1619"/>
      <c r="G33" s="437" t="str">
        <f t="shared" si="1"/>
        <v/>
      </c>
      <c r="H33" s="431" t="str">
        <f t="shared" si="2"/>
        <v/>
      </c>
      <c r="I33" s="436" t="str">
        <f t="shared" si="3"/>
        <v/>
      </c>
      <c r="J33" s="429"/>
      <c r="K33" s="428"/>
      <c r="L33" s="1612"/>
      <c r="M33" s="1613"/>
      <c r="N33" s="1613"/>
      <c r="O33" s="1613"/>
      <c r="P33" s="1613"/>
      <c r="Q33" s="1613"/>
      <c r="R33" s="1614"/>
      <c r="T33" s="401">
        <v>23</v>
      </c>
      <c r="U33" s="374" t="e">
        <v>#N/A</v>
      </c>
      <c r="V33" s="421" t="e">
        <v>#N/A</v>
      </c>
      <c r="W33" s="421" t="e">
        <v>#N/A</v>
      </c>
      <c r="X33" s="421" t="e">
        <v>#N/A</v>
      </c>
      <c r="Y33" s="421" t="e">
        <v>#N/A</v>
      </c>
      <c r="Z33" s="393" t="e">
        <v>#N/A</v>
      </c>
      <c r="AA33" s="393" t="e">
        <v>#N/A</v>
      </c>
      <c r="AB33" s="393" t="e">
        <v>#N/A</v>
      </c>
      <c r="AC33" s="421" t="e">
        <v>#N/A</v>
      </c>
      <c r="AD33" s="421" t="e">
        <v>#N/A</v>
      </c>
      <c r="AE33" s="421" t="e">
        <v>#N/A</v>
      </c>
      <c r="AF33" s="421" t="e">
        <v>#N/A</v>
      </c>
      <c r="AG33" s="421" t="e">
        <f t="shared" si="4"/>
        <v>#N/A</v>
      </c>
      <c r="AH33" s="421" t="str">
        <f t="shared" si="5"/>
        <v/>
      </c>
      <c r="AI33" s="427" t="e">
        <f>IF(NOT(OR(Z33=1,Z33=2)),IF(AQ33&gt;0,$AR$47*AQ33/SUMIF($AQ$11:$AQ$42,"&gt;0"),IF(AU33&gt;0,$AV$47*AU33/SUMIF($AU$11:$AU$42,"&gt;0"),IF(AS33&gt;0,$AT$47*AS33/SUMIF($AS$11:$AS$42,"&gt;0"),""))),IF(SUMIF(AJ34:$AJ$42,"=" &amp; AJ33,AI34:$AI$42)=0,"",SUMIF(AJ34:$AJ$42,"=" &amp; AJ33,AI34:$AI$42)))</f>
        <v>#N/A</v>
      </c>
      <c r="AJ33" s="426" t="e">
        <f t="shared" si="36"/>
        <v>#N/A</v>
      </c>
      <c r="AK33" s="421" t="str">
        <f t="shared" si="6"/>
        <v/>
      </c>
      <c r="AL33" s="393" t="str">
        <f t="shared" si="7"/>
        <v/>
      </c>
      <c r="AM33" s="393" t="str">
        <f t="shared" si="8"/>
        <v/>
      </c>
      <c r="AN33" s="393" t="str">
        <f t="shared" si="9"/>
        <v/>
      </c>
      <c r="AO33" s="393" t="e">
        <f t="shared" si="10"/>
        <v>#N/A</v>
      </c>
      <c r="AP33" s="421" t="str">
        <f t="shared" si="11"/>
        <v/>
      </c>
      <c r="AQ33" s="425">
        <f t="shared" si="12"/>
        <v>0</v>
      </c>
      <c r="AR33" s="423" t="str">
        <f t="shared" si="13"/>
        <v/>
      </c>
      <c r="AS33" s="424">
        <f t="shared" si="14"/>
        <v>0</v>
      </c>
      <c r="AT33" s="423" t="str">
        <f t="shared" si="15"/>
        <v/>
      </c>
      <c r="AU33" s="420">
        <f t="shared" si="16"/>
        <v>0</v>
      </c>
      <c r="AV33" s="422" t="str">
        <f t="shared" si="17"/>
        <v/>
      </c>
      <c r="AW33" s="420" t="b">
        <f t="shared" si="18"/>
        <v>0</v>
      </c>
      <c r="AX33" s="419" t="b">
        <f t="shared" si="19"/>
        <v>0</v>
      </c>
      <c r="AY33" s="420" t="b">
        <f t="shared" si="20"/>
        <v>0</v>
      </c>
      <c r="AZ33" s="419" t="b">
        <f t="shared" si="21"/>
        <v>0</v>
      </c>
      <c r="BA33" s="421" t="b">
        <f t="shared" si="22"/>
        <v>0</v>
      </c>
      <c r="BB33" s="421" t="b">
        <f t="shared" si="23"/>
        <v>0</v>
      </c>
      <c r="BC33" s="420" t="b">
        <f t="shared" si="24"/>
        <v>0</v>
      </c>
      <c r="BD33" s="393" t="b">
        <f t="shared" si="25"/>
        <v>0</v>
      </c>
      <c r="BE33" s="419" t="b">
        <f t="shared" si="26"/>
        <v>0</v>
      </c>
      <c r="BF33" s="418" t="b">
        <f t="shared" si="27"/>
        <v>0</v>
      </c>
      <c r="BG33" s="417" t="str">
        <f t="shared" si="28"/>
        <v>NA</v>
      </c>
      <c r="BH33" s="417" t="str">
        <f t="shared" si="29"/>
        <v/>
      </c>
      <c r="BI33" s="417" t="str">
        <f t="shared" si="30"/>
        <v/>
      </c>
      <c r="BJ33" s="417" t="str">
        <f t="shared" si="31"/>
        <v/>
      </c>
      <c r="BK33" s="417" t="str">
        <f t="shared" si="32"/>
        <v/>
      </c>
      <c r="BL33" s="435" t="str">
        <f t="shared" si="33"/>
        <v/>
      </c>
      <c r="BM33" s="417" t="str">
        <f t="shared" si="34"/>
        <v/>
      </c>
      <c r="BN33" s="417" t="str">
        <f t="shared" si="35"/>
        <v/>
      </c>
      <c r="BO33" s="372"/>
    </row>
    <row r="34" spans="2:73 1271:1271" s="416" customFormat="1" ht="12.95" customHeight="1" x14ac:dyDescent="0.25">
      <c r="B34" s="433" t="str">
        <f>IF(ISNA(Z34),"",IF(OR(Z34=1,Z34=2),"    ",MAX($B$11:B33)+1))</f>
        <v/>
      </c>
      <c r="C34" s="1618" t="str">
        <f t="shared" si="0"/>
        <v/>
      </c>
      <c r="D34" s="1618"/>
      <c r="E34" s="1618"/>
      <c r="F34" s="1619"/>
      <c r="G34" s="437" t="str">
        <f t="shared" si="1"/>
        <v/>
      </c>
      <c r="H34" s="431" t="str">
        <f t="shared" si="2"/>
        <v/>
      </c>
      <c r="I34" s="436" t="str">
        <f t="shared" si="3"/>
        <v/>
      </c>
      <c r="J34" s="429"/>
      <c r="K34" s="428"/>
      <c r="L34" s="1612"/>
      <c r="M34" s="1613"/>
      <c r="N34" s="1613"/>
      <c r="O34" s="1613"/>
      <c r="P34" s="1613"/>
      <c r="Q34" s="1613"/>
      <c r="R34" s="1614"/>
      <c r="T34" s="401">
        <v>24</v>
      </c>
      <c r="U34" s="374" t="e">
        <v>#N/A</v>
      </c>
      <c r="V34" s="421" t="e">
        <v>#N/A</v>
      </c>
      <c r="W34" s="421" t="e">
        <v>#N/A</v>
      </c>
      <c r="X34" s="421" t="e">
        <v>#N/A</v>
      </c>
      <c r="Y34" s="421" t="e">
        <v>#N/A</v>
      </c>
      <c r="Z34" s="393" t="e">
        <v>#N/A</v>
      </c>
      <c r="AA34" s="393" t="e">
        <v>#N/A</v>
      </c>
      <c r="AB34" s="393" t="e">
        <v>#N/A</v>
      </c>
      <c r="AC34" s="421" t="e">
        <v>#N/A</v>
      </c>
      <c r="AD34" s="421" t="e">
        <v>#N/A</v>
      </c>
      <c r="AE34" s="421" t="e">
        <v>#N/A</v>
      </c>
      <c r="AF34" s="421" t="e">
        <v>#N/A</v>
      </c>
      <c r="AG34" s="421" t="e">
        <f t="shared" si="4"/>
        <v>#N/A</v>
      </c>
      <c r="AH34" s="421" t="str">
        <f t="shared" si="5"/>
        <v/>
      </c>
      <c r="AI34" s="427" t="e">
        <f>IF(NOT(OR(Z34=1,Z34=2)),IF(AQ34&gt;0,$AR$47*AQ34/SUMIF($AQ$11:$AQ$42,"&gt;0"),IF(AU34&gt;0,$AV$47*AU34/SUMIF($AU$11:$AU$42,"&gt;0"),IF(AS34&gt;0,$AT$47*AS34/SUMIF($AS$11:$AS$42,"&gt;0"),""))),IF(SUMIF(AJ35:$AJ$42,"=" &amp; AJ34,AI35:$AI$42)=0,"",SUMIF(AJ35:$AJ$42,"=" &amp; AJ34,AI35:$AI$42)))</f>
        <v>#N/A</v>
      </c>
      <c r="AJ34" s="426" t="e">
        <f t="shared" si="36"/>
        <v>#N/A</v>
      </c>
      <c r="AK34" s="421" t="str">
        <f t="shared" si="6"/>
        <v/>
      </c>
      <c r="AL34" s="393" t="str">
        <f t="shared" si="7"/>
        <v/>
      </c>
      <c r="AM34" s="393" t="str">
        <f t="shared" si="8"/>
        <v/>
      </c>
      <c r="AN34" s="393" t="str">
        <f t="shared" si="9"/>
        <v/>
      </c>
      <c r="AO34" s="393" t="e">
        <f t="shared" si="10"/>
        <v>#N/A</v>
      </c>
      <c r="AP34" s="421" t="str">
        <f t="shared" si="11"/>
        <v/>
      </c>
      <c r="AQ34" s="425">
        <f t="shared" si="12"/>
        <v>0</v>
      </c>
      <c r="AR34" s="423" t="str">
        <f t="shared" si="13"/>
        <v/>
      </c>
      <c r="AS34" s="424">
        <f t="shared" si="14"/>
        <v>0</v>
      </c>
      <c r="AT34" s="423" t="str">
        <f t="shared" si="15"/>
        <v/>
      </c>
      <c r="AU34" s="420">
        <f t="shared" si="16"/>
        <v>0</v>
      </c>
      <c r="AV34" s="422" t="str">
        <f t="shared" si="17"/>
        <v/>
      </c>
      <c r="AW34" s="420" t="b">
        <f t="shared" si="18"/>
        <v>0</v>
      </c>
      <c r="AX34" s="419" t="b">
        <f t="shared" si="19"/>
        <v>0</v>
      </c>
      <c r="AY34" s="420" t="b">
        <f t="shared" si="20"/>
        <v>0</v>
      </c>
      <c r="AZ34" s="419" t="b">
        <f t="shared" si="21"/>
        <v>0</v>
      </c>
      <c r="BA34" s="421" t="b">
        <f t="shared" si="22"/>
        <v>0</v>
      </c>
      <c r="BB34" s="421" t="b">
        <f t="shared" si="23"/>
        <v>0</v>
      </c>
      <c r="BC34" s="420" t="b">
        <f t="shared" si="24"/>
        <v>0</v>
      </c>
      <c r="BD34" s="393" t="b">
        <f t="shared" si="25"/>
        <v>0</v>
      </c>
      <c r="BE34" s="419" t="b">
        <f t="shared" si="26"/>
        <v>0</v>
      </c>
      <c r="BF34" s="418" t="b">
        <f t="shared" si="27"/>
        <v>0</v>
      </c>
      <c r="BG34" s="417" t="str">
        <f t="shared" si="28"/>
        <v>NA</v>
      </c>
      <c r="BH34" s="417" t="str">
        <f t="shared" si="29"/>
        <v/>
      </c>
      <c r="BI34" s="417" t="str">
        <f t="shared" si="30"/>
        <v/>
      </c>
      <c r="BJ34" s="417" t="str">
        <f t="shared" si="31"/>
        <v/>
      </c>
      <c r="BK34" s="417" t="str">
        <f t="shared" si="32"/>
        <v/>
      </c>
      <c r="BL34" s="435" t="str">
        <f t="shared" si="33"/>
        <v/>
      </c>
      <c r="BM34" s="417" t="str">
        <f t="shared" si="34"/>
        <v/>
      </c>
      <c r="BN34" s="417" t="str">
        <f t="shared" si="35"/>
        <v/>
      </c>
      <c r="BO34" s="439" t="s">
        <v>236</v>
      </c>
      <c r="BP34" s="438" t="s">
        <v>237</v>
      </c>
    </row>
    <row r="35" spans="2:73 1271:1271" s="416" customFormat="1" ht="12.95" customHeight="1" x14ac:dyDescent="0.25">
      <c r="B35" s="433" t="str">
        <f>IF(ISNA(Z35),"",IF(OR(Z35=1,Z35=2),"    ",MAX($B$11:B34)+1))</f>
        <v/>
      </c>
      <c r="C35" s="1618" t="str">
        <f t="shared" si="0"/>
        <v/>
      </c>
      <c r="D35" s="1618"/>
      <c r="E35" s="1618"/>
      <c r="F35" s="1619"/>
      <c r="G35" s="437" t="str">
        <f t="shared" si="1"/>
        <v/>
      </c>
      <c r="H35" s="431" t="str">
        <f t="shared" si="2"/>
        <v/>
      </c>
      <c r="I35" s="436" t="str">
        <f t="shared" si="3"/>
        <v/>
      </c>
      <c r="J35" s="429"/>
      <c r="K35" s="428"/>
      <c r="L35" s="1612"/>
      <c r="M35" s="1613"/>
      <c r="N35" s="1613"/>
      <c r="O35" s="1613"/>
      <c r="P35" s="1613"/>
      <c r="Q35" s="1613"/>
      <c r="R35" s="1614"/>
      <c r="T35" s="401">
        <v>25</v>
      </c>
      <c r="U35" s="374" t="e">
        <v>#N/A</v>
      </c>
      <c r="V35" s="421" t="e">
        <v>#N/A</v>
      </c>
      <c r="W35" s="421" t="e">
        <v>#N/A</v>
      </c>
      <c r="X35" s="421" t="e">
        <v>#N/A</v>
      </c>
      <c r="Y35" s="421" t="e">
        <v>#N/A</v>
      </c>
      <c r="Z35" s="393" t="e">
        <v>#N/A</v>
      </c>
      <c r="AA35" s="393" t="e">
        <v>#N/A</v>
      </c>
      <c r="AB35" s="393" t="e">
        <v>#N/A</v>
      </c>
      <c r="AC35" s="421" t="e">
        <v>#N/A</v>
      </c>
      <c r="AD35" s="421" t="e">
        <v>#N/A</v>
      </c>
      <c r="AE35" s="421" t="e">
        <v>#N/A</v>
      </c>
      <c r="AF35" s="421" t="e">
        <v>#N/A</v>
      </c>
      <c r="AG35" s="421" t="e">
        <f t="shared" si="4"/>
        <v>#N/A</v>
      </c>
      <c r="AH35" s="421" t="str">
        <f t="shared" si="5"/>
        <v/>
      </c>
      <c r="AI35" s="427" t="e">
        <f>IF(NOT(OR(Z35=1,Z35=2)),IF(AQ35&gt;0,$AR$47*AQ35/SUMIF($AQ$11:$AQ$42,"&gt;0"),IF(AU35&gt;0,$AV$47*AU35/SUMIF($AU$11:$AU$42,"&gt;0"),IF(AS35&gt;0,$AT$47*AS35/SUMIF($AS$11:$AS$42,"&gt;0"),""))),IF(SUMIF(AJ36:$AJ$42,"=" &amp; AJ35,AI36:$AI$42)=0,"",SUMIF(AJ36:$AJ$42,"=" &amp; AJ35,AI36:$AI$42)))</f>
        <v>#N/A</v>
      </c>
      <c r="AJ35" s="426" t="e">
        <f t="shared" si="36"/>
        <v>#N/A</v>
      </c>
      <c r="AK35" s="421" t="str">
        <f t="shared" si="6"/>
        <v/>
      </c>
      <c r="AL35" s="393" t="str">
        <f t="shared" si="7"/>
        <v/>
      </c>
      <c r="AM35" s="393" t="str">
        <f t="shared" si="8"/>
        <v/>
      </c>
      <c r="AN35" s="393" t="str">
        <f t="shared" si="9"/>
        <v/>
      </c>
      <c r="AO35" s="393" t="e">
        <f t="shared" si="10"/>
        <v>#N/A</v>
      </c>
      <c r="AP35" s="421" t="str">
        <f t="shared" si="11"/>
        <v/>
      </c>
      <c r="AQ35" s="425">
        <f t="shared" si="12"/>
        <v>0</v>
      </c>
      <c r="AR35" s="423" t="str">
        <f t="shared" si="13"/>
        <v/>
      </c>
      <c r="AS35" s="424">
        <f t="shared" si="14"/>
        <v>0</v>
      </c>
      <c r="AT35" s="423" t="str">
        <f t="shared" si="15"/>
        <v/>
      </c>
      <c r="AU35" s="420">
        <f t="shared" si="16"/>
        <v>0</v>
      </c>
      <c r="AV35" s="422" t="str">
        <f t="shared" si="17"/>
        <v/>
      </c>
      <c r="AW35" s="420" t="b">
        <f t="shared" si="18"/>
        <v>0</v>
      </c>
      <c r="AX35" s="419" t="b">
        <f t="shared" si="19"/>
        <v>0</v>
      </c>
      <c r="AY35" s="420" t="b">
        <f t="shared" si="20"/>
        <v>0</v>
      </c>
      <c r="AZ35" s="419" t="b">
        <f t="shared" si="21"/>
        <v>0</v>
      </c>
      <c r="BA35" s="421" t="b">
        <f t="shared" si="22"/>
        <v>0</v>
      </c>
      <c r="BB35" s="421" t="b">
        <f t="shared" si="23"/>
        <v>0</v>
      </c>
      <c r="BC35" s="420" t="b">
        <f t="shared" si="24"/>
        <v>0</v>
      </c>
      <c r="BD35" s="393" t="b">
        <f t="shared" si="25"/>
        <v>0</v>
      </c>
      <c r="BE35" s="419" t="b">
        <f t="shared" si="26"/>
        <v>0</v>
      </c>
      <c r="BF35" s="418" t="b">
        <f t="shared" si="27"/>
        <v>0</v>
      </c>
      <c r="BG35" s="417" t="str">
        <f t="shared" si="28"/>
        <v>NA</v>
      </c>
      <c r="BH35" s="417" t="str">
        <f t="shared" si="29"/>
        <v/>
      </c>
      <c r="BI35" s="417" t="str">
        <f t="shared" si="30"/>
        <v/>
      </c>
      <c r="BJ35" s="417" t="str">
        <f t="shared" si="31"/>
        <v/>
      </c>
      <c r="BK35" s="417" t="str">
        <f t="shared" si="32"/>
        <v/>
      </c>
      <c r="BL35" s="435" t="str">
        <f t="shared" si="33"/>
        <v/>
      </c>
      <c r="BM35" s="417" t="str">
        <f t="shared" si="34"/>
        <v/>
      </c>
      <c r="BN35" s="417" t="str">
        <f t="shared" si="35"/>
        <v/>
      </c>
      <c r="BO35" s="439" t="s">
        <v>238</v>
      </c>
      <c r="BP35" s="438" t="s">
        <v>239</v>
      </c>
    </row>
    <row r="36" spans="2:73 1271:1271" s="416" customFormat="1" ht="12.95" customHeight="1" x14ac:dyDescent="0.25">
      <c r="B36" s="433" t="str">
        <f>IF(ISNA(Z36),"",IF(OR(Z36=1,Z36=2),"    ",MAX($B$11:B35)+1))</f>
        <v/>
      </c>
      <c r="C36" s="1618" t="str">
        <f t="shared" si="0"/>
        <v/>
      </c>
      <c r="D36" s="1618"/>
      <c r="E36" s="1618"/>
      <c r="F36" s="1619"/>
      <c r="G36" s="437" t="str">
        <f t="shared" si="1"/>
        <v/>
      </c>
      <c r="H36" s="431" t="str">
        <f t="shared" si="2"/>
        <v/>
      </c>
      <c r="I36" s="436" t="str">
        <f t="shared" si="3"/>
        <v/>
      </c>
      <c r="J36" s="429"/>
      <c r="K36" s="428"/>
      <c r="L36" s="1612"/>
      <c r="M36" s="1613"/>
      <c r="N36" s="1613"/>
      <c r="O36" s="1613"/>
      <c r="P36" s="1613"/>
      <c r="Q36" s="1613"/>
      <c r="R36" s="1614"/>
      <c r="T36" s="401">
        <v>26</v>
      </c>
      <c r="U36" s="374" t="e">
        <v>#N/A</v>
      </c>
      <c r="V36" s="421" t="e">
        <v>#N/A</v>
      </c>
      <c r="W36" s="421" t="e">
        <v>#N/A</v>
      </c>
      <c r="X36" s="421" t="e">
        <v>#N/A</v>
      </c>
      <c r="Y36" s="421" t="e">
        <v>#N/A</v>
      </c>
      <c r="Z36" s="393" t="e">
        <v>#N/A</v>
      </c>
      <c r="AA36" s="393" t="e">
        <v>#N/A</v>
      </c>
      <c r="AB36" s="393" t="e">
        <v>#N/A</v>
      </c>
      <c r="AC36" s="421" t="e">
        <v>#N/A</v>
      </c>
      <c r="AD36" s="421" t="e">
        <v>#N/A</v>
      </c>
      <c r="AE36" s="421" t="e">
        <v>#N/A</v>
      </c>
      <c r="AF36" s="421" t="e">
        <v>#N/A</v>
      </c>
      <c r="AG36" s="421" t="e">
        <f t="shared" si="4"/>
        <v>#N/A</v>
      </c>
      <c r="AH36" s="421" t="str">
        <f t="shared" si="5"/>
        <v/>
      </c>
      <c r="AI36" s="427" t="e">
        <f>IF(NOT(OR(Z36=1,Z36=2)),IF(AQ36&gt;0,$AR$47*AQ36/SUMIF($AQ$11:$AQ$42,"&gt;0"),IF(AU36&gt;0,$AV$47*AU36/SUMIF($AU$11:$AU$42,"&gt;0"),IF(AS36&gt;0,$AT$47*AS36/SUMIF($AS$11:$AS$42,"&gt;0"),""))),IF(SUMIF(AJ37:$AJ$42,"=" &amp; AJ36,AI37:$AI$42)=0,"",SUMIF(AJ37:$AJ$42,"=" &amp; AJ36,AI37:$AI$42)))</f>
        <v>#N/A</v>
      </c>
      <c r="AJ36" s="426" t="e">
        <f t="shared" si="36"/>
        <v>#N/A</v>
      </c>
      <c r="AK36" s="421" t="str">
        <f t="shared" si="6"/>
        <v/>
      </c>
      <c r="AL36" s="393" t="str">
        <f t="shared" si="7"/>
        <v/>
      </c>
      <c r="AM36" s="393" t="str">
        <f t="shared" si="8"/>
        <v/>
      </c>
      <c r="AN36" s="393" t="str">
        <f t="shared" si="9"/>
        <v/>
      </c>
      <c r="AO36" s="393" t="e">
        <f t="shared" si="10"/>
        <v>#N/A</v>
      </c>
      <c r="AP36" s="421" t="str">
        <f t="shared" si="11"/>
        <v/>
      </c>
      <c r="AQ36" s="425">
        <f t="shared" si="12"/>
        <v>0</v>
      </c>
      <c r="AR36" s="423" t="str">
        <f t="shared" si="13"/>
        <v/>
      </c>
      <c r="AS36" s="424">
        <f t="shared" si="14"/>
        <v>0</v>
      </c>
      <c r="AT36" s="423" t="str">
        <f t="shared" si="15"/>
        <v/>
      </c>
      <c r="AU36" s="420">
        <f t="shared" si="16"/>
        <v>0</v>
      </c>
      <c r="AV36" s="422" t="str">
        <f t="shared" si="17"/>
        <v/>
      </c>
      <c r="AW36" s="420" t="b">
        <f t="shared" si="18"/>
        <v>0</v>
      </c>
      <c r="AX36" s="419" t="b">
        <f t="shared" si="19"/>
        <v>0</v>
      </c>
      <c r="AY36" s="420" t="b">
        <f t="shared" si="20"/>
        <v>0</v>
      </c>
      <c r="AZ36" s="419" t="b">
        <f t="shared" si="21"/>
        <v>0</v>
      </c>
      <c r="BA36" s="421" t="b">
        <f t="shared" si="22"/>
        <v>0</v>
      </c>
      <c r="BB36" s="421" t="b">
        <f t="shared" si="23"/>
        <v>0</v>
      </c>
      <c r="BC36" s="420" t="b">
        <f t="shared" si="24"/>
        <v>0</v>
      </c>
      <c r="BD36" s="393" t="b">
        <f t="shared" si="25"/>
        <v>0</v>
      </c>
      <c r="BE36" s="419" t="b">
        <f t="shared" si="26"/>
        <v>0</v>
      </c>
      <c r="BF36" s="418" t="b">
        <f t="shared" si="27"/>
        <v>0</v>
      </c>
      <c r="BG36" s="417" t="str">
        <f t="shared" si="28"/>
        <v>NA</v>
      </c>
      <c r="BH36" s="417" t="str">
        <f t="shared" si="29"/>
        <v/>
      </c>
      <c r="BI36" s="417" t="str">
        <f t="shared" si="30"/>
        <v/>
      </c>
      <c r="BJ36" s="417" t="str">
        <f t="shared" si="31"/>
        <v/>
      </c>
      <c r="BK36" s="417" t="str">
        <f t="shared" si="32"/>
        <v/>
      </c>
      <c r="BL36" s="435" t="str">
        <f t="shared" si="33"/>
        <v/>
      </c>
      <c r="BM36" s="417" t="str">
        <f t="shared" si="34"/>
        <v/>
      </c>
      <c r="BN36" s="417" t="str">
        <f t="shared" si="35"/>
        <v/>
      </c>
      <c r="BO36" s="434" t="s">
        <v>240</v>
      </c>
      <c r="BP36" s="438"/>
      <c r="BQ36" s="438"/>
      <c r="BR36" s="438"/>
      <c r="BS36" s="438"/>
      <c r="BT36" s="438"/>
      <c r="BU36" s="438"/>
    </row>
    <row r="37" spans="2:73 1271:1271" s="416" customFormat="1" ht="12.95" customHeight="1" x14ac:dyDescent="0.25">
      <c r="B37" s="433" t="str">
        <f>IF(ISNA(Z37),"",IF(OR(Z37=1,Z37=2),"    ",MAX($B$11:B36)+1))</f>
        <v/>
      </c>
      <c r="C37" s="1618" t="str">
        <f t="shared" si="0"/>
        <v/>
      </c>
      <c r="D37" s="1618"/>
      <c r="E37" s="1618"/>
      <c r="F37" s="1619"/>
      <c r="G37" s="437" t="str">
        <f t="shared" si="1"/>
        <v/>
      </c>
      <c r="H37" s="431" t="str">
        <f t="shared" si="2"/>
        <v/>
      </c>
      <c r="I37" s="436" t="str">
        <f t="shared" si="3"/>
        <v/>
      </c>
      <c r="J37" s="429"/>
      <c r="K37" s="428"/>
      <c r="L37" s="1612"/>
      <c r="M37" s="1613"/>
      <c r="N37" s="1613"/>
      <c r="O37" s="1613"/>
      <c r="P37" s="1613"/>
      <c r="Q37" s="1613"/>
      <c r="R37" s="1614"/>
      <c r="T37" s="401">
        <v>27</v>
      </c>
      <c r="U37" s="374" t="e">
        <v>#N/A</v>
      </c>
      <c r="V37" s="421" t="e">
        <v>#N/A</v>
      </c>
      <c r="W37" s="421" t="e">
        <v>#N/A</v>
      </c>
      <c r="X37" s="421" t="e">
        <v>#N/A</v>
      </c>
      <c r="Y37" s="421" t="e">
        <v>#N/A</v>
      </c>
      <c r="Z37" s="393" t="e">
        <v>#N/A</v>
      </c>
      <c r="AA37" s="393" t="e">
        <v>#N/A</v>
      </c>
      <c r="AB37" s="393" t="e">
        <v>#N/A</v>
      </c>
      <c r="AC37" s="421" t="e">
        <v>#N/A</v>
      </c>
      <c r="AD37" s="421" t="e">
        <v>#N/A</v>
      </c>
      <c r="AE37" s="421" t="e">
        <v>#N/A</v>
      </c>
      <c r="AF37" s="421" t="e">
        <v>#N/A</v>
      </c>
      <c r="AG37" s="421" t="e">
        <f t="shared" si="4"/>
        <v>#N/A</v>
      </c>
      <c r="AH37" s="421" t="str">
        <f t="shared" si="5"/>
        <v/>
      </c>
      <c r="AI37" s="427" t="e">
        <f>IF(NOT(OR(Z37=1,Z37=2)),IF(AQ37&gt;0,$AR$47*AQ37/SUMIF($AQ$11:$AQ$42,"&gt;0"),IF(AU37&gt;0,$AV$47*AU37/SUMIF($AU$11:$AU$42,"&gt;0"),IF(AS37&gt;0,$AT$47*AS37/SUMIF($AS$11:$AS$42,"&gt;0"),""))),IF(SUMIF(AJ38:$AJ$42,"=" &amp; AJ37,AI38:$AI$42)=0,"",SUMIF(AJ38:$AJ$42,"=" &amp; AJ37,AI38:$AI$42)))</f>
        <v>#N/A</v>
      </c>
      <c r="AJ37" s="426" t="e">
        <f t="shared" si="36"/>
        <v>#N/A</v>
      </c>
      <c r="AK37" s="421" t="str">
        <f t="shared" si="6"/>
        <v/>
      </c>
      <c r="AL37" s="393" t="str">
        <f t="shared" si="7"/>
        <v/>
      </c>
      <c r="AM37" s="393" t="str">
        <f t="shared" si="8"/>
        <v/>
      </c>
      <c r="AN37" s="393" t="str">
        <f t="shared" si="9"/>
        <v/>
      </c>
      <c r="AO37" s="393" t="e">
        <f t="shared" si="10"/>
        <v>#N/A</v>
      </c>
      <c r="AP37" s="421" t="str">
        <f t="shared" si="11"/>
        <v/>
      </c>
      <c r="AQ37" s="425">
        <f t="shared" si="12"/>
        <v>0</v>
      </c>
      <c r="AR37" s="423" t="str">
        <f t="shared" si="13"/>
        <v/>
      </c>
      <c r="AS37" s="424">
        <f t="shared" si="14"/>
        <v>0</v>
      </c>
      <c r="AT37" s="423" t="str">
        <f t="shared" si="15"/>
        <v/>
      </c>
      <c r="AU37" s="420">
        <f t="shared" si="16"/>
        <v>0</v>
      </c>
      <c r="AV37" s="422" t="str">
        <f t="shared" si="17"/>
        <v/>
      </c>
      <c r="AW37" s="420" t="b">
        <f t="shared" si="18"/>
        <v>0</v>
      </c>
      <c r="AX37" s="419" t="b">
        <f t="shared" si="19"/>
        <v>0</v>
      </c>
      <c r="AY37" s="420" t="b">
        <f t="shared" si="20"/>
        <v>0</v>
      </c>
      <c r="AZ37" s="419" t="b">
        <f t="shared" si="21"/>
        <v>0</v>
      </c>
      <c r="BA37" s="421" t="b">
        <f t="shared" si="22"/>
        <v>0</v>
      </c>
      <c r="BB37" s="421" t="b">
        <f t="shared" si="23"/>
        <v>0</v>
      </c>
      <c r="BC37" s="420" t="b">
        <f t="shared" si="24"/>
        <v>0</v>
      </c>
      <c r="BD37" s="393" t="b">
        <f t="shared" si="25"/>
        <v>0</v>
      </c>
      <c r="BE37" s="419" t="b">
        <f t="shared" si="26"/>
        <v>0</v>
      </c>
      <c r="BF37" s="418" t="b">
        <f t="shared" si="27"/>
        <v>0</v>
      </c>
      <c r="BG37" s="417" t="str">
        <f t="shared" si="28"/>
        <v>NA</v>
      </c>
      <c r="BH37" s="417" t="str">
        <f t="shared" si="29"/>
        <v/>
      </c>
      <c r="BI37" s="417" t="str">
        <f t="shared" si="30"/>
        <v/>
      </c>
      <c r="BJ37" s="417" t="str">
        <f t="shared" si="31"/>
        <v/>
      </c>
      <c r="BK37" s="417" t="str">
        <f t="shared" si="32"/>
        <v/>
      </c>
      <c r="BL37" s="435" t="str">
        <f t="shared" si="33"/>
        <v/>
      </c>
      <c r="BM37" s="417" t="str">
        <f t="shared" si="34"/>
        <v/>
      </c>
      <c r="BN37" s="417" t="str">
        <f t="shared" si="35"/>
        <v/>
      </c>
      <c r="BO37" s="1620"/>
      <c r="BP37" s="1621"/>
      <c r="BQ37" s="1621"/>
      <c r="BR37" s="1621"/>
      <c r="BS37" s="1621"/>
      <c r="BT37" s="1621"/>
      <c r="BU37" s="1622"/>
    </row>
    <row r="38" spans="2:73 1271:1271" s="416" customFormat="1" ht="12.95" customHeight="1" x14ac:dyDescent="0.25">
      <c r="B38" s="433" t="str">
        <f>IF(ISNA(Z38),"",IF(OR(Z38=1,Z38=2),"    ",MAX($B$11:B37)+1))</f>
        <v/>
      </c>
      <c r="C38" s="1618" t="str">
        <f t="shared" si="0"/>
        <v/>
      </c>
      <c r="D38" s="1618"/>
      <c r="E38" s="1618"/>
      <c r="F38" s="1619"/>
      <c r="G38" s="437" t="str">
        <f t="shared" si="1"/>
        <v/>
      </c>
      <c r="H38" s="431" t="str">
        <f t="shared" si="2"/>
        <v/>
      </c>
      <c r="I38" s="436" t="str">
        <f t="shared" si="3"/>
        <v/>
      </c>
      <c r="J38" s="429"/>
      <c r="K38" s="428"/>
      <c r="L38" s="1612"/>
      <c r="M38" s="1613"/>
      <c r="N38" s="1613"/>
      <c r="O38" s="1613"/>
      <c r="P38" s="1613"/>
      <c r="Q38" s="1613"/>
      <c r="R38" s="1614"/>
      <c r="T38" s="401">
        <v>28</v>
      </c>
      <c r="U38" s="374" t="e">
        <v>#N/A</v>
      </c>
      <c r="V38" s="421" t="e">
        <v>#N/A</v>
      </c>
      <c r="W38" s="421" t="e">
        <v>#N/A</v>
      </c>
      <c r="X38" s="421" t="e">
        <v>#N/A</v>
      </c>
      <c r="Y38" s="421" t="e">
        <v>#N/A</v>
      </c>
      <c r="Z38" s="393" t="e">
        <v>#N/A</v>
      </c>
      <c r="AA38" s="393" t="e">
        <v>#N/A</v>
      </c>
      <c r="AB38" s="393" t="e">
        <v>#N/A</v>
      </c>
      <c r="AC38" s="421" t="e">
        <v>#N/A</v>
      </c>
      <c r="AD38" s="421" t="e">
        <v>#N/A</v>
      </c>
      <c r="AE38" s="421" t="e">
        <v>#N/A</v>
      </c>
      <c r="AF38" s="421" t="e">
        <v>#N/A</v>
      </c>
      <c r="AG38" s="421" t="e">
        <f t="shared" si="4"/>
        <v>#N/A</v>
      </c>
      <c r="AH38" s="421" t="str">
        <f t="shared" si="5"/>
        <v/>
      </c>
      <c r="AI38" s="427" t="e">
        <f>IF(NOT(OR(Z38=1,Z38=2)),IF(AQ38&gt;0,$AR$47*AQ38/SUMIF($AQ$11:$AQ$42,"&gt;0"),IF(AU38&gt;0,$AV$47*AU38/SUMIF($AU$11:$AU$42,"&gt;0"),IF(AS38&gt;0,$AT$47*AS38/SUMIF($AS$11:$AS$42,"&gt;0"),""))),IF(SUMIF(AJ39:$AJ$42,"=" &amp; AJ38,AI39:$AI$42)=0,"",SUMIF(AJ39:$AJ$42,"=" &amp; AJ38,AI39:$AI$42)))</f>
        <v>#N/A</v>
      </c>
      <c r="AJ38" s="426" t="e">
        <f t="shared" si="36"/>
        <v>#N/A</v>
      </c>
      <c r="AK38" s="421" t="str">
        <f t="shared" si="6"/>
        <v/>
      </c>
      <c r="AL38" s="393" t="str">
        <f t="shared" si="7"/>
        <v/>
      </c>
      <c r="AM38" s="393" t="str">
        <f t="shared" si="8"/>
        <v/>
      </c>
      <c r="AN38" s="393" t="str">
        <f t="shared" si="9"/>
        <v/>
      </c>
      <c r="AO38" s="393" t="e">
        <f t="shared" si="10"/>
        <v>#N/A</v>
      </c>
      <c r="AP38" s="421" t="str">
        <f t="shared" si="11"/>
        <v/>
      </c>
      <c r="AQ38" s="425">
        <f t="shared" si="12"/>
        <v>0</v>
      </c>
      <c r="AR38" s="423" t="str">
        <f t="shared" si="13"/>
        <v/>
      </c>
      <c r="AS38" s="424">
        <f t="shared" si="14"/>
        <v>0</v>
      </c>
      <c r="AT38" s="423" t="str">
        <f t="shared" si="15"/>
        <v/>
      </c>
      <c r="AU38" s="420">
        <f t="shared" si="16"/>
        <v>0</v>
      </c>
      <c r="AV38" s="422" t="str">
        <f t="shared" si="17"/>
        <v/>
      </c>
      <c r="AW38" s="420" t="b">
        <f t="shared" si="18"/>
        <v>0</v>
      </c>
      <c r="AX38" s="419" t="b">
        <f t="shared" si="19"/>
        <v>0</v>
      </c>
      <c r="AY38" s="420" t="b">
        <f t="shared" si="20"/>
        <v>0</v>
      </c>
      <c r="AZ38" s="419" t="b">
        <f t="shared" si="21"/>
        <v>0</v>
      </c>
      <c r="BA38" s="421" t="b">
        <f t="shared" si="22"/>
        <v>0</v>
      </c>
      <c r="BB38" s="421" t="b">
        <f t="shared" si="23"/>
        <v>0</v>
      </c>
      <c r="BC38" s="420" t="b">
        <f t="shared" si="24"/>
        <v>0</v>
      </c>
      <c r="BD38" s="393" t="b">
        <f t="shared" si="25"/>
        <v>0</v>
      </c>
      <c r="BE38" s="419" t="b">
        <f t="shared" si="26"/>
        <v>0</v>
      </c>
      <c r="BF38" s="418" t="b">
        <f t="shared" si="27"/>
        <v>0</v>
      </c>
      <c r="BG38" s="417" t="str">
        <f t="shared" si="28"/>
        <v>NA</v>
      </c>
      <c r="BH38" s="417" t="str">
        <f t="shared" si="29"/>
        <v/>
      </c>
      <c r="BI38" s="417" t="str">
        <f t="shared" si="30"/>
        <v/>
      </c>
      <c r="BJ38" s="417" t="str">
        <f t="shared" si="31"/>
        <v/>
      </c>
      <c r="BK38" s="417" t="str">
        <f t="shared" si="32"/>
        <v/>
      </c>
      <c r="BL38" s="435" t="str">
        <f t="shared" si="33"/>
        <v/>
      </c>
      <c r="BM38" s="417" t="str">
        <f t="shared" si="34"/>
        <v/>
      </c>
      <c r="BN38" s="417" t="str">
        <f t="shared" si="35"/>
        <v/>
      </c>
      <c r="BO38" s="1623"/>
      <c r="BP38" s="1624"/>
      <c r="BQ38" s="1624"/>
      <c r="BR38" s="1624"/>
      <c r="BS38" s="1624"/>
      <c r="BT38" s="1624"/>
      <c r="BU38" s="1625"/>
    </row>
    <row r="39" spans="2:73 1271:1271" s="416" customFormat="1" ht="12.95" customHeight="1" x14ac:dyDescent="0.25">
      <c r="B39" s="433" t="str">
        <f>IF(ISNA(Z39),"",IF(OR(Z39=1,Z39=2),"    ",MAX($B$11:B38)+1))</f>
        <v/>
      </c>
      <c r="C39" s="1618" t="str">
        <f t="shared" si="0"/>
        <v/>
      </c>
      <c r="D39" s="1618"/>
      <c r="E39" s="1618"/>
      <c r="F39" s="1619"/>
      <c r="G39" s="437" t="str">
        <f t="shared" si="1"/>
        <v/>
      </c>
      <c r="H39" s="431" t="str">
        <f t="shared" si="2"/>
        <v/>
      </c>
      <c r="I39" s="436" t="str">
        <f t="shared" si="3"/>
        <v/>
      </c>
      <c r="J39" s="429"/>
      <c r="K39" s="428"/>
      <c r="L39" s="1612"/>
      <c r="M39" s="1613"/>
      <c r="N39" s="1613"/>
      <c r="O39" s="1613"/>
      <c r="P39" s="1613"/>
      <c r="Q39" s="1613"/>
      <c r="R39" s="1614"/>
      <c r="T39" s="401">
        <v>29</v>
      </c>
      <c r="U39" s="374" t="e">
        <v>#N/A</v>
      </c>
      <c r="V39" s="421" t="e">
        <v>#N/A</v>
      </c>
      <c r="W39" s="421" t="e">
        <v>#N/A</v>
      </c>
      <c r="X39" s="421" t="e">
        <v>#N/A</v>
      </c>
      <c r="Y39" s="421" t="e">
        <v>#N/A</v>
      </c>
      <c r="Z39" s="393" t="e">
        <v>#N/A</v>
      </c>
      <c r="AA39" s="393" t="e">
        <v>#N/A</v>
      </c>
      <c r="AB39" s="393" t="e">
        <v>#N/A</v>
      </c>
      <c r="AC39" s="421" t="e">
        <v>#N/A</v>
      </c>
      <c r="AD39" s="421" t="e">
        <v>#N/A</v>
      </c>
      <c r="AE39" s="421" t="e">
        <v>#N/A</v>
      </c>
      <c r="AF39" s="421" t="e">
        <v>#N/A</v>
      </c>
      <c r="AG39" s="421" t="e">
        <f t="shared" si="4"/>
        <v>#N/A</v>
      </c>
      <c r="AH39" s="421" t="str">
        <f t="shared" si="5"/>
        <v/>
      </c>
      <c r="AI39" s="427" t="e">
        <f>IF(NOT(OR(Z39=1,Z39=2)),IF(AQ39&gt;0,$AR$47*AQ39/SUMIF($AQ$11:$AQ$42,"&gt;0"),IF(AU39&gt;0,$AV$47*AU39/SUMIF($AU$11:$AU$42,"&gt;0"),IF(AS39&gt;0,$AT$47*AS39/SUMIF($AS$11:$AS$42,"&gt;0"),""))),IF(SUMIF(AJ40:$AJ$42,"=" &amp; AJ39,AI40:$AI$42)=0,"",SUMIF(AJ40:$AJ$42,"=" &amp; AJ39,AI40:$AI$42)))</f>
        <v>#N/A</v>
      </c>
      <c r="AJ39" s="426" t="e">
        <f t="shared" si="36"/>
        <v>#N/A</v>
      </c>
      <c r="AK39" s="421" t="str">
        <f t="shared" si="6"/>
        <v/>
      </c>
      <c r="AL39" s="393" t="str">
        <f t="shared" si="7"/>
        <v/>
      </c>
      <c r="AM39" s="393" t="str">
        <f t="shared" si="8"/>
        <v/>
      </c>
      <c r="AN39" s="393" t="str">
        <f t="shared" si="9"/>
        <v/>
      </c>
      <c r="AO39" s="393" t="e">
        <f t="shared" si="10"/>
        <v>#N/A</v>
      </c>
      <c r="AP39" s="421" t="str">
        <f t="shared" si="11"/>
        <v/>
      </c>
      <c r="AQ39" s="425">
        <f t="shared" si="12"/>
        <v>0</v>
      </c>
      <c r="AR39" s="423" t="str">
        <f t="shared" si="13"/>
        <v/>
      </c>
      <c r="AS39" s="424">
        <f t="shared" si="14"/>
        <v>0</v>
      </c>
      <c r="AT39" s="423" t="str">
        <f t="shared" si="15"/>
        <v/>
      </c>
      <c r="AU39" s="420">
        <f t="shared" si="16"/>
        <v>0</v>
      </c>
      <c r="AV39" s="422" t="str">
        <f t="shared" si="17"/>
        <v/>
      </c>
      <c r="AW39" s="420" t="b">
        <f t="shared" si="18"/>
        <v>0</v>
      </c>
      <c r="AX39" s="419" t="b">
        <f t="shared" si="19"/>
        <v>0</v>
      </c>
      <c r="AY39" s="420" t="b">
        <f t="shared" si="20"/>
        <v>0</v>
      </c>
      <c r="AZ39" s="419" t="b">
        <f t="shared" si="21"/>
        <v>0</v>
      </c>
      <c r="BA39" s="421" t="b">
        <f t="shared" si="22"/>
        <v>0</v>
      </c>
      <c r="BB39" s="421" t="b">
        <f t="shared" si="23"/>
        <v>0</v>
      </c>
      <c r="BC39" s="420" t="b">
        <f t="shared" si="24"/>
        <v>0</v>
      </c>
      <c r="BD39" s="393" t="b">
        <f t="shared" si="25"/>
        <v>0</v>
      </c>
      <c r="BE39" s="419" t="b">
        <f t="shared" si="26"/>
        <v>0</v>
      </c>
      <c r="BF39" s="418" t="b">
        <f t="shared" si="27"/>
        <v>0</v>
      </c>
      <c r="BG39" s="417" t="str">
        <f t="shared" si="28"/>
        <v>NA</v>
      </c>
      <c r="BH39" s="417" t="str">
        <f t="shared" si="29"/>
        <v/>
      </c>
      <c r="BI39" s="417" t="str">
        <f t="shared" si="30"/>
        <v/>
      </c>
      <c r="BJ39" s="417" t="str">
        <f t="shared" si="31"/>
        <v/>
      </c>
      <c r="BK39" s="417" t="str">
        <f t="shared" si="32"/>
        <v/>
      </c>
      <c r="BL39" s="435" t="str">
        <f t="shared" si="33"/>
        <v/>
      </c>
      <c r="BM39" s="417" t="str">
        <f t="shared" si="34"/>
        <v/>
      </c>
      <c r="BN39" s="417" t="str">
        <f t="shared" si="35"/>
        <v/>
      </c>
      <c r="BO39" s="1623"/>
      <c r="BP39" s="1624"/>
      <c r="BQ39" s="1624"/>
      <c r="BR39" s="1624"/>
      <c r="BS39" s="1624"/>
      <c r="BT39" s="1624"/>
      <c r="BU39" s="1625"/>
    </row>
    <row r="40" spans="2:73 1271:1271" s="416" customFormat="1" ht="12.95" customHeight="1" x14ac:dyDescent="0.25">
      <c r="B40" s="433" t="str">
        <f>IF(ISNA(Z40),"",IF(OR(Z40=1,Z40=2),"    ",MAX($B$11:B39)+1))</f>
        <v/>
      </c>
      <c r="C40" s="1618" t="str">
        <f t="shared" si="0"/>
        <v/>
      </c>
      <c r="D40" s="1618"/>
      <c r="E40" s="1618"/>
      <c r="F40" s="1619"/>
      <c r="G40" s="437" t="str">
        <f t="shared" si="1"/>
        <v/>
      </c>
      <c r="H40" s="431" t="str">
        <f t="shared" si="2"/>
        <v/>
      </c>
      <c r="I40" s="436" t="str">
        <f t="shared" si="3"/>
        <v/>
      </c>
      <c r="J40" s="429"/>
      <c r="K40" s="428"/>
      <c r="L40" s="1612"/>
      <c r="M40" s="1613"/>
      <c r="N40" s="1613"/>
      <c r="O40" s="1613"/>
      <c r="P40" s="1613"/>
      <c r="Q40" s="1613"/>
      <c r="R40" s="1614"/>
      <c r="T40" s="401">
        <v>30</v>
      </c>
      <c r="U40" s="374" t="e">
        <v>#N/A</v>
      </c>
      <c r="V40" s="421" t="e">
        <v>#N/A</v>
      </c>
      <c r="W40" s="421" t="e">
        <v>#N/A</v>
      </c>
      <c r="X40" s="421" t="e">
        <v>#N/A</v>
      </c>
      <c r="Y40" s="421" t="e">
        <v>#N/A</v>
      </c>
      <c r="Z40" s="393" t="e">
        <v>#N/A</v>
      </c>
      <c r="AA40" s="393" t="e">
        <v>#N/A</v>
      </c>
      <c r="AB40" s="393" t="e">
        <v>#N/A</v>
      </c>
      <c r="AC40" s="421" t="e">
        <v>#N/A</v>
      </c>
      <c r="AD40" s="421" t="e">
        <v>#N/A</v>
      </c>
      <c r="AE40" s="421" t="e">
        <v>#N/A</v>
      </c>
      <c r="AF40" s="421" t="e">
        <v>#N/A</v>
      </c>
      <c r="AG40" s="421" t="e">
        <f t="shared" si="4"/>
        <v>#N/A</v>
      </c>
      <c r="AH40" s="421" t="str">
        <f t="shared" si="5"/>
        <v/>
      </c>
      <c r="AI40" s="427" t="e">
        <f>IF(NOT(OR(Z40=1,Z40=2)),IF(AQ40&gt;0,$AR$47*AQ40/SUMIF($AQ$11:$AQ$42,"&gt;0"),IF(AU40&gt;0,$AV$47*AU40/SUMIF($AU$11:$AU$42,"&gt;0"),IF(AS40&gt;0,$AT$47*AS40/SUMIF($AS$11:$AS$42,"&gt;0"),""))),IF(SUMIF(AJ41:$AJ$42,"=" &amp; AJ40,AI41:$AI$42)=0,"",SUMIF(AJ41:$AJ$42,"=" &amp; AJ40,AI41:$AI$42)))</f>
        <v>#N/A</v>
      </c>
      <c r="AJ40" s="426" t="e">
        <f t="shared" si="36"/>
        <v>#N/A</v>
      </c>
      <c r="AK40" s="421" t="str">
        <f t="shared" si="6"/>
        <v/>
      </c>
      <c r="AL40" s="393" t="str">
        <f t="shared" si="7"/>
        <v/>
      </c>
      <c r="AM40" s="393" t="str">
        <f t="shared" si="8"/>
        <v/>
      </c>
      <c r="AN40" s="393" t="str">
        <f t="shared" si="9"/>
        <v/>
      </c>
      <c r="AO40" s="393" t="e">
        <f t="shared" si="10"/>
        <v>#N/A</v>
      </c>
      <c r="AP40" s="421" t="str">
        <f t="shared" si="11"/>
        <v/>
      </c>
      <c r="AQ40" s="425">
        <f t="shared" si="12"/>
        <v>0</v>
      </c>
      <c r="AR40" s="423" t="str">
        <f t="shared" si="13"/>
        <v/>
      </c>
      <c r="AS40" s="424">
        <f t="shared" si="14"/>
        <v>0</v>
      </c>
      <c r="AT40" s="423" t="str">
        <f t="shared" si="15"/>
        <v/>
      </c>
      <c r="AU40" s="420">
        <f t="shared" si="16"/>
        <v>0</v>
      </c>
      <c r="AV40" s="422" t="str">
        <f t="shared" si="17"/>
        <v/>
      </c>
      <c r="AW40" s="420" t="b">
        <f t="shared" si="18"/>
        <v>0</v>
      </c>
      <c r="AX40" s="419" t="b">
        <f t="shared" si="19"/>
        <v>0</v>
      </c>
      <c r="AY40" s="420" t="b">
        <f t="shared" si="20"/>
        <v>0</v>
      </c>
      <c r="AZ40" s="419" t="b">
        <f t="shared" si="21"/>
        <v>0</v>
      </c>
      <c r="BA40" s="421" t="b">
        <f t="shared" si="22"/>
        <v>0</v>
      </c>
      <c r="BB40" s="421" t="b">
        <f t="shared" si="23"/>
        <v>0</v>
      </c>
      <c r="BC40" s="420" t="b">
        <f t="shared" si="24"/>
        <v>0</v>
      </c>
      <c r="BD40" s="393" t="b">
        <f t="shared" si="25"/>
        <v>0</v>
      </c>
      <c r="BE40" s="419" t="b">
        <f t="shared" si="26"/>
        <v>0</v>
      </c>
      <c r="BF40" s="418" t="b">
        <f t="shared" si="27"/>
        <v>0</v>
      </c>
      <c r="BG40" s="417" t="str">
        <f t="shared" si="28"/>
        <v>NA</v>
      </c>
      <c r="BH40" s="417" t="str">
        <f t="shared" si="29"/>
        <v/>
      </c>
      <c r="BI40" s="417" t="str">
        <f t="shared" si="30"/>
        <v/>
      </c>
      <c r="BJ40" s="417" t="str">
        <f t="shared" si="31"/>
        <v/>
      </c>
      <c r="BK40" s="417" t="str">
        <f t="shared" si="32"/>
        <v/>
      </c>
      <c r="BL40" s="435" t="str">
        <f t="shared" si="33"/>
        <v/>
      </c>
      <c r="BM40" s="417" t="str">
        <f t="shared" si="34"/>
        <v/>
      </c>
      <c r="BN40" s="417" t="str">
        <f t="shared" si="35"/>
        <v/>
      </c>
      <c r="BO40" s="1626"/>
      <c r="BP40" s="1627"/>
      <c r="BQ40" s="1627"/>
      <c r="BR40" s="1627"/>
      <c r="BS40" s="1627"/>
      <c r="BT40" s="1627"/>
      <c r="BU40" s="1628"/>
    </row>
    <row r="41" spans="2:73 1271:1271" s="416" customFormat="1" ht="12.95" customHeight="1" x14ac:dyDescent="0.25">
      <c r="B41" s="433" t="str">
        <f>IF(ISNA(Z41),"",IF(OR(Z41=1,Z41=2),"    ",MAX($B$11:B40)+1))</f>
        <v/>
      </c>
      <c r="C41" s="1618" t="str">
        <f t="shared" si="0"/>
        <v/>
      </c>
      <c r="D41" s="1618"/>
      <c r="E41" s="1618"/>
      <c r="F41" s="1619"/>
      <c r="G41" s="437" t="str">
        <f t="shared" si="1"/>
        <v/>
      </c>
      <c r="H41" s="431" t="str">
        <f t="shared" si="2"/>
        <v/>
      </c>
      <c r="I41" s="436" t="str">
        <f t="shared" si="3"/>
        <v/>
      </c>
      <c r="J41" s="429"/>
      <c r="K41" s="428"/>
      <c r="L41" s="1612"/>
      <c r="M41" s="1613"/>
      <c r="N41" s="1613"/>
      <c r="O41" s="1613"/>
      <c r="P41" s="1613"/>
      <c r="Q41" s="1613"/>
      <c r="R41" s="1614"/>
      <c r="T41" s="401">
        <v>31</v>
      </c>
      <c r="U41" s="374" t="e">
        <v>#N/A</v>
      </c>
      <c r="V41" s="421" t="e">
        <v>#N/A</v>
      </c>
      <c r="W41" s="421" t="e">
        <v>#N/A</v>
      </c>
      <c r="X41" s="421" t="e">
        <v>#N/A</v>
      </c>
      <c r="Y41" s="421" t="e">
        <v>#N/A</v>
      </c>
      <c r="Z41" s="393" t="e">
        <v>#N/A</v>
      </c>
      <c r="AA41" s="393" t="e">
        <v>#N/A</v>
      </c>
      <c r="AB41" s="393" t="e">
        <v>#N/A</v>
      </c>
      <c r="AC41" s="421" t="e">
        <v>#N/A</v>
      </c>
      <c r="AD41" s="421" t="e">
        <v>#N/A</v>
      </c>
      <c r="AE41" s="421" t="e">
        <v>#N/A</v>
      </c>
      <c r="AF41" s="421" t="e">
        <v>#N/A</v>
      </c>
      <c r="AG41" s="421" t="e">
        <f t="shared" si="4"/>
        <v>#N/A</v>
      </c>
      <c r="AH41" s="421" t="str">
        <f t="shared" si="5"/>
        <v/>
      </c>
      <c r="AI41" s="427" t="e">
        <f>IF(NOT(OR(Z41=1,Z41=2)),IF(AQ41&gt;0,$AR$47*AQ41/SUMIF($AQ$11:$AQ$42,"&gt;0"),IF(AU41&gt;0,$AV$47*AU41/SUMIF($AU$11:$AU$42,"&gt;0"),IF(AS41&gt;0,$AT$47*AS41/SUMIF($AS$11:$AS$42,"&gt;0"),""))),IF(SUMIF(AJ42:$AJ$42,"=" &amp; AJ41,AI42:$AI$42)=0,"",SUMIF(AJ42:$AJ$42,"=" &amp; AJ41,AI42:$AI$42)))</f>
        <v>#N/A</v>
      </c>
      <c r="AJ41" s="426" t="e">
        <f t="shared" si="36"/>
        <v>#N/A</v>
      </c>
      <c r="AK41" s="421" t="str">
        <f t="shared" si="6"/>
        <v/>
      </c>
      <c r="AL41" s="393" t="str">
        <f t="shared" si="7"/>
        <v/>
      </c>
      <c r="AM41" s="393" t="str">
        <f t="shared" si="8"/>
        <v/>
      </c>
      <c r="AN41" s="393" t="str">
        <f t="shared" si="9"/>
        <v/>
      </c>
      <c r="AO41" s="393" t="e">
        <f t="shared" si="10"/>
        <v>#N/A</v>
      </c>
      <c r="AP41" s="421" t="str">
        <f t="shared" si="11"/>
        <v/>
      </c>
      <c r="AQ41" s="425">
        <f t="shared" si="12"/>
        <v>0</v>
      </c>
      <c r="AR41" s="423" t="str">
        <f t="shared" si="13"/>
        <v/>
      </c>
      <c r="AS41" s="424">
        <f t="shared" si="14"/>
        <v>0</v>
      </c>
      <c r="AT41" s="423" t="str">
        <f t="shared" si="15"/>
        <v/>
      </c>
      <c r="AU41" s="420">
        <f t="shared" si="16"/>
        <v>0</v>
      </c>
      <c r="AV41" s="422" t="str">
        <f t="shared" si="17"/>
        <v/>
      </c>
      <c r="AW41" s="420" t="b">
        <f t="shared" si="18"/>
        <v>0</v>
      </c>
      <c r="AX41" s="419" t="b">
        <f t="shared" si="19"/>
        <v>0</v>
      </c>
      <c r="AY41" s="420" t="b">
        <f t="shared" si="20"/>
        <v>0</v>
      </c>
      <c r="AZ41" s="419" t="b">
        <f t="shared" si="21"/>
        <v>0</v>
      </c>
      <c r="BA41" s="421" t="b">
        <f t="shared" si="22"/>
        <v>0</v>
      </c>
      <c r="BB41" s="421" t="b">
        <f t="shared" si="23"/>
        <v>0</v>
      </c>
      <c r="BC41" s="420" t="b">
        <f t="shared" si="24"/>
        <v>0</v>
      </c>
      <c r="BD41" s="393" t="b">
        <f t="shared" si="25"/>
        <v>0</v>
      </c>
      <c r="BE41" s="419" t="b">
        <f t="shared" si="26"/>
        <v>0</v>
      </c>
      <c r="BF41" s="418" t="b">
        <f t="shared" si="27"/>
        <v>0</v>
      </c>
      <c r="BG41" s="417" t="str">
        <f t="shared" si="28"/>
        <v>NA</v>
      </c>
      <c r="BH41" s="417" t="str">
        <f t="shared" si="29"/>
        <v/>
      </c>
      <c r="BI41" s="417" t="str">
        <f t="shared" si="30"/>
        <v/>
      </c>
      <c r="BJ41" s="417" t="str">
        <f t="shared" si="31"/>
        <v/>
      </c>
      <c r="BK41" s="417" t="str">
        <f t="shared" si="32"/>
        <v/>
      </c>
      <c r="BL41" s="435" t="str">
        <f t="shared" si="33"/>
        <v/>
      </c>
      <c r="BM41" s="417" t="str">
        <f t="shared" si="34"/>
        <v/>
      </c>
      <c r="BN41" s="417" t="str">
        <f t="shared" si="35"/>
        <v/>
      </c>
      <c r="BO41" s="434" t="s">
        <v>241</v>
      </c>
      <c r="BP41" s="434"/>
      <c r="BQ41" s="434"/>
      <c r="BR41" s="434"/>
      <c r="BS41" s="434"/>
      <c r="BT41" s="434"/>
      <c r="BU41" s="434"/>
    </row>
    <row r="42" spans="2:73 1271:1271" s="416" customFormat="1" ht="12.95" customHeight="1" thickBot="1" x14ac:dyDescent="0.3">
      <c r="B42" s="433" t="str">
        <f>IF(ISNA(Z42),"",IF(OR(Z42=1,Z42=2),"    ",MAX($B$11:B41)+1))</f>
        <v/>
      </c>
      <c r="C42" s="1618" t="str">
        <f t="shared" si="0"/>
        <v/>
      </c>
      <c r="D42" s="1618"/>
      <c r="E42" s="1618"/>
      <c r="F42" s="1619"/>
      <c r="G42" s="432" t="str">
        <f t="shared" si="1"/>
        <v/>
      </c>
      <c r="H42" s="431" t="str">
        <f t="shared" si="2"/>
        <v/>
      </c>
      <c r="I42" s="430" t="str">
        <f t="shared" si="3"/>
        <v/>
      </c>
      <c r="J42" s="429"/>
      <c r="K42" s="428"/>
      <c r="L42" s="1615"/>
      <c r="M42" s="1616"/>
      <c r="N42" s="1616"/>
      <c r="O42" s="1616"/>
      <c r="P42" s="1616"/>
      <c r="Q42" s="1616"/>
      <c r="R42" s="1617"/>
      <c r="T42" s="401">
        <v>32</v>
      </c>
      <c r="U42" s="374" t="e">
        <v>#N/A</v>
      </c>
      <c r="V42" s="421" t="e">
        <v>#N/A</v>
      </c>
      <c r="W42" s="421" t="e">
        <v>#N/A</v>
      </c>
      <c r="X42" s="421" t="e">
        <v>#N/A</v>
      </c>
      <c r="Y42" s="421" t="e">
        <v>#N/A</v>
      </c>
      <c r="Z42" s="393" t="e">
        <v>#N/A</v>
      </c>
      <c r="AA42" s="393" t="e">
        <v>#N/A</v>
      </c>
      <c r="AB42" s="393" t="e">
        <v>#N/A</v>
      </c>
      <c r="AC42" s="421" t="e">
        <v>#N/A</v>
      </c>
      <c r="AD42" s="421" t="e">
        <v>#N/A</v>
      </c>
      <c r="AE42" s="421" t="e">
        <v>#N/A</v>
      </c>
      <c r="AF42" s="421" t="e">
        <v>#N/A</v>
      </c>
      <c r="AG42" s="421" t="e">
        <f t="shared" si="4"/>
        <v>#N/A</v>
      </c>
      <c r="AH42" s="421" t="str">
        <f t="shared" si="5"/>
        <v/>
      </c>
      <c r="AI42" s="427" t="e">
        <f>IF(NOT(OR(Z42=1,Z42=2)),IF(AQ42&gt;0,$AR$47*AQ42/SUMIF($AQ$11:$AQ$42,"&gt;0"),IF(AU42&gt;0,$AV$47*AU42/SUMIF($AU$11:$AU$42,"&gt;0"),IF(AS42&gt;0,$AT$47*AS42/SUMIF($AS$11:$AS$42,"&gt;0"),""))),IF(SUMIF(AJ$42:$AJ43,"=" &amp; AJ42,AI$42:$AI43)=0,"",SUMIF(AJ$42:$AJ43,"=" &amp; AJ42,AI$42:$AI43)))</f>
        <v>#N/A</v>
      </c>
      <c r="AJ42" s="426" t="e">
        <f t="shared" si="36"/>
        <v>#N/A</v>
      </c>
      <c r="AK42" s="421" t="str">
        <f t="shared" si="6"/>
        <v/>
      </c>
      <c r="AL42" s="393" t="str">
        <f t="shared" si="7"/>
        <v/>
      </c>
      <c r="AM42" s="393" t="str">
        <f t="shared" si="8"/>
        <v/>
      </c>
      <c r="AN42" s="393" t="str">
        <f t="shared" si="9"/>
        <v/>
      </c>
      <c r="AO42" s="393" t="e">
        <f t="shared" si="10"/>
        <v>#N/A</v>
      </c>
      <c r="AP42" s="421" t="str">
        <f t="shared" si="11"/>
        <v/>
      </c>
      <c r="AQ42" s="425">
        <f t="shared" si="12"/>
        <v>0</v>
      </c>
      <c r="AR42" s="423" t="str">
        <f t="shared" si="13"/>
        <v/>
      </c>
      <c r="AS42" s="424">
        <f t="shared" si="14"/>
        <v>0</v>
      </c>
      <c r="AT42" s="423" t="str">
        <f t="shared" si="15"/>
        <v/>
      </c>
      <c r="AU42" s="420">
        <f t="shared" si="16"/>
        <v>0</v>
      </c>
      <c r="AV42" s="422" t="str">
        <f t="shared" si="17"/>
        <v/>
      </c>
      <c r="AW42" s="420" t="b">
        <f t="shared" si="18"/>
        <v>0</v>
      </c>
      <c r="AX42" s="419" t="b">
        <f t="shared" si="19"/>
        <v>0</v>
      </c>
      <c r="AY42" s="420" t="b">
        <f t="shared" si="20"/>
        <v>0</v>
      </c>
      <c r="AZ42" s="419" t="b">
        <f t="shared" si="21"/>
        <v>0</v>
      </c>
      <c r="BA42" s="421" t="b">
        <f t="shared" si="22"/>
        <v>0</v>
      </c>
      <c r="BB42" s="421" t="b">
        <f t="shared" si="23"/>
        <v>0</v>
      </c>
      <c r="BC42" s="420" t="b">
        <f t="shared" si="24"/>
        <v>0</v>
      </c>
      <c r="BD42" s="393" t="b">
        <f t="shared" si="25"/>
        <v>0</v>
      </c>
      <c r="BE42" s="419" t="b">
        <f t="shared" si="26"/>
        <v>0</v>
      </c>
      <c r="BF42" s="418" t="b">
        <f t="shared" si="27"/>
        <v>0</v>
      </c>
      <c r="BG42" s="417" t="str">
        <f t="shared" si="28"/>
        <v>NA</v>
      </c>
      <c r="BH42" s="417" t="str">
        <f t="shared" si="29"/>
        <v/>
      </c>
      <c r="BI42" s="417" t="str">
        <f t="shared" si="30"/>
        <v/>
      </c>
      <c r="BJ42" s="417" t="str">
        <f t="shared" si="31"/>
        <v/>
      </c>
      <c r="BK42" s="417" t="str">
        <f t="shared" si="32"/>
        <v/>
      </c>
      <c r="BL42" s="417" t="str">
        <f t="shared" si="33"/>
        <v/>
      </c>
      <c r="BM42" s="417" t="str">
        <f t="shared" si="34"/>
        <v/>
      </c>
      <c r="BN42" s="417" t="str">
        <f t="shared" si="35"/>
        <v/>
      </c>
      <c r="BO42" s="1620"/>
      <c r="BP42" s="1621"/>
      <c r="BQ42" s="1621"/>
      <c r="BR42" s="1621"/>
      <c r="BS42" s="1621"/>
      <c r="BT42" s="1621"/>
      <c r="BU42" s="1622"/>
    </row>
    <row r="43" spans="2:73 1271:1271" s="406" customFormat="1" ht="8.25" customHeight="1" x14ac:dyDescent="0.25">
      <c r="B43" s="1639" t="s">
        <v>242</v>
      </c>
      <c r="C43" s="1640"/>
      <c r="D43" s="1641"/>
      <c r="E43" s="415" t="s">
        <v>243</v>
      </c>
      <c r="F43" s="1642" t="s">
        <v>244</v>
      </c>
      <c r="G43" s="1643"/>
      <c r="H43" s="1643" t="s">
        <v>245</v>
      </c>
      <c r="I43" s="1643"/>
      <c r="J43" s="1647" t="s">
        <v>246</v>
      </c>
      <c r="K43" s="1648"/>
      <c r="L43" s="414" t="s">
        <v>247</v>
      </c>
      <c r="M43" s="1631" t="s">
        <v>248</v>
      </c>
      <c r="N43" s="1631"/>
      <c r="O43" s="1632" t="str">
        <f>IF(U47,"DO REVIEW","DO REV N/A")</f>
        <v>DO REV N/A</v>
      </c>
      <c r="P43" s="1633"/>
      <c r="Q43" s="413" t="str">
        <f>IF(U48,"ED REVIEW","ED REV N/A")</f>
        <v>ED REVIEW</v>
      </c>
      <c r="R43" s="412"/>
      <c r="S43" s="411">
        <v>0</v>
      </c>
      <c r="AI43" s="410"/>
      <c r="AJ43" s="407"/>
      <c r="AK43" s="407"/>
      <c r="AL43" s="407"/>
      <c r="AM43" s="407"/>
      <c r="AN43" s="407"/>
      <c r="AO43" s="373"/>
      <c r="AP43" s="407"/>
      <c r="AQ43" s="409"/>
      <c r="AR43" s="407"/>
      <c r="AS43" s="409"/>
      <c r="AT43" s="407"/>
      <c r="AU43" s="409"/>
      <c r="AV43" s="408"/>
      <c r="AW43" s="407"/>
      <c r="AX43" s="407"/>
      <c r="AY43" s="407"/>
      <c r="AZ43" s="407"/>
      <c r="BA43" s="407"/>
      <c r="BB43" s="407"/>
      <c r="BC43" s="407"/>
      <c r="BD43" s="407"/>
      <c r="BE43" s="407"/>
      <c r="BF43" s="407"/>
      <c r="BG43" s="407"/>
      <c r="BH43" s="373"/>
      <c r="BI43" s="373"/>
      <c r="BJ43" s="373"/>
      <c r="BK43" s="373"/>
      <c r="BL43" s="373"/>
      <c r="BM43" s="373"/>
      <c r="BN43" s="373"/>
      <c r="BO43" s="1623"/>
      <c r="BP43" s="1624"/>
      <c r="BQ43" s="1624"/>
      <c r="BR43" s="1624"/>
      <c r="BS43" s="1624"/>
      <c r="BT43" s="1624"/>
      <c r="BU43" s="1625"/>
    </row>
    <row r="44" spans="2:73 1271:1271" ht="18.75" customHeight="1" thickBot="1" x14ac:dyDescent="0.3">
      <c r="B44" s="1634" t="str">
        <f>IF(ISERROR(AR49),"",TEXT(AR48,"0.0%"))</f>
        <v>0.0%</v>
      </c>
      <c r="C44" s="1635"/>
      <c r="D44" s="1636"/>
      <c r="E44" s="405" t="str">
        <f>IF(AU44=0,"N/A",CONCATENATE(TEXT(AV48,"0.0%")," of ",TEXT(AV47,"0.0%")))</f>
        <v>N/A</v>
      </c>
      <c r="F44" s="1637" t="str">
        <f>IF((graded_aca_events+graded_amn_events)&lt;1,"---",IF(AND(AW7,AX7),"INCOMPLETE",IF(AND(NOT(AW7),AX7),"ACA INC",IF(AND(AW7,NOT(AX7)),"AMN INC","COMPLETE"))))</f>
        <v>---</v>
      </c>
      <c r="G44" s="1637"/>
      <c r="H44" s="1637" t="str">
        <f>IF(AU7,IF(OR(AY7="UNK",NOT(AN9)),"---",IF(AY7,"UNSAT",IF(AVERAGEIFS(AT11:AT42,AS11:AS42,"&gt;0")&lt;0.9,"MARG","SAT"))),"N/A")</f>
        <v>N/A</v>
      </c>
      <c r="I44" s="1637"/>
      <c r="J44" s="1649" t="str">
        <f>IF(OR(AZ7="UNK",NOT(AM9)),"---",IF(OR(AZ7,AR48&lt;0.7),"FAIL","PASS"))</f>
        <v>---</v>
      </c>
      <c r="K44" s="1650"/>
      <c r="L44" s="404"/>
      <c r="M44" s="1651"/>
      <c r="N44" s="1651"/>
      <c r="O44" s="1644" t="s">
        <v>139</v>
      </c>
      <c r="P44" s="1644"/>
      <c r="Q44" s="1644" t="s">
        <v>139</v>
      </c>
      <c r="R44" s="1645"/>
      <c r="S44" s="403"/>
      <c r="T44" s="401" t="s">
        <v>249</v>
      </c>
      <c r="U44" s="393" t="s">
        <v>250</v>
      </c>
      <c r="V44" s="396"/>
      <c r="W44" s="396"/>
      <c r="X44" s="396"/>
      <c r="Y44" s="396"/>
      <c r="Z44" s="396"/>
      <c r="AA44" s="396"/>
      <c r="AB44" s="396"/>
      <c r="AC44" s="396"/>
      <c r="AD44" s="396"/>
      <c r="AE44" s="396"/>
      <c r="AF44" s="396"/>
      <c r="AG44" s="396"/>
      <c r="AH44" s="396"/>
      <c r="AI44" s="402"/>
      <c r="AJ44" s="378"/>
      <c r="AK44" s="396"/>
      <c r="AL44" s="396"/>
      <c r="AM44" s="396">
        <f>SUM(AM11:AM42)</f>
        <v>0</v>
      </c>
      <c r="AN44" s="396">
        <f>SUM(AN11:AN42)</f>
        <v>0</v>
      </c>
      <c r="AO44" s="401"/>
      <c r="AP44" s="378"/>
      <c r="AQ44" s="400">
        <f>SUMIF(AQ11:AQ42,"&gt;0")</f>
        <v>33.333332260000006</v>
      </c>
      <c r="AR44" s="395">
        <f>IF(AQ44=0,0,SUMPRODUCT($AQ$11:$AQ$42,AR11:AR42)/SUM($AQ$11:$AQ$42))</f>
        <v>0</v>
      </c>
      <c r="AS44" s="399">
        <f>SUMIF(AS11:AS42,"&gt;0")</f>
        <v>0</v>
      </c>
      <c r="AT44" s="395">
        <f>IF(AS44=0,0,SUMPRODUCT($AS$11:$AS$42,AT11:AT42)/SUM($AS$11:$AS$42))</f>
        <v>0</v>
      </c>
      <c r="AU44" s="399">
        <f>SUM(AU12:AU42)</f>
        <v>0</v>
      </c>
      <c r="AV44" s="395">
        <f>IF(AU44=0,0,SUMPRODUCT($AU$11:$AU$42,AV11:AV42)/SUM($AU$11:$AU$42))</f>
        <v>0</v>
      </c>
      <c r="AW44" s="398"/>
      <c r="AX44" s="398"/>
      <c r="AY44" s="398"/>
      <c r="AZ44" s="398"/>
      <c r="BA44" s="398"/>
      <c r="BB44" s="398"/>
      <c r="BC44" s="374" t="s">
        <v>251</v>
      </c>
      <c r="BD44" s="374" t="s">
        <v>252</v>
      </c>
      <c r="BE44" s="374" t="s">
        <v>253</v>
      </c>
      <c r="BF44" s="374"/>
      <c r="BG44" s="373"/>
      <c r="BO44" s="1623"/>
      <c r="BP44" s="1624"/>
      <c r="BQ44" s="1624"/>
      <c r="BR44" s="1624"/>
      <c r="BS44" s="1624"/>
      <c r="BT44" s="1624"/>
      <c r="BU44" s="1625"/>
      <c r="AVW44" s="397"/>
    </row>
    <row r="45" spans="2:73 1271:1271" ht="7.5" customHeight="1" thickTop="1" x14ac:dyDescent="0.25">
      <c r="L45" s="1646" t="s">
        <v>630</v>
      </c>
      <c r="M45" s="1646"/>
      <c r="N45" s="1646"/>
      <c r="O45" s="1646"/>
      <c r="P45" s="1646"/>
      <c r="Q45" s="1646"/>
      <c r="R45" s="1646"/>
      <c r="AP45" s="396"/>
      <c r="AQ45" s="378"/>
      <c r="AR45" s="378"/>
      <c r="AT45" s="395"/>
      <c r="AU45" s="395"/>
      <c r="AV45" s="395"/>
      <c r="AW45" s="378"/>
      <c r="AX45" s="395"/>
      <c r="BE45" s="374"/>
      <c r="BF45" s="374"/>
      <c r="BO45" s="1626"/>
      <c r="BP45" s="1627"/>
      <c r="BQ45" s="1627"/>
      <c r="BR45" s="1627"/>
      <c r="BS45" s="1627"/>
      <c r="BT45" s="1627"/>
      <c r="BU45" s="1628"/>
    </row>
    <row r="46" spans="2:73 1271:1271" ht="30.75" customHeight="1" x14ac:dyDescent="0.25">
      <c r="T46" s="394" t="s">
        <v>254</v>
      </c>
      <c r="U46" s="393" t="b">
        <v>0</v>
      </c>
      <c r="AI46" s="375">
        <f ca="1">SUMIF(AJ11:$AJ$42,"=" &amp; AJ11,AI12:$AI$42)</f>
        <v>0.69999999153999959</v>
      </c>
      <c r="AK46" s="373"/>
      <c r="AL46" s="373"/>
      <c r="AM46" s="373"/>
      <c r="AN46" s="373"/>
      <c r="AO46" s="392"/>
      <c r="AQ46" s="373"/>
      <c r="AR46" s="373"/>
      <c r="AS46" s="385" t="s">
        <v>255</v>
      </c>
      <c r="AT46" s="387">
        <f>SUMIF(X11:X42,"&gt;0")/SUMIF(W11:W42,"&gt;0")</f>
        <v>0</v>
      </c>
      <c r="AU46" s="385" t="s">
        <v>256</v>
      </c>
      <c r="AV46" s="391">
        <f>SUMIF(AU11:AU42,"&gt;0")/SUMIF(AQ11:AQ42,"&gt;0")</f>
        <v>0</v>
      </c>
      <c r="AW46" s="390"/>
      <c r="AY46" s="373"/>
      <c r="AZ46" s="373"/>
      <c r="BE46" s="374" t="b">
        <f>AND(ISBLANK($K33),J33&gt;0)</f>
        <v>0</v>
      </c>
      <c r="BF46" s="374"/>
      <c r="BH46" s="374"/>
      <c r="BO46" s="373"/>
      <c r="BP46" s="373"/>
      <c r="BQ46" s="372"/>
    </row>
    <row r="47" spans="2:73 1271:1271" ht="30.75" customHeight="1" x14ac:dyDescent="0.25">
      <c r="J47" s="389"/>
      <c r="T47" s="381" t="s">
        <v>257</v>
      </c>
      <c r="U47" s="374" t="b">
        <f>IF(AND(Flight?,OR(AW7,AY7,BA7,AZ7,AR48&lt;0.7,H44="MARG")),TRUE,FALSE)</f>
        <v>0</v>
      </c>
      <c r="AK47" s="373"/>
      <c r="AL47" s="373"/>
      <c r="AM47" s="373"/>
      <c r="AN47" s="373"/>
      <c r="AO47" s="380"/>
      <c r="AP47" s="373"/>
      <c r="AQ47" s="385" t="s">
        <v>258</v>
      </c>
      <c r="AR47" s="388">
        <f>1-AT47</f>
        <v>1</v>
      </c>
      <c r="AS47" s="385" t="s">
        <v>259</v>
      </c>
      <c r="AT47" s="387">
        <f>MIN(AT46,AT9)</f>
        <v>0</v>
      </c>
      <c r="AU47" s="385" t="s">
        <v>260</v>
      </c>
      <c r="AV47" s="382">
        <f>MIN(AV46,AV9)</f>
        <v>0</v>
      </c>
      <c r="AZ47" s="373"/>
      <c r="BE47" s="374"/>
      <c r="BF47" s="374"/>
      <c r="BH47" s="374"/>
      <c r="BO47" s="373"/>
      <c r="BP47" s="373"/>
      <c r="BQ47" s="372"/>
    </row>
    <row r="48" spans="2:73 1271:1271" ht="26.25" x14ac:dyDescent="0.25">
      <c r="T48" s="381" t="s">
        <v>261</v>
      </c>
      <c r="U48" s="374" t="b">
        <f>IF(OR(AX7,AY7,AZ7,BB7,AR48&lt;0.7),TRUE,FALSE)</f>
        <v>1</v>
      </c>
      <c r="Y48" s="386"/>
      <c r="AK48" s="373"/>
      <c r="AL48" s="373"/>
      <c r="AM48" s="373"/>
      <c r="AN48" s="373"/>
      <c r="AO48" s="384"/>
      <c r="AP48" s="373"/>
      <c r="AQ48" s="385" t="s">
        <v>262</v>
      </c>
      <c r="AR48" s="375">
        <f>AR44*(1-AT47)+(AT44*AT47)</f>
        <v>0</v>
      </c>
      <c r="AU48" s="373" t="s">
        <v>196</v>
      </c>
      <c r="AV48" s="382">
        <f>AV44*AV47</f>
        <v>0</v>
      </c>
      <c r="AY48" s="373"/>
      <c r="AZ48" s="373"/>
      <c r="BE48" s="374"/>
      <c r="BF48" s="374"/>
      <c r="BH48" s="374"/>
      <c r="BO48" s="373"/>
      <c r="BP48" s="373"/>
      <c r="BQ48" s="372"/>
    </row>
    <row r="49" spans="20:69" ht="26.25" x14ac:dyDescent="0.25">
      <c r="T49" s="381" t="s">
        <v>263</v>
      </c>
      <c r="U49" s="374" t="b">
        <v>0</v>
      </c>
      <c r="AK49" s="373"/>
      <c r="AL49" s="373"/>
      <c r="AM49" s="373"/>
      <c r="AN49" s="373"/>
      <c r="AO49" s="384"/>
      <c r="AP49" s="373"/>
      <c r="AQ49" s="385" t="s">
        <v>264</v>
      </c>
      <c r="AR49" s="382">
        <f>MIN(1,IF(NOT(OR(AY7,AZ7)),AR48+AV48,MIN(0.69,AR48+AV48)))</f>
        <v>0</v>
      </c>
      <c r="AY49" s="373"/>
      <c r="BE49" s="374"/>
      <c r="BF49" s="374"/>
      <c r="BI49" s="374"/>
      <c r="BO49" s="373"/>
      <c r="BP49" s="373"/>
      <c r="BQ49" s="372"/>
    </row>
    <row r="50" spans="20:69" x14ac:dyDescent="0.25">
      <c r="T50" s="381" t="s">
        <v>265</v>
      </c>
      <c r="U50" s="374" t="b">
        <f>IF(NOT(Flight?),TRUE,NOT(OR(ISBLANK(comments),ISBLANK(hdr_class),ISBLANK(hdr_date),ISBLANK(hdr_stud),ISBLANK(hdr_instr),ISBLANK(hdr_acft),ISBLANK(hdr_time),F44="---")))</f>
        <v>1</v>
      </c>
      <c r="AK50" s="373"/>
      <c r="AL50" s="373"/>
      <c r="AM50" s="373"/>
      <c r="AN50" s="373"/>
      <c r="AO50" s="384"/>
      <c r="AP50" s="373"/>
      <c r="AQ50" s="373"/>
      <c r="AR50" s="383"/>
      <c r="AS50" s="382"/>
      <c r="AU50" s="373"/>
      <c r="AV50" s="373"/>
      <c r="AW50" s="373"/>
    </row>
    <row r="51" spans="20:69" x14ac:dyDescent="0.25">
      <c r="T51" s="381" t="s">
        <v>266</v>
      </c>
      <c r="U51" s="374" t="b">
        <f>IF(Flight?,TRUE,NOT(OR(ISBLANK(comments),ISBLANK(hdr_class),ISBLANK(hdr_date),ISBLANK(hdr_stud),ISBLANK(hdr_instr),F44="---")))</f>
        <v>0</v>
      </c>
      <c r="AK51" s="373"/>
      <c r="AL51" s="373"/>
      <c r="AM51" s="373"/>
      <c r="AN51" s="373"/>
      <c r="AO51" s="380"/>
      <c r="AP51" s="378" t="s">
        <v>267</v>
      </c>
      <c r="AQ51" s="378"/>
      <c r="AR51" s="378"/>
      <c r="AS51" s="378"/>
      <c r="AT51" s="378"/>
      <c r="AU51" s="373"/>
      <c r="AV51" s="373"/>
      <c r="AW51" s="373"/>
    </row>
    <row r="52" spans="20:69" x14ac:dyDescent="0.25">
      <c r="T52" s="381" t="s">
        <v>268</v>
      </c>
      <c r="U52" s="374" t="b">
        <f>AND(U50:U51)</f>
        <v>0</v>
      </c>
      <c r="AK52" s="373"/>
      <c r="AL52" s="373"/>
      <c r="AM52" s="373"/>
      <c r="AN52" s="373"/>
      <c r="AO52" s="380"/>
      <c r="AP52" s="378"/>
      <c r="AQ52" s="378"/>
      <c r="AR52" s="378">
        <v>0</v>
      </c>
      <c r="AS52" s="378">
        <v>1</v>
      </c>
      <c r="AT52" s="378">
        <v>2</v>
      </c>
      <c r="AU52" s="378">
        <v>3</v>
      </c>
      <c r="AV52" s="378">
        <v>4</v>
      </c>
      <c r="AW52" s="373"/>
    </row>
    <row r="53" spans="20:69" x14ac:dyDescent="0.25">
      <c r="AK53" s="373"/>
      <c r="AL53" s="373"/>
      <c r="AM53" s="373"/>
      <c r="AN53" s="373"/>
      <c r="AO53" s="380"/>
      <c r="AP53" s="378" t="s">
        <v>227</v>
      </c>
      <c r="AQ53" s="378">
        <v>1</v>
      </c>
      <c r="AR53" s="377">
        <v>0.7</v>
      </c>
      <c r="AS53" s="377">
        <v>0.9</v>
      </c>
      <c r="AT53" s="377">
        <v>0.93330000000000002</v>
      </c>
      <c r="AU53" s="377">
        <v>0.9667</v>
      </c>
      <c r="AV53" s="377">
        <v>1</v>
      </c>
      <c r="AW53" s="373"/>
    </row>
    <row r="54" spans="20:69" x14ac:dyDescent="0.25">
      <c r="AK54" s="373"/>
      <c r="AL54" s="373"/>
      <c r="AM54" s="373"/>
      <c r="AN54" s="373"/>
      <c r="AO54" s="380"/>
      <c r="AP54" s="378" t="s">
        <v>228</v>
      </c>
      <c r="AQ54" s="378">
        <v>2</v>
      </c>
      <c r="AR54" s="377">
        <v>0.7</v>
      </c>
      <c r="AS54" s="377">
        <v>0.8</v>
      </c>
      <c r="AT54" s="377">
        <v>0.9</v>
      </c>
      <c r="AU54" s="377">
        <v>0.95</v>
      </c>
      <c r="AV54" s="377">
        <v>1</v>
      </c>
      <c r="AW54" s="373"/>
    </row>
    <row r="55" spans="20:69" x14ac:dyDescent="0.25">
      <c r="AK55" s="373"/>
      <c r="AL55" s="373"/>
      <c r="AM55" s="373"/>
      <c r="AN55" s="373"/>
      <c r="AO55" s="380"/>
      <c r="AP55" s="378" t="s">
        <v>229</v>
      </c>
      <c r="AQ55" s="378">
        <v>3</v>
      </c>
      <c r="AR55" s="377">
        <v>0.7</v>
      </c>
      <c r="AS55" s="377">
        <v>0.76670000000000005</v>
      </c>
      <c r="AT55" s="377">
        <v>0.83330000000000004</v>
      </c>
      <c r="AU55" s="377">
        <v>0.9</v>
      </c>
      <c r="AV55" s="377">
        <v>1</v>
      </c>
      <c r="AW55" s="373"/>
    </row>
    <row r="56" spans="20:69" x14ac:dyDescent="0.25">
      <c r="AP56" s="379" t="s">
        <v>230</v>
      </c>
      <c r="AQ56" s="378">
        <v>11</v>
      </c>
      <c r="AR56" s="377">
        <v>0.6</v>
      </c>
      <c r="AS56" s="377">
        <v>0.9</v>
      </c>
      <c r="AT56" s="377">
        <v>0.93330000000000002</v>
      </c>
      <c r="AU56" s="377">
        <v>0.9667</v>
      </c>
      <c r="AV56" s="377">
        <v>1</v>
      </c>
      <c r="AW56" s="373"/>
    </row>
    <row r="57" spans="20:69" x14ac:dyDescent="0.25">
      <c r="AP57" s="379" t="s">
        <v>231</v>
      </c>
      <c r="AQ57" s="378">
        <v>12</v>
      </c>
      <c r="AR57" s="377">
        <v>0.6</v>
      </c>
      <c r="AS57" s="377">
        <v>0.7</v>
      </c>
      <c r="AT57" s="377">
        <v>0.9</v>
      </c>
      <c r="AU57" s="377">
        <v>0.95</v>
      </c>
      <c r="AV57" s="377">
        <v>1</v>
      </c>
      <c r="AW57" s="373"/>
    </row>
    <row r="58" spans="20:69" x14ac:dyDescent="0.25">
      <c r="AP58" s="379" t="s">
        <v>232</v>
      </c>
      <c r="AQ58" s="378">
        <v>13</v>
      </c>
      <c r="AR58" s="377">
        <v>0.6</v>
      </c>
      <c r="AS58" s="377">
        <v>0.7</v>
      </c>
      <c r="AT58" s="377">
        <v>0.8</v>
      </c>
      <c r="AU58" s="377">
        <v>0.9</v>
      </c>
      <c r="AV58" s="377">
        <v>1</v>
      </c>
      <c r="AW58" s="373"/>
    </row>
    <row r="59" spans="20:69" x14ac:dyDescent="0.25">
      <c r="AP59" s="379" t="s">
        <v>233</v>
      </c>
      <c r="AQ59" s="378">
        <v>22</v>
      </c>
      <c r="AR59" s="377">
        <v>0.3</v>
      </c>
      <c r="AS59" s="377">
        <v>0.6</v>
      </c>
      <c r="AT59" s="377">
        <v>0.9</v>
      </c>
      <c r="AU59" s="377">
        <v>0.95</v>
      </c>
      <c r="AV59" s="377">
        <v>1</v>
      </c>
      <c r="AW59" s="373"/>
    </row>
    <row r="60" spans="20:69" x14ac:dyDescent="0.25">
      <c r="AP60" s="379" t="s">
        <v>234</v>
      </c>
      <c r="AQ60" s="378">
        <v>23</v>
      </c>
      <c r="AR60" s="377">
        <v>0.3</v>
      </c>
      <c r="AS60" s="377">
        <v>0.6</v>
      </c>
      <c r="AT60" s="377">
        <v>0.7</v>
      </c>
      <c r="AU60" s="377">
        <v>0.9</v>
      </c>
      <c r="AV60" s="377">
        <v>1</v>
      </c>
      <c r="AW60" s="373"/>
    </row>
    <row r="61" spans="20:69" x14ac:dyDescent="0.25">
      <c r="AP61" s="379" t="s">
        <v>235</v>
      </c>
      <c r="AQ61" s="378">
        <v>33</v>
      </c>
      <c r="AR61" s="377">
        <v>0</v>
      </c>
      <c r="AS61" s="377">
        <v>0.3</v>
      </c>
      <c r="AT61" s="377">
        <v>0.6</v>
      </c>
      <c r="AU61" s="377">
        <v>0.9</v>
      </c>
      <c r="AV61" s="377">
        <v>1</v>
      </c>
      <c r="AW61" s="83"/>
      <c r="AX61" s="84"/>
      <c r="BC61" s="84"/>
      <c r="BD61" s="84"/>
    </row>
    <row r="62" spans="20:69" x14ac:dyDescent="0.25">
      <c r="AP62" s="373"/>
      <c r="AQ62" s="373"/>
      <c r="AR62" s="373"/>
      <c r="AS62" s="373"/>
      <c r="AT62" s="373"/>
      <c r="AU62" s="373"/>
      <c r="AV62" s="373"/>
      <c r="AW62" s="84"/>
      <c r="AX62" s="84"/>
      <c r="BC62" s="84"/>
      <c r="BD62" s="84"/>
    </row>
    <row r="63" spans="20:69" x14ac:dyDescent="0.25">
      <c r="AP63" s="84"/>
      <c r="AQ63" s="83"/>
      <c r="AR63" s="84"/>
      <c r="AS63" s="84"/>
      <c r="AT63" s="84"/>
      <c r="AU63" s="84"/>
      <c r="AV63" s="84"/>
      <c r="AW63" s="83"/>
      <c r="AX63" s="83"/>
      <c r="BC63" s="84"/>
      <c r="BD63" s="84"/>
    </row>
    <row r="64" spans="20:69" x14ac:dyDescent="0.25">
      <c r="AP64" s="101"/>
      <c r="AQ64" s="83"/>
      <c r="AR64" s="84"/>
      <c r="AS64" s="84"/>
      <c r="AT64" s="84"/>
      <c r="AU64" s="84"/>
      <c r="AV64" s="84"/>
      <c r="AW64" s="83"/>
      <c r="AX64" s="83"/>
      <c r="BC64" s="84"/>
      <c r="BD64" s="84"/>
    </row>
    <row r="65" spans="42:56" x14ac:dyDescent="0.25">
      <c r="AP65" s="83"/>
      <c r="AQ65" s="83"/>
      <c r="AR65" s="84"/>
      <c r="AS65" s="84"/>
      <c r="AT65" s="84"/>
      <c r="AU65" s="84"/>
      <c r="AV65" s="84"/>
      <c r="AW65" s="83"/>
      <c r="AX65" s="83"/>
      <c r="BC65" s="84"/>
      <c r="BD65" s="84"/>
    </row>
    <row r="66" spans="42:56" x14ac:dyDescent="0.25">
      <c r="AP66" s="83"/>
      <c r="AQ66" s="83"/>
      <c r="AR66" s="84"/>
      <c r="AS66" s="84"/>
      <c r="AT66" s="84"/>
      <c r="AU66" s="84"/>
      <c r="AV66" s="84"/>
      <c r="AW66" s="83"/>
      <c r="AX66" s="84"/>
      <c r="BC66" s="84"/>
      <c r="BD66" s="84"/>
    </row>
    <row r="67" spans="42:56" x14ac:dyDescent="0.25">
      <c r="AP67" s="83"/>
      <c r="AQ67" s="83"/>
      <c r="AR67" s="84"/>
      <c r="AS67" s="84"/>
      <c r="AT67" s="84"/>
      <c r="AU67" s="84"/>
      <c r="AV67" s="84"/>
      <c r="AW67" s="83"/>
      <c r="AX67" s="84"/>
      <c r="BC67" s="84"/>
      <c r="BD67" s="84"/>
    </row>
    <row r="68" spans="42:56" x14ac:dyDescent="0.25">
      <c r="AP68" s="83"/>
      <c r="AQ68" s="83"/>
      <c r="AR68" s="84"/>
      <c r="AS68" s="84"/>
      <c r="AT68" s="84"/>
      <c r="AU68" s="84"/>
      <c r="AV68" s="84"/>
    </row>
    <row r="69" spans="42:56" x14ac:dyDescent="0.25">
      <c r="AP69" s="83"/>
      <c r="AQ69" s="83"/>
      <c r="AR69" s="84"/>
      <c r="AS69" s="84"/>
      <c r="AT69" s="84"/>
      <c r="AU69" s="84"/>
      <c r="AV69" s="84"/>
    </row>
  </sheetData>
  <mergeCells count="76">
    <mergeCell ref="BP6:BU7"/>
    <mergeCell ref="C41:F41"/>
    <mergeCell ref="C42:F42"/>
    <mergeCell ref="BO42:BU45"/>
    <mergeCell ref="B43:D43"/>
    <mergeCell ref="F43:G43"/>
    <mergeCell ref="H43:I43"/>
    <mergeCell ref="Q44:R44"/>
    <mergeCell ref="L45:R45"/>
    <mergeCell ref="J43:K43"/>
    <mergeCell ref="J44:K44"/>
    <mergeCell ref="M44:N44"/>
    <mergeCell ref="C37:F37"/>
    <mergeCell ref="C23:F23"/>
    <mergeCell ref="C24:F24"/>
    <mergeCell ref="O44:P44"/>
    <mergeCell ref="M43:N43"/>
    <mergeCell ref="O43:P43"/>
    <mergeCell ref="B44:D44"/>
    <mergeCell ref="F44:G44"/>
    <mergeCell ref="H44:I44"/>
    <mergeCell ref="BO37:BU40"/>
    <mergeCell ref="C38:F38"/>
    <mergeCell ref="C39:F39"/>
    <mergeCell ref="C40:F40"/>
    <mergeCell ref="BQ22:BU22"/>
    <mergeCell ref="C33:F33"/>
    <mergeCell ref="C34:F34"/>
    <mergeCell ref="C35:F35"/>
    <mergeCell ref="C36:F36"/>
    <mergeCell ref="BO24:BO32"/>
    <mergeCell ref="C25:F25"/>
    <mergeCell ref="C26:F26"/>
    <mergeCell ref="C27:F27"/>
    <mergeCell ref="C28:F28"/>
    <mergeCell ref="C29:F29"/>
    <mergeCell ref="C30:F30"/>
    <mergeCell ref="C11:F11"/>
    <mergeCell ref="L11:R42"/>
    <mergeCell ref="C12:F12"/>
    <mergeCell ref="C13:F13"/>
    <mergeCell ref="C14:F14"/>
    <mergeCell ref="C15:F15"/>
    <mergeCell ref="C16:F16"/>
    <mergeCell ref="C17:F17"/>
    <mergeCell ref="C32:F32"/>
    <mergeCell ref="C19:F19"/>
    <mergeCell ref="C20:F20"/>
    <mergeCell ref="C21:F21"/>
    <mergeCell ref="C22:F22"/>
    <mergeCell ref="C18:F18"/>
    <mergeCell ref="C31:F31"/>
    <mergeCell ref="B6:G6"/>
    <mergeCell ref="B7:G7"/>
    <mergeCell ref="B10:F10"/>
    <mergeCell ref="O9:P9"/>
    <mergeCell ref="Q9:R9"/>
    <mergeCell ref="H6:N6"/>
    <mergeCell ref="O6:P6"/>
    <mergeCell ref="Q6:R6"/>
    <mergeCell ref="O8:P8"/>
    <mergeCell ref="Q8:R8"/>
    <mergeCell ref="H7:N7"/>
    <mergeCell ref="O7:P7"/>
    <mergeCell ref="Q7:R7"/>
    <mergeCell ref="L10:R10"/>
    <mergeCell ref="BH7:BK9"/>
    <mergeCell ref="BL7:BN9"/>
    <mergeCell ref="B8:E8"/>
    <mergeCell ref="F8:G8"/>
    <mergeCell ref="H8:L8"/>
    <mergeCell ref="M8:N8"/>
    <mergeCell ref="B9:E9"/>
    <mergeCell ref="F9:G9"/>
    <mergeCell ref="H9:L9"/>
    <mergeCell ref="M9:N9"/>
  </mergeCells>
  <conditionalFormatting sqref="B11:F42">
    <cfRule type="expression" dxfId="232" priority="9" stopIfTrue="1">
      <formula>IF($Z11=1,TRUE,FALSE)</formula>
    </cfRule>
    <cfRule type="expression" dxfId="231" priority="10">
      <formula>IF($Z11=2,TRUE,FALSE)</formula>
    </cfRule>
  </conditionalFormatting>
  <conditionalFormatting sqref="C11:F42">
    <cfRule type="expression" dxfId="230" priority="2" stopIfTrue="1">
      <formula>IF($AF11=FALSE,TRUE,FALSE)</formula>
    </cfRule>
  </conditionalFormatting>
  <conditionalFormatting sqref="F8:G9 M8:P9">
    <cfRule type="expression" dxfId="229" priority="5" stopIfTrue="1">
      <formula>NOT($AU$7)</formula>
    </cfRule>
  </conditionalFormatting>
  <conditionalFormatting sqref="F9:G9">
    <cfRule type="cellIs" dxfId="228" priority="4" operator="equal">
      <formula>""</formula>
    </cfRule>
  </conditionalFormatting>
  <conditionalFormatting sqref="G11:K42">
    <cfRule type="expression" dxfId="227" priority="7" stopIfTrue="1">
      <formula>IF($Z11=1,TRUE,FALSE)</formula>
    </cfRule>
    <cfRule type="expression" dxfId="226" priority="8" stopIfTrue="1">
      <formula>IF($Z11=2,TRUE,FALSE)</formula>
    </cfRule>
  </conditionalFormatting>
  <conditionalFormatting sqref="H11:H42">
    <cfRule type="expression" dxfId="225" priority="11" stopIfTrue="1">
      <formula>IF($AB11=0,TRUE,FALSE)</formula>
    </cfRule>
  </conditionalFormatting>
  <conditionalFormatting sqref="H43:I44">
    <cfRule type="expression" dxfId="224" priority="3" stopIfTrue="1">
      <formula>IF($H$44="N/A",TRUE,FALSE)</formula>
    </cfRule>
  </conditionalFormatting>
  <conditionalFormatting sqref="H9:P9 O7:R7 B9 L11">
    <cfRule type="containsBlanks" dxfId="223" priority="6">
      <formula>LEN(TRIM(B7))=0</formula>
    </cfRule>
  </conditionalFormatting>
  <conditionalFormatting sqref="J11:J42">
    <cfRule type="expression" dxfId="222" priority="15">
      <formula>IF($Z11=1,FALSE,OR($BE11,$BD11))</formula>
    </cfRule>
  </conditionalFormatting>
  <conditionalFormatting sqref="J11:K42 C11:F42">
    <cfRule type="expression" dxfId="221" priority="14">
      <formula>IF($Z11=1,FALSE,OR($AW11,$AX11,$AY11,$AZ11))</formula>
    </cfRule>
  </conditionalFormatting>
  <conditionalFormatting sqref="J11:K42">
    <cfRule type="expression" dxfId="220" priority="12" stopIfTrue="1">
      <formula>IF(ISNA($Z11),TRUE,FALSE)</formula>
    </cfRule>
  </conditionalFormatting>
  <conditionalFormatting sqref="K11:K42">
    <cfRule type="expression" dxfId="219" priority="13">
      <formula>IF(OR($Z11=1,$Z11=2),FALSE,OR($BC11,$BE11,$BF11))</formula>
    </cfRule>
  </conditionalFormatting>
  <conditionalFormatting sqref="L44">
    <cfRule type="expression" dxfId="218" priority="1">
      <formula>NOT($U$52)</formula>
    </cfRule>
  </conditionalFormatting>
  <dataValidations count="6">
    <dataValidation type="list" allowBlank="1" showInputMessage="1" showErrorMessage="1" sqref="F9:G9" xr:uid="{C81E008F-3350-4973-8A21-86C50378954C}">
      <formula1>"No,Yes"</formula1>
    </dataValidation>
    <dataValidation type="list" allowBlank="1" showInputMessage="1" showErrorMessage="1" sqref="J11:J42" xr:uid="{771AF5F4-56DA-4F2D-B129-215DD2201C26}">
      <formula1>"NA,0,1,2,3,4,5,6,7,8,9,10,11,12,13,14,15"</formula1>
    </dataValidation>
    <dataValidation type="list" allowBlank="1" showInputMessage="1" showErrorMessage="1" sqref="K11:K42" xr:uid="{E45AB24F-B99F-4A57-972B-F597434C1DAC}">
      <formula1>"D,0,1,2,3,4"</formula1>
    </dataValidation>
    <dataValidation showInputMessage="1" showErrorMessage="1" sqref="O44:R44" xr:uid="{697717DF-67E0-4D52-8EF2-19C2AB903ED5}"/>
    <dataValidation type="decimal" allowBlank="1" showInputMessage="1" showErrorMessage="1" sqref="O9:P9" xr:uid="{5B4F9172-40FE-42B9-A2F6-3FE6E5FEA7CD}">
      <formula1>0</formula1>
      <formula2>10</formula2>
    </dataValidation>
    <dataValidation type="date" allowBlank="1" showInputMessage="1" showErrorMessage="1" sqref="Q7:R7" xr:uid="{1A020227-C504-45DF-B355-5E81CEC6EF50}">
      <formula1>41151</formula1>
      <formula2>77433</formula2>
    </dataValidation>
  </dataValidations>
  <hyperlinks>
    <hyperlink ref="BP6:BU7" location="AS!A1" display="AS Summary Page" xr:uid="{495FB9C2-0392-4592-A7C9-811448F30F27}"/>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B09FA-4808-401A-8446-5A2C3337126D}">
  <sheetPr codeName="Sheet32">
    <tabColor rgb="FFFF0000"/>
    <pageSetUpPr autoPageBreaks="0"/>
  </sheetPr>
  <dimension ref="B1:BU66"/>
  <sheetViews>
    <sheetView showGridLines="0" showRowColHeaders="0" topLeftCell="A2" zoomScaleNormal="100" zoomScaleSheetLayoutView="100" workbookViewId="0">
      <selection activeCell="Q4" sqref="Q4:R4"/>
    </sheetView>
  </sheetViews>
  <sheetFormatPr defaultColWidth="9.140625" defaultRowHeight="12.75" x14ac:dyDescent="0.2"/>
  <cols>
    <col min="1" max="1" width="1.5703125" style="103" customWidth="1"/>
    <col min="2" max="2" width="3.5703125" style="103" customWidth="1"/>
    <col min="3" max="3" width="5.5703125" style="103" customWidth="1"/>
    <col min="4" max="4" width="9.140625" style="103" customWidth="1"/>
    <col min="5" max="5" width="14" style="103" customWidth="1"/>
    <col min="6" max="6" width="7.85546875" style="103" customWidth="1"/>
    <col min="7" max="11" width="5.140625" style="103" customWidth="1"/>
    <col min="12" max="12" width="21.5703125" style="103" customWidth="1"/>
    <col min="13" max="13" width="6.5703125" style="103" customWidth="1"/>
    <col min="14" max="14" width="12.5703125" style="103" customWidth="1"/>
    <col min="15" max="15" width="7.85546875" style="103" customWidth="1"/>
    <col min="16" max="16" width="2.7109375" style="103" customWidth="1"/>
    <col min="17" max="17" width="4.85546875" style="103" customWidth="1"/>
    <col min="18" max="18" width="7.28515625" style="103" customWidth="1"/>
    <col min="19" max="19" width="1.7109375" style="103" customWidth="1"/>
    <col min="20" max="20" width="19.140625" style="110" hidden="1" customWidth="1"/>
    <col min="21" max="21" width="31.140625" style="110" hidden="1" customWidth="1"/>
    <col min="22" max="22" width="5.140625" style="110" hidden="1" customWidth="1"/>
    <col min="23" max="24" width="6.28515625" style="110" hidden="1" customWidth="1"/>
    <col min="25" max="25" width="8.42578125" style="110" hidden="1" customWidth="1"/>
    <col min="26" max="26" width="7.85546875" style="110" hidden="1" customWidth="1"/>
    <col min="27" max="27" width="10.7109375" style="110" hidden="1" customWidth="1"/>
    <col min="28" max="28" width="8" style="110" hidden="1" customWidth="1"/>
    <col min="29" max="31" width="5.140625" style="110" hidden="1" customWidth="1"/>
    <col min="32" max="34" width="5.85546875" style="110" hidden="1" customWidth="1"/>
    <col min="35" max="35" width="8.5703125" style="111" hidden="1" customWidth="1"/>
    <col min="36" max="36" width="7" style="110" hidden="1" customWidth="1"/>
    <col min="37" max="38" width="5.28515625" style="110" hidden="1" customWidth="1"/>
    <col min="39" max="40" width="7" style="110" hidden="1" customWidth="1"/>
    <col min="41" max="41" width="5.140625" style="110" hidden="1" customWidth="1"/>
    <col min="42" max="42" width="11.28515625" style="110" hidden="1" customWidth="1"/>
    <col min="43" max="43" width="6.42578125" style="110" hidden="1" customWidth="1"/>
    <col min="44" max="44" width="8.28515625" style="110" hidden="1" customWidth="1"/>
    <col min="45" max="45" width="8.85546875" style="110" hidden="1" customWidth="1"/>
    <col min="46" max="46" width="10.7109375" style="110" hidden="1" customWidth="1"/>
    <col min="47" max="47" width="8.85546875" style="110" hidden="1" customWidth="1"/>
    <col min="48" max="48" width="6.28515625" style="110" hidden="1" customWidth="1"/>
    <col min="49" max="49" width="10" style="110" hidden="1" customWidth="1"/>
    <col min="50" max="50" width="7.5703125" style="110" hidden="1" customWidth="1"/>
    <col min="51" max="51" width="7" style="110" hidden="1" customWidth="1"/>
    <col min="52" max="52" width="8.140625" style="110" hidden="1" customWidth="1"/>
    <col min="53" max="53" width="12.5703125" style="110" hidden="1" customWidth="1"/>
    <col min="54" max="54" width="7.7109375" style="110" hidden="1" customWidth="1"/>
    <col min="55" max="55" width="12.7109375" style="110" hidden="1" customWidth="1"/>
    <col min="56" max="56" width="7" style="110" hidden="1" customWidth="1"/>
    <col min="57" max="57" width="15.5703125" style="110" hidden="1" customWidth="1"/>
    <col min="58" max="58" width="9.140625" style="110" hidden="1" customWidth="1"/>
    <col min="59" max="59" width="10" style="110" hidden="1" customWidth="1"/>
    <col min="60" max="60" width="5.28515625" style="110" hidden="1" customWidth="1"/>
    <col min="61" max="61" width="4" style="110" hidden="1" customWidth="1"/>
    <col min="62" max="62" width="4.7109375" style="110" hidden="1" customWidth="1"/>
    <col min="63" max="63" width="5.5703125" style="110" hidden="1" customWidth="1"/>
    <col min="64" max="64" width="5.28515625" style="110" hidden="1" customWidth="1"/>
    <col min="65" max="65" width="4" style="110" hidden="1" customWidth="1"/>
    <col min="66" max="66" width="5.5703125" style="110" hidden="1" customWidth="1"/>
    <col min="67" max="67" width="5.140625" style="106" customWidth="1"/>
    <col min="68" max="73" width="5.140625" style="103" customWidth="1"/>
    <col min="74" max="16384" width="9.140625" style="103"/>
  </cols>
  <sheetData>
    <row r="1" spans="2:73" s="107" customFormat="1" ht="12" hidden="1" x14ac:dyDescent="0.2">
      <c r="T1" s="108"/>
      <c r="U1" s="108"/>
      <c r="V1" s="108"/>
      <c r="W1" s="108"/>
      <c r="X1" s="108"/>
      <c r="Y1" s="108"/>
      <c r="Z1" s="108"/>
      <c r="AA1" s="108"/>
      <c r="AB1" s="108"/>
      <c r="AC1" s="108"/>
      <c r="AD1" s="108"/>
      <c r="AE1" s="108"/>
      <c r="AF1" s="108"/>
      <c r="AG1" s="108"/>
      <c r="AH1" s="108"/>
      <c r="AI1" s="109"/>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row>
    <row r="2" spans="2:73" ht="13.5" thickBot="1" x14ac:dyDescent="0.25"/>
    <row r="3" spans="2:73" ht="13.5" customHeight="1" thickTop="1" x14ac:dyDescent="0.2">
      <c r="B3" s="1421" t="s">
        <v>141</v>
      </c>
      <c r="C3" s="1422"/>
      <c r="D3" s="1422"/>
      <c r="E3" s="1422"/>
      <c r="F3" s="1422"/>
      <c r="G3" s="1423"/>
      <c r="H3" s="1424" t="s">
        <v>498</v>
      </c>
      <c r="I3" s="1425"/>
      <c r="J3" s="1425"/>
      <c r="K3" s="1425"/>
      <c r="L3" s="1425"/>
      <c r="M3" s="1425"/>
      <c r="N3" s="1426"/>
      <c r="O3" s="1427" t="s">
        <v>142</v>
      </c>
      <c r="P3" s="1428"/>
      <c r="Q3" s="1427" t="s">
        <v>143</v>
      </c>
      <c r="R3" s="1429"/>
      <c r="S3" s="112"/>
      <c r="T3" s="113"/>
      <c r="U3" s="113"/>
      <c r="V3" s="113"/>
      <c r="W3" s="113"/>
      <c r="X3" s="113"/>
      <c r="Y3" s="113"/>
      <c r="Z3" s="113"/>
      <c r="AA3" s="113"/>
      <c r="AB3" s="113"/>
      <c r="AC3" s="113"/>
      <c r="AD3" s="113"/>
      <c r="AE3" s="113"/>
      <c r="AF3" s="113"/>
      <c r="AG3" s="113"/>
      <c r="AH3" s="113"/>
      <c r="AI3" s="114"/>
      <c r="AJ3" s="113"/>
      <c r="AK3" s="113"/>
      <c r="AL3" s="113"/>
      <c r="AM3" s="113"/>
      <c r="AN3" s="113"/>
      <c r="AO3" s="113"/>
      <c r="AP3" s="113"/>
      <c r="AQ3" s="108"/>
      <c r="AR3" s="108"/>
      <c r="AW3" s="110" t="s">
        <v>144</v>
      </c>
      <c r="AX3" s="110" t="s">
        <v>145</v>
      </c>
      <c r="AY3" s="110" t="s">
        <v>146</v>
      </c>
      <c r="AZ3" s="110" t="s">
        <v>147</v>
      </c>
      <c r="BA3" s="110" t="s">
        <v>148</v>
      </c>
      <c r="BB3" s="110" t="s">
        <v>149</v>
      </c>
      <c r="BP3" s="1652" t="s">
        <v>499</v>
      </c>
      <c r="BQ3" s="1652"/>
      <c r="BR3" s="1652"/>
      <c r="BS3" s="1652"/>
      <c r="BT3" s="1652"/>
      <c r="BU3" s="1652"/>
    </row>
    <row r="4" spans="2:73" s="105" customFormat="1" ht="15.75" customHeight="1" x14ac:dyDescent="0.2">
      <c r="B4" s="1431" t="s">
        <v>283</v>
      </c>
      <c r="C4" s="1432"/>
      <c r="D4" s="1432"/>
      <c r="E4" s="1432"/>
      <c r="F4" s="1432"/>
      <c r="G4" s="1433"/>
      <c r="H4" s="1434" t="s">
        <v>316</v>
      </c>
      <c r="I4" s="1435"/>
      <c r="J4" s="1435"/>
      <c r="K4" s="1435"/>
      <c r="L4" s="1435"/>
      <c r="M4" s="1435"/>
      <c r="N4" s="1436"/>
      <c r="O4" s="1437"/>
      <c r="P4" s="1438"/>
      <c r="Q4" s="1439"/>
      <c r="R4" s="1440"/>
      <c r="S4" s="115"/>
      <c r="T4" s="116"/>
      <c r="U4" s="116"/>
      <c r="V4" s="116"/>
      <c r="W4" s="116"/>
      <c r="X4" s="116"/>
      <c r="Y4" s="116"/>
      <c r="Z4" s="116"/>
      <c r="AA4" s="116"/>
      <c r="AB4" s="116"/>
      <c r="AC4" s="116"/>
      <c r="AD4" s="116"/>
      <c r="AE4" s="116"/>
      <c r="AF4" s="116"/>
      <c r="AG4" s="116"/>
      <c r="AH4" s="116"/>
      <c r="AI4" s="117"/>
      <c r="AJ4" s="116"/>
      <c r="AK4" s="116"/>
      <c r="AL4" s="116"/>
      <c r="AM4" s="116"/>
      <c r="AN4" s="116"/>
      <c r="AO4" s="116"/>
      <c r="AP4" s="116"/>
      <c r="AQ4" s="118"/>
      <c r="AR4" s="118"/>
      <c r="AS4" s="119"/>
      <c r="AT4" s="120" t="s">
        <v>151</v>
      </c>
      <c r="AU4" s="121" t="b">
        <v>1</v>
      </c>
      <c r="AV4" s="119">
        <v>5</v>
      </c>
      <c r="AW4" s="119" t="b">
        <f>IF(ISERR(OR(AW8:AW39)),"UNK",IF(AND(graded_aca_events&gt;=1,input_test),FALSE,OR(AW8:AW39)))</f>
        <v>1</v>
      </c>
      <c r="AX4" s="119" t="b">
        <f>IF(ISERR(OR(AX8:AX39)),"UNK",IF(AND(graded_aca_events&gt;=1,input_test),FALSE,OR(AX8:AX39)))</f>
        <v>1</v>
      </c>
      <c r="AY4" s="119" t="b">
        <f>IF(ISERR(OR(AY8:AY39)),"UNK",OR(AY8:AY39))</f>
        <v>0</v>
      </c>
      <c r="AZ4" s="119" t="b">
        <f>IF(ISERR(OR(AZ8:AZ39)),"UNK",OR(AZ8:AZ39))</f>
        <v>0</v>
      </c>
      <c r="BA4" s="119" t="b">
        <f>IF(ISERR(OR(BA8:BA39)),"UNK",OR(BA8:BA39))</f>
        <v>0</v>
      </c>
      <c r="BB4" s="119" t="b">
        <f>IF(ISERR(OR(BB8:BB39)),"UNK",OR(BB8:BB39))</f>
        <v>0</v>
      </c>
      <c r="BC4" s="122" t="b">
        <f>OR(BC8:BC39)</f>
        <v>0</v>
      </c>
      <c r="BD4" s="122" t="b">
        <f>OR(BD8:BD39)</f>
        <v>0</v>
      </c>
      <c r="BE4" s="122" t="b">
        <f>OR(BE8:BE39)</f>
        <v>0</v>
      </c>
      <c r="BF4" s="122"/>
      <c r="BG4" s="119"/>
      <c r="BH4" s="1441" t="s">
        <v>152</v>
      </c>
      <c r="BI4" s="1441"/>
      <c r="BJ4" s="1441"/>
      <c r="BK4" s="1441"/>
      <c r="BL4" s="1393" t="s">
        <v>153</v>
      </c>
      <c r="BM4" s="1393"/>
      <c r="BN4" s="1393"/>
      <c r="BO4" s="106"/>
      <c r="BP4" s="1652"/>
      <c r="BQ4" s="1652"/>
      <c r="BR4" s="1652"/>
      <c r="BS4" s="1652"/>
      <c r="BT4" s="1652"/>
      <c r="BU4" s="1652"/>
    </row>
    <row r="5" spans="2:73" s="112" customFormat="1" ht="7.5" customHeight="1" x14ac:dyDescent="0.25">
      <c r="B5" s="1394" t="s">
        <v>154</v>
      </c>
      <c r="C5" s="1395"/>
      <c r="D5" s="1395"/>
      <c r="E5" s="1396"/>
      <c r="F5" s="1397" t="s">
        <v>155</v>
      </c>
      <c r="G5" s="1396"/>
      <c r="H5" s="1397" t="s">
        <v>156</v>
      </c>
      <c r="I5" s="1395"/>
      <c r="J5" s="1395"/>
      <c r="K5" s="1395"/>
      <c r="L5" s="1396"/>
      <c r="M5" s="1398" t="s">
        <v>157</v>
      </c>
      <c r="N5" s="1399"/>
      <c r="O5" s="1400" t="s">
        <v>158</v>
      </c>
      <c r="P5" s="1401"/>
      <c r="Q5" s="1397" t="str">
        <f>IF(AU41=0,"GRADE","GRADE (inc. bonus)")</f>
        <v>GRADE</v>
      </c>
      <c r="R5" s="1402"/>
      <c r="T5" s="113"/>
      <c r="U5" s="113"/>
      <c r="V5" s="113"/>
      <c r="W5" s="113"/>
      <c r="X5" s="113"/>
      <c r="Y5" s="113"/>
      <c r="Z5" s="113"/>
      <c r="AA5" s="113"/>
      <c r="AB5" s="113"/>
      <c r="AC5" s="113"/>
      <c r="AD5" s="113"/>
      <c r="AE5" s="113"/>
      <c r="AF5" s="113"/>
      <c r="AG5" s="113"/>
      <c r="AH5" s="113"/>
      <c r="AI5" s="114"/>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441"/>
      <c r="BI5" s="1441"/>
      <c r="BJ5" s="1441"/>
      <c r="BK5" s="1441"/>
      <c r="BL5" s="1393"/>
      <c r="BM5" s="1393"/>
      <c r="BN5" s="1393"/>
      <c r="BO5" s="123"/>
    </row>
    <row r="6" spans="2:73" s="105" customFormat="1" ht="15.75" customHeight="1" thickBot="1" x14ac:dyDescent="0.25">
      <c r="B6" s="1403"/>
      <c r="C6" s="1404"/>
      <c r="D6" s="1404"/>
      <c r="E6" s="1405"/>
      <c r="F6" s="1406" t="s">
        <v>270</v>
      </c>
      <c r="G6" s="1407"/>
      <c r="H6" s="1408"/>
      <c r="I6" s="1409"/>
      <c r="J6" s="1409"/>
      <c r="K6" s="1409"/>
      <c r="L6" s="1407"/>
      <c r="M6" s="1410" t="s">
        <v>284</v>
      </c>
      <c r="N6" s="1411"/>
      <c r="O6" s="1412"/>
      <c r="P6" s="1413"/>
      <c r="Q6" s="1414" t="str">
        <f>IF((graded_aca_events+graded_amn_events)&lt;1,"0",IF(ISERROR(AR46),"",IF(F41&lt;&gt;"COMPLETE","INCOMPLETE",AR46)))</f>
        <v>0</v>
      </c>
      <c r="R6" s="1415"/>
      <c r="S6" s="103"/>
      <c r="T6" s="119"/>
      <c r="U6" s="119">
        <v>2</v>
      </c>
      <c r="V6" s="119">
        <v>3</v>
      </c>
      <c r="W6" s="119">
        <v>6</v>
      </c>
      <c r="X6" s="119">
        <v>7</v>
      </c>
      <c r="Y6" s="119">
        <v>11</v>
      </c>
      <c r="Z6" s="119">
        <v>8</v>
      </c>
      <c r="AA6" s="119">
        <v>9</v>
      </c>
      <c r="AB6" s="119">
        <v>10</v>
      </c>
      <c r="AC6" s="119">
        <v>5</v>
      </c>
      <c r="AD6" s="119">
        <v>4</v>
      </c>
      <c r="AE6" s="119">
        <v>12</v>
      </c>
      <c r="AF6" s="119">
        <v>13</v>
      </c>
      <c r="AG6" s="119"/>
      <c r="AH6" s="119"/>
      <c r="AI6" s="124"/>
      <c r="AJ6" s="125"/>
      <c r="AK6" s="125"/>
      <c r="AL6" s="125"/>
      <c r="AM6" s="125" t="b">
        <f>IF(COUNT(AM8:AM39)&gt;0,TRUE,FALSE)</f>
        <v>0</v>
      </c>
      <c r="AN6" s="125" t="b">
        <f>IF(COUNT(AN8:AN39)&gt;0,TRUE,FALSE)</f>
        <v>0</v>
      </c>
      <c r="AO6" s="119"/>
      <c r="AP6" s="119"/>
      <c r="AQ6" s="118"/>
      <c r="AR6" s="118"/>
      <c r="AS6" s="119"/>
      <c r="AT6" s="85">
        <v>0.05</v>
      </c>
      <c r="AU6" s="119"/>
      <c r="AV6" s="126">
        <f>0.01*input_maxb</f>
        <v>0.05</v>
      </c>
      <c r="AW6" s="127" t="s">
        <v>159</v>
      </c>
      <c r="AX6" s="128"/>
      <c r="AY6" s="127" t="s">
        <v>160</v>
      </c>
      <c r="AZ6" s="128"/>
      <c r="BA6" s="129" t="s">
        <v>161</v>
      </c>
      <c r="BB6" s="129"/>
      <c r="BC6" s="127" t="s">
        <v>162</v>
      </c>
      <c r="BD6" s="129"/>
      <c r="BE6" s="130"/>
      <c r="BF6" s="131"/>
      <c r="BG6" s="119" t="s">
        <v>163</v>
      </c>
      <c r="BH6" s="1441"/>
      <c r="BI6" s="1441"/>
      <c r="BJ6" s="1441"/>
      <c r="BK6" s="1441"/>
      <c r="BL6" s="1393"/>
      <c r="BM6" s="1393"/>
      <c r="BN6" s="1393"/>
      <c r="BO6" s="106"/>
    </row>
    <row r="7" spans="2:73" ht="27" customHeight="1" thickBot="1" x14ac:dyDescent="0.25">
      <c r="B7" s="1416" t="s">
        <v>164</v>
      </c>
      <c r="C7" s="1417"/>
      <c r="D7" s="1417"/>
      <c r="E7" s="1417"/>
      <c r="F7" s="1418"/>
      <c r="G7" s="132" t="s">
        <v>165</v>
      </c>
      <c r="H7" s="133" t="s">
        <v>166</v>
      </c>
      <c r="I7" s="134" t="s">
        <v>167</v>
      </c>
      <c r="J7" s="135" t="s">
        <v>168</v>
      </c>
      <c r="K7" s="136" t="s">
        <v>169</v>
      </c>
      <c r="L7" s="1419" t="s">
        <v>170</v>
      </c>
      <c r="M7" s="1417"/>
      <c r="N7" s="1417"/>
      <c r="O7" s="1417"/>
      <c r="P7" s="1417"/>
      <c r="Q7" s="1417"/>
      <c r="R7" s="1420"/>
      <c r="T7" s="137" t="s">
        <v>171</v>
      </c>
      <c r="U7" s="137"/>
      <c r="V7" s="137" t="s">
        <v>172</v>
      </c>
      <c r="W7" s="137" t="s">
        <v>173</v>
      </c>
      <c r="X7" s="137" t="s">
        <v>174</v>
      </c>
      <c r="Y7" s="137" t="s">
        <v>175</v>
      </c>
      <c r="Z7" s="137" t="s">
        <v>176</v>
      </c>
      <c r="AA7" s="137" t="s">
        <v>177</v>
      </c>
      <c r="AB7" s="137" t="s">
        <v>178</v>
      </c>
      <c r="AC7" s="137" t="s">
        <v>179</v>
      </c>
      <c r="AD7" s="137" t="s">
        <v>180</v>
      </c>
      <c r="AE7" s="137" t="s">
        <v>181</v>
      </c>
      <c r="AF7" s="137" t="s">
        <v>182</v>
      </c>
      <c r="AG7" s="137" t="s">
        <v>183</v>
      </c>
      <c r="AH7" s="137" t="s">
        <v>184</v>
      </c>
      <c r="AI7" s="138" t="s">
        <v>185</v>
      </c>
      <c r="AJ7" s="139" t="s">
        <v>186</v>
      </c>
      <c r="AK7" s="140" t="s">
        <v>187</v>
      </c>
      <c r="AL7" s="140" t="s">
        <v>188</v>
      </c>
      <c r="AM7" s="140" t="s">
        <v>189</v>
      </c>
      <c r="AN7" s="140" t="s">
        <v>190</v>
      </c>
      <c r="AO7" s="139" t="s">
        <v>191</v>
      </c>
      <c r="AP7" s="139" t="s">
        <v>192</v>
      </c>
      <c r="AQ7" s="141" t="s">
        <v>193</v>
      </c>
      <c r="AR7" s="142" t="s">
        <v>1</v>
      </c>
      <c r="AS7" s="141" t="s">
        <v>194</v>
      </c>
      <c r="AT7" s="142" t="s">
        <v>1</v>
      </c>
      <c r="AU7" s="141" t="s">
        <v>195</v>
      </c>
      <c r="AV7" s="143" t="s">
        <v>196</v>
      </c>
      <c r="AW7" s="144" t="s">
        <v>197</v>
      </c>
      <c r="AX7" s="145" t="s">
        <v>198</v>
      </c>
      <c r="AY7" s="144" t="s">
        <v>199</v>
      </c>
      <c r="AZ7" s="145" t="s">
        <v>200</v>
      </c>
      <c r="BA7" s="146" t="s">
        <v>201</v>
      </c>
      <c r="BB7" s="146" t="s">
        <v>202</v>
      </c>
      <c r="BC7" s="147" t="s">
        <v>203</v>
      </c>
      <c r="BD7" s="148" t="s">
        <v>204</v>
      </c>
      <c r="BE7" s="149" t="s">
        <v>205</v>
      </c>
      <c r="BF7" s="150" t="s">
        <v>206</v>
      </c>
      <c r="BH7" s="110" t="s">
        <v>207</v>
      </c>
      <c r="BI7" s="110" t="s">
        <v>208</v>
      </c>
      <c r="BJ7" s="137" t="s">
        <v>209</v>
      </c>
      <c r="BK7" s="110" t="s">
        <v>210</v>
      </c>
      <c r="BL7" s="110" t="s">
        <v>207</v>
      </c>
      <c r="BM7" s="110" t="s">
        <v>208</v>
      </c>
      <c r="BN7" s="110" t="s">
        <v>210</v>
      </c>
    </row>
    <row r="8" spans="2:73" ht="12.95" customHeight="1" x14ac:dyDescent="0.2">
      <c r="B8" s="151" t="str">
        <f>IF(ISNA(Z8),"",IF(OR(Z8=1,Z8=2),"",1))</f>
        <v/>
      </c>
      <c r="C8" s="1391" t="str">
        <f t="shared" ref="C8:C36" si="0">IF(ISNA(Z8),"",CONCATENATE($U8,IF(ISNUMBER(AI8),TEXT(ROUND($AI8,3)," (0.0%)"),""),IF(AU8&gt;0," Bonus","")))</f>
        <v>Airmanship Tasks (5.0%)</v>
      </c>
      <c r="D8" s="1391"/>
      <c r="E8" s="1391"/>
      <c r="F8" s="1392"/>
      <c r="G8" s="152" t="str">
        <f t="shared" ref="G8:G39" si="1">BH8</f>
        <v/>
      </c>
      <c r="H8" s="153" t="str">
        <f t="shared" ref="H8:I39" si="2">BJ8</f>
        <v/>
      </c>
      <c r="I8" s="154" t="str">
        <f t="shared" si="2"/>
        <v/>
      </c>
      <c r="J8" s="155"/>
      <c r="K8" s="156"/>
      <c r="L8" s="1072"/>
      <c r="M8" s="1073"/>
      <c r="N8" s="1073"/>
      <c r="O8" s="1073"/>
      <c r="P8" s="1073"/>
      <c r="Q8" s="1073"/>
      <c r="R8" s="1074"/>
      <c r="T8" s="110">
        <v>1</v>
      </c>
      <c r="U8" s="110" t="s">
        <v>211</v>
      </c>
      <c r="V8" s="206" t="s">
        <v>212</v>
      </c>
      <c r="W8" s="206" t="s">
        <v>212</v>
      </c>
      <c r="X8" s="206" t="s">
        <v>212</v>
      </c>
      <c r="Y8" s="206" t="s">
        <v>212</v>
      </c>
      <c r="Z8" s="206">
        <v>1</v>
      </c>
      <c r="AA8" s="206">
        <v>0</v>
      </c>
      <c r="AB8" s="206">
        <v>1</v>
      </c>
      <c r="AC8" s="206" t="s">
        <v>212</v>
      </c>
      <c r="AD8" s="206" t="s">
        <v>212</v>
      </c>
      <c r="AE8" s="206">
        <v>0</v>
      </c>
      <c r="AF8" s="206" t="s">
        <v>212</v>
      </c>
      <c r="AG8" s="206" t="str">
        <f t="shared" ref="AG8:AG39" si="3">IF(CrewSoloQual="Yes",$AC8,$AD8)</f>
        <v/>
      </c>
      <c r="AH8" s="206" t="str">
        <f t="shared" ref="AH8:AH39" si="4">IF(ISNUMBER(AC8),IF(CrewSoloQual="Yes",$AC8-1,$AD8-1),"")</f>
        <v/>
      </c>
      <c r="AI8" s="86">
        <f>IF(NOT(OR(Z8=1,Z8=2)),IF(AQ8&gt;0,$AR$44*AQ8/SUMIF($AQ$8:$AQ$39,"&gt;0"),IF(AU8&gt;0,$AV$44*AU8/SUMIF($AU$8:$AU$39,"&gt;0"),IF(AS8&gt;0,$AT$44*AS8/SUMIF($AS$8:$AS$39,"&gt;0"),""))),IF(SUMIF(AJ9:$AJ$39,"=" &amp; AJ8,AI9:$AI$39)=0,"",SUMIF(AJ9:$AJ$39,"=" &amp; AJ8,AI9:$AI$39)))</f>
        <v>0.05</v>
      </c>
      <c r="AJ8" s="87">
        <f>0</f>
        <v>0</v>
      </c>
      <c r="AK8" s="206" t="str">
        <f>BI8</f>
        <v/>
      </c>
      <c r="AL8" s="206" t="str">
        <f>IF(ISBLANK(K8),"",K8)</f>
        <v/>
      </c>
      <c r="AM8" s="206" t="str">
        <f>IF(ISNUMBER(AK8),IF(ISNUMBER(AL8),1,""),"")</f>
        <v/>
      </c>
      <c r="AN8" s="206" t="str">
        <f t="shared" ref="AN8:AN36" si="5">IF(ISNUMBER(AH8),IF(AND(AB8=0,ISNUMBER(AC8),ISNUMBER(AL8)),1,""),"")</f>
        <v/>
      </c>
      <c r="AO8" s="206" t="str">
        <f t="shared" ref="AO8:AO39" si="6">IF(AB8=0,IF(CrewSoloQual="No",BI8,BK8),"")</f>
        <v/>
      </c>
      <c r="AP8" s="206" t="str">
        <f t="shared" ref="AP8:AP39" si="7">IF(ISNA(Z8),"",IF(AND(ISNUMBER(B8),G8&gt;=1,H8&lt;&gt;"NG"),IF(K8&lt;BK8,TRUE,FALSE),IF(AND(G8&gt;=1,J8="NA"),TRUE,IF(AND(AM8=1,G8=0,AL8&lt;BI8),TRUE,""))))</f>
        <v/>
      </c>
      <c r="AQ8" s="157">
        <f>IF(ISNA(Z8),0,IF(OR(J8="NA",W8="",AB8=0),0,W8))</f>
        <v>0</v>
      </c>
      <c r="AR8" s="88" t="str">
        <f t="shared" ref="AR8:AR39" si="8">IF(ISNA(Z8),"",IF(AND(NOT(OR(Z8=1,Z8=2,AK8="NG",AB8=0)),IF(ISNUMBER(AL8),AL8&gt;=0,FALSE)),VLOOKUP((10*AD8+AC8),$AQ$50:$AV$58,2+AL8,FALSE),IF(AND(input_test=TRUE,ISNUMBER(AD8),V8&lt;&gt;0),VLOOKUP((10*AD8+AC8),$AQ$50:$AV$58,2,FALSE),"")))</f>
        <v/>
      </c>
      <c r="AS8" s="89">
        <f>IF(ISNA(Z8),0,IF(OR(J8="NA",X8="",AB8=1),0,X8))</f>
        <v>0</v>
      </c>
      <c r="AT8" s="88" t="str">
        <f t="shared" ref="AT8:AT39" si="9">IF(ISNA(Z8),"",IF(AND(NOT(OR(Z8=1,Z8=2,AK8="NG",AB8=1)),IF(ISNUMBER(AL8),AL8&gt;=0,FALSE)),VLOOKUP((10*AH8+AG8),$AQ$50:$AV$58,2+AL8,FALSE),IF(AND(input_test=TRUE,ISNUMBER(AD8),V8&lt;&gt;0),VLOOKUP((10*AH8+AG8),$AQ$50:$AV$58,2,FALSE),"")))</f>
        <v/>
      </c>
      <c r="AU8" s="158">
        <f t="shared" ref="AU8:AU39" si="10">IF(ISNA(Z8),0,IF(OR(J8="NA",Y8=""),0,Y8))</f>
        <v>0</v>
      </c>
      <c r="AV8" s="90" t="str">
        <f t="shared" ref="AV8:AV39" si="11">AR8</f>
        <v/>
      </c>
      <c r="AW8" s="158" t="b">
        <f t="shared" ref="AW8:AW39" si="12">IF(ISNA(Z8),FALSE,IF(OR(AB8=1,G8=0,Z8=1,Z8=2),FALSE,IF(OR(J8="NA",J8&gt;=G8),FALSE,TRUE)))</f>
        <v>0</v>
      </c>
      <c r="AX8" s="159" t="b">
        <f t="shared" ref="AX8:AX39" si="13">IF(ISNA(Z8),FALSE,IF(OR(AB8=0,G8=0,Z8=1,Z8=2,J8="NA"),FALSE,IF(AK8="NG",IF(NOT(ISBLANK(K8)),FALSE,TRUE),IF(J8&gt;=G8,FALSE,TRUE))))</f>
        <v>0</v>
      </c>
      <c r="AY8" s="158" t="b">
        <f t="shared" ref="AY8:AY39" si="14">IF(ISNA(Z8),FALSE,IF(OR(AB8=1,G8&lt;1,Z8=1,Z8=2,AE8=0,ISBLANK(K8)),FALSE,IF(OR(J8="NA",K8&gt;=BI8),FALSE,TRUE)))</f>
        <v>0</v>
      </c>
      <c r="AZ8" s="159" t="b">
        <f t="shared" ref="AZ8:AZ39" si="15">IF(ISNA(Z8),FALSE,IF(OR(AB8=0,G8=0,Z8=1,Z8=2,AE8=0,BI8="NG",K8="",ISBLANK(K8)),FALSE,IF(OR(J8="NA",K8&gt;=AK8),FALSE,TRUE)))</f>
        <v>0</v>
      </c>
      <c r="BA8" s="206" t="b">
        <f t="shared" ref="BA8:BA39" si="16">IF(ISNA(Z8),FALSE,IF(OR(AB8=1,G8&lt;1,Z8=1,Z8=2,AE8=0),FALSE,IF(J8="NA",TRUE,FALSE)))</f>
        <v>0</v>
      </c>
      <c r="BB8" s="206" t="b">
        <f t="shared" ref="BB8:BB39" si="17">IF(ISNA(Z8),FALSE,IF(OR(AB8=0,G8=0,Z8=1,Z8=2),FALSE,IF(J8="NA",TRUE,FALSE)))</f>
        <v>0</v>
      </c>
      <c r="BC8" s="158" t="b">
        <f t="shared" ref="BC8:BC39" si="18">IF(OR(ISNA($Z8),ISNUMBER($Z8),NOT(ISNUMBER($J8)),K8="D"),FALSE,IF(AND(NOT(ISNUMBER($K8)),J8&gt;0),TRUE,FALSE))</f>
        <v>0</v>
      </c>
      <c r="BD8" s="160" t="b">
        <f>IF(OR(ISNA($Z8),ISNUMBER($Z8),NOT(ISNUMBER(K8))),FALSE,OR(NOT(ISNUMBER(J8)),J8=0,AND(J8=0,K8&lt;&gt;0)))</f>
        <v>0</v>
      </c>
      <c r="BE8" s="159" t="b">
        <f t="shared" ref="BE8:BE21" si="19">IF(OR(ISNA($Z8),K8&lt;&gt;"D"),FALSE,IF(OR(AND(H8="NG",J8=0),AND(H8&lt;&gt;"NG",NOT(OR(J8="NA",J8=0)))),TRUE,FALSE))</f>
        <v>0</v>
      </c>
      <c r="BF8" s="161" t="b">
        <f t="shared" ref="BF8:BF30" si="20">IF(OR(ISNA($Z8),H8&lt;&gt;"NG"),FALSE,IF(AND(J8="NA",K8&lt;&gt;""),TRUE,FALSE))</f>
        <v>0</v>
      </c>
      <c r="BG8" s="206" t="b">
        <f t="shared" ref="BG8:BG21" si="21">IF(ISNA($Z8),"NA",IF(OR(AZ8,AY8,AX8,AW8,AP8,BA8,BB8),TRUE,FALSE))</f>
        <v>0</v>
      </c>
      <c r="BH8" s="162" t="str">
        <f>IF(ISNA($Z8),"",IF(OR($Z8=1,$Z8=2),"",$V8))</f>
        <v/>
      </c>
      <c r="BI8" s="206" t="str">
        <f t="shared" ref="BI8:BI39" si="22">IF(ISNA($Z8),"",IF(OR($Z8=1,$Z8=2,$G8=""),"",IF(AB8=0,AH8,$AD8)))</f>
        <v/>
      </c>
      <c r="BJ8" s="206" t="str">
        <f t="shared" ref="BJ8:BJ39" si="23">IF(ISNA(AE8),"",IF(OR(Z8=1,Z8=2),"",IF(OR(AE8=0,AD8="NG"),TEXT(BI8,"0"),CONCATENATE(TEXT(BI8,"0"),"*"))))</f>
        <v/>
      </c>
      <c r="BK8" s="206" t="str">
        <f t="shared" ref="BK8:BK39" si="24">IF(ISNA($Z8),"",IF(OR($Z8=1,$Z8=2,$G8=""),"",IF(AB8=0,AG8,$AC8)))</f>
        <v/>
      </c>
      <c r="BL8" s="162" t="str">
        <f>IF(ISBLANK(BH8),"",IF(BH8=0,"",BH8))</f>
        <v/>
      </c>
      <c r="BM8" s="206" t="str">
        <f t="shared" ref="BM8:BM39" si="25">IF($BH8=0,"",IF($BI8="NG","D",$BI8))</f>
        <v/>
      </c>
      <c r="BN8" s="206" t="str">
        <f t="shared" ref="BN8:BN39" si="26">IF(ISNA(U8),"",IF($BH8=0,"",IF($BI8="NG","D",BK8)))</f>
        <v/>
      </c>
      <c r="BO8" s="163" t="s">
        <v>213</v>
      </c>
      <c r="BP8" s="164"/>
    </row>
    <row r="9" spans="2:73" s="105" customFormat="1" ht="12.95" customHeight="1" x14ac:dyDescent="0.2">
      <c r="B9" s="165">
        <f>IF(ISNA(Z9),"",IF(OR(Z9=1,Z9=2),"    ",MAX($B$8:B8)+1))</f>
        <v>1</v>
      </c>
      <c r="C9" s="1375" t="str">
        <f t="shared" si="0"/>
        <v>Basic CR Knowledge/Operations  (1.3%)</v>
      </c>
      <c r="D9" s="1375"/>
      <c r="E9" s="1375"/>
      <c r="F9" s="1376"/>
      <c r="G9" s="152">
        <f t="shared" si="1"/>
        <v>1</v>
      </c>
      <c r="H9" s="153" t="str">
        <f t="shared" si="2"/>
        <v>1*</v>
      </c>
      <c r="I9" s="166">
        <f t="shared" si="2"/>
        <v>2</v>
      </c>
      <c r="J9" s="167"/>
      <c r="K9" s="168"/>
      <c r="L9" s="1075"/>
      <c r="M9" s="1076"/>
      <c r="N9" s="1076"/>
      <c r="O9" s="1076"/>
      <c r="P9" s="1076"/>
      <c r="Q9" s="1076"/>
      <c r="R9" s="1077"/>
      <c r="T9" s="119">
        <v>2</v>
      </c>
      <c r="U9" s="110" t="s">
        <v>285</v>
      </c>
      <c r="V9" s="206">
        <v>1</v>
      </c>
      <c r="W9" s="206" t="s">
        <v>212</v>
      </c>
      <c r="X9" s="206">
        <v>1.3</v>
      </c>
      <c r="Y9" s="206" t="s">
        <v>212</v>
      </c>
      <c r="Z9" s="160" t="s">
        <v>212</v>
      </c>
      <c r="AA9" s="160">
        <v>1</v>
      </c>
      <c r="AB9" s="160">
        <v>0</v>
      </c>
      <c r="AC9" s="206">
        <v>3</v>
      </c>
      <c r="AD9" s="206">
        <v>2</v>
      </c>
      <c r="AE9" s="206">
        <v>1</v>
      </c>
      <c r="AF9" s="206" t="b">
        <v>1</v>
      </c>
      <c r="AG9" s="206">
        <f t="shared" si="3"/>
        <v>2</v>
      </c>
      <c r="AH9" s="206">
        <f t="shared" si="4"/>
        <v>1</v>
      </c>
      <c r="AI9" s="86">
        <f>IF(NOT(OR(Z9=1,Z9=2)),IF(AQ9&gt;0,$AR$44*AQ9/SUMIF($AQ$8:$AQ$39,"&gt;0"),IF(AU9&gt;0,$AV$44*AU9/SUMIF($AU$8:$AU$39,"&gt;0"),IF(AS9&gt;0,$AT$44*AS9/SUMIF($AS$8:$AS$39,"&gt;0"),""))),IF(SUMIF(AJ10:$AJ$39,"=" &amp; AJ9,AI10:$AI$39)=0,"",SUMIF(AJ10:$AJ$39,"=" &amp; AJ9,AI10:$AI$39)))</f>
        <v>1.2745098039215688E-2</v>
      </c>
      <c r="AJ9" s="87">
        <f>IF(OR(Z9=1,Z9=2,AA9&lt;AA8),AJ8+1,AJ8)</f>
        <v>0</v>
      </c>
      <c r="AK9" s="206">
        <f t="shared" ref="AK9:AK39" si="27">BI9</f>
        <v>1</v>
      </c>
      <c r="AL9" s="160" t="str">
        <f t="shared" ref="AL9:AL39" si="28">IF(ISBLANK(K9),"",K9)</f>
        <v/>
      </c>
      <c r="AM9" s="160" t="str">
        <f>IF(ISNUMBER(AK9),IF(ISNUMBER(AL9),1,""),"")</f>
        <v/>
      </c>
      <c r="AN9" s="160" t="str">
        <f t="shared" si="5"/>
        <v/>
      </c>
      <c r="AO9" s="160">
        <f t="shared" si="6"/>
        <v>1</v>
      </c>
      <c r="AP9" s="206" t="b">
        <f>IF(ISNA(Z9),"",IF(AND(ISNUMBER(B9),G9&gt;=1,H9&lt;&gt;"NG"),IF(K9&lt;BK9,TRUE,FALSE),IF(AND(G9&gt;=1,J9="NA"),TRUE,IF(AND(AM9=1,G9=0,AL9&lt;BI9),TRUE,""))))</f>
        <v>1</v>
      </c>
      <c r="AQ9" s="157">
        <f t="shared" ref="AQ9:AQ39" si="29">IF(ISNA(Z9),0,IF(OR(J9="NA",W9="",AB9=0),0,W9))</f>
        <v>0</v>
      </c>
      <c r="AR9" s="88" t="str">
        <f>IF(ISNA(Z9),"",IF(AND(NOT(OR(Z9=1,Z9=2,AK9="NG",AB9=0)),IF(ISNUMBER(AL9),AL9&gt;=0,FALSE)),VLOOKUP((10*AD9+AC9),$AQ$50:$AV$58,2+AL9,FALSE),IF(AND(input_test=TRUE,ISNUMBER(AD9),V9&lt;&gt;0),VLOOKUP((10*AD9+AC9),$AQ$50:$AV$58,2,FALSE),"")))</f>
        <v/>
      </c>
      <c r="AS9" s="89">
        <f t="shared" ref="AS9:AS39" si="30">IF(ISNA(Z9),0,IF(OR(J9="NA",X9="",AB9=1),0,X9))</f>
        <v>1.3</v>
      </c>
      <c r="AT9" s="88" t="str">
        <f>IF(ISNA(Z9),"",IF(AND(NOT(OR(Z9=1,Z9=2,AK9="NG",AB9=1)),IF(ISNUMBER(AL9),AL9&gt;=0,FALSE)),VLOOKUP((10*AH9+AG9),$AQ$50:$AV$58,2+AL9,FALSE),IF(AND(input_test=TRUE,ISNUMBER(AD9),V9&lt;&gt;0),VLOOKUP((10*AH9+AG9),$AQ$50:$AV$58,2,FALSE),"")))</f>
        <v/>
      </c>
      <c r="AU9" s="158">
        <f t="shared" si="10"/>
        <v>0</v>
      </c>
      <c r="AV9" s="90" t="str">
        <f t="shared" si="11"/>
        <v/>
      </c>
      <c r="AW9" s="158" t="b">
        <f t="shared" si="12"/>
        <v>1</v>
      </c>
      <c r="AX9" s="159" t="b">
        <f t="shared" si="13"/>
        <v>0</v>
      </c>
      <c r="AY9" s="158" t="b">
        <f t="shared" si="14"/>
        <v>0</v>
      </c>
      <c r="AZ9" s="159" t="b">
        <f t="shared" si="15"/>
        <v>0</v>
      </c>
      <c r="BA9" s="206" t="b">
        <f t="shared" si="16"/>
        <v>0</v>
      </c>
      <c r="BB9" s="206" t="b">
        <f t="shared" si="17"/>
        <v>0</v>
      </c>
      <c r="BC9" s="158" t="b">
        <f t="shared" si="18"/>
        <v>0</v>
      </c>
      <c r="BD9" s="160" t="b">
        <f t="shared" ref="BD9:BD39" si="31">IF(OR(ISNA($Z9),ISNUMBER($Z9),NOT(ISNUMBER(K9))),FALSE,OR(NOT(ISNUMBER(J9)),J9=0,AND(J9=0,K9&lt;&gt;0)))</f>
        <v>0</v>
      </c>
      <c r="BE9" s="159" t="b">
        <f t="shared" si="19"/>
        <v>0</v>
      </c>
      <c r="BF9" s="161" t="b">
        <f t="shared" si="20"/>
        <v>0</v>
      </c>
      <c r="BG9" s="206" t="b">
        <f t="shared" si="21"/>
        <v>1</v>
      </c>
      <c r="BH9" s="206">
        <f t="shared" ref="BH9:BH39" si="32">IF(ISNA($Z9),"",IF(OR($Z9=1,$Z9=2),"",$V9))</f>
        <v>1</v>
      </c>
      <c r="BI9" s="206">
        <f t="shared" si="22"/>
        <v>1</v>
      </c>
      <c r="BJ9" s="206" t="str">
        <f t="shared" si="23"/>
        <v>1*</v>
      </c>
      <c r="BK9" s="206">
        <f t="shared" si="24"/>
        <v>2</v>
      </c>
      <c r="BL9" s="162">
        <f t="shared" ref="BL9:BL39" si="33">IF(ISBLANK(BH9),"",IF(BH9=0,"",BH9))</f>
        <v>1</v>
      </c>
      <c r="BM9" s="206">
        <f t="shared" si="25"/>
        <v>1</v>
      </c>
      <c r="BN9" s="206">
        <f t="shared" si="26"/>
        <v>2</v>
      </c>
      <c r="BO9" s="169" t="s">
        <v>214</v>
      </c>
      <c r="BP9" s="170" t="s">
        <v>215</v>
      </c>
    </row>
    <row r="10" spans="2:73" s="105" customFormat="1" ht="12.95" customHeight="1" x14ac:dyDescent="0.2">
      <c r="B10" s="165">
        <f>IF(ISNA(Z10),"",IF(OR(Z10=1,Z10=2),"    ",MAX($B$8:B9)+1))</f>
        <v>2</v>
      </c>
      <c r="C10" s="1375" t="str">
        <f t="shared" si="0"/>
        <v>Basic Comm/Airspace Mechanics (1.3%)</v>
      </c>
      <c r="D10" s="1375"/>
      <c r="E10" s="1375"/>
      <c r="F10" s="1376"/>
      <c r="G10" s="152">
        <f t="shared" si="1"/>
        <v>1</v>
      </c>
      <c r="H10" s="153" t="str">
        <f t="shared" si="2"/>
        <v>2*</v>
      </c>
      <c r="I10" s="166">
        <f t="shared" si="2"/>
        <v>3</v>
      </c>
      <c r="J10" s="171"/>
      <c r="K10" s="168"/>
      <c r="L10" s="1075"/>
      <c r="M10" s="1076"/>
      <c r="N10" s="1076"/>
      <c r="O10" s="1076"/>
      <c r="P10" s="1076"/>
      <c r="Q10" s="1076"/>
      <c r="R10" s="1077"/>
      <c r="T10" s="119">
        <v>3</v>
      </c>
      <c r="U10" s="110" t="s">
        <v>272</v>
      </c>
      <c r="V10" s="206">
        <v>1</v>
      </c>
      <c r="W10" s="206" t="s">
        <v>212</v>
      </c>
      <c r="X10" s="206">
        <v>1.3</v>
      </c>
      <c r="Y10" s="206" t="s">
        <v>212</v>
      </c>
      <c r="Z10" s="160" t="s">
        <v>212</v>
      </c>
      <c r="AA10" s="160">
        <v>1</v>
      </c>
      <c r="AB10" s="160">
        <v>0</v>
      </c>
      <c r="AC10" s="206">
        <v>3</v>
      </c>
      <c r="AD10" s="206">
        <v>3</v>
      </c>
      <c r="AE10" s="206">
        <v>1</v>
      </c>
      <c r="AF10" s="206" t="b">
        <v>1</v>
      </c>
      <c r="AG10" s="206">
        <f t="shared" si="3"/>
        <v>3</v>
      </c>
      <c r="AH10" s="206">
        <f t="shared" si="4"/>
        <v>2</v>
      </c>
      <c r="AI10" s="86">
        <f>IF(NOT(OR(Z10=1,Z10=2)),IF(AQ10&gt;0,$AR$44*AQ10/SUMIF($AQ$8:$AQ$39,"&gt;0"),IF(AU10&gt;0,$AV$44*AU10/SUMIF($AU$8:$AU$39,"&gt;0"),IF(AS10&gt;0,$AT$44*AS10/SUMIF($AS$8:$AS$39,"&gt;0"),""))),IF(SUMIF(AJ11:$AJ$39,"=" &amp; AJ10,AI11:$AI$39)=0,"",SUMIF(AJ11:$AJ$39,"=" &amp; AJ10,AI11:$AI$39)))</f>
        <v>1.2745098039215688E-2</v>
      </c>
      <c r="AJ10" s="87">
        <f t="shared" ref="AJ10:AJ39" si="34">IF(OR(Z10=1,Z10=2,AA10&lt;AA9),AJ9+1,AJ9)</f>
        <v>0</v>
      </c>
      <c r="AK10" s="206">
        <f t="shared" si="27"/>
        <v>2</v>
      </c>
      <c r="AL10" s="160" t="str">
        <f t="shared" si="28"/>
        <v/>
      </c>
      <c r="AM10" s="160" t="str">
        <f t="shared" ref="AM10:AM39" si="35">IF(ISNUMBER(AK10),IF(ISNUMBER(AL10),1,""),"")</f>
        <v/>
      </c>
      <c r="AN10" s="160" t="str">
        <f t="shared" si="5"/>
        <v/>
      </c>
      <c r="AO10" s="160">
        <f t="shared" si="6"/>
        <v>2</v>
      </c>
      <c r="AP10" s="206" t="b">
        <f t="shared" si="7"/>
        <v>1</v>
      </c>
      <c r="AQ10" s="157">
        <f t="shared" si="29"/>
        <v>0</v>
      </c>
      <c r="AR10" s="88" t="str">
        <f t="shared" si="8"/>
        <v/>
      </c>
      <c r="AS10" s="89">
        <f t="shared" si="30"/>
        <v>1.3</v>
      </c>
      <c r="AT10" s="88" t="str">
        <f t="shared" si="9"/>
        <v/>
      </c>
      <c r="AU10" s="158">
        <f t="shared" si="10"/>
        <v>0</v>
      </c>
      <c r="AV10" s="90" t="str">
        <f t="shared" si="11"/>
        <v/>
      </c>
      <c r="AW10" s="158" t="b">
        <f t="shared" si="12"/>
        <v>1</v>
      </c>
      <c r="AX10" s="159" t="b">
        <f t="shared" si="13"/>
        <v>0</v>
      </c>
      <c r="AY10" s="158" t="b">
        <f t="shared" si="14"/>
        <v>0</v>
      </c>
      <c r="AZ10" s="159" t="b">
        <f t="shared" si="15"/>
        <v>0</v>
      </c>
      <c r="BA10" s="206" t="b">
        <f t="shared" si="16"/>
        <v>0</v>
      </c>
      <c r="BB10" s="206" t="b">
        <f t="shared" si="17"/>
        <v>0</v>
      </c>
      <c r="BC10" s="158" t="b">
        <f t="shared" si="18"/>
        <v>0</v>
      </c>
      <c r="BD10" s="160" t="b">
        <f t="shared" si="31"/>
        <v>0</v>
      </c>
      <c r="BE10" s="159" t="b">
        <f t="shared" si="19"/>
        <v>0</v>
      </c>
      <c r="BF10" s="161" t="b">
        <f t="shared" si="20"/>
        <v>0</v>
      </c>
      <c r="BG10" s="206" t="b">
        <f t="shared" si="21"/>
        <v>1</v>
      </c>
      <c r="BH10" s="206">
        <f t="shared" si="32"/>
        <v>1</v>
      </c>
      <c r="BI10" s="206">
        <f t="shared" si="22"/>
        <v>2</v>
      </c>
      <c r="BJ10" s="206" t="str">
        <f t="shared" si="23"/>
        <v>2*</v>
      </c>
      <c r="BK10" s="206">
        <f t="shared" si="24"/>
        <v>3</v>
      </c>
      <c r="BL10" s="162">
        <f t="shared" si="33"/>
        <v>1</v>
      </c>
      <c r="BM10" s="206">
        <f t="shared" si="25"/>
        <v>2</v>
      </c>
      <c r="BN10" s="206">
        <f t="shared" si="26"/>
        <v>3</v>
      </c>
      <c r="BO10" s="169">
        <v>0</v>
      </c>
      <c r="BP10" s="170" t="s">
        <v>216</v>
      </c>
    </row>
    <row r="11" spans="2:73" s="105" customFormat="1" ht="12.95" customHeight="1" x14ac:dyDescent="0.2">
      <c r="B11" s="165">
        <f>IF(ISNA(Z11),"",IF(OR(Z11=1,Z11=2),"    ",MAX($B$8:B10)+1))</f>
        <v>3</v>
      </c>
      <c r="C11" s="1375" t="str">
        <f t="shared" si="0"/>
        <v>Basic SA/Judgement (2.5%)</v>
      </c>
      <c r="D11" s="1375"/>
      <c r="E11" s="1375"/>
      <c r="F11" s="1376"/>
      <c r="G11" s="152">
        <f t="shared" si="1"/>
        <v>1</v>
      </c>
      <c r="H11" s="153" t="str">
        <f t="shared" si="2"/>
        <v>2*</v>
      </c>
      <c r="I11" s="166">
        <f t="shared" si="2"/>
        <v>3</v>
      </c>
      <c r="J11" s="171"/>
      <c r="K11" s="168"/>
      <c r="L11" s="1075"/>
      <c r="M11" s="1076"/>
      <c r="N11" s="1076"/>
      <c r="O11" s="1076"/>
      <c r="P11" s="1076"/>
      <c r="Q11" s="1076"/>
      <c r="R11" s="1077"/>
      <c r="T11" s="119">
        <v>4</v>
      </c>
      <c r="U11" s="110" t="s">
        <v>273</v>
      </c>
      <c r="V11" s="206">
        <v>1</v>
      </c>
      <c r="W11" s="206" t="s">
        <v>212</v>
      </c>
      <c r="X11" s="206">
        <v>2.5</v>
      </c>
      <c r="Y11" s="206" t="s">
        <v>212</v>
      </c>
      <c r="Z11" s="160" t="s">
        <v>212</v>
      </c>
      <c r="AA11" s="160">
        <v>1</v>
      </c>
      <c r="AB11" s="160">
        <v>0</v>
      </c>
      <c r="AC11" s="206">
        <v>3</v>
      </c>
      <c r="AD11" s="206">
        <v>3</v>
      </c>
      <c r="AE11" s="206">
        <v>1</v>
      </c>
      <c r="AF11" s="206" t="b">
        <v>1</v>
      </c>
      <c r="AG11" s="206">
        <f t="shared" si="3"/>
        <v>3</v>
      </c>
      <c r="AH11" s="206">
        <f t="shared" si="4"/>
        <v>2</v>
      </c>
      <c r="AI11" s="86">
        <f>IF(NOT(OR(Z11=1,Z11=2)),IF(AQ11&gt;0,$AR$44*AQ11/SUMIF($AQ$8:$AQ$39,"&gt;0"),IF(AU11&gt;0,$AV$44*AU11/SUMIF($AU$8:$AU$39,"&gt;0"),IF(AS11&gt;0,$AT$44*AS11/SUMIF($AS$8:$AS$39,"&gt;0"),""))),IF(SUMIF(AJ12:$AJ$39,"=" &amp; AJ11,AI12:$AI$39)=0,"",SUMIF(AJ12:$AJ$39,"=" &amp; AJ11,AI12:$AI$39)))</f>
        <v>2.4509803921568631E-2</v>
      </c>
      <c r="AJ11" s="87">
        <f t="shared" si="34"/>
        <v>0</v>
      </c>
      <c r="AK11" s="206">
        <f t="shared" si="27"/>
        <v>2</v>
      </c>
      <c r="AL11" s="160" t="str">
        <f t="shared" si="28"/>
        <v/>
      </c>
      <c r="AM11" s="160" t="str">
        <f t="shared" si="35"/>
        <v/>
      </c>
      <c r="AN11" s="160" t="str">
        <f t="shared" si="5"/>
        <v/>
      </c>
      <c r="AO11" s="160">
        <f t="shared" si="6"/>
        <v>2</v>
      </c>
      <c r="AP11" s="206" t="b">
        <f t="shared" si="7"/>
        <v>1</v>
      </c>
      <c r="AQ11" s="157">
        <f t="shared" si="29"/>
        <v>0</v>
      </c>
      <c r="AR11" s="88" t="str">
        <f t="shared" si="8"/>
        <v/>
      </c>
      <c r="AS11" s="89">
        <f t="shared" si="30"/>
        <v>2.5</v>
      </c>
      <c r="AT11" s="88" t="str">
        <f t="shared" si="9"/>
        <v/>
      </c>
      <c r="AU11" s="158">
        <f t="shared" si="10"/>
        <v>0</v>
      </c>
      <c r="AV11" s="90" t="str">
        <f t="shared" si="11"/>
        <v/>
      </c>
      <c r="AW11" s="158" t="b">
        <f t="shared" si="12"/>
        <v>1</v>
      </c>
      <c r="AX11" s="159" t="b">
        <f t="shared" si="13"/>
        <v>0</v>
      </c>
      <c r="AY11" s="158" t="b">
        <f t="shared" si="14"/>
        <v>0</v>
      </c>
      <c r="AZ11" s="159" t="b">
        <f t="shared" si="15"/>
        <v>0</v>
      </c>
      <c r="BA11" s="206" t="b">
        <f t="shared" si="16"/>
        <v>0</v>
      </c>
      <c r="BB11" s="206" t="b">
        <f t="shared" si="17"/>
        <v>0</v>
      </c>
      <c r="BC11" s="158" t="b">
        <f t="shared" si="18"/>
        <v>0</v>
      </c>
      <c r="BD11" s="160" t="b">
        <f t="shared" si="31"/>
        <v>0</v>
      </c>
      <c r="BE11" s="159" t="b">
        <f t="shared" si="19"/>
        <v>0</v>
      </c>
      <c r="BF11" s="161" t="b">
        <f t="shared" si="20"/>
        <v>0</v>
      </c>
      <c r="BG11" s="206" t="b">
        <f t="shared" si="21"/>
        <v>1</v>
      </c>
      <c r="BH11" s="206">
        <f t="shared" si="32"/>
        <v>1</v>
      </c>
      <c r="BI11" s="206">
        <f t="shared" si="22"/>
        <v>2</v>
      </c>
      <c r="BJ11" s="206" t="str">
        <f t="shared" si="23"/>
        <v>2*</v>
      </c>
      <c r="BK11" s="206">
        <f t="shared" si="24"/>
        <v>3</v>
      </c>
      <c r="BL11" s="162">
        <f t="shared" si="33"/>
        <v>1</v>
      </c>
      <c r="BM11" s="206">
        <f t="shared" si="25"/>
        <v>2</v>
      </c>
      <c r="BN11" s="206">
        <f t="shared" si="26"/>
        <v>3</v>
      </c>
      <c r="BO11" s="169">
        <v>1</v>
      </c>
      <c r="BP11" s="170" t="s">
        <v>217</v>
      </c>
    </row>
    <row r="12" spans="2:73" s="105" customFormat="1" ht="12.95" customHeight="1" x14ac:dyDescent="0.2">
      <c r="B12" s="165" t="str">
        <f>IF(ISNA(Z12),"",IF(OR(Z12=1,Z12=2),"    ",MAX($B$8:B11)+1))</f>
        <v xml:space="preserve">    </v>
      </c>
      <c r="C12" s="1375" t="str">
        <f t="shared" si="0"/>
        <v>Academic Tasks</v>
      </c>
      <c r="D12" s="1375"/>
      <c r="E12" s="1375"/>
      <c r="F12" s="1376"/>
      <c r="G12" s="152" t="str">
        <f t="shared" si="1"/>
        <v/>
      </c>
      <c r="H12" s="153" t="str">
        <f t="shared" si="2"/>
        <v/>
      </c>
      <c r="I12" s="166" t="str">
        <f t="shared" si="2"/>
        <v/>
      </c>
      <c r="J12" s="172"/>
      <c r="K12" s="173"/>
      <c r="L12" s="1075"/>
      <c r="M12" s="1076"/>
      <c r="N12" s="1076"/>
      <c r="O12" s="1076"/>
      <c r="P12" s="1076"/>
      <c r="Q12" s="1076"/>
      <c r="R12" s="1077"/>
      <c r="T12" s="119">
        <v>5</v>
      </c>
      <c r="U12" s="110" t="s">
        <v>219</v>
      </c>
      <c r="V12" s="206" t="s">
        <v>212</v>
      </c>
      <c r="W12" s="206" t="s">
        <v>212</v>
      </c>
      <c r="X12" s="206" t="s">
        <v>212</v>
      </c>
      <c r="Y12" s="206" t="s">
        <v>212</v>
      </c>
      <c r="Z12" s="160">
        <v>1</v>
      </c>
      <c r="AA12" s="160">
        <v>0</v>
      </c>
      <c r="AB12" s="160">
        <v>1</v>
      </c>
      <c r="AC12" s="206" t="s">
        <v>212</v>
      </c>
      <c r="AD12" s="206" t="s">
        <v>212</v>
      </c>
      <c r="AE12" s="206">
        <v>0</v>
      </c>
      <c r="AF12" s="206" t="s">
        <v>212</v>
      </c>
      <c r="AG12" s="206" t="str">
        <f t="shared" si="3"/>
        <v/>
      </c>
      <c r="AH12" s="206" t="str">
        <f t="shared" si="4"/>
        <v/>
      </c>
      <c r="AI12" s="86" t="str">
        <f>IF(NOT(OR(Z12=1,Z12=2)),IF(AQ12&gt;0,$AR$44*AQ12/SUMIF($AQ$8:$AQ$39,"&gt;0"),IF(AU12&gt;0,$AV$44*AU12/SUMIF($AU$8:$AU$39,"&gt;0"),IF(AS12&gt;0,$AT$44*AS12/SUMIF($AS$8:$AS$39,"&gt;0"),""))),IF(SUMIF(AJ13:$AJ$39,"=" &amp; AJ12,AI13:$AI$39)=0,"",SUMIF(AJ13:$AJ$39,"=" &amp; AJ12,AI13:$AI$39)))</f>
        <v/>
      </c>
      <c r="AJ12" s="87">
        <f t="shared" si="34"/>
        <v>1</v>
      </c>
      <c r="AK12" s="206" t="str">
        <f t="shared" si="27"/>
        <v/>
      </c>
      <c r="AL12" s="160" t="str">
        <f t="shared" si="28"/>
        <v/>
      </c>
      <c r="AM12" s="160" t="str">
        <f t="shared" si="35"/>
        <v/>
      </c>
      <c r="AN12" s="160" t="str">
        <f t="shared" si="5"/>
        <v/>
      </c>
      <c r="AO12" s="160" t="str">
        <f t="shared" si="6"/>
        <v/>
      </c>
      <c r="AP12" s="206" t="str">
        <f t="shared" si="7"/>
        <v/>
      </c>
      <c r="AQ12" s="157">
        <f t="shared" si="29"/>
        <v>0</v>
      </c>
      <c r="AR12" s="88" t="str">
        <f t="shared" si="8"/>
        <v/>
      </c>
      <c r="AS12" s="89">
        <f t="shared" si="30"/>
        <v>0</v>
      </c>
      <c r="AT12" s="88" t="str">
        <f t="shared" si="9"/>
        <v/>
      </c>
      <c r="AU12" s="158">
        <f t="shared" si="10"/>
        <v>0</v>
      </c>
      <c r="AV12" s="90" t="str">
        <f t="shared" si="11"/>
        <v/>
      </c>
      <c r="AW12" s="158" t="b">
        <f t="shared" si="12"/>
        <v>0</v>
      </c>
      <c r="AX12" s="159" t="b">
        <f t="shared" si="13"/>
        <v>0</v>
      </c>
      <c r="AY12" s="158" t="b">
        <f t="shared" si="14"/>
        <v>0</v>
      </c>
      <c r="AZ12" s="159" t="b">
        <f t="shared" si="15"/>
        <v>0</v>
      </c>
      <c r="BA12" s="206" t="b">
        <f t="shared" si="16"/>
        <v>0</v>
      </c>
      <c r="BB12" s="206" t="b">
        <f t="shared" si="17"/>
        <v>0</v>
      </c>
      <c r="BC12" s="158" t="b">
        <f t="shared" si="18"/>
        <v>0</v>
      </c>
      <c r="BD12" s="160" t="b">
        <f t="shared" si="31"/>
        <v>0</v>
      </c>
      <c r="BE12" s="159" t="b">
        <f t="shared" si="19"/>
        <v>0</v>
      </c>
      <c r="BF12" s="161" t="b">
        <f t="shared" si="20"/>
        <v>0</v>
      </c>
      <c r="BG12" s="206" t="b">
        <f t="shared" si="21"/>
        <v>0</v>
      </c>
      <c r="BH12" s="206" t="str">
        <f t="shared" si="32"/>
        <v/>
      </c>
      <c r="BI12" s="206" t="str">
        <f t="shared" si="22"/>
        <v/>
      </c>
      <c r="BJ12" s="206" t="str">
        <f t="shared" si="23"/>
        <v/>
      </c>
      <c r="BK12" s="206" t="str">
        <f t="shared" si="24"/>
        <v/>
      </c>
      <c r="BL12" s="162" t="str">
        <f t="shared" si="33"/>
        <v/>
      </c>
      <c r="BM12" s="206" t="str">
        <f t="shared" si="25"/>
        <v/>
      </c>
      <c r="BN12" s="206" t="str">
        <f t="shared" si="26"/>
        <v/>
      </c>
      <c r="BO12" s="169">
        <v>2</v>
      </c>
      <c r="BP12" s="170" t="s">
        <v>218</v>
      </c>
    </row>
    <row r="13" spans="2:73" s="105" customFormat="1" ht="12.95" customHeight="1" x14ac:dyDescent="0.2">
      <c r="B13" s="165" t="str">
        <f>IF(ISNA(Z13),"",IF(OR(Z13=1,Z13=2),"    ",MAX($B$8:B12)+1))</f>
        <v xml:space="preserve">    </v>
      </c>
      <c r="C13" s="1375" t="str">
        <f t="shared" si="0"/>
        <v>Test Conduct (75.8%)</v>
      </c>
      <c r="D13" s="1375"/>
      <c r="E13" s="1375"/>
      <c r="F13" s="1376"/>
      <c r="G13" s="152" t="str">
        <f t="shared" si="1"/>
        <v/>
      </c>
      <c r="H13" s="153" t="str">
        <f t="shared" si="2"/>
        <v/>
      </c>
      <c r="I13" s="166" t="str">
        <f t="shared" si="2"/>
        <v/>
      </c>
      <c r="J13" s="172"/>
      <c r="K13" s="173"/>
      <c r="L13" s="1075"/>
      <c r="M13" s="1076"/>
      <c r="N13" s="1076"/>
      <c r="O13" s="1076"/>
      <c r="P13" s="1076"/>
      <c r="Q13" s="1076"/>
      <c r="R13" s="1077"/>
      <c r="T13" s="119">
        <v>6</v>
      </c>
      <c r="U13" s="110" t="s">
        <v>221</v>
      </c>
      <c r="V13" s="206" t="s">
        <v>212</v>
      </c>
      <c r="W13" s="206" t="s">
        <v>212</v>
      </c>
      <c r="X13" s="206" t="s">
        <v>212</v>
      </c>
      <c r="Y13" s="206" t="s">
        <v>212</v>
      </c>
      <c r="Z13" s="160">
        <v>2</v>
      </c>
      <c r="AA13" s="160">
        <v>1</v>
      </c>
      <c r="AB13" s="160">
        <v>1</v>
      </c>
      <c r="AC13" s="206" t="s">
        <v>212</v>
      </c>
      <c r="AD13" s="206" t="s">
        <v>212</v>
      </c>
      <c r="AE13" s="206" t="s">
        <v>212</v>
      </c>
      <c r="AF13" s="206" t="s">
        <v>212</v>
      </c>
      <c r="AG13" s="206" t="str">
        <f t="shared" si="3"/>
        <v/>
      </c>
      <c r="AH13" s="206" t="str">
        <f t="shared" si="4"/>
        <v/>
      </c>
      <c r="AI13" s="86">
        <f>IF(NOT(OR(Z13=1,Z13=2)),IF(AQ13&gt;0,$AR$44*AQ13/SUMIF($AQ$8:$AQ$39,"&gt;0"),IF(AU13&gt;0,$AV$44*AU13/SUMIF($AU$8:$AU$39,"&gt;0"),IF(AS13&gt;0,$AT$44*AS13/SUMIF($AS$8:$AS$39,"&gt;0"),""))),IF(SUMIF(AJ14:$AJ$39,"=" &amp; AJ13,AI14:$AI$39)=0,"",SUMIF(AJ14:$AJ$39,"=" &amp; AJ13,AI14:$AI$39)))</f>
        <v>0.75797872340425532</v>
      </c>
      <c r="AJ13" s="87">
        <f t="shared" si="34"/>
        <v>2</v>
      </c>
      <c r="AK13" s="206" t="str">
        <f t="shared" si="27"/>
        <v/>
      </c>
      <c r="AL13" s="160" t="str">
        <f t="shared" si="28"/>
        <v/>
      </c>
      <c r="AM13" s="160" t="str">
        <f t="shared" si="35"/>
        <v/>
      </c>
      <c r="AN13" s="160" t="str">
        <f t="shared" si="5"/>
        <v/>
      </c>
      <c r="AO13" s="160" t="str">
        <f t="shared" si="6"/>
        <v/>
      </c>
      <c r="AP13" s="206" t="str">
        <f t="shared" si="7"/>
        <v/>
      </c>
      <c r="AQ13" s="157">
        <f t="shared" si="29"/>
        <v>0</v>
      </c>
      <c r="AR13" s="88" t="str">
        <f t="shared" si="8"/>
        <v/>
      </c>
      <c r="AS13" s="89">
        <f t="shared" si="30"/>
        <v>0</v>
      </c>
      <c r="AT13" s="88" t="str">
        <f t="shared" si="9"/>
        <v/>
      </c>
      <c r="AU13" s="158">
        <f t="shared" si="10"/>
        <v>0</v>
      </c>
      <c r="AV13" s="90" t="str">
        <f t="shared" si="11"/>
        <v/>
      </c>
      <c r="AW13" s="158" t="b">
        <f t="shared" si="12"/>
        <v>0</v>
      </c>
      <c r="AX13" s="159" t="b">
        <f t="shared" si="13"/>
        <v>0</v>
      </c>
      <c r="AY13" s="158" t="b">
        <f t="shared" si="14"/>
        <v>0</v>
      </c>
      <c r="AZ13" s="159" t="b">
        <f t="shared" si="15"/>
        <v>0</v>
      </c>
      <c r="BA13" s="206" t="b">
        <f t="shared" si="16"/>
        <v>0</v>
      </c>
      <c r="BB13" s="206" t="b">
        <f t="shared" si="17"/>
        <v>0</v>
      </c>
      <c r="BC13" s="158" t="b">
        <f t="shared" si="18"/>
        <v>0</v>
      </c>
      <c r="BD13" s="160" t="b">
        <f t="shared" si="31"/>
        <v>0</v>
      </c>
      <c r="BE13" s="159" t="b">
        <f t="shared" si="19"/>
        <v>0</v>
      </c>
      <c r="BF13" s="161" t="b">
        <f t="shared" si="20"/>
        <v>0</v>
      </c>
      <c r="BG13" s="206" t="b">
        <f t="shared" si="21"/>
        <v>0</v>
      </c>
      <c r="BH13" s="206" t="str">
        <f t="shared" si="32"/>
        <v/>
      </c>
      <c r="BI13" s="206" t="str">
        <f t="shared" si="22"/>
        <v/>
      </c>
      <c r="BJ13" s="206" t="str">
        <f t="shared" si="23"/>
        <v/>
      </c>
      <c r="BK13" s="206" t="str">
        <f t="shared" si="24"/>
        <v/>
      </c>
      <c r="BL13" s="162" t="str">
        <f t="shared" si="33"/>
        <v/>
      </c>
      <c r="BM13" s="206" t="str">
        <f t="shared" si="25"/>
        <v/>
      </c>
      <c r="BN13" s="206" t="str">
        <f t="shared" si="26"/>
        <v/>
      </c>
      <c r="BO13" s="169">
        <v>3</v>
      </c>
      <c r="BP13" s="170" t="s">
        <v>220</v>
      </c>
    </row>
    <row r="14" spans="2:73" s="105" customFormat="1" ht="12.95" customHeight="1" x14ac:dyDescent="0.2">
      <c r="B14" s="165">
        <f>IF(ISNA(Z14),"",IF(OR(Z14=1,Z14=2),"    ",MAX($B$8:B13)+1))</f>
        <v>4</v>
      </c>
      <c r="C14" s="1375" t="str">
        <f t="shared" si="0"/>
        <v xml:space="preserve">      - Mission Materials/Briefing (5.1%)</v>
      </c>
      <c r="D14" s="1375"/>
      <c r="E14" s="1375"/>
      <c r="F14" s="1376"/>
      <c r="G14" s="152">
        <f t="shared" si="1"/>
        <v>1</v>
      </c>
      <c r="H14" s="153" t="str">
        <f t="shared" si="2"/>
        <v>2</v>
      </c>
      <c r="I14" s="166">
        <f t="shared" si="2"/>
        <v>3</v>
      </c>
      <c r="J14" s="171"/>
      <c r="K14" s="168"/>
      <c r="L14" s="1075"/>
      <c r="M14" s="1076"/>
      <c r="N14" s="1076"/>
      <c r="O14" s="1076"/>
      <c r="P14" s="1076"/>
      <c r="Q14" s="1076"/>
      <c r="R14" s="1077"/>
      <c r="T14" s="119">
        <v>7</v>
      </c>
      <c r="U14" s="110" t="s">
        <v>274</v>
      </c>
      <c r="V14" s="206">
        <v>1</v>
      </c>
      <c r="W14" s="206">
        <v>5</v>
      </c>
      <c r="X14" s="206" t="s">
        <v>212</v>
      </c>
      <c r="Y14" s="206" t="s">
        <v>212</v>
      </c>
      <c r="Z14" s="160" t="s">
        <v>212</v>
      </c>
      <c r="AA14" s="160">
        <v>2</v>
      </c>
      <c r="AB14" s="160">
        <v>1</v>
      </c>
      <c r="AC14" s="206">
        <v>3</v>
      </c>
      <c r="AD14" s="206">
        <v>2</v>
      </c>
      <c r="AE14" s="206">
        <v>0</v>
      </c>
      <c r="AF14" s="206" t="b">
        <v>1</v>
      </c>
      <c r="AG14" s="206">
        <f t="shared" si="3"/>
        <v>2</v>
      </c>
      <c r="AH14" s="206">
        <f t="shared" si="4"/>
        <v>1</v>
      </c>
      <c r="AI14" s="86">
        <f>IF(NOT(OR(Z14=1,Z14=2)),IF(AQ14&gt;0,$AR$44*AQ14/SUMIF($AQ$8:$AQ$39,"&gt;0"),IF(AU14&gt;0,$AV$44*AU14/SUMIF($AU$8:$AU$39,"&gt;0"),IF(AS14&gt;0,$AT$44*AS14/SUMIF($AS$8:$AS$39,"&gt;0"),""))),IF(SUMIF(AJ15:$AJ$39,"=" &amp; AJ14,AI15:$AI$39)=0,"",SUMIF(AJ15:$AJ$39,"=" &amp; AJ14,AI15:$AI$39)))</f>
        <v>5.0531914893617018E-2</v>
      </c>
      <c r="AJ14" s="87">
        <f t="shared" si="34"/>
        <v>2</v>
      </c>
      <c r="AK14" s="206">
        <f t="shared" si="27"/>
        <v>2</v>
      </c>
      <c r="AL14" s="160" t="str">
        <f t="shared" si="28"/>
        <v/>
      </c>
      <c r="AM14" s="160" t="str">
        <f t="shared" si="35"/>
        <v/>
      </c>
      <c r="AN14" s="160" t="str">
        <f t="shared" si="5"/>
        <v/>
      </c>
      <c r="AO14" s="160" t="str">
        <f t="shared" si="6"/>
        <v/>
      </c>
      <c r="AP14" s="206" t="b">
        <f t="shared" si="7"/>
        <v>1</v>
      </c>
      <c r="AQ14" s="157">
        <f t="shared" si="29"/>
        <v>5</v>
      </c>
      <c r="AR14" s="88" t="str">
        <f t="shared" si="8"/>
        <v/>
      </c>
      <c r="AS14" s="89">
        <f t="shared" si="30"/>
        <v>0</v>
      </c>
      <c r="AT14" s="88" t="str">
        <f t="shared" si="9"/>
        <v/>
      </c>
      <c r="AU14" s="158">
        <f t="shared" si="10"/>
        <v>0</v>
      </c>
      <c r="AV14" s="90" t="str">
        <f t="shared" si="11"/>
        <v/>
      </c>
      <c r="AW14" s="158" t="b">
        <f t="shared" si="12"/>
        <v>0</v>
      </c>
      <c r="AX14" s="159" t="b">
        <f t="shared" si="13"/>
        <v>1</v>
      </c>
      <c r="AY14" s="158" t="b">
        <f t="shared" si="14"/>
        <v>0</v>
      </c>
      <c r="AZ14" s="159" t="b">
        <f t="shared" si="15"/>
        <v>0</v>
      </c>
      <c r="BA14" s="206" t="b">
        <f t="shared" si="16"/>
        <v>0</v>
      </c>
      <c r="BB14" s="206" t="b">
        <f t="shared" si="17"/>
        <v>0</v>
      </c>
      <c r="BC14" s="158" t="b">
        <f t="shared" si="18"/>
        <v>0</v>
      </c>
      <c r="BD14" s="160" t="b">
        <f t="shared" si="31"/>
        <v>0</v>
      </c>
      <c r="BE14" s="159" t="b">
        <f t="shared" si="19"/>
        <v>0</v>
      </c>
      <c r="BF14" s="161" t="b">
        <f t="shared" si="20"/>
        <v>0</v>
      </c>
      <c r="BG14" s="206" t="b">
        <f t="shared" si="21"/>
        <v>1</v>
      </c>
      <c r="BH14" s="206">
        <f t="shared" si="32"/>
        <v>1</v>
      </c>
      <c r="BI14" s="206">
        <f t="shared" si="22"/>
        <v>2</v>
      </c>
      <c r="BJ14" s="206" t="str">
        <f t="shared" si="23"/>
        <v>2</v>
      </c>
      <c r="BK14" s="206">
        <f t="shared" si="24"/>
        <v>3</v>
      </c>
      <c r="BL14" s="162">
        <f t="shared" si="33"/>
        <v>1</v>
      </c>
      <c r="BM14" s="206">
        <f t="shared" si="25"/>
        <v>2</v>
      </c>
      <c r="BN14" s="206">
        <f t="shared" si="26"/>
        <v>3</v>
      </c>
      <c r="BO14" s="169">
        <v>4</v>
      </c>
      <c r="BP14" s="170" t="s">
        <v>222</v>
      </c>
    </row>
    <row r="15" spans="2:73" s="105" customFormat="1" ht="12.95" customHeight="1" x14ac:dyDescent="0.2">
      <c r="B15" s="165">
        <f>IF(ISNA(Z15),"",IF(OR(Z15=1,Z15=2),"    ",MAX($B$8:B14)+1))</f>
        <v>5</v>
      </c>
      <c r="C15" s="1375" t="str">
        <f t="shared" si="0"/>
        <v xml:space="preserve">      - Mission Management/Adaptability (15.2%)</v>
      </c>
      <c r="D15" s="1375"/>
      <c r="E15" s="1375"/>
      <c r="F15" s="1376"/>
      <c r="G15" s="152">
        <f t="shared" si="1"/>
        <v>1</v>
      </c>
      <c r="H15" s="153" t="str">
        <f t="shared" si="2"/>
        <v>2</v>
      </c>
      <c r="I15" s="166">
        <f t="shared" si="2"/>
        <v>3</v>
      </c>
      <c r="J15" s="171"/>
      <c r="K15" s="168"/>
      <c r="L15" s="1075"/>
      <c r="M15" s="1076"/>
      <c r="N15" s="1076"/>
      <c r="O15" s="1076"/>
      <c r="P15" s="1076"/>
      <c r="Q15" s="1076"/>
      <c r="R15" s="1077"/>
      <c r="T15" s="119">
        <v>8</v>
      </c>
      <c r="U15" s="110" t="s">
        <v>275</v>
      </c>
      <c r="V15" s="206">
        <v>1</v>
      </c>
      <c r="W15" s="206">
        <v>15</v>
      </c>
      <c r="X15" s="206" t="s">
        <v>212</v>
      </c>
      <c r="Y15" s="206" t="s">
        <v>212</v>
      </c>
      <c r="Z15" s="160" t="s">
        <v>212</v>
      </c>
      <c r="AA15" s="160">
        <v>2</v>
      </c>
      <c r="AB15" s="160">
        <v>1</v>
      </c>
      <c r="AC15" s="206">
        <v>3</v>
      </c>
      <c r="AD15" s="206">
        <v>2</v>
      </c>
      <c r="AE15" s="206">
        <v>0</v>
      </c>
      <c r="AF15" s="206" t="b">
        <v>1</v>
      </c>
      <c r="AG15" s="206">
        <f t="shared" si="3"/>
        <v>2</v>
      </c>
      <c r="AH15" s="206">
        <f t="shared" si="4"/>
        <v>1</v>
      </c>
      <c r="AI15" s="86">
        <f>IF(NOT(OR(Z15=1,Z15=2)),IF(AQ15&gt;0,$AR$44*AQ15/SUMIF($AQ$8:$AQ$39,"&gt;0"),IF(AU15&gt;0,$AV$44*AU15/SUMIF($AU$8:$AU$39,"&gt;0"),IF(AS15&gt;0,$AT$44*AS15/SUMIF($AS$8:$AS$39,"&gt;0"),""))),IF(SUMIF(AJ16:$AJ$39,"=" &amp; AJ15,AI16:$AI$39)=0,"",SUMIF(AJ16:$AJ$39,"=" &amp; AJ15,AI16:$AI$39)))</f>
        <v>0.15159574468085107</v>
      </c>
      <c r="AJ15" s="87">
        <f t="shared" si="34"/>
        <v>2</v>
      </c>
      <c r="AK15" s="206">
        <f t="shared" si="27"/>
        <v>2</v>
      </c>
      <c r="AL15" s="160" t="str">
        <f t="shared" si="28"/>
        <v/>
      </c>
      <c r="AM15" s="160" t="str">
        <f t="shared" si="35"/>
        <v/>
      </c>
      <c r="AN15" s="160" t="str">
        <f t="shared" si="5"/>
        <v/>
      </c>
      <c r="AO15" s="160" t="str">
        <f t="shared" si="6"/>
        <v/>
      </c>
      <c r="AP15" s="206" t="b">
        <f t="shared" si="7"/>
        <v>1</v>
      </c>
      <c r="AQ15" s="157">
        <f t="shared" si="29"/>
        <v>15</v>
      </c>
      <c r="AR15" s="88" t="str">
        <f t="shared" si="8"/>
        <v/>
      </c>
      <c r="AS15" s="89">
        <f t="shared" si="30"/>
        <v>0</v>
      </c>
      <c r="AT15" s="88" t="str">
        <f t="shared" si="9"/>
        <v/>
      </c>
      <c r="AU15" s="158">
        <f t="shared" si="10"/>
        <v>0</v>
      </c>
      <c r="AV15" s="90" t="str">
        <f t="shared" si="11"/>
        <v/>
      </c>
      <c r="AW15" s="158" t="b">
        <f t="shared" si="12"/>
        <v>0</v>
      </c>
      <c r="AX15" s="159" t="b">
        <f t="shared" si="13"/>
        <v>1</v>
      </c>
      <c r="AY15" s="158" t="b">
        <f t="shared" si="14"/>
        <v>0</v>
      </c>
      <c r="AZ15" s="159" t="b">
        <f t="shared" si="15"/>
        <v>0</v>
      </c>
      <c r="BA15" s="206" t="b">
        <f t="shared" si="16"/>
        <v>0</v>
      </c>
      <c r="BB15" s="206" t="b">
        <f t="shared" si="17"/>
        <v>0</v>
      </c>
      <c r="BC15" s="158" t="b">
        <f t="shared" si="18"/>
        <v>0</v>
      </c>
      <c r="BD15" s="160" t="b">
        <f t="shared" si="31"/>
        <v>0</v>
      </c>
      <c r="BE15" s="159" t="b">
        <f t="shared" si="19"/>
        <v>0</v>
      </c>
      <c r="BF15" s="161" t="b">
        <f t="shared" si="20"/>
        <v>0</v>
      </c>
      <c r="BG15" s="206" t="b">
        <f t="shared" si="21"/>
        <v>1</v>
      </c>
      <c r="BH15" s="206">
        <f t="shared" si="32"/>
        <v>1</v>
      </c>
      <c r="BI15" s="206">
        <f t="shared" si="22"/>
        <v>2</v>
      </c>
      <c r="BJ15" s="206" t="str">
        <f t="shared" si="23"/>
        <v>2</v>
      </c>
      <c r="BK15" s="206">
        <f t="shared" si="24"/>
        <v>3</v>
      </c>
      <c r="BL15" s="162">
        <f t="shared" si="33"/>
        <v>1</v>
      </c>
      <c r="BM15" s="206">
        <f t="shared" si="25"/>
        <v>2</v>
      </c>
      <c r="BN15" s="206">
        <f t="shared" si="26"/>
        <v>3</v>
      </c>
      <c r="BO15" s="106"/>
    </row>
    <row r="16" spans="2:73" s="105" customFormat="1" ht="12.95" customHeight="1" x14ac:dyDescent="0.2">
      <c r="B16" s="165">
        <f>IF(ISNA(Z16),"",IF(OR(Z16=1,Z16=2),"    ",MAX($B$8:B15)+1))</f>
        <v>6</v>
      </c>
      <c r="C16" s="1375" t="str">
        <f t="shared" si="0"/>
        <v xml:space="preserve">      - Test Plan/Card Adherence (15.2%)</v>
      </c>
      <c r="D16" s="1375"/>
      <c r="E16" s="1375"/>
      <c r="F16" s="1376"/>
      <c r="G16" s="152">
        <f t="shared" si="1"/>
        <v>1</v>
      </c>
      <c r="H16" s="153" t="str">
        <f t="shared" si="2"/>
        <v>2*</v>
      </c>
      <c r="I16" s="166">
        <f t="shared" si="2"/>
        <v>3</v>
      </c>
      <c r="J16" s="171"/>
      <c r="K16" s="168"/>
      <c r="L16" s="1075"/>
      <c r="M16" s="1076"/>
      <c r="N16" s="1076"/>
      <c r="O16" s="1076"/>
      <c r="P16" s="1076"/>
      <c r="Q16" s="1076"/>
      <c r="R16" s="1077"/>
      <c r="T16" s="119">
        <v>9</v>
      </c>
      <c r="U16" s="110" t="s">
        <v>276</v>
      </c>
      <c r="V16" s="206">
        <v>1</v>
      </c>
      <c r="W16" s="206">
        <v>15</v>
      </c>
      <c r="X16" s="206" t="s">
        <v>212</v>
      </c>
      <c r="Y16" s="206" t="s">
        <v>212</v>
      </c>
      <c r="Z16" s="160" t="s">
        <v>212</v>
      </c>
      <c r="AA16" s="160">
        <v>2</v>
      </c>
      <c r="AB16" s="160">
        <v>1</v>
      </c>
      <c r="AC16" s="206">
        <v>3</v>
      </c>
      <c r="AD16" s="206">
        <v>2</v>
      </c>
      <c r="AE16" s="206">
        <v>1</v>
      </c>
      <c r="AF16" s="206" t="b">
        <v>1</v>
      </c>
      <c r="AG16" s="206">
        <f t="shared" si="3"/>
        <v>2</v>
      </c>
      <c r="AH16" s="206">
        <f t="shared" si="4"/>
        <v>1</v>
      </c>
      <c r="AI16" s="86">
        <f>IF(NOT(OR(Z16=1,Z16=2)),IF(AQ16&gt;0,$AR$44*AQ16/SUMIF($AQ$8:$AQ$39,"&gt;0"),IF(AU16&gt;0,$AV$44*AU16/SUMIF($AU$8:$AU$39,"&gt;0"),IF(AS16&gt;0,$AT$44*AS16/SUMIF($AS$8:$AS$39,"&gt;0"),""))),IF(SUMIF(AJ17:$AJ$39,"=" &amp; AJ16,AI17:$AI$39)=0,"",SUMIF(AJ17:$AJ$39,"=" &amp; AJ16,AI17:$AI$39)))</f>
        <v>0.15159574468085107</v>
      </c>
      <c r="AJ16" s="87">
        <f t="shared" si="34"/>
        <v>2</v>
      </c>
      <c r="AK16" s="206">
        <f t="shared" si="27"/>
        <v>2</v>
      </c>
      <c r="AL16" s="160" t="str">
        <f t="shared" si="28"/>
        <v/>
      </c>
      <c r="AM16" s="160" t="str">
        <f t="shared" si="35"/>
        <v/>
      </c>
      <c r="AN16" s="160" t="str">
        <f t="shared" si="5"/>
        <v/>
      </c>
      <c r="AO16" s="160" t="str">
        <f t="shared" si="6"/>
        <v/>
      </c>
      <c r="AP16" s="206" t="b">
        <f t="shared" si="7"/>
        <v>1</v>
      </c>
      <c r="AQ16" s="157">
        <f t="shared" si="29"/>
        <v>15</v>
      </c>
      <c r="AR16" s="88" t="str">
        <f t="shared" si="8"/>
        <v/>
      </c>
      <c r="AS16" s="89">
        <f t="shared" si="30"/>
        <v>0</v>
      </c>
      <c r="AT16" s="88" t="str">
        <f t="shared" si="9"/>
        <v/>
      </c>
      <c r="AU16" s="158">
        <f t="shared" si="10"/>
        <v>0</v>
      </c>
      <c r="AV16" s="90" t="str">
        <f t="shared" si="11"/>
        <v/>
      </c>
      <c r="AW16" s="158" t="b">
        <f t="shared" si="12"/>
        <v>0</v>
      </c>
      <c r="AX16" s="159" t="b">
        <f t="shared" si="13"/>
        <v>1</v>
      </c>
      <c r="AY16" s="158" t="b">
        <f t="shared" si="14"/>
        <v>0</v>
      </c>
      <c r="AZ16" s="159" t="b">
        <f t="shared" si="15"/>
        <v>0</v>
      </c>
      <c r="BA16" s="206" t="b">
        <f t="shared" si="16"/>
        <v>0</v>
      </c>
      <c r="BB16" s="206" t="b">
        <f t="shared" si="17"/>
        <v>0</v>
      </c>
      <c r="BC16" s="158" t="b">
        <f t="shared" si="18"/>
        <v>0</v>
      </c>
      <c r="BD16" s="160" t="b">
        <f t="shared" si="31"/>
        <v>0</v>
      </c>
      <c r="BE16" s="159" t="b">
        <f t="shared" si="19"/>
        <v>0</v>
      </c>
      <c r="BF16" s="161" t="b">
        <f t="shared" si="20"/>
        <v>0</v>
      </c>
      <c r="BG16" s="206" t="b">
        <f t="shared" si="21"/>
        <v>1</v>
      </c>
      <c r="BH16" s="206">
        <f t="shared" si="32"/>
        <v>1</v>
      </c>
      <c r="BI16" s="206">
        <f t="shared" si="22"/>
        <v>2</v>
      </c>
      <c r="BJ16" s="206" t="str">
        <f t="shared" si="23"/>
        <v>2*</v>
      </c>
      <c r="BK16" s="206">
        <f t="shared" si="24"/>
        <v>3</v>
      </c>
      <c r="BL16" s="162">
        <f t="shared" si="33"/>
        <v>1</v>
      </c>
      <c r="BM16" s="206">
        <f t="shared" si="25"/>
        <v>2</v>
      </c>
      <c r="BN16" s="206">
        <f t="shared" si="26"/>
        <v>3</v>
      </c>
      <c r="BO16" s="169"/>
      <c r="BP16" s="174"/>
    </row>
    <row r="17" spans="2:73" s="105" customFormat="1" ht="12.95" customHeight="1" x14ac:dyDescent="0.2">
      <c r="B17" s="165">
        <f>IF(ISNA(Z17),"",IF(OR(Z17=1,Z17=2),"    ",MAX($B$8:B16)+1))</f>
        <v>7</v>
      </c>
      <c r="C17" s="1375" t="str">
        <f t="shared" si="0"/>
        <v xml:space="preserve">      - Test Specific Comm/CRM (10.1%)</v>
      </c>
      <c r="D17" s="1375"/>
      <c r="E17" s="1375"/>
      <c r="F17" s="1376"/>
      <c r="G17" s="152">
        <f t="shared" si="1"/>
        <v>1</v>
      </c>
      <c r="H17" s="153" t="str">
        <f t="shared" si="2"/>
        <v>2*</v>
      </c>
      <c r="I17" s="166">
        <f t="shared" si="2"/>
        <v>3</v>
      </c>
      <c r="J17" s="171"/>
      <c r="K17" s="168"/>
      <c r="L17" s="1075"/>
      <c r="M17" s="1076"/>
      <c r="N17" s="1076"/>
      <c r="O17" s="1076"/>
      <c r="P17" s="1076"/>
      <c r="Q17" s="1076"/>
      <c r="R17" s="1077"/>
      <c r="T17" s="119">
        <v>10</v>
      </c>
      <c r="U17" s="110" t="s">
        <v>277</v>
      </c>
      <c r="V17" s="206">
        <v>1</v>
      </c>
      <c r="W17" s="206">
        <v>10</v>
      </c>
      <c r="X17" s="206" t="s">
        <v>212</v>
      </c>
      <c r="Y17" s="206" t="s">
        <v>212</v>
      </c>
      <c r="Z17" s="160" t="s">
        <v>212</v>
      </c>
      <c r="AA17" s="160">
        <v>2</v>
      </c>
      <c r="AB17" s="160">
        <v>1</v>
      </c>
      <c r="AC17" s="206">
        <v>3</v>
      </c>
      <c r="AD17" s="206">
        <v>2</v>
      </c>
      <c r="AE17" s="206">
        <v>1</v>
      </c>
      <c r="AF17" s="206" t="b">
        <v>1</v>
      </c>
      <c r="AG17" s="206">
        <f t="shared" si="3"/>
        <v>2</v>
      </c>
      <c r="AH17" s="206">
        <f t="shared" si="4"/>
        <v>1</v>
      </c>
      <c r="AI17" s="86">
        <f>IF(NOT(OR(Z17=1,Z17=2)),IF(AQ17&gt;0,$AR$44*AQ17/SUMIF($AQ$8:$AQ$39,"&gt;0"),IF(AU17&gt;0,$AV$44*AU17/SUMIF($AU$8:$AU$39,"&gt;0"),IF(AS17&gt;0,$AT$44*AS17/SUMIF($AS$8:$AS$39,"&gt;0"),""))),IF(SUMIF(AJ18:$AJ$39,"=" &amp; AJ17,AI18:$AI$39)=0,"",SUMIF(AJ18:$AJ$39,"=" &amp; AJ17,AI18:$AI$39)))</f>
        <v>0.10106382978723404</v>
      </c>
      <c r="AJ17" s="87">
        <f t="shared" si="34"/>
        <v>2</v>
      </c>
      <c r="AK17" s="206">
        <f t="shared" si="27"/>
        <v>2</v>
      </c>
      <c r="AL17" s="160" t="str">
        <f t="shared" si="28"/>
        <v/>
      </c>
      <c r="AM17" s="160" t="str">
        <f t="shared" si="35"/>
        <v/>
      </c>
      <c r="AN17" s="160" t="str">
        <f t="shared" si="5"/>
        <v/>
      </c>
      <c r="AO17" s="160" t="str">
        <f t="shared" si="6"/>
        <v/>
      </c>
      <c r="AP17" s="206" t="b">
        <f t="shared" si="7"/>
        <v>1</v>
      </c>
      <c r="AQ17" s="157">
        <f t="shared" si="29"/>
        <v>10</v>
      </c>
      <c r="AR17" s="88" t="str">
        <f t="shared" si="8"/>
        <v/>
      </c>
      <c r="AS17" s="89">
        <f t="shared" si="30"/>
        <v>0</v>
      </c>
      <c r="AT17" s="88" t="str">
        <f t="shared" si="9"/>
        <v/>
      </c>
      <c r="AU17" s="158">
        <f t="shared" si="10"/>
        <v>0</v>
      </c>
      <c r="AV17" s="90" t="str">
        <f t="shared" si="11"/>
        <v/>
      </c>
      <c r="AW17" s="158" t="b">
        <f t="shared" si="12"/>
        <v>0</v>
      </c>
      <c r="AX17" s="159" t="b">
        <f t="shared" si="13"/>
        <v>1</v>
      </c>
      <c r="AY17" s="158" t="b">
        <f t="shared" si="14"/>
        <v>0</v>
      </c>
      <c r="AZ17" s="159" t="b">
        <f t="shared" si="15"/>
        <v>0</v>
      </c>
      <c r="BA17" s="206" t="b">
        <f t="shared" si="16"/>
        <v>0</v>
      </c>
      <c r="BB17" s="206" t="b">
        <f t="shared" si="17"/>
        <v>0</v>
      </c>
      <c r="BC17" s="158" t="b">
        <f t="shared" si="18"/>
        <v>0</v>
      </c>
      <c r="BD17" s="160" t="b">
        <f t="shared" si="31"/>
        <v>0</v>
      </c>
      <c r="BE17" s="159" t="b">
        <f t="shared" si="19"/>
        <v>0</v>
      </c>
      <c r="BF17" s="161" t="b">
        <f t="shared" si="20"/>
        <v>0</v>
      </c>
      <c r="BG17" s="206" t="b">
        <f t="shared" si="21"/>
        <v>1</v>
      </c>
      <c r="BH17" s="206">
        <f t="shared" si="32"/>
        <v>1</v>
      </c>
      <c r="BI17" s="206">
        <f t="shared" si="22"/>
        <v>2</v>
      </c>
      <c r="BJ17" s="206" t="str">
        <f t="shared" si="23"/>
        <v>2*</v>
      </c>
      <c r="BK17" s="206">
        <f t="shared" si="24"/>
        <v>3</v>
      </c>
      <c r="BL17" s="162">
        <f t="shared" si="33"/>
        <v>1</v>
      </c>
      <c r="BM17" s="206">
        <f t="shared" si="25"/>
        <v>2</v>
      </c>
      <c r="BN17" s="206">
        <f t="shared" si="26"/>
        <v>3</v>
      </c>
      <c r="BO17" s="106"/>
    </row>
    <row r="18" spans="2:73" s="105" customFormat="1" ht="12.95" customHeight="1" x14ac:dyDescent="0.2">
      <c r="B18" s="165">
        <f>IF(ISNA(Z18),"",IF(OR(Z18=1,Z18=2),"    ",MAX($B$8:B17)+1))</f>
        <v>8</v>
      </c>
      <c r="C18" s="1375" t="str">
        <f t="shared" si="0"/>
        <v xml:space="preserve">      - Limit Adherence/Aborts (10.1%)</v>
      </c>
      <c r="D18" s="1375"/>
      <c r="E18" s="1375"/>
      <c r="F18" s="1376"/>
      <c r="G18" s="152">
        <f t="shared" si="1"/>
        <v>1</v>
      </c>
      <c r="H18" s="153" t="str">
        <f t="shared" si="2"/>
        <v>2*</v>
      </c>
      <c r="I18" s="166">
        <f t="shared" si="2"/>
        <v>3</v>
      </c>
      <c r="J18" s="171"/>
      <c r="K18" s="168"/>
      <c r="L18" s="1075"/>
      <c r="M18" s="1076"/>
      <c r="N18" s="1076"/>
      <c r="O18" s="1076"/>
      <c r="P18" s="1076"/>
      <c r="Q18" s="1076"/>
      <c r="R18" s="1077"/>
      <c r="T18" s="119">
        <v>11</v>
      </c>
      <c r="U18" s="110" t="s">
        <v>278</v>
      </c>
      <c r="V18" s="206">
        <v>1</v>
      </c>
      <c r="W18" s="206">
        <v>10</v>
      </c>
      <c r="X18" s="206" t="s">
        <v>212</v>
      </c>
      <c r="Y18" s="206" t="s">
        <v>212</v>
      </c>
      <c r="Z18" s="160" t="s">
        <v>212</v>
      </c>
      <c r="AA18" s="160">
        <v>2</v>
      </c>
      <c r="AB18" s="160">
        <v>1</v>
      </c>
      <c r="AC18" s="206">
        <v>3</v>
      </c>
      <c r="AD18" s="206">
        <v>2</v>
      </c>
      <c r="AE18" s="206">
        <v>1</v>
      </c>
      <c r="AF18" s="206" t="b">
        <v>1</v>
      </c>
      <c r="AG18" s="206">
        <f t="shared" si="3"/>
        <v>2</v>
      </c>
      <c r="AH18" s="206">
        <f t="shared" si="4"/>
        <v>1</v>
      </c>
      <c r="AI18" s="86">
        <f>IF(NOT(OR(Z18=1,Z18=2)),IF(AQ18&gt;0,$AR$44*AQ18/SUMIF($AQ$8:$AQ$39,"&gt;0"),IF(AU18&gt;0,$AV$44*AU18/SUMIF($AU$8:$AU$39,"&gt;0"),IF(AS18&gt;0,$AT$44*AS18/SUMIF($AS$8:$AS$39,"&gt;0"),""))),IF(SUMIF(AJ19:$AJ$39,"=" &amp; AJ18,AI19:$AI$39)=0,"",SUMIF(AJ19:$AJ$39,"=" &amp; AJ18,AI19:$AI$39)))</f>
        <v>0.10106382978723404</v>
      </c>
      <c r="AJ18" s="87">
        <f t="shared" si="34"/>
        <v>2</v>
      </c>
      <c r="AK18" s="206">
        <f t="shared" si="27"/>
        <v>2</v>
      </c>
      <c r="AL18" s="160" t="str">
        <f t="shared" si="28"/>
        <v/>
      </c>
      <c r="AM18" s="160" t="str">
        <f t="shared" si="35"/>
        <v/>
      </c>
      <c r="AN18" s="160" t="str">
        <f t="shared" si="5"/>
        <v/>
      </c>
      <c r="AO18" s="160" t="str">
        <f t="shared" si="6"/>
        <v/>
      </c>
      <c r="AP18" s="206" t="b">
        <f t="shared" si="7"/>
        <v>1</v>
      </c>
      <c r="AQ18" s="157">
        <f t="shared" si="29"/>
        <v>10</v>
      </c>
      <c r="AR18" s="88" t="str">
        <f t="shared" si="8"/>
        <v/>
      </c>
      <c r="AS18" s="89">
        <f t="shared" si="30"/>
        <v>0</v>
      </c>
      <c r="AT18" s="88" t="str">
        <f t="shared" si="9"/>
        <v/>
      </c>
      <c r="AU18" s="158">
        <f t="shared" si="10"/>
        <v>0</v>
      </c>
      <c r="AV18" s="90" t="str">
        <f t="shared" si="11"/>
        <v/>
      </c>
      <c r="AW18" s="158" t="b">
        <f t="shared" si="12"/>
        <v>0</v>
      </c>
      <c r="AX18" s="159" t="b">
        <f t="shared" si="13"/>
        <v>1</v>
      </c>
      <c r="AY18" s="158" t="b">
        <f t="shared" si="14"/>
        <v>0</v>
      </c>
      <c r="AZ18" s="159" t="b">
        <f t="shared" si="15"/>
        <v>0</v>
      </c>
      <c r="BA18" s="206" t="b">
        <f t="shared" si="16"/>
        <v>0</v>
      </c>
      <c r="BB18" s="206" t="b">
        <f t="shared" si="17"/>
        <v>0</v>
      </c>
      <c r="BC18" s="158" t="b">
        <f t="shared" si="18"/>
        <v>0</v>
      </c>
      <c r="BD18" s="160" t="b">
        <f t="shared" si="31"/>
        <v>0</v>
      </c>
      <c r="BE18" s="159" t="b">
        <f t="shared" si="19"/>
        <v>0</v>
      </c>
      <c r="BF18" s="161" t="b">
        <f t="shared" si="20"/>
        <v>0</v>
      </c>
      <c r="BG18" s="206" t="b">
        <f t="shared" si="21"/>
        <v>1</v>
      </c>
      <c r="BH18" s="206">
        <f t="shared" si="32"/>
        <v>1</v>
      </c>
      <c r="BI18" s="206">
        <f t="shared" si="22"/>
        <v>2</v>
      </c>
      <c r="BJ18" s="206" t="str">
        <f t="shared" si="23"/>
        <v>2*</v>
      </c>
      <c r="BK18" s="206">
        <f t="shared" si="24"/>
        <v>3</v>
      </c>
      <c r="BL18" s="162">
        <f t="shared" si="33"/>
        <v>1</v>
      </c>
      <c r="BM18" s="206">
        <f t="shared" si="25"/>
        <v>2</v>
      </c>
      <c r="BN18" s="206">
        <f t="shared" si="26"/>
        <v>3</v>
      </c>
      <c r="BO18" s="104"/>
      <c r="BP18" s="174" t="s">
        <v>223</v>
      </c>
      <c r="BQ18" s="175"/>
      <c r="BR18" s="175"/>
      <c r="BS18" s="175"/>
      <c r="BT18" s="175"/>
      <c r="BU18" s="175"/>
    </row>
    <row r="19" spans="2:73" s="105" customFormat="1" ht="12.95" customHeight="1" x14ac:dyDescent="0.2">
      <c r="B19" s="165">
        <f>IF(ISNA(Z19),"",IF(OR(Z19=1,Z19=2),"    ",MAX($B$8:B18)+1))</f>
        <v>9</v>
      </c>
      <c r="C19" s="1375" t="str">
        <f t="shared" si="0"/>
        <v xml:space="preserve">      - Data Collection (10.1%)</v>
      </c>
      <c r="D19" s="1375"/>
      <c r="E19" s="1375"/>
      <c r="F19" s="1376"/>
      <c r="G19" s="152">
        <f t="shared" si="1"/>
        <v>1</v>
      </c>
      <c r="H19" s="153" t="str">
        <f t="shared" si="2"/>
        <v>2</v>
      </c>
      <c r="I19" s="166">
        <f t="shared" si="2"/>
        <v>3</v>
      </c>
      <c r="J19" s="171"/>
      <c r="K19" s="168"/>
      <c r="L19" s="1075"/>
      <c r="M19" s="1076"/>
      <c r="N19" s="1076"/>
      <c r="O19" s="1076"/>
      <c r="P19" s="1076"/>
      <c r="Q19" s="1076"/>
      <c r="R19" s="1077"/>
      <c r="T19" s="119">
        <v>12</v>
      </c>
      <c r="U19" s="110" t="s">
        <v>279</v>
      </c>
      <c r="V19" s="206">
        <v>1</v>
      </c>
      <c r="W19" s="206">
        <v>10</v>
      </c>
      <c r="X19" s="206" t="s">
        <v>212</v>
      </c>
      <c r="Y19" s="206" t="s">
        <v>212</v>
      </c>
      <c r="Z19" s="160" t="s">
        <v>212</v>
      </c>
      <c r="AA19" s="160">
        <v>2</v>
      </c>
      <c r="AB19" s="160">
        <v>1</v>
      </c>
      <c r="AC19" s="206">
        <v>3</v>
      </c>
      <c r="AD19" s="206">
        <v>2</v>
      </c>
      <c r="AE19" s="206">
        <v>0</v>
      </c>
      <c r="AF19" s="206" t="b">
        <v>1</v>
      </c>
      <c r="AG19" s="206">
        <f t="shared" si="3"/>
        <v>2</v>
      </c>
      <c r="AH19" s="206">
        <f t="shared" si="4"/>
        <v>1</v>
      </c>
      <c r="AI19" s="86">
        <f>IF(NOT(OR(Z19=1,Z19=2)),IF(AQ19&gt;0,$AR$44*AQ19/SUMIF($AQ$8:$AQ$39,"&gt;0"),IF(AU19&gt;0,$AV$44*AU19/SUMIF($AU$8:$AU$39,"&gt;0"),IF(AS19&gt;0,$AT$44*AS19/SUMIF($AS$8:$AS$39,"&gt;0"),""))),IF(SUMIF(AJ20:$AJ$39,"=" &amp; AJ19,AI20:$AI$39)=0,"",SUMIF(AJ20:$AJ$39,"=" &amp; AJ19,AI20:$AI$39)))</f>
        <v>0.10106382978723404</v>
      </c>
      <c r="AJ19" s="87">
        <f t="shared" si="34"/>
        <v>2</v>
      </c>
      <c r="AK19" s="206">
        <f t="shared" si="27"/>
        <v>2</v>
      </c>
      <c r="AL19" s="160" t="str">
        <f t="shared" si="28"/>
        <v/>
      </c>
      <c r="AM19" s="160" t="str">
        <f t="shared" si="35"/>
        <v/>
      </c>
      <c r="AN19" s="160" t="str">
        <f t="shared" si="5"/>
        <v/>
      </c>
      <c r="AO19" s="160" t="str">
        <f t="shared" si="6"/>
        <v/>
      </c>
      <c r="AP19" s="206" t="b">
        <f t="shared" si="7"/>
        <v>1</v>
      </c>
      <c r="AQ19" s="157">
        <f t="shared" si="29"/>
        <v>10</v>
      </c>
      <c r="AR19" s="88" t="str">
        <f t="shared" si="8"/>
        <v/>
      </c>
      <c r="AS19" s="89">
        <f t="shared" si="30"/>
        <v>0</v>
      </c>
      <c r="AT19" s="88" t="str">
        <f t="shared" si="9"/>
        <v/>
      </c>
      <c r="AU19" s="158">
        <f t="shared" si="10"/>
        <v>0</v>
      </c>
      <c r="AV19" s="90" t="str">
        <f t="shared" si="11"/>
        <v/>
      </c>
      <c r="AW19" s="158" t="b">
        <f t="shared" si="12"/>
        <v>0</v>
      </c>
      <c r="AX19" s="159" t="b">
        <f t="shared" si="13"/>
        <v>1</v>
      </c>
      <c r="AY19" s="158" t="b">
        <f t="shared" si="14"/>
        <v>0</v>
      </c>
      <c r="AZ19" s="159" t="b">
        <f t="shared" si="15"/>
        <v>0</v>
      </c>
      <c r="BA19" s="206" t="b">
        <f t="shared" si="16"/>
        <v>0</v>
      </c>
      <c r="BB19" s="206" t="b">
        <f t="shared" si="17"/>
        <v>0</v>
      </c>
      <c r="BC19" s="158" t="b">
        <f t="shared" si="18"/>
        <v>0</v>
      </c>
      <c r="BD19" s="160" t="b">
        <f t="shared" si="31"/>
        <v>0</v>
      </c>
      <c r="BE19" s="159" t="b">
        <f t="shared" si="19"/>
        <v>0</v>
      </c>
      <c r="BF19" s="161" t="b">
        <f t="shared" si="20"/>
        <v>0</v>
      </c>
      <c r="BG19" s="206" t="b">
        <f t="shared" si="21"/>
        <v>1</v>
      </c>
      <c r="BH19" s="206">
        <f t="shared" si="32"/>
        <v>1</v>
      </c>
      <c r="BI19" s="206">
        <f t="shared" si="22"/>
        <v>2</v>
      </c>
      <c r="BJ19" s="206" t="str">
        <f t="shared" si="23"/>
        <v>2</v>
      </c>
      <c r="BK19" s="206">
        <f t="shared" si="24"/>
        <v>3</v>
      </c>
      <c r="BL19" s="162">
        <f t="shared" si="33"/>
        <v>1</v>
      </c>
      <c r="BM19" s="206">
        <f t="shared" si="25"/>
        <v>2</v>
      </c>
      <c r="BN19" s="206">
        <f t="shared" si="26"/>
        <v>3</v>
      </c>
      <c r="BO19" s="104"/>
      <c r="BP19" s="164"/>
      <c r="BQ19" s="1386" t="s">
        <v>224</v>
      </c>
      <c r="BR19" s="1386"/>
      <c r="BS19" s="1386"/>
      <c r="BT19" s="1386"/>
      <c r="BU19" s="1386"/>
    </row>
    <row r="20" spans="2:73" s="105" customFormat="1" ht="12.95" customHeight="1" x14ac:dyDescent="0.2">
      <c r="B20" s="165">
        <f>IF(ISNA(Z20),"",IF(OR(Z20=1,Z20=2),"    ",MAX($B$8:B19)+1))</f>
        <v>10</v>
      </c>
      <c r="C20" s="1375" t="str">
        <f t="shared" si="0"/>
        <v xml:space="preserve">      - Flight Debrief (10.1%)</v>
      </c>
      <c r="D20" s="1375"/>
      <c r="E20" s="1375"/>
      <c r="F20" s="1376"/>
      <c r="G20" s="152">
        <f t="shared" si="1"/>
        <v>1</v>
      </c>
      <c r="H20" s="153" t="str">
        <f t="shared" si="2"/>
        <v>2</v>
      </c>
      <c r="I20" s="166">
        <f t="shared" si="2"/>
        <v>3</v>
      </c>
      <c r="J20" s="171"/>
      <c r="K20" s="168"/>
      <c r="L20" s="1075"/>
      <c r="M20" s="1076"/>
      <c r="N20" s="1076"/>
      <c r="O20" s="1076"/>
      <c r="P20" s="1076"/>
      <c r="Q20" s="1076"/>
      <c r="R20" s="1077"/>
      <c r="T20" s="119">
        <v>13</v>
      </c>
      <c r="U20" s="110" t="s">
        <v>500</v>
      </c>
      <c r="V20" s="206">
        <v>1</v>
      </c>
      <c r="W20" s="206">
        <v>10</v>
      </c>
      <c r="X20" s="206" t="s">
        <v>212</v>
      </c>
      <c r="Y20" s="206" t="s">
        <v>212</v>
      </c>
      <c r="Z20" s="160" t="s">
        <v>212</v>
      </c>
      <c r="AA20" s="160">
        <v>2</v>
      </c>
      <c r="AB20" s="160">
        <v>1</v>
      </c>
      <c r="AC20" s="206">
        <v>3</v>
      </c>
      <c r="AD20" s="206">
        <v>2</v>
      </c>
      <c r="AE20" s="206">
        <v>0</v>
      </c>
      <c r="AF20" s="206" t="b">
        <v>1</v>
      </c>
      <c r="AG20" s="206">
        <f t="shared" si="3"/>
        <v>2</v>
      </c>
      <c r="AH20" s="206">
        <f t="shared" si="4"/>
        <v>1</v>
      </c>
      <c r="AI20" s="86">
        <f>IF(NOT(OR(Z20=1,Z20=2)),IF(AQ20&gt;0,$AR$44*AQ20/SUMIF($AQ$8:$AQ$39,"&gt;0"),IF(AU20&gt;0,$AV$44*AU20/SUMIF($AU$8:$AU$39,"&gt;0"),IF(AS20&gt;0,$AT$44*AS20/SUMIF($AS$8:$AS$39,"&gt;0"),""))),IF(SUMIF(AJ21:$AJ$39,"=" &amp; AJ20,AI21:$AI$39)=0,"",SUMIF(AJ21:$AJ$39,"=" &amp; AJ20,AI21:$AI$39)))</f>
        <v>0.10106382978723404</v>
      </c>
      <c r="AJ20" s="87">
        <f t="shared" si="34"/>
        <v>2</v>
      </c>
      <c r="AK20" s="206">
        <f t="shared" si="27"/>
        <v>2</v>
      </c>
      <c r="AL20" s="160" t="str">
        <f t="shared" si="28"/>
        <v/>
      </c>
      <c r="AM20" s="160" t="str">
        <f t="shared" si="35"/>
        <v/>
      </c>
      <c r="AN20" s="160" t="str">
        <f t="shared" si="5"/>
        <v/>
      </c>
      <c r="AO20" s="160" t="str">
        <f t="shared" si="6"/>
        <v/>
      </c>
      <c r="AP20" s="206" t="b">
        <f t="shared" si="7"/>
        <v>1</v>
      </c>
      <c r="AQ20" s="157">
        <f t="shared" si="29"/>
        <v>10</v>
      </c>
      <c r="AR20" s="88" t="str">
        <f t="shared" si="8"/>
        <v/>
      </c>
      <c r="AS20" s="89">
        <f t="shared" si="30"/>
        <v>0</v>
      </c>
      <c r="AT20" s="88" t="str">
        <f t="shared" si="9"/>
        <v/>
      </c>
      <c r="AU20" s="158">
        <f t="shared" si="10"/>
        <v>0</v>
      </c>
      <c r="AV20" s="90" t="str">
        <f t="shared" si="11"/>
        <v/>
      </c>
      <c r="AW20" s="158" t="b">
        <f t="shared" si="12"/>
        <v>0</v>
      </c>
      <c r="AX20" s="159" t="b">
        <f t="shared" si="13"/>
        <v>1</v>
      </c>
      <c r="AY20" s="158" t="b">
        <f t="shared" si="14"/>
        <v>0</v>
      </c>
      <c r="AZ20" s="159" t="b">
        <f t="shared" si="15"/>
        <v>0</v>
      </c>
      <c r="BA20" s="206" t="b">
        <f t="shared" si="16"/>
        <v>0</v>
      </c>
      <c r="BB20" s="206" t="b">
        <f t="shared" si="17"/>
        <v>0</v>
      </c>
      <c r="BC20" s="158" t="b">
        <f t="shared" si="18"/>
        <v>0</v>
      </c>
      <c r="BD20" s="160" t="b">
        <f t="shared" si="31"/>
        <v>0</v>
      </c>
      <c r="BE20" s="159" t="b">
        <f t="shared" si="19"/>
        <v>0</v>
      </c>
      <c r="BF20" s="161" t="b">
        <f t="shared" si="20"/>
        <v>0</v>
      </c>
      <c r="BG20" s="206" t="b">
        <f t="shared" si="21"/>
        <v>1</v>
      </c>
      <c r="BH20" s="206">
        <f t="shared" si="32"/>
        <v>1</v>
      </c>
      <c r="BI20" s="206">
        <f t="shared" si="22"/>
        <v>2</v>
      </c>
      <c r="BJ20" s="206" t="str">
        <f t="shared" si="23"/>
        <v>2</v>
      </c>
      <c r="BK20" s="206">
        <f t="shared" si="24"/>
        <v>3</v>
      </c>
      <c r="BL20" s="162">
        <f t="shared" si="33"/>
        <v>1</v>
      </c>
      <c r="BM20" s="206">
        <f t="shared" si="25"/>
        <v>2</v>
      </c>
      <c r="BN20" s="206">
        <f t="shared" si="26"/>
        <v>3</v>
      </c>
      <c r="BO20" s="104"/>
      <c r="BP20" s="104"/>
      <c r="BQ20" s="104">
        <v>0</v>
      </c>
      <c r="BR20" s="104">
        <v>1</v>
      </c>
      <c r="BS20" s="104">
        <v>2</v>
      </c>
      <c r="BT20" s="104">
        <v>3</v>
      </c>
      <c r="BU20" s="104">
        <v>4</v>
      </c>
    </row>
    <row r="21" spans="2:73" s="105" customFormat="1" ht="12.95" customHeight="1" x14ac:dyDescent="0.2">
      <c r="B21" s="165" t="str">
        <f>IF(ISNA(Z21),"",IF(OR(Z21=1,Z21=2),"    ",MAX($B$8:B20)+1))</f>
        <v xml:space="preserve">    </v>
      </c>
      <c r="C21" s="1375" t="str">
        <f t="shared" si="0"/>
        <v>Specific Learning Objective Items (9.1%)</v>
      </c>
      <c r="D21" s="1375"/>
      <c r="E21" s="1375"/>
      <c r="F21" s="1376"/>
      <c r="G21" s="152" t="str">
        <f t="shared" si="1"/>
        <v/>
      </c>
      <c r="H21" s="153" t="str">
        <f t="shared" si="2"/>
        <v/>
      </c>
      <c r="I21" s="166" t="str">
        <f t="shared" si="2"/>
        <v/>
      </c>
      <c r="J21" s="172"/>
      <c r="K21" s="173"/>
      <c r="L21" s="1075"/>
      <c r="M21" s="1076"/>
      <c r="N21" s="1076"/>
      <c r="O21" s="1076"/>
      <c r="P21" s="1076"/>
      <c r="Q21" s="1076"/>
      <c r="R21" s="1077"/>
      <c r="T21" s="119">
        <v>14</v>
      </c>
      <c r="U21" s="110" t="s">
        <v>281</v>
      </c>
      <c r="V21" s="206" t="s">
        <v>212</v>
      </c>
      <c r="W21" s="206" t="s">
        <v>212</v>
      </c>
      <c r="X21" s="206" t="s">
        <v>212</v>
      </c>
      <c r="Y21" s="206" t="s">
        <v>212</v>
      </c>
      <c r="Z21" s="160">
        <v>2</v>
      </c>
      <c r="AA21" s="160">
        <v>1</v>
      </c>
      <c r="AB21" s="160">
        <v>1</v>
      </c>
      <c r="AC21" s="206" t="s">
        <v>212</v>
      </c>
      <c r="AD21" s="206" t="s">
        <v>212</v>
      </c>
      <c r="AE21" s="206" t="s">
        <v>212</v>
      </c>
      <c r="AF21" s="206" t="s">
        <v>212</v>
      </c>
      <c r="AG21" s="206" t="str">
        <f t="shared" si="3"/>
        <v/>
      </c>
      <c r="AH21" s="206" t="str">
        <f t="shared" si="4"/>
        <v/>
      </c>
      <c r="AI21" s="86">
        <f>IF(NOT(OR(Z21=1,Z21=2)),IF(AQ21&gt;0,$AR$44*AQ21/SUMIF($AQ$8:$AQ$39,"&gt;0"),IF(AU21&gt;0,$AV$44*AU21/SUMIF($AU$8:$AU$39,"&gt;0"),IF(AS21&gt;0,$AT$44*AS21/SUMIF($AS$8:$AS$39,"&gt;0"),""))),IF(SUMIF(AJ22:$AJ$39,"=" &amp; AJ21,AI22:$AI$39)=0,"",SUMIF(AJ22:$AJ$39,"=" &amp; AJ21,AI22:$AI$39)))</f>
        <v>9.0957446808510631E-2</v>
      </c>
      <c r="AJ21" s="87">
        <f t="shared" si="34"/>
        <v>3</v>
      </c>
      <c r="AK21" s="206" t="str">
        <f t="shared" si="27"/>
        <v/>
      </c>
      <c r="AL21" s="160" t="str">
        <f t="shared" si="28"/>
        <v/>
      </c>
      <c r="AM21" s="160" t="str">
        <f t="shared" si="35"/>
        <v/>
      </c>
      <c r="AN21" s="160" t="str">
        <f t="shared" si="5"/>
        <v/>
      </c>
      <c r="AO21" s="160" t="str">
        <f t="shared" si="6"/>
        <v/>
      </c>
      <c r="AP21" s="206" t="str">
        <f t="shared" si="7"/>
        <v/>
      </c>
      <c r="AQ21" s="157">
        <f t="shared" si="29"/>
        <v>0</v>
      </c>
      <c r="AR21" s="88" t="str">
        <f t="shared" si="8"/>
        <v/>
      </c>
      <c r="AS21" s="89">
        <f t="shared" si="30"/>
        <v>0</v>
      </c>
      <c r="AT21" s="88" t="str">
        <f t="shared" si="9"/>
        <v/>
      </c>
      <c r="AU21" s="158">
        <f t="shared" si="10"/>
        <v>0</v>
      </c>
      <c r="AV21" s="90" t="str">
        <f t="shared" si="11"/>
        <v/>
      </c>
      <c r="AW21" s="158" t="b">
        <f t="shared" si="12"/>
        <v>0</v>
      </c>
      <c r="AX21" s="159" t="b">
        <f t="shared" si="13"/>
        <v>0</v>
      </c>
      <c r="AY21" s="158" t="b">
        <f t="shared" si="14"/>
        <v>0</v>
      </c>
      <c r="AZ21" s="159" t="b">
        <f t="shared" si="15"/>
        <v>0</v>
      </c>
      <c r="BA21" s="206" t="b">
        <f t="shared" si="16"/>
        <v>0</v>
      </c>
      <c r="BB21" s="206" t="b">
        <f t="shared" si="17"/>
        <v>0</v>
      </c>
      <c r="BC21" s="158" t="b">
        <f t="shared" si="18"/>
        <v>0</v>
      </c>
      <c r="BD21" s="160" t="b">
        <f t="shared" si="31"/>
        <v>0</v>
      </c>
      <c r="BE21" s="159" t="b">
        <f t="shared" si="19"/>
        <v>0</v>
      </c>
      <c r="BF21" s="161" t="b">
        <f t="shared" si="20"/>
        <v>0</v>
      </c>
      <c r="BG21" s="206" t="b">
        <f t="shared" si="21"/>
        <v>0</v>
      </c>
      <c r="BH21" s="206" t="str">
        <f t="shared" si="32"/>
        <v/>
      </c>
      <c r="BI21" s="206" t="str">
        <f t="shared" si="22"/>
        <v/>
      </c>
      <c r="BJ21" s="206" t="str">
        <f t="shared" si="23"/>
        <v/>
      </c>
      <c r="BK21" s="206" t="str">
        <f t="shared" si="24"/>
        <v/>
      </c>
      <c r="BL21" s="162" t="str">
        <f t="shared" si="33"/>
        <v/>
      </c>
      <c r="BM21" s="206" t="str">
        <f t="shared" si="25"/>
        <v/>
      </c>
      <c r="BN21" s="206" t="str">
        <f t="shared" si="26"/>
        <v/>
      </c>
      <c r="BO21" s="1387" t="s">
        <v>226</v>
      </c>
      <c r="BP21" s="104" t="s">
        <v>227</v>
      </c>
      <c r="BQ21" s="91">
        <f t="shared" ref="BQ21:BU29" si="36">AR50</f>
        <v>0.7</v>
      </c>
      <c r="BR21" s="92">
        <f t="shared" si="36"/>
        <v>0.9</v>
      </c>
      <c r="BS21" s="92">
        <f t="shared" si="36"/>
        <v>0.93330000000000002</v>
      </c>
      <c r="BT21" s="92">
        <f t="shared" si="36"/>
        <v>0.9667</v>
      </c>
      <c r="BU21" s="93">
        <f t="shared" si="36"/>
        <v>1</v>
      </c>
    </row>
    <row r="22" spans="2:73" s="105" customFormat="1" ht="12.95" customHeight="1" x14ac:dyDescent="0.2">
      <c r="B22" s="165">
        <f>IF(ISNA(Z22),"",IF(OR(Z22=1,Z22=2),"    ",MAX($B$8:B21)+1))</f>
        <v>11</v>
      </c>
      <c r="C22" s="1375" t="str">
        <f t="shared" si="0"/>
        <v xml:space="preserve">      - GBU-12 (3.0%)</v>
      </c>
      <c r="D22" s="1375"/>
      <c r="E22" s="1375"/>
      <c r="F22" s="1376"/>
      <c r="G22" s="152">
        <f t="shared" si="1"/>
        <v>1</v>
      </c>
      <c r="H22" s="153" t="str">
        <f t="shared" si="2"/>
        <v>2</v>
      </c>
      <c r="I22" s="166">
        <f t="shared" si="2"/>
        <v>3</v>
      </c>
      <c r="J22" s="171"/>
      <c r="K22" s="168"/>
      <c r="L22" s="1075"/>
      <c r="M22" s="1076"/>
      <c r="N22" s="1076"/>
      <c r="O22" s="1076"/>
      <c r="P22" s="1076"/>
      <c r="Q22" s="1076"/>
      <c r="R22" s="1077"/>
      <c r="T22" s="119">
        <v>15</v>
      </c>
      <c r="U22" s="110" t="s">
        <v>501</v>
      </c>
      <c r="V22" s="206">
        <v>1</v>
      </c>
      <c r="W22" s="206">
        <v>3</v>
      </c>
      <c r="X22" s="206" t="s">
        <v>212</v>
      </c>
      <c r="Y22" s="206" t="s">
        <v>212</v>
      </c>
      <c r="Z22" s="160" t="s">
        <v>212</v>
      </c>
      <c r="AA22" s="160">
        <v>2</v>
      </c>
      <c r="AB22" s="160">
        <v>1</v>
      </c>
      <c r="AC22" s="206">
        <v>3</v>
      </c>
      <c r="AD22" s="206">
        <v>2</v>
      </c>
      <c r="AE22" s="206">
        <v>0</v>
      </c>
      <c r="AF22" s="206" t="b">
        <v>1</v>
      </c>
      <c r="AG22" s="206">
        <f t="shared" si="3"/>
        <v>2</v>
      </c>
      <c r="AH22" s="206">
        <f t="shared" si="4"/>
        <v>1</v>
      </c>
      <c r="AI22" s="86">
        <f>IF(NOT(OR(Z22=1,Z22=2)),IF(AQ22&gt;0,$AR$44*AQ22/SUMIF($AQ$8:$AQ$39,"&gt;0"),IF(AU22&gt;0,$AV$44*AU22/SUMIF($AU$8:$AU$39,"&gt;0"),IF(AS22&gt;0,$AT$44*AS22/SUMIF($AS$8:$AS$39,"&gt;0"),""))),IF(SUMIF(AJ23:$AJ$39,"=" &amp; AJ22,AI23:$AI$39)=0,"",SUMIF(AJ23:$AJ$39,"=" &amp; AJ22,AI23:$AI$39)))</f>
        <v>3.0319148936170208E-2</v>
      </c>
      <c r="AJ22" s="87">
        <f t="shared" si="34"/>
        <v>3</v>
      </c>
      <c r="AK22" s="206">
        <f t="shared" si="27"/>
        <v>2</v>
      </c>
      <c r="AL22" s="160" t="str">
        <f t="shared" si="28"/>
        <v/>
      </c>
      <c r="AM22" s="160" t="str">
        <f t="shared" si="35"/>
        <v/>
      </c>
      <c r="AN22" s="160" t="str">
        <f t="shared" si="5"/>
        <v/>
      </c>
      <c r="AO22" s="160" t="str">
        <f t="shared" si="6"/>
        <v/>
      </c>
      <c r="AP22" s="206" t="b">
        <f t="shared" si="7"/>
        <v>1</v>
      </c>
      <c r="AQ22" s="157">
        <f t="shared" si="29"/>
        <v>3</v>
      </c>
      <c r="AR22" s="88" t="str">
        <f t="shared" si="8"/>
        <v/>
      </c>
      <c r="AS22" s="89">
        <f t="shared" si="30"/>
        <v>0</v>
      </c>
      <c r="AT22" s="88" t="str">
        <f t="shared" si="9"/>
        <v/>
      </c>
      <c r="AU22" s="158">
        <f t="shared" si="10"/>
        <v>0</v>
      </c>
      <c r="AV22" s="90" t="str">
        <f t="shared" si="11"/>
        <v/>
      </c>
      <c r="AW22" s="158" t="b">
        <f t="shared" si="12"/>
        <v>0</v>
      </c>
      <c r="AX22" s="159" t="b">
        <f t="shared" si="13"/>
        <v>1</v>
      </c>
      <c r="AY22" s="158" t="b">
        <f t="shared" si="14"/>
        <v>0</v>
      </c>
      <c r="AZ22" s="159" t="b">
        <f t="shared" si="15"/>
        <v>0</v>
      </c>
      <c r="BA22" s="206" t="b">
        <f t="shared" si="16"/>
        <v>0</v>
      </c>
      <c r="BB22" s="206" t="b">
        <f t="shared" si="17"/>
        <v>0</v>
      </c>
      <c r="BC22" s="158" t="b">
        <f t="shared" si="18"/>
        <v>0</v>
      </c>
      <c r="BD22" s="160" t="b">
        <f t="shared" si="31"/>
        <v>0</v>
      </c>
      <c r="BE22" s="159" t="b">
        <f>IF(OR(ISNA($Z22),K22&lt;&gt;"D"),FALSE,IF(OR(AND(H22="NG",J22=0),AND(H22&lt;&gt;"NG",NOT(OR(J22="NA",J22=0)))),TRUE,FALSE))</f>
        <v>0</v>
      </c>
      <c r="BF22" s="161" t="b">
        <f t="shared" si="20"/>
        <v>0</v>
      </c>
      <c r="BG22" s="206" t="b">
        <f>IF(ISNA($Z22),"NA",IF(OR(AZ22,AY22,AX22,AW22,AP22,BA22,BB22),TRUE,FALSE))</f>
        <v>1</v>
      </c>
      <c r="BH22" s="206">
        <f t="shared" si="32"/>
        <v>1</v>
      </c>
      <c r="BI22" s="206">
        <f t="shared" si="22"/>
        <v>2</v>
      </c>
      <c r="BJ22" s="206" t="str">
        <f t="shared" si="23"/>
        <v>2</v>
      </c>
      <c r="BK22" s="206">
        <f t="shared" si="24"/>
        <v>3</v>
      </c>
      <c r="BL22" s="162">
        <f t="shared" si="33"/>
        <v>1</v>
      </c>
      <c r="BM22" s="206">
        <f t="shared" si="25"/>
        <v>2</v>
      </c>
      <c r="BN22" s="206">
        <f t="shared" si="26"/>
        <v>3</v>
      </c>
      <c r="BO22" s="1387"/>
      <c r="BP22" s="104" t="s">
        <v>228</v>
      </c>
      <c r="BQ22" s="94">
        <f t="shared" si="36"/>
        <v>0.7</v>
      </c>
      <c r="BR22" s="95">
        <f t="shared" si="36"/>
        <v>0.8</v>
      </c>
      <c r="BS22" s="95">
        <f t="shared" si="36"/>
        <v>0.9</v>
      </c>
      <c r="BT22" s="95">
        <f t="shared" si="36"/>
        <v>0.95</v>
      </c>
      <c r="BU22" s="96">
        <f t="shared" si="36"/>
        <v>1</v>
      </c>
    </row>
    <row r="23" spans="2:73" s="105" customFormat="1" ht="12.95" customHeight="1" x14ac:dyDescent="0.2">
      <c r="B23" s="165">
        <f>IF(ISNA(Z23),"",IF(OR(Z23=1,Z23=2),"    ",MAX($B$8:B22)+1))</f>
        <v>12</v>
      </c>
      <c r="C23" s="1375" t="str">
        <f t="shared" si="0"/>
        <v xml:space="preserve">      - MLE Evaluation (3.0%)</v>
      </c>
      <c r="D23" s="1375"/>
      <c r="E23" s="1375"/>
      <c r="F23" s="1376"/>
      <c r="G23" s="152">
        <f t="shared" si="1"/>
        <v>1</v>
      </c>
      <c r="H23" s="153" t="str">
        <f t="shared" si="2"/>
        <v>2</v>
      </c>
      <c r="I23" s="166">
        <f t="shared" si="2"/>
        <v>3</v>
      </c>
      <c r="J23" s="171"/>
      <c r="K23" s="168"/>
      <c r="L23" s="1075"/>
      <c r="M23" s="1076"/>
      <c r="N23" s="1076"/>
      <c r="O23" s="1076"/>
      <c r="P23" s="1076"/>
      <c r="Q23" s="1076"/>
      <c r="R23" s="1077"/>
      <c r="T23" s="119">
        <v>16</v>
      </c>
      <c r="U23" s="110" t="s">
        <v>502</v>
      </c>
      <c r="V23" s="206">
        <v>1</v>
      </c>
      <c r="W23" s="206">
        <v>3</v>
      </c>
      <c r="X23" s="206" t="s">
        <v>212</v>
      </c>
      <c r="Y23" s="206" t="s">
        <v>212</v>
      </c>
      <c r="Z23" s="160" t="s">
        <v>212</v>
      </c>
      <c r="AA23" s="160">
        <v>2</v>
      </c>
      <c r="AB23" s="160">
        <v>1</v>
      </c>
      <c r="AC23" s="206">
        <v>3</v>
      </c>
      <c r="AD23" s="206">
        <v>2</v>
      </c>
      <c r="AE23" s="206">
        <v>0</v>
      </c>
      <c r="AF23" s="206" t="b">
        <v>1</v>
      </c>
      <c r="AG23" s="206">
        <f t="shared" si="3"/>
        <v>2</v>
      </c>
      <c r="AH23" s="206">
        <f t="shared" si="4"/>
        <v>1</v>
      </c>
      <c r="AI23" s="86">
        <f>IF(NOT(OR(Z23=1,Z23=2)),IF(AQ23&gt;0,$AR$44*AQ23/SUMIF($AQ$8:$AQ$39,"&gt;0"),IF(AU23&gt;0,$AV$44*AU23/SUMIF($AU$8:$AU$39,"&gt;0"),IF(AS23&gt;0,$AT$44*AS23/SUMIF($AS$8:$AS$39,"&gt;0"),""))),IF(SUMIF(AJ24:$AJ$39,"=" &amp; AJ23,AI24:$AI$39)=0,"",SUMIF(AJ24:$AJ$39,"=" &amp; AJ23,AI24:$AI$39)))</f>
        <v>3.0319148936170208E-2</v>
      </c>
      <c r="AJ23" s="87">
        <f t="shared" si="34"/>
        <v>3</v>
      </c>
      <c r="AK23" s="206">
        <f t="shared" si="27"/>
        <v>2</v>
      </c>
      <c r="AL23" s="160" t="str">
        <f t="shared" si="28"/>
        <v/>
      </c>
      <c r="AM23" s="160" t="str">
        <f t="shared" si="35"/>
        <v/>
      </c>
      <c r="AN23" s="160" t="str">
        <f t="shared" si="5"/>
        <v/>
      </c>
      <c r="AO23" s="160" t="str">
        <f t="shared" si="6"/>
        <v/>
      </c>
      <c r="AP23" s="206" t="b">
        <f t="shared" si="7"/>
        <v>1</v>
      </c>
      <c r="AQ23" s="157">
        <f t="shared" si="29"/>
        <v>3</v>
      </c>
      <c r="AR23" s="88" t="str">
        <f t="shared" si="8"/>
        <v/>
      </c>
      <c r="AS23" s="89">
        <f t="shared" si="30"/>
        <v>0</v>
      </c>
      <c r="AT23" s="88" t="str">
        <f t="shared" si="9"/>
        <v/>
      </c>
      <c r="AU23" s="158">
        <f t="shared" si="10"/>
        <v>0</v>
      </c>
      <c r="AV23" s="90" t="str">
        <f t="shared" si="11"/>
        <v/>
      </c>
      <c r="AW23" s="158" t="b">
        <f t="shared" si="12"/>
        <v>0</v>
      </c>
      <c r="AX23" s="159" t="b">
        <f t="shared" si="13"/>
        <v>1</v>
      </c>
      <c r="AY23" s="158" t="b">
        <f t="shared" si="14"/>
        <v>0</v>
      </c>
      <c r="AZ23" s="159" t="b">
        <f t="shared" si="15"/>
        <v>0</v>
      </c>
      <c r="BA23" s="206" t="b">
        <f t="shared" si="16"/>
        <v>0</v>
      </c>
      <c r="BB23" s="206" t="b">
        <f t="shared" si="17"/>
        <v>0</v>
      </c>
      <c r="BC23" s="158" t="b">
        <f t="shared" si="18"/>
        <v>0</v>
      </c>
      <c r="BD23" s="160" t="b">
        <f t="shared" si="31"/>
        <v>0</v>
      </c>
      <c r="BE23" s="159" t="b">
        <f t="shared" ref="BE23:BE39" si="37">IF(OR(ISNA($Z23),K23&lt;&gt;"D"),FALSE,IF(OR(AND(H23="NG",J23=0),AND(H23&lt;&gt;"NG",NOT(OR(J23="NA",J23=0)))),TRUE,FALSE))</f>
        <v>0</v>
      </c>
      <c r="BF23" s="161" t="b">
        <f t="shared" si="20"/>
        <v>0</v>
      </c>
      <c r="BG23" s="206" t="b">
        <f t="shared" ref="BG23:BG39" si="38">IF(ISNA($Z23),"NA",IF(OR(AZ23,AY23,AX23,AW23,AP23,BA23,BB23),TRUE,FALSE))</f>
        <v>1</v>
      </c>
      <c r="BH23" s="206">
        <f t="shared" si="32"/>
        <v>1</v>
      </c>
      <c r="BI23" s="206">
        <f t="shared" si="22"/>
        <v>2</v>
      </c>
      <c r="BJ23" s="206" t="str">
        <f t="shared" si="23"/>
        <v>2</v>
      </c>
      <c r="BK23" s="206">
        <f t="shared" si="24"/>
        <v>3</v>
      </c>
      <c r="BL23" s="162">
        <f t="shared" si="33"/>
        <v>1</v>
      </c>
      <c r="BM23" s="206">
        <f t="shared" si="25"/>
        <v>2</v>
      </c>
      <c r="BN23" s="206">
        <f t="shared" si="26"/>
        <v>3</v>
      </c>
      <c r="BO23" s="1387"/>
      <c r="BP23" s="104" t="s">
        <v>229</v>
      </c>
      <c r="BQ23" s="94">
        <f t="shared" si="36"/>
        <v>0.7</v>
      </c>
      <c r="BR23" s="95">
        <f t="shared" si="36"/>
        <v>0.76670000000000005</v>
      </c>
      <c r="BS23" s="95">
        <f t="shared" si="36"/>
        <v>0.83330000000000004</v>
      </c>
      <c r="BT23" s="95">
        <f t="shared" si="36"/>
        <v>0.9</v>
      </c>
      <c r="BU23" s="96">
        <f t="shared" si="36"/>
        <v>1</v>
      </c>
    </row>
    <row r="24" spans="2:73" s="105" customFormat="1" ht="12.95" customHeight="1" x14ac:dyDescent="0.2">
      <c r="B24" s="165">
        <f>IF(ISNA(Z24),"",IF(OR(Z24=1,Z24=2),"    ",MAX($B$8:B23)+1))</f>
        <v>13</v>
      </c>
      <c r="C24" s="1375" t="str">
        <f t="shared" si="0"/>
        <v xml:space="preserve">      - A/A FCR (1.0%)</v>
      </c>
      <c r="D24" s="1375"/>
      <c r="E24" s="1375"/>
      <c r="F24" s="1376"/>
      <c r="G24" s="152">
        <f t="shared" si="1"/>
        <v>1</v>
      </c>
      <c r="H24" s="153" t="str">
        <f t="shared" si="2"/>
        <v>2</v>
      </c>
      <c r="I24" s="166">
        <f t="shared" si="2"/>
        <v>3</v>
      </c>
      <c r="J24" s="171"/>
      <c r="K24" s="168"/>
      <c r="L24" s="1075"/>
      <c r="M24" s="1076"/>
      <c r="N24" s="1076"/>
      <c r="O24" s="1076"/>
      <c r="P24" s="1076"/>
      <c r="Q24" s="1076"/>
      <c r="R24" s="1077"/>
      <c r="T24" s="119">
        <v>17</v>
      </c>
      <c r="U24" s="110" t="s">
        <v>503</v>
      </c>
      <c r="V24" s="206">
        <v>1</v>
      </c>
      <c r="W24" s="206">
        <v>1</v>
      </c>
      <c r="X24" s="206" t="s">
        <v>212</v>
      </c>
      <c r="Y24" s="206" t="s">
        <v>212</v>
      </c>
      <c r="Z24" s="160" t="s">
        <v>212</v>
      </c>
      <c r="AA24" s="160">
        <v>2</v>
      </c>
      <c r="AB24" s="160">
        <v>1</v>
      </c>
      <c r="AC24" s="206">
        <v>3</v>
      </c>
      <c r="AD24" s="206">
        <v>2</v>
      </c>
      <c r="AE24" s="206">
        <v>0</v>
      </c>
      <c r="AF24" s="206" t="b">
        <v>1</v>
      </c>
      <c r="AG24" s="206">
        <f t="shared" si="3"/>
        <v>2</v>
      </c>
      <c r="AH24" s="206">
        <f t="shared" si="4"/>
        <v>1</v>
      </c>
      <c r="AI24" s="86">
        <f>IF(NOT(OR(Z24=1,Z24=2)),IF(AQ24&gt;0,$AR$44*AQ24/SUMIF($AQ$8:$AQ$39,"&gt;0"),IF(AU24&gt;0,$AV$44*AU24/SUMIF($AU$8:$AU$39,"&gt;0"),IF(AS24&gt;0,$AT$44*AS24/SUMIF($AS$8:$AS$39,"&gt;0"),""))),IF(SUMIF(AJ25:$AJ$39,"=" &amp; AJ24,AI25:$AI$39)=0,"",SUMIF(AJ25:$AJ$39,"=" &amp; AJ24,AI25:$AI$39)))</f>
        <v>1.0106382978723403E-2</v>
      </c>
      <c r="AJ24" s="87">
        <f t="shared" si="34"/>
        <v>3</v>
      </c>
      <c r="AK24" s="206">
        <f t="shared" si="27"/>
        <v>2</v>
      </c>
      <c r="AL24" s="160" t="str">
        <f t="shared" si="28"/>
        <v/>
      </c>
      <c r="AM24" s="160" t="str">
        <f t="shared" si="35"/>
        <v/>
      </c>
      <c r="AN24" s="160" t="str">
        <f t="shared" si="5"/>
        <v/>
      </c>
      <c r="AO24" s="160" t="str">
        <f t="shared" si="6"/>
        <v/>
      </c>
      <c r="AP24" s="206" t="b">
        <f t="shared" si="7"/>
        <v>1</v>
      </c>
      <c r="AQ24" s="157">
        <f t="shared" si="29"/>
        <v>1</v>
      </c>
      <c r="AR24" s="88" t="str">
        <f t="shared" si="8"/>
        <v/>
      </c>
      <c r="AS24" s="89">
        <f t="shared" si="30"/>
        <v>0</v>
      </c>
      <c r="AT24" s="88" t="str">
        <f t="shared" si="9"/>
        <v/>
      </c>
      <c r="AU24" s="158">
        <f t="shared" si="10"/>
        <v>0</v>
      </c>
      <c r="AV24" s="90" t="str">
        <f t="shared" si="11"/>
        <v/>
      </c>
      <c r="AW24" s="158" t="b">
        <f t="shared" si="12"/>
        <v>0</v>
      </c>
      <c r="AX24" s="159" t="b">
        <f t="shared" si="13"/>
        <v>1</v>
      </c>
      <c r="AY24" s="158" t="b">
        <f t="shared" si="14"/>
        <v>0</v>
      </c>
      <c r="AZ24" s="159" t="b">
        <f t="shared" si="15"/>
        <v>0</v>
      </c>
      <c r="BA24" s="206" t="b">
        <f t="shared" si="16"/>
        <v>0</v>
      </c>
      <c r="BB24" s="206" t="b">
        <f t="shared" si="17"/>
        <v>0</v>
      </c>
      <c r="BC24" s="158" t="b">
        <f t="shared" si="18"/>
        <v>0</v>
      </c>
      <c r="BD24" s="160" t="b">
        <f t="shared" si="31"/>
        <v>0</v>
      </c>
      <c r="BE24" s="159" t="b">
        <f t="shared" si="37"/>
        <v>0</v>
      </c>
      <c r="BF24" s="161" t="b">
        <f t="shared" si="20"/>
        <v>0</v>
      </c>
      <c r="BG24" s="206" t="b">
        <f t="shared" si="38"/>
        <v>1</v>
      </c>
      <c r="BH24" s="206">
        <f t="shared" si="32"/>
        <v>1</v>
      </c>
      <c r="BI24" s="206">
        <f t="shared" si="22"/>
        <v>2</v>
      </c>
      <c r="BJ24" s="206" t="str">
        <f t="shared" si="23"/>
        <v>2</v>
      </c>
      <c r="BK24" s="206">
        <f t="shared" si="24"/>
        <v>3</v>
      </c>
      <c r="BL24" s="162">
        <f t="shared" si="33"/>
        <v>1</v>
      </c>
      <c r="BM24" s="206">
        <f t="shared" si="25"/>
        <v>2</v>
      </c>
      <c r="BN24" s="206">
        <f t="shared" si="26"/>
        <v>3</v>
      </c>
      <c r="BO24" s="1387"/>
      <c r="BP24" s="104" t="s">
        <v>230</v>
      </c>
      <c r="BQ24" s="94">
        <f t="shared" si="36"/>
        <v>0.6</v>
      </c>
      <c r="BR24" s="95">
        <f t="shared" si="36"/>
        <v>0.9</v>
      </c>
      <c r="BS24" s="95">
        <f t="shared" si="36"/>
        <v>0.93330000000000002</v>
      </c>
      <c r="BT24" s="95">
        <f t="shared" si="36"/>
        <v>0.9667</v>
      </c>
      <c r="BU24" s="96">
        <f t="shared" si="36"/>
        <v>1</v>
      </c>
    </row>
    <row r="25" spans="2:73" s="105" customFormat="1" ht="12.95" customHeight="1" x14ac:dyDescent="0.2">
      <c r="B25" s="165">
        <f>IF(ISNA(Z25),"",IF(OR(Z25=1,Z25=2),"    ",MAX($B$8:B24)+1))</f>
        <v>14</v>
      </c>
      <c r="C25" s="1375" t="str">
        <f t="shared" si="0"/>
        <v xml:space="preserve">      - Regression (1.0%)</v>
      </c>
      <c r="D25" s="1375"/>
      <c r="E25" s="1375"/>
      <c r="F25" s="1376"/>
      <c r="G25" s="152">
        <f t="shared" si="1"/>
        <v>1</v>
      </c>
      <c r="H25" s="153" t="str">
        <f t="shared" si="2"/>
        <v>2</v>
      </c>
      <c r="I25" s="166">
        <f t="shared" si="2"/>
        <v>3</v>
      </c>
      <c r="J25" s="171"/>
      <c r="K25" s="168"/>
      <c r="L25" s="1075"/>
      <c r="M25" s="1076"/>
      <c r="N25" s="1076"/>
      <c r="O25" s="1076"/>
      <c r="P25" s="1076"/>
      <c r="Q25" s="1076"/>
      <c r="R25" s="1077"/>
      <c r="T25" s="119">
        <v>18</v>
      </c>
      <c r="U25" s="110" t="s">
        <v>504</v>
      </c>
      <c r="V25" s="206">
        <v>1</v>
      </c>
      <c r="W25" s="206">
        <v>1</v>
      </c>
      <c r="X25" s="206" t="s">
        <v>212</v>
      </c>
      <c r="Y25" s="206" t="s">
        <v>212</v>
      </c>
      <c r="Z25" s="160" t="s">
        <v>212</v>
      </c>
      <c r="AA25" s="160">
        <v>2</v>
      </c>
      <c r="AB25" s="160">
        <v>1</v>
      </c>
      <c r="AC25" s="206">
        <v>3</v>
      </c>
      <c r="AD25" s="206">
        <v>2</v>
      </c>
      <c r="AE25" s="206">
        <v>0</v>
      </c>
      <c r="AF25" s="206" t="b">
        <v>1</v>
      </c>
      <c r="AG25" s="206">
        <f t="shared" si="3"/>
        <v>2</v>
      </c>
      <c r="AH25" s="206">
        <f t="shared" si="4"/>
        <v>1</v>
      </c>
      <c r="AI25" s="86">
        <f>IF(NOT(OR(Z25=1,Z25=2)),IF(AQ25&gt;0,$AR$44*AQ25/SUMIF($AQ$8:$AQ$39,"&gt;0"),IF(AU25&gt;0,$AV$44*AU25/SUMIF($AU$8:$AU$39,"&gt;0"),IF(AS25&gt;0,$AT$44*AS25/SUMIF($AS$8:$AS$39,"&gt;0"),""))),IF(SUMIF(AJ26:$AJ$39,"=" &amp; AJ25,AI26:$AI$39)=0,"",SUMIF(AJ26:$AJ$39,"=" &amp; AJ25,AI26:$AI$39)))</f>
        <v>1.0106382978723403E-2</v>
      </c>
      <c r="AJ25" s="87">
        <f t="shared" si="34"/>
        <v>3</v>
      </c>
      <c r="AK25" s="206">
        <f t="shared" si="27"/>
        <v>2</v>
      </c>
      <c r="AL25" s="160" t="str">
        <f t="shared" si="28"/>
        <v/>
      </c>
      <c r="AM25" s="160" t="str">
        <f t="shared" si="35"/>
        <v/>
      </c>
      <c r="AN25" s="160" t="str">
        <f t="shared" si="5"/>
        <v/>
      </c>
      <c r="AO25" s="160" t="str">
        <f t="shared" si="6"/>
        <v/>
      </c>
      <c r="AP25" s="206" t="b">
        <f t="shared" si="7"/>
        <v>1</v>
      </c>
      <c r="AQ25" s="157">
        <f t="shared" si="29"/>
        <v>1</v>
      </c>
      <c r="AR25" s="88" t="str">
        <f t="shared" si="8"/>
        <v/>
      </c>
      <c r="AS25" s="89">
        <f t="shared" si="30"/>
        <v>0</v>
      </c>
      <c r="AT25" s="88" t="str">
        <f t="shared" si="9"/>
        <v/>
      </c>
      <c r="AU25" s="158">
        <f t="shared" si="10"/>
        <v>0</v>
      </c>
      <c r="AV25" s="90" t="str">
        <f t="shared" si="11"/>
        <v/>
      </c>
      <c r="AW25" s="158" t="b">
        <f t="shared" si="12"/>
        <v>0</v>
      </c>
      <c r="AX25" s="159" t="b">
        <f t="shared" si="13"/>
        <v>1</v>
      </c>
      <c r="AY25" s="158" t="b">
        <f t="shared" si="14"/>
        <v>0</v>
      </c>
      <c r="AZ25" s="159" t="b">
        <f t="shared" si="15"/>
        <v>0</v>
      </c>
      <c r="BA25" s="206" t="b">
        <f t="shared" si="16"/>
        <v>0</v>
      </c>
      <c r="BB25" s="206" t="b">
        <f t="shared" si="17"/>
        <v>0</v>
      </c>
      <c r="BC25" s="158" t="b">
        <f t="shared" si="18"/>
        <v>0</v>
      </c>
      <c r="BD25" s="160" t="b">
        <f t="shared" si="31"/>
        <v>0</v>
      </c>
      <c r="BE25" s="159" t="b">
        <f t="shared" si="37"/>
        <v>0</v>
      </c>
      <c r="BF25" s="161" t="b">
        <f t="shared" si="20"/>
        <v>0</v>
      </c>
      <c r="BG25" s="206" t="b">
        <f t="shared" si="38"/>
        <v>1</v>
      </c>
      <c r="BH25" s="206">
        <f t="shared" si="32"/>
        <v>1</v>
      </c>
      <c r="BI25" s="206">
        <f t="shared" si="22"/>
        <v>2</v>
      </c>
      <c r="BJ25" s="206" t="str">
        <f t="shared" si="23"/>
        <v>2</v>
      </c>
      <c r="BK25" s="206">
        <f t="shared" si="24"/>
        <v>3</v>
      </c>
      <c r="BL25" s="162">
        <f t="shared" si="33"/>
        <v>1</v>
      </c>
      <c r="BM25" s="206">
        <f t="shared" si="25"/>
        <v>2</v>
      </c>
      <c r="BN25" s="206">
        <f t="shared" si="26"/>
        <v>3</v>
      </c>
      <c r="BO25" s="1387"/>
      <c r="BP25" s="104" t="s">
        <v>231</v>
      </c>
      <c r="BQ25" s="94">
        <f t="shared" si="36"/>
        <v>0.6</v>
      </c>
      <c r="BR25" s="95">
        <f t="shared" si="36"/>
        <v>0.7</v>
      </c>
      <c r="BS25" s="95">
        <f t="shared" si="36"/>
        <v>0.9</v>
      </c>
      <c r="BT25" s="95">
        <f t="shared" si="36"/>
        <v>0.95</v>
      </c>
      <c r="BU25" s="96">
        <f t="shared" si="36"/>
        <v>1</v>
      </c>
    </row>
    <row r="26" spans="2:73" s="105" customFormat="1" ht="12.95" customHeight="1" x14ac:dyDescent="0.2">
      <c r="B26" s="165">
        <f>IF(ISNA(Z26),"",IF(OR(Z26=1,Z26=2),"    ",MAX($B$8:B25)+1))</f>
        <v>15</v>
      </c>
      <c r="C26" s="1375" t="str">
        <f t="shared" si="0"/>
        <v xml:space="preserve">      - Diving Deliveries (1.0%)</v>
      </c>
      <c r="D26" s="1375"/>
      <c r="E26" s="1375"/>
      <c r="F26" s="1376"/>
      <c r="G26" s="152">
        <f t="shared" si="1"/>
        <v>1</v>
      </c>
      <c r="H26" s="153" t="str">
        <f t="shared" si="2"/>
        <v>2</v>
      </c>
      <c r="I26" s="166">
        <f t="shared" si="2"/>
        <v>2</v>
      </c>
      <c r="J26" s="171"/>
      <c r="K26" s="168"/>
      <c r="L26" s="1075"/>
      <c r="M26" s="1076"/>
      <c r="N26" s="1076"/>
      <c r="O26" s="1076"/>
      <c r="P26" s="1076"/>
      <c r="Q26" s="1076"/>
      <c r="R26" s="1077"/>
      <c r="T26" s="119">
        <v>19</v>
      </c>
      <c r="U26" s="110" t="s">
        <v>505</v>
      </c>
      <c r="V26" s="206">
        <v>1</v>
      </c>
      <c r="W26" s="206">
        <v>1</v>
      </c>
      <c r="X26" s="206" t="s">
        <v>212</v>
      </c>
      <c r="Y26" s="206" t="s">
        <v>212</v>
      </c>
      <c r="Z26" s="160" t="s">
        <v>212</v>
      </c>
      <c r="AA26" s="160">
        <v>2</v>
      </c>
      <c r="AB26" s="160">
        <v>1</v>
      </c>
      <c r="AC26" s="206">
        <v>2</v>
      </c>
      <c r="AD26" s="206">
        <v>2</v>
      </c>
      <c r="AE26" s="206">
        <v>0</v>
      </c>
      <c r="AF26" s="206" t="b">
        <v>1</v>
      </c>
      <c r="AG26" s="206">
        <f t="shared" si="3"/>
        <v>2</v>
      </c>
      <c r="AH26" s="206">
        <f t="shared" si="4"/>
        <v>1</v>
      </c>
      <c r="AI26" s="86">
        <f>IF(NOT(OR(Z26=1,Z26=2)),IF(AQ26&gt;0,$AR$44*AQ26/SUMIF($AQ$8:$AQ$39,"&gt;0"),IF(AU26&gt;0,$AV$44*AU26/SUMIF($AU$8:$AU$39,"&gt;0"),IF(AS26&gt;0,$AT$44*AS26/SUMIF($AS$8:$AS$39,"&gt;0"),""))),IF(SUMIF(AJ27:$AJ$39,"=" &amp; AJ26,AI27:$AI$39)=0,"",SUMIF(AJ27:$AJ$39,"=" &amp; AJ26,AI27:$AI$39)))</f>
        <v>1.0106382978723403E-2</v>
      </c>
      <c r="AJ26" s="87">
        <f t="shared" si="34"/>
        <v>3</v>
      </c>
      <c r="AK26" s="206">
        <f t="shared" si="27"/>
        <v>2</v>
      </c>
      <c r="AL26" s="160" t="str">
        <f t="shared" si="28"/>
        <v/>
      </c>
      <c r="AM26" s="160" t="str">
        <f t="shared" si="35"/>
        <v/>
      </c>
      <c r="AN26" s="160" t="str">
        <f t="shared" si="5"/>
        <v/>
      </c>
      <c r="AO26" s="160" t="str">
        <f t="shared" si="6"/>
        <v/>
      </c>
      <c r="AP26" s="206" t="b">
        <f t="shared" si="7"/>
        <v>1</v>
      </c>
      <c r="AQ26" s="157">
        <f t="shared" si="29"/>
        <v>1</v>
      </c>
      <c r="AR26" s="88" t="str">
        <f t="shared" si="8"/>
        <v/>
      </c>
      <c r="AS26" s="89">
        <f t="shared" si="30"/>
        <v>0</v>
      </c>
      <c r="AT26" s="88" t="str">
        <f t="shared" si="9"/>
        <v/>
      </c>
      <c r="AU26" s="158">
        <f t="shared" si="10"/>
        <v>0</v>
      </c>
      <c r="AV26" s="90" t="str">
        <f t="shared" si="11"/>
        <v/>
      </c>
      <c r="AW26" s="158" t="b">
        <f t="shared" si="12"/>
        <v>0</v>
      </c>
      <c r="AX26" s="159" t="b">
        <f t="shared" si="13"/>
        <v>1</v>
      </c>
      <c r="AY26" s="158" t="b">
        <f t="shared" si="14"/>
        <v>0</v>
      </c>
      <c r="AZ26" s="159" t="b">
        <f t="shared" si="15"/>
        <v>0</v>
      </c>
      <c r="BA26" s="206" t="b">
        <f t="shared" si="16"/>
        <v>0</v>
      </c>
      <c r="BB26" s="206" t="b">
        <f t="shared" si="17"/>
        <v>0</v>
      </c>
      <c r="BC26" s="158" t="b">
        <f t="shared" si="18"/>
        <v>0</v>
      </c>
      <c r="BD26" s="160" t="b">
        <f t="shared" si="31"/>
        <v>0</v>
      </c>
      <c r="BE26" s="159" t="b">
        <f t="shared" si="37"/>
        <v>0</v>
      </c>
      <c r="BF26" s="161" t="b">
        <f t="shared" si="20"/>
        <v>0</v>
      </c>
      <c r="BG26" s="206" t="b">
        <f t="shared" si="38"/>
        <v>1</v>
      </c>
      <c r="BH26" s="206">
        <f t="shared" si="32"/>
        <v>1</v>
      </c>
      <c r="BI26" s="206">
        <f t="shared" si="22"/>
        <v>2</v>
      </c>
      <c r="BJ26" s="206" t="str">
        <f t="shared" si="23"/>
        <v>2</v>
      </c>
      <c r="BK26" s="206">
        <f t="shared" si="24"/>
        <v>2</v>
      </c>
      <c r="BL26" s="162">
        <f t="shared" si="33"/>
        <v>1</v>
      </c>
      <c r="BM26" s="206">
        <f t="shared" si="25"/>
        <v>2</v>
      </c>
      <c r="BN26" s="206">
        <f t="shared" si="26"/>
        <v>2</v>
      </c>
      <c r="BO26" s="1387"/>
      <c r="BP26" s="104" t="s">
        <v>232</v>
      </c>
      <c r="BQ26" s="94">
        <f t="shared" si="36"/>
        <v>0.6</v>
      </c>
      <c r="BR26" s="95">
        <f t="shared" si="36"/>
        <v>0.7</v>
      </c>
      <c r="BS26" s="95">
        <f t="shared" si="36"/>
        <v>0.8</v>
      </c>
      <c r="BT26" s="95">
        <f t="shared" si="36"/>
        <v>0.9</v>
      </c>
      <c r="BU26" s="96">
        <f t="shared" si="36"/>
        <v>1</v>
      </c>
    </row>
    <row r="27" spans="2:73" s="105" customFormat="1" ht="12.95" customHeight="1" x14ac:dyDescent="0.2">
      <c r="B27" s="165" t="str">
        <f>IF(ISNA(Z27),"",IF(OR(Z27=1,Z27=2),"    ",MAX($B$8:B26)+1))</f>
        <v xml:space="preserve">    </v>
      </c>
      <c r="C27" s="1375" t="str">
        <f t="shared" si="0"/>
        <v>Reporting (10.1%)</v>
      </c>
      <c r="D27" s="1375"/>
      <c r="E27" s="1375"/>
      <c r="F27" s="1376"/>
      <c r="G27" s="152" t="str">
        <f t="shared" si="1"/>
        <v/>
      </c>
      <c r="H27" s="153" t="str">
        <f t="shared" si="2"/>
        <v/>
      </c>
      <c r="I27" s="166" t="str">
        <f t="shared" si="2"/>
        <v/>
      </c>
      <c r="J27" s="172"/>
      <c r="K27" s="173"/>
      <c r="L27" s="1075"/>
      <c r="M27" s="1076"/>
      <c r="N27" s="1076"/>
      <c r="O27" s="1076"/>
      <c r="P27" s="1076"/>
      <c r="Q27" s="1076"/>
      <c r="R27" s="1077"/>
      <c r="T27" s="119">
        <v>20</v>
      </c>
      <c r="U27" s="110" t="s">
        <v>506</v>
      </c>
      <c r="V27" s="206" t="s">
        <v>212</v>
      </c>
      <c r="W27" s="206" t="s">
        <v>212</v>
      </c>
      <c r="X27" s="206" t="s">
        <v>212</v>
      </c>
      <c r="Y27" s="206" t="s">
        <v>212</v>
      </c>
      <c r="Z27" s="160">
        <v>2</v>
      </c>
      <c r="AA27" s="160">
        <v>1</v>
      </c>
      <c r="AB27" s="160">
        <v>1</v>
      </c>
      <c r="AC27" s="206" t="s">
        <v>212</v>
      </c>
      <c r="AD27" s="206" t="s">
        <v>212</v>
      </c>
      <c r="AE27" s="206" t="s">
        <v>212</v>
      </c>
      <c r="AF27" s="206" t="s">
        <v>212</v>
      </c>
      <c r="AG27" s="206" t="str">
        <f t="shared" si="3"/>
        <v/>
      </c>
      <c r="AH27" s="206" t="str">
        <f t="shared" si="4"/>
        <v/>
      </c>
      <c r="AI27" s="86">
        <f>IF(NOT(OR(Z27=1,Z27=2)),IF(AQ27&gt;0,$AR$44*AQ27/SUMIF($AQ$8:$AQ$39,"&gt;0"),IF(AU27&gt;0,$AV$44*AU27/SUMIF($AU$8:$AU$39,"&gt;0"),IF(AS27&gt;0,$AT$44*AS27/SUMIF($AS$8:$AS$39,"&gt;0"),""))),IF(SUMIF(AJ28:$AJ$39,"=" &amp; AJ27,AI28:$AI$39)=0,"",SUMIF(AJ28:$AJ$39,"=" &amp; AJ27,AI28:$AI$39)))</f>
        <v>0.10106382978723404</v>
      </c>
      <c r="AJ27" s="87">
        <f t="shared" si="34"/>
        <v>4</v>
      </c>
      <c r="AK27" s="206" t="str">
        <f t="shared" si="27"/>
        <v/>
      </c>
      <c r="AL27" s="160" t="str">
        <f t="shared" si="28"/>
        <v/>
      </c>
      <c r="AM27" s="160" t="str">
        <f t="shared" si="35"/>
        <v/>
      </c>
      <c r="AN27" s="160" t="str">
        <f t="shared" si="5"/>
        <v/>
      </c>
      <c r="AO27" s="160" t="str">
        <f t="shared" si="6"/>
        <v/>
      </c>
      <c r="AP27" s="206" t="str">
        <f t="shared" si="7"/>
        <v/>
      </c>
      <c r="AQ27" s="157">
        <f t="shared" si="29"/>
        <v>0</v>
      </c>
      <c r="AR27" s="88" t="str">
        <f t="shared" si="8"/>
        <v/>
      </c>
      <c r="AS27" s="89">
        <f t="shared" si="30"/>
        <v>0</v>
      </c>
      <c r="AT27" s="88" t="str">
        <f t="shared" si="9"/>
        <v/>
      </c>
      <c r="AU27" s="158">
        <f t="shared" si="10"/>
        <v>0</v>
      </c>
      <c r="AV27" s="90" t="str">
        <f t="shared" si="11"/>
        <v/>
      </c>
      <c r="AW27" s="158" t="b">
        <f t="shared" si="12"/>
        <v>0</v>
      </c>
      <c r="AX27" s="159" t="b">
        <f t="shared" si="13"/>
        <v>0</v>
      </c>
      <c r="AY27" s="158" t="b">
        <f t="shared" si="14"/>
        <v>0</v>
      </c>
      <c r="AZ27" s="159" t="b">
        <f t="shared" si="15"/>
        <v>0</v>
      </c>
      <c r="BA27" s="206" t="b">
        <f t="shared" si="16"/>
        <v>0</v>
      </c>
      <c r="BB27" s="206" t="b">
        <f t="shared" si="17"/>
        <v>0</v>
      </c>
      <c r="BC27" s="158" t="b">
        <f t="shared" si="18"/>
        <v>0</v>
      </c>
      <c r="BD27" s="160" t="b">
        <f t="shared" si="31"/>
        <v>0</v>
      </c>
      <c r="BE27" s="159" t="b">
        <f t="shared" si="37"/>
        <v>0</v>
      </c>
      <c r="BF27" s="161" t="b">
        <f t="shared" si="20"/>
        <v>0</v>
      </c>
      <c r="BG27" s="206" t="b">
        <f t="shared" si="38"/>
        <v>0</v>
      </c>
      <c r="BH27" s="206" t="str">
        <f t="shared" si="32"/>
        <v/>
      </c>
      <c r="BI27" s="206" t="str">
        <f t="shared" si="22"/>
        <v/>
      </c>
      <c r="BJ27" s="206" t="str">
        <f t="shared" si="23"/>
        <v/>
      </c>
      <c r="BK27" s="206" t="str">
        <f t="shared" si="24"/>
        <v/>
      </c>
      <c r="BL27" s="162" t="str">
        <f t="shared" si="33"/>
        <v/>
      </c>
      <c r="BM27" s="206" t="str">
        <f t="shared" si="25"/>
        <v/>
      </c>
      <c r="BN27" s="206" t="str">
        <f t="shared" si="26"/>
        <v/>
      </c>
      <c r="BO27" s="1387"/>
      <c r="BP27" s="104" t="s">
        <v>233</v>
      </c>
      <c r="BQ27" s="94">
        <f t="shared" si="36"/>
        <v>0.3</v>
      </c>
      <c r="BR27" s="95">
        <f t="shared" si="36"/>
        <v>0.6</v>
      </c>
      <c r="BS27" s="95">
        <f t="shared" si="36"/>
        <v>0.9</v>
      </c>
      <c r="BT27" s="95">
        <f t="shared" si="36"/>
        <v>0.95</v>
      </c>
      <c r="BU27" s="96">
        <f t="shared" si="36"/>
        <v>1</v>
      </c>
    </row>
    <row r="28" spans="2:73" s="105" customFormat="1" ht="12.95" customHeight="1" x14ac:dyDescent="0.2">
      <c r="B28" s="165">
        <f>IF(ISNA(Z28),"",IF(OR(Z28=1,Z28=2),"    ",MAX($B$8:B27)+1))</f>
        <v>16</v>
      </c>
      <c r="C28" s="1375" t="str">
        <f t="shared" si="0"/>
        <v xml:space="preserve">      - Oral Report (10.1%)</v>
      </c>
      <c r="D28" s="1375"/>
      <c r="E28" s="1375"/>
      <c r="F28" s="1376"/>
      <c r="G28" s="152">
        <f t="shared" si="1"/>
        <v>1</v>
      </c>
      <c r="H28" s="153" t="str">
        <f t="shared" si="2"/>
        <v>2</v>
      </c>
      <c r="I28" s="166">
        <f t="shared" si="2"/>
        <v>3</v>
      </c>
      <c r="J28" s="171"/>
      <c r="K28" s="168"/>
      <c r="L28" s="1075"/>
      <c r="M28" s="1076"/>
      <c r="N28" s="1076"/>
      <c r="O28" s="1076"/>
      <c r="P28" s="1076"/>
      <c r="Q28" s="1076"/>
      <c r="R28" s="1077"/>
      <c r="T28" s="119">
        <v>21</v>
      </c>
      <c r="U28" s="110" t="s">
        <v>507</v>
      </c>
      <c r="V28" s="206">
        <v>1</v>
      </c>
      <c r="W28" s="206">
        <v>10</v>
      </c>
      <c r="X28" s="206" t="s">
        <v>212</v>
      </c>
      <c r="Y28" s="206" t="s">
        <v>212</v>
      </c>
      <c r="Z28" s="160" t="s">
        <v>212</v>
      </c>
      <c r="AA28" s="160">
        <v>2</v>
      </c>
      <c r="AB28" s="160">
        <v>1</v>
      </c>
      <c r="AC28" s="206">
        <v>3</v>
      </c>
      <c r="AD28" s="206">
        <v>2</v>
      </c>
      <c r="AE28" s="206">
        <v>0</v>
      </c>
      <c r="AF28" s="206" t="b">
        <v>1</v>
      </c>
      <c r="AG28" s="206">
        <f t="shared" si="3"/>
        <v>2</v>
      </c>
      <c r="AH28" s="206">
        <f t="shared" si="4"/>
        <v>1</v>
      </c>
      <c r="AI28" s="86">
        <f>IF(NOT(OR(Z28=1,Z28=2)),IF(AQ28&gt;0,$AR$44*AQ28/SUMIF($AQ$8:$AQ$39,"&gt;0"),IF(AU28&gt;0,$AV$44*AU28/SUMIF($AU$8:$AU$39,"&gt;0"),IF(AS28&gt;0,$AT$44*AS28/SUMIF($AS$8:$AS$39,"&gt;0"),""))),IF(SUMIF(AJ29:$AJ$39,"=" &amp; AJ28,AI29:$AI$39)=0,"",SUMIF(AJ29:$AJ$39,"=" &amp; AJ28,AI29:$AI$39)))</f>
        <v>0.10106382978723404</v>
      </c>
      <c r="AJ28" s="87">
        <f t="shared" si="34"/>
        <v>4</v>
      </c>
      <c r="AK28" s="206">
        <f t="shared" si="27"/>
        <v>2</v>
      </c>
      <c r="AL28" s="160" t="str">
        <f t="shared" si="28"/>
        <v/>
      </c>
      <c r="AM28" s="160" t="str">
        <f t="shared" si="35"/>
        <v/>
      </c>
      <c r="AN28" s="160" t="str">
        <f t="shared" si="5"/>
        <v/>
      </c>
      <c r="AO28" s="160" t="str">
        <f t="shared" si="6"/>
        <v/>
      </c>
      <c r="AP28" s="206" t="b">
        <f t="shared" si="7"/>
        <v>1</v>
      </c>
      <c r="AQ28" s="157">
        <f t="shared" si="29"/>
        <v>10</v>
      </c>
      <c r="AR28" s="88" t="str">
        <f t="shared" si="8"/>
        <v/>
      </c>
      <c r="AS28" s="89">
        <f t="shared" si="30"/>
        <v>0</v>
      </c>
      <c r="AT28" s="88" t="str">
        <f t="shared" si="9"/>
        <v/>
      </c>
      <c r="AU28" s="158">
        <f t="shared" si="10"/>
        <v>0</v>
      </c>
      <c r="AV28" s="90" t="str">
        <f t="shared" si="11"/>
        <v/>
      </c>
      <c r="AW28" s="158" t="b">
        <f t="shared" si="12"/>
        <v>0</v>
      </c>
      <c r="AX28" s="159" t="b">
        <f t="shared" si="13"/>
        <v>1</v>
      </c>
      <c r="AY28" s="158" t="b">
        <f t="shared" si="14"/>
        <v>0</v>
      </c>
      <c r="AZ28" s="159" t="b">
        <f t="shared" si="15"/>
        <v>0</v>
      </c>
      <c r="BA28" s="206" t="b">
        <f t="shared" si="16"/>
        <v>0</v>
      </c>
      <c r="BB28" s="206" t="b">
        <f t="shared" si="17"/>
        <v>0</v>
      </c>
      <c r="BC28" s="158" t="b">
        <f t="shared" si="18"/>
        <v>0</v>
      </c>
      <c r="BD28" s="160" t="b">
        <f t="shared" si="31"/>
        <v>0</v>
      </c>
      <c r="BE28" s="159" t="b">
        <f t="shared" si="37"/>
        <v>0</v>
      </c>
      <c r="BF28" s="161" t="b">
        <f t="shared" si="20"/>
        <v>0</v>
      </c>
      <c r="BG28" s="206" t="b">
        <f t="shared" si="38"/>
        <v>1</v>
      </c>
      <c r="BH28" s="206">
        <f t="shared" si="32"/>
        <v>1</v>
      </c>
      <c r="BI28" s="206">
        <f t="shared" si="22"/>
        <v>2</v>
      </c>
      <c r="BJ28" s="206" t="str">
        <f t="shared" si="23"/>
        <v>2</v>
      </c>
      <c r="BK28" s="206">
        <f t="shared" si="24"/>
        <v>3</v>
      </c>
      <c r="BL28" s="162">
        <f t="shared" si="33"/>
        <v>1</v>
      </c>
      <c r="BM28" s="206">
        <f t="shared" si="25"/>
        <v>2</v>
      </c>
      <c r="BN28" s="206">
        <f t="shared" si="26"/>
        <v>3</v>
      </c>
      <c r="BO28" s="1387"/>
      <c r="BP28" s="104" t="s">
        <v>234</v>
      </c>
      <c r="BQ28" s="94">
        <f t="shared" si="36"/>
        <v>0.3</v>
      </c>
      <c r="BR28" s="95">
        <f t="shared" si="36"/>
        <v>0.6</v>
      </c>
      <c r="BS28" s="95">
        <f t="shared" si="36"/>
        <v>0.7</v>
      </c>
      <c r="BT28" s="95">
        <f t="shared" si="36"/>
        <v>0.9</v>
      </c>
      <c r="BU28" s="96">
        <f t="shared" si="36"/>
        <v>1</v>
      </c>
    </row>
    <row r="29" spans="2:73" s="105" customFormat="1" ht="12.95" customHeight="1" x14ac:dyDescent="0.2">
      <c r="B29" s="165" t="str">
        <f>IF(ISNA(Z29),"",IF(OR(Z29=1,Z29=2),"    ",MAX($B$8:B28)+1))</f>
        <v/>
      </c>
      <c r="C29" s="1375" t="str">
        <f t="shared" si="0"/>
        <v/>
      </c>
      <c r="D29" s="1375"/>
      <c r="E29" s="1375"/>
      <c r="F29" s="1376"/>
      <c r="G29" s="152" t="str">
        <f t="shared" si="1"/>
        <v/>
      </c>
      <c r="H29" s="153" t="str">
        <f t="shared" si="2"/>
        <v/>
      </c>
      <c r="I29" s="166" t="str">
        <f t="shared" si="2"/>
        <v/>
      </c>
      <c r="J29" s="172"/>
      <c r="K29" s="173"/>
      <c r="L29" s="1075"/>
      <c r="M29" s="1076"/>
      <c r="N29" s="1076"/>
      <c r="O29" s="1076"/>
      <c r="P29" s="1076"/>
      <c r="Q29" s="1076"/>
      <c r="R29" s="1077"/>
      <c r="T29" s="119">
        <v>22</v>
      </c>
      <c r="U29" s="110" t="e">
        <v>#N/A</v>
      </c>
      <c r="V29" s="206" t="e">
        <v>#N/A</v>
      </c>
      <c r="W29" s="206" t="e">
        <v>#N/A</v>
      </c>
      <c r="X29" s="206" t="e">
        <v>#N/A</v>
      </c>
      <c r="Y29" s="206" t="e">
        <v>#N/A</v>
      </c>
      <c r="Z29" s="160" t="e">
        <v>#N/A</v>
      </c>
      <c r="AA29" s="160" t="e">
        <v>#N/A</v>
      </c>
      <c r="AB29" s="160" t="e">
        <v>#N/A</v>
      </c>
      <c r="AC29" s="206" t="e">
        <v>#N/A</v>
      </c>
      <c r="AD29" s="206" t="e">
        <v>#N/A</v>
      </c>
      <c r="AE29" s="206" t="e">
        <v>#N/A</v>
      </c>
      <c r="AF29" s="206" t="e">
        <v>#N/A</v>
      </c>
      <c r="AG29" s="206" t="e">
        <f t="shared" si="3"/>
        <v>#N/A</v>
      </c>
      <c r="AH29" s="206" t="str">
        <f t="shared" si="4"/>
        <v/>
      </c>
      <c r="AI29" s="86" t="e">
        <f>IF(NOT(OR(Z29=1,Z29=2)),IF(AQ29&gt;0,$AR$44*AQ29/SUMIF($AQ$8:$AQ$39,"&gt;0"),IF(AU29&gt;0,$AV$44*AU29/SUMIF($AU$8:$AU$39,"&gt;0"),IF(AS29&gt;0,$AT$44*AS29/SUMIF($AS$8:$AS$39,"&gt;0"),""))),IF(SUMIF(AJ30:$AJ$39,"=" &amp; AJ29,AI30:$AI$39)=0,"",SUMIF(AJ30:$AJ$39,"=" &amp; AJ29,AI30:$AI$39)))</f>
        <v>#N/A</v>
      </c>
      <c r="AJ29" s="87" t="e">
        <f t="shared" si="34"/>
        <v>#N/A</v>
      </c>
      <c r="AK29" s="206" t="str">
        <f t="shared" si="27"/>
        <v/>
      </c>
      <c r="AL29" s="160" t="str">
        <f t="shared" si="28"/>
        <v/>
      </c>
      <c r="AM29" s="160" t="str">
        <f t="shared" si="35"/>
        <v/>
      </c>
      <c r="AN29" s="160" t="str">
        <f t="shared" si="5"/>
        <v/>
      </c>
      <c r="AO29" s="160" t="e">
        <f t="shared" si="6"/>
        <v>#N/A</v>
      </c>
      <c r="AP29" s="206" t="str">
        <f t="shared" si="7"/>
        <v/>
      </c>
      <c r="AQ29" s="157">
        <f t="shared" si="29"/>
        <v>0</v>
      </c>
      <c r="AR29" s="88" t="str">
        <f t="shared" si="8"/>
        <v/>
      </c>
      <c r="AS29" s="89">
        <f t="shared" si="30"/>
        <v>0</v>
      </c>
      <c r="AT29" s="88" t="str">
        <f t="shared" si="9"/>
        <v/>
      </c>
      <c r="AU29" s="158">
        <f t="shared" si="10"/>
        <v>0</v>
      </c>
      <c r="AV29" s="90" t="str">
        <f t="shared" si="11"/>
        <v/>
      </c>
      <c r="AW29" s="158" t="b">
        <f t="shared" si="12"/>
        <v>0</v>
      </c>
      <c r="AX29" s="159" t="b">
        <f t="shared" si="13"/>
        <v>0</v>
      </c>
      <c r="AY29" s="158" t="b">
        <f t="shared" si="14"/>
        <v>0</v>
      </c>
      <c r="AZ29" s="159" t="b">
        <f t="shared" si="15"/>
        <v>0</v>
      </c>
      <c r="BA29" s="206" t="b">
        <f t="shared" si="16"/>
        <v>0</v>
      </c>
      <c r="BB29" s="206" t="b">
        <f t="shared" si="17"/>
        <v>0</v>
      </c>
      <c r="BC29" s="158" t="b">
        <f t="shared" si="18"/>
        <v>0</v>
      </c>
      <c r="BD29" s="160" t="b">
        <f t="shared" si="31"/>
        <v>0</v>
      </c>
      <c r="BE29" s="159" t="b">
        <f t="shared" si="37"/>
        <v>0</v>
      </c>
      <c r="BF29" s="161" t="b">
        <f t="shared" si="20"/>
        <v>0</v>
      </c>
      <c r="BG29" s="206" t="str">
        <f t="shared" si="38"/>
        <v>NA</v>
      </c>
      <c r="BH29" s="206" t="str">
        <f t="shared" si="32"/>
        <v/>
      </c>
      <c r="BI29" s="206" t="str">
        <f t="shared" si="22"/>
        <v/>
      </c>
      <c r="BJ29" s="206" t="str">
        <f t="shared" si="23"/>
        <v/>
      </c>
      <c r="BK29" s="206" t="str">
        <f t="shared" si="24"/>
        <v/>
      </c>
      <c r="BL29" s="162" t="str">
        <f t="shared" si="33"/>
        <v/>
      </c>
      <c r="BM29" s="206" t="str">
        <f t="shared" si="25"/>
        <v/>
      </c>
      <c r="BN29" s="206" t="str">
        <f t="shared" si="26"/>
        <v/>
      </c>
      <c r="BO29" s="1387"/>
      <c r="BP29" s="104" t="s">
        <v>235</v>
      </c>
      <c r="BQ29" s="97">
        <f t="shared" si="36"/>
        <v>0</v>
      </c>
      <c r="BR29" s="98">
        <f t="shared" si="36"/>
        <v>0.3</v>
      </c>
      <c r="BS29" s="98">
        <f t="shared" si="36"/>
        <v>0.6</v>
      </c>
      <c r="BT29" s="98">
        <f t="shared" si="36"/>
        <v>0.9</v>
      </c>
      <c r="BU29" s="99">
        <f t="shared" si="36"/>
        <v>1</v>
      </c>
    </row>
    <row r="30" spans="2:73" s="105" customFormat="1" ht="12.95" customHeight="1" x14ac:dyDescent="0.2">
      <c r="B30" s="165" t="str">
        <f>IF(ISNA(Z30),"",IF(OR(Z30=1,Z30=2),"    ",MAX($B$8:B29)+1))</f>
        <v/>
      </c>
      <c r="C30" s="1375" t="str">
        <f t="shared" si="0"/>
        <v/>
      </c>
      <c r="D30" s="1375"/>
      <c r="E30" s="1375"/>
      <c r="F30" s="1376"/>
      <c r="G30" s="152" t="str">
        <f t="shared" si="1"/>
        <v/>
      </c>
      <c r="H30" s="153" t="str">
        <f t="shared" si="2"/>
        <v/>
      </c>
      <c r="I30" s="166" t="str">
        <f t="shared" si="2"/>
        <v/>
      </c>
      <c r="J30" s="172"/>
      <c r="K30" s="173"/>
      <c r="L30" s="1075"/>
      <c r="M30" s="1076"/>
      <c r="N30" s="1076"/>
      <c r="O30" s="1076"/>
      <c r="P30" s="1076"/>
      <c r="Q30" s="1076"/>
      <c r="R30" s="1077"/>
      <c r="T30" s="119">
        <v>23</v>
      </c>
      <c r="U30" s="110" t="e">
        <v>#N/A</v>
      </c>
      <c r="V30" s="206" t="e">
        <v>#N/A</v>
      </c>
      <c r="W30" s="206" t="e">
        <v>#N/A</v>
      </c>
      <c r="X30" s="206" t="e">
        <v>#N/A</v>
      </c>
      <c r="Y30" s="206" t="e">
        <v>#N/A</v>
      </c>
      <c r="Z30" s="160" t="e">
        <v>#N/A</v>
      </c>
      <c r="AA30" s="160" t="e">
        <v>#N/A</v>
      </c>
      <c r="AB30" s="160" t="e">
        <v>#N/A</v>
      </c>
      <c r="AC30" s="206" t="e">
        <v>#N/A</v>
      </c>
      <c r="AD30" s="206" t="e">
        <v>#N/A</v>
      </c>
      <c r="AE30" s="206" t="e">
        <v>#N/A</v>
      </c>
      <c r="AF30" s="206" t="e">
        <v>#N/A</v>
      </c>
      <c r="AG30" s="206" t="e">
        <f t="shared" si="3"/>
        <v>#N/A</v>
      </c>
      <c r="AH30" s="206" t="str">
        <f t="shared" si="4"/>
        <v/>
      </c>
      <c r="AI30" s="86" t="e">
        <f>IF(NOT(OR(Z30=1,Z30=2)),IF(AQ30&gt;0,$AR$44*AQ30/SUMIF($AQ$8:$AQ$39,"&gt;0"),IF(AU30&gt;0,$AV$44*AU30/SUMIF($AU$8:$AU$39,"&gt;0"),IF(AS30&gt;0,$AT$44*AS30/SUMIF($AS$8:$AS$39,"&gt;0"),""))),IF(SUMIF(AJ31:$AJ$39,"=" &amp; AJ30,AI31:$AI$39)=0,"",SUMIF(AJ31:$AJ$39,"=" &amp; AJ30,AI31:$AI$39)))</f>
        <v>#N/A</v>
      </c>
      <c r="AJ30" s="87" t="e">
        <f t="shared" si="34"/>
        <v>#N/A</v>
      </c>
      <c r="AK30" s="206" t="str">
        <f t="shared" si="27"/>
        <v/>
      </c>
      <c r="AL30" s="160" t="str">
        <f t="shared" si="28"/>
        <v/>
      </c>
      <c r="AM30" s="160" t="str">
        <f t="shared" si="35"/>
        <v/>
      </c>
      <c r="AN30" s="160" t="str">
        <f t="shared" si="5"/>
        <v/>
      </c>
      <c r="AO30" s="160" t="e">
        <f t="shared" si="6"/>
        <v>#N/A</v>
      </c>
      <c r="AP30" s="206" t="str">
        <f t="shared" si="7"/>
        <v/>
      </c>
      <c r="AQ30" s="157">
        <f t="shared" si="29"/>
        <v>0</v>
      </c>
      <c r="AR30" s="88" t="str">
        <f t="shared" si="8"/>
        <v/>
      </c>
      <c r="AS30" s="89">
        <f t="shared" si="30"/>
        <v>0</v>
      </c>
      <c r="AT30" s="88" t="str">
        <f t="shared" si="9"/>
        <v/>
      </c>
      <c r="AU30" s="158">
        <f t="shared" si="10"/>
        <v>0</v>
      </c>
      <c r="AV30" s="90" t="str">
        <f t="shared" si="11"/>
        <v/>
      </c>
      <c r="AW30" s="158" t="b">
        <f t="shared" si="12"/>
        <v>0</v>
      </c>
      <c r="AX30" s="159" t="b">
        <f t="shared" si="13"/>
        <v>0</v>
      </c>
      <c r="AY30" s="158" t="b">
        <f t="shared" si="14"/>
        <v>0</v>
      </c>
      <c r="AZ30" s="159" t="b">
        <f t="shared" si="15"/>
        <v>0</v>
      </c>
      <c r="BA30" s="206" t="b">
        <f t="shared" si="16"/>
        <v>0</v>
      </c>
      <c r="BB30" s="206" t="b">
        <f t="shared" si="17"/>
        <v>0</v>
      </c>
      <c r="BC30" s="158" t="b">
        <f t="shared" si="18"/>
        <v>0</v>
      </c>
      <c r="BD30" s="160" t="b">
        <f t="shared" si="31"/>
        <v>0</v>
      </c>
      <c r="BE30" s="159" t="b">
        <f t="shared" si="37"/>
        <v>0</v>
      </c>
      <c r="BF30" s="161" t="b">
        <f t="shared" si="20"/>
        <v>0</v>
      </c>
      <c r="BG30" s="206" t="str">
        <f t="shared" si="38"/>
        <v>NA</v>
      </c>
      <c r="BH30" s="206" t="str">
        <f t="shared" si="32"/>
        <v/>
      </c>
      <c r="BI30" s="206" t="str">
        <f t="shared" si="22"/>
        <v/>
      </c>
      <c r="BJ30" s="206" t="str">
        <f t="shared" si="23"/>
        <v/>
      </c>
      <c r="BK30" s="206" t="str">
        <f t="shared" si="24"/>
        <v/>
      </c>
      <c r="BL30" s="162" t="str">
        <f t="shared" si="33"/>
        <v/>
      </c>
      <c r="BM30" s="206" t="str">
        <f t="shared" si="25"/>
        <v/>
      </c>
      <c r="BN30" s="206" t="str">
        <f t="shared" si="26"/>
        <v/>
      </c>
      <c r="BO30" s="106"/>
    </row>
    <row r="31" spans="2:73" s="105" customFormat="1" ht="12.95" customHeight="1" x14ac:dyDescent="0.2">
      <c r="B31" s="165" t="str">
        <f>IF(ISNA(Z31),"",IF(OR(Z31=1,Z31=2),"    ",MAX($B$8:B30)+1))</f>
        <v/>
      </c>
      <c r="C31" s="1375" t="str">
        <f t="shared" si="0"/>
        <v/>
      </c>
      <c r="D31" s="1375"/>
      <c r="E31" s="1375"/>
      <c r="F31" s="1376"/>
      <c r="G31" s="152" t="str">
        <f t="shared" si="1"/>
        <v/>
      </c>
      <c r="H31" s="153" t="str">
        <f t="shared" si="2"/>
        <v/>
      </c>
      <c r="I31" s="166" t="str">
        <f t="shared" si="2"/>
        <v/>
      </c>
      <c r="J31" s="172"/>
      <c r="K31" s="173"/>
      <c r="L31" s="1075"/>
      <c r="M31" s="1076"/>
      <c r="N31" s="1076"/>
      <c r="O31" s="1076"/>
      <c r="P31" s="1076"/>
      <c r="Q31" s="1076"/>
      <c r="R31" s="1077"/>
      <c r="T31" s="119">
        <v>24</v>
      </c>
      <c r="U31" s="110" t="e">
        <v>#N/A</v>
      </c>
      <c r="V31" s="206" t="e">
        <v>#N/A</v>
      </c>
      <c r="W31" s="206" t="e">
        <v>#N/A</v>
      </c>
      <c r="X31" s="206" t="e">
        <v>#N/A</v>
      </c>
      <c r="Y31" s="206" t="e">
        <v>#N/A</v>
      </c>
      <c r="Z31" s="160" t="e">
        <v>#N/A</v>
      </c>
      <c r="AA31" s="160" t="e">
        <v>#N/A</v>
      </c>
      <c r="AB31" s="160" t="e">
        <v>#N/A</v>
      </c>
      <c r="AC31" s="206" t="e">
        <v>#N/A</v>
      </c>
      <c r="AD31" s="206" t="e">
        <v>#N/A</v>
      </c>
      <c r="AE31" s="206" t="e">
        <v>#N/A</v>
      </c>
      <c r="AF31" s="206" t="e">
        <v>#N/A</v>
      </c>
      <c r="AG31" s="206" t="e">
        <f t="shared" si="3"/>
        <v>#N/A</v>
      </c>
      <c r="AH31" s="206" t="str">
        <f t="shared" si="4"/>
        <v/>
      </c>
      <c r="AI31" s="86" t="e">
        <f>IF(NOT(OR(Z31=1,Z31=2)),IF(AQ31&gt;0,$AR$44*AQ31/SUMIF($AQ$8:$AQ$39,"&gt;0"),IF(AU31&gt;0,$AV$44*AU31/SUMIF($AU$8:$AU$39,"&gt;0"),IF(AS31&gt;0,$AT$44*AS31/SUMIF($AS$8:$AS$39,"&gt;0"),""))),IF(SUMIF(AJ32:$AJ$39,"=" &amp; AJ31,AI32:$AI$39)=0,"",SUMIF(AJ32:$AJ$39,"=" &amp; AJ31,AI32:$AI$39)))</f>
        <v>#N/A</v>
      </c>
      <c r="AJ31" s="87" t="e">
        <f t="shared" si="34"/>
        <v>#N/A</v>
      </c>
      <c r="AK31" s="206" t="str">
        <f t="shared" si="27"/>
        <v/>
      </c>
      <c r="AL31" s="160" t="str">
        <f t="shared" si="28"/>
        <v/>
      </c>
      <c r="AM31" s="160" t="str">
        <f t="shared" si="35"/>
        <v/>
      </c>
      <c r="AN31" s="160" t="str">
        <f t="shared" si="5"/>
        <v/>
      </c>
      <c r="AO31" s="160" t="e">
        <f t="shared" si="6"/>
        <v>#N/A</v>
      </c>
      <c r="AP31" s="206" t="str">
        <f t="shared" si="7"/>
        <v/>
      </c>
      <c r="AQ31" s="157">
        <f t="shared" si="29"/>
        <v>0</v>
      </c>
      <c r="AR31" s="88" t="str">
        <f t="shared" si="8"/>
        <v/>
      </c>
      <c r="AS31" s="89">
        <f t="shared" si="30"/>
        <v>0</v>
      </c>
      <c r="AT31" s="88" t="str">
        <f t="shared" si="9"/>
        <v/>
      </c>
      <c r="AU31" s="158">
        <f t="shared" si="10"/>
        <v>0</v>
      </c>
      <c r="AV31" s="90" t="str">
        <f t="shared" si="11"/>
        <v/>
      </c>
      <c r="AW31" s="158" t="b">
        <f t="shared" si="12"/>
        <v>0</v>
      </c>
      <c r="AX31" s="159" t="b">
        <f t="shared" si="13"/>
        <v>0</v>
      </c>
      <c r="AY31" s="158" t="b">
        <f t="shared" si="14"/>
        <v>0</v>
      </c>
      <c r="AZ31" s="159" t="b">
        <f t="shared" si="15"/>
        <v>0</v>
      </c>
      <c r="BA31" s="206" t="b">
        <f t="shared" si="16"/>
        <v>0</v>
      </c>
      <c r="BB31" s="206" t="b">
        <f t="shared" si="17"/>
        <v>0</v>
      </c>
      <c r="BC31" s="158" t="b">
        <f t="shared" si="18"/>
        <v>0</v>
      </c>
      <c r="BD31" s="160" t="b">
        <f>IF(OR(ISNA($Z31),ISNUMBER($Z31),NOT(ISNUMBER(K31))),FALSE,OR(NOT(ISNUMBER(J31)),J31=0,AND(J31=0,K31&lt;&gt;0)))</f>
        <v>0</v>
      </c>
      <c r="BE31" s="159" t="b">
        <f t="shared" si="37"/>
        <v>0</v>
      </c>
      <c r="BF31" s="161" t="b">
        <f>IF(OR(ISNA($Z31),H31&lt;&gt;"NG"),FALSE,IF(AND(J31="NA",K31&lt;&gt;""),TRUE,FALSE))</f>
        <v>0</v>
      </c>
      <c r="BG31" s="206" t="str">
        <f t="shared" si="38"/>
        <v>NA</v>
      </c>
      <c r="BH31" s="206" t="str">
        <f t="shared" si="32"/>
        <v/>
      </c>
      <c r="BI31" s="206" t="str">
        <f t="shared" si="22"/>
        <v/>
      </c>
      <c r="BJ31" s="206" t="str">
        <f t="shared" si="23"/>
        <v/>
      </c>
      <c r="BK31" s="206" t="str">
        <f t="shared" si="24"/>
        <v/>
      </c>
      <c r="BL31" s="162" t="str">
        <f t="shared" si="33"/>
        <v/>
      </c>
      <c r="BM31" s="206" t="str">
        <f t="shared" si="25"/>
        <v/>
      </c>
      <c r="BN31" s="206" t="str">
        <f t="shared" si="26"/>
        <v/>
      </c>
      <c r="BO31" s="169" t="s">
        <v>236</v>
      </c>
      <c r="BP31" s="175" t="s">
        <v>237</v>
      </c>
    </row>
    <row r="32" spans="2:73" s="105" customFormat="1" ht="12.95" customHeight="1" x14ac:dyDescent="0.2">
      <c r="B32" s="165" t="str">
        <f>IF(ISNA(Z32),"",IF(OR(Z32=1,Z32=2),"    ",MAX($B$8:B31)+1))</f>
        <v/>
      </c>
      <c r="C32" s="1375" t="str">
        <f t="shared" si="0"/>
        <v/>
      </c>
      <c r="D32" s="1375"/>
      <c r="E32" s="1375"/>
      <c r="F32" s="1376"/>
      <c r="G32" s="152" t="str">
        <f t="shared" si="1"/>
        <v/>
      </c>
      <c r="H32" s="153" t="str">
        <f t="shared" si="2"/>
        <v/>
      </c>
      <c r="I32" s="166" t="str">
        <f t="shared" si="2"/>
        <v/>
      </c>
      <c r="J32" s="172"/>
      <c r="K32" s="173"/>
      <c r="L32" s="1075"/>
      <c r="M32" s="1076"/>
      <c r="N32" s="1076"/>
      <c r="O32" s="1076"/>
      <c r="P32" s="1076"/>
      <c r="Q32" s="1076"/>
      <c r="R32" s="1077"/>
      <c r="T32" s="119">
        <v>25</v>
      </c>
      <c r="U32" s="110" t="e">
        <v>#N/A</v>
      </c>
      <c r="V32" s="206" t="e">
        <v>#N/A</v>
      </c>
      <c r="W32" s="206" t="e">
        <v>#N/A</v>
      </c>
      <c r="X32" s="206" t="e">
        <v>#N/A</v>
      </c>
      <c r="Y32" s="206" t="e">
        <v>#N/A</v>
      </c>
      <c r="Z32" s="160" t="e">
        <v>#N/A</v>
      </c>
      <c r="AA32" s="160" t="e">
        <v>#N/A</v>
      </c>
      <c r="AB32" s="160" t="e">
        <v>#N/A</v>
      </c>
      <c r="AC32" s="206" t="e">
        <v>#N/A</v>
      </c>
      <c r="AD32" s="206" t="e">
        <v>#N/A</v>
      </c>
      <c r="AE32" s="206" t="e">
        <v>#N/A</v>
      </c>
      <c r="AF32" s="206" t="e">
        <v>#N/A</v>
      </c>
      <c r="AG32" s="206" t="e">
        <f t="shared" si="3"/>
        <v>#N/A</v>
      </c>
      <c r="AH32" s="206" t="str">
        <f t="shared" si="4"/>
        <v/>
      </c>
      <c r="AI32" s="86" t="e">
        <f>IF(NOT(OR(Z32=1,Z32=2)),IF(AQ32&gt;0,$AR$44*AQ32/SUMIF($AQ$8:$AQ$39,"&gt;0"),IF(AU32&gt;0,$AV$44*AU32/SUMIF($AU$8:$AU$39,"&gt;0"),IF(AS32&gt;0,$AT$44*AS32/SUMIF($AS$8:$AS$39,"&gt;0"),""))),IF(SUMIF(AJ33:$AJ$39,"=" &amp; AJ32,AI33:$AI$39)=0,"",SUMIF(AJ33:$AJ$39,"=" &amp; AJ32,AI33:$AI$39)))</f>
        <v>#N/A</v>
      </c>
      <c r="AJ32" s="87" t="e">
        <f t="shared" si="34"/>
        <v>#N/A</v>
      </c>
      <c r="AK32" s="206" t="str">
        <f t="shared" si="27"/>
        <v/>
      </c>
      <c r="AL32" s="160" t="str">
        <f t="shared" si="28"/>
        <v/>
      </c>
      <c r="AM32" s="160" t="str">
        <f t="shared" si="35"/>
        <v/>
      </c>
      <c r="AN32" s="160" t="str">
        <f t="shared" si="5"/>
        <v/>
      </c>
      <c r="AO32" s="160" t="e">
        <f t="shared" si="6"/>
        <v>#N/A</v>
      </c>
      <c r="AP32" s="206" t="str">
        <f t="shared" si="7"/>
        <v/>
      </c>
      <c r="AQ32" s="157">
        <f t="shared" si="29"/>
        <v>0</v>
      </c>
      <c r="AR32" s="88" t="str">
        <f t="shared" si="8"/>
        <v/>
      </c>
      <c r="AS32" s="89">
        <f t="shared" si="30"/>
        <v>0</v>
      </c>
      <c r="AT32" s="88" t="str">
        <f t="shared" si="9"/>
        <v/>
      </c>
      <c r="AU32" s="158">
        <f t="shared" si="10"/>
        <v>0</v>
      </c>
      <c r="AV32" s="90" t="str">
        <f t="shared" si="11"/>
        <v/>
      </c>
      <c r="AW32" s="158" t="b">
        <f t="shared" si="12"/>
        <v>0</v>
      </c>
      <c r="AX32" s="159" t="b">
        <f t="shared" si="13"/>
        <v>0</v>
      </c>
      <c r="AY32" s="158" t="b">
        <f t="shared" si="14"/>
        <v>0</v>
      </c>
      <c r="AZ32" s="159" t="b">
        <f t="shared" si="15"/>
        <v>0</v>
      </c>
      <c r="BA32" s="206" t="b">
        <f t="shared" si="16"/>
        <v>0</v>
      </c>
      <c r="BB32" s="206" t="b">
        <f t="shared" si="17"/>
        <v>0</v>
      </c>
      <c r="BC32" s="158" t="b">
        <f t="shared" si="18"/>
        <v>0</v>
      </c>
      <c r="BD32" s="160" t="b">
        <f t="shared" si="31"/>
        <v>0</v>
      </c>
      <c r="BE32" s="159" t="b">
        <f t="shared" si="37"/>
        <v>0</v>
      </c>
      <c r="BF32" s="161" t="b">
        <f t="shared" ref="BF32:BF39" si="39">IF(OR(ISNA($Z32),H32&lt;&gt;"NG"),FALSE,IF(AND(J32="NA",K32&lt;&gt;""),TRUE,FALSE))</f>
        <v>0</v>
      </c>
      <c r="BG32" s="206" t="str">
        <f t="shared" si="38"/>
        <v>NA</v>
      </c>
      <c r="BH32" s="206" t="str">
        <f t="shared" si="32"/>
        <v/>
      </c>
      <c r="BI32" s="206" t="str">
        <f t="shared" si="22"/>
        <v/>
      </c>
      <c r="BJ32" s="206" t="str">
        <f t="shared" si="23"/>
        <v/>
      </c>
      <c r="BK32" s="206" t="str">
        <f t="shared" si="24"/>
        <v/>
      </c>
      <c r="BL32" s="162" t="str">
        <f t="shared" si="33"/>
        <v/>
      </c>
      <c r="BM32" s="206" t="str">
        <f t="shared" si="25"/>
        <v/>
      </c>
      <c r="BN32" s="206" t="str">
        <f t="shared" si="26"/>
        <v/>
      </c>
      <c r="BO32" s="169" t="s">
        <v>238</v>
      </c>
      <c r="BP32" s="175" t="s">
        <v>239</v>
      </c>
    </row>
    <row r="33" spans="2:73" s="105" customFormat="1" ht="12.95" customHeight="1" x14ac:dyDescent="0.2">
      <c r="B33" s="165" t="str">
        <f>IF(ISNA(Z33),"",IF(OR(Z33=1,Z33=2),"    ",MAX($B$8:B32)+1))</f>
        <v/>
      </c>
      <c r="C33" s="1375" t="str">
        <f t="shared" si="0"/>
        <v/>
      </c>
      <c r="D33" s="1375"/>
      <c r="E33" s="1375"/>
      <c r="F33" s="1376"/>
      <c r="G33" s="152" t="str">
        <f t="shared" si="1"/>
        <v/>
      </c>
      <c r="H33" s="153" t="str">
        <f t="shared" si="2"/>
        <v/>
      </c>
      <c r="I33" s="166" t="str">
        <f t="shared" si="2"/>
        <v/>
      </c>
      <c r="J33" s="172"/>
      <c r="K33" s="173"/>
      <c r="L33" s="1075"/>
      <c r="M33" s="1076"/>
      <c r="N33" s="1076"/>
      <c r="O33" s="1076"/>
      <c r="P33" s="1076"/>
      <c r="Q33" s="1076"/>
      <c r="R33" s="1077"/>
      <c r="T33" s="119">
        <v>26</v>
      </c>
      <c r="U33" s="110" t="e">
        <v>#N/A</v>
      </c>
      <c r="V33" s="206" t="e">
        <v>#N/A</v>
      </c>
      <c r="W33" s="206" t="e">
        <v>#N/A</v>
      </c>
      <c r="X33" s="206" t="e">
        <v>#N/A</v>
      </c>
      <c r="Y33" s="206" t="e">
        <v>#N/A</v>
      </c>
      <c r="Z33" s="160" t="e">
        <v>#N/A</v>
      </c>
      <c r="AA33" s="160" t="e">
        <v>#N/A</v>
      </c>
      <c r="AB33" s="160" t="e">
        <v>#N/A</v>
      </c>
      <c r="AC33" s="206" t="e">
        <v>#N/A</v>
      </c>
      <c r="AD33" s="206" t="e">
        <v>#N/A</v>
      </c>
      <c r="AE33" s="206" t="e">
        <v>#N/A</v>
      </c>
      <c r="AF33" s="206" t="e">
        <v>#N/A</v>
      </c>
      <c r="AG33" s="206" t="e">
        <f t="shared" si="3"/>
        <v>#N/A</v>
      </c>
      <c r="AH33" s="206" t="str">
        <f t="shared" si="4"/>
        <v/>
      </c>
      <c r="AI33" s="86" t="e">
        <f>IF(NOT(OR(Z33=1,Z33=2)),IF(AQ33&gt;0,$AR$44*AQ33/SUMIF($AQ$8:$AQ$39,"&gt;0"),IF(AU33&gt;0,$AV$44*AU33/SUMIF($AU$8:$AU$39,"&gt;0"),IF(AS33&gt;0,$AT$44*AS33/SUMIF($AS$8:$AS$39,"&gt;0"),""))),IF(SUMIF(AJ34:$AJ$39,"=" &amp; AJ33,AI34:$AI$39)=0,"",SUMIF(AJ34:$AJ$39,"=" &amp; AJ33,AI34:$AI$39)))</f>
        <v>#N/A</v>
      </c>
      <c r="AJ33" s="87" t="e">
        <f t="shared" si="34"/>
        <v>#N/A</v>
      </c>
      <c r="AK33" s="206" t="str">
        <f t="shared" si="27"/>
        <v/>
      </c>
      <c r="AL33" s="160" t="str">
        <f t="shared" si="28"/>
        <v/>
      </c>
      <c r="AM33" s="160" t="str">
        <f t="shared" si="35"/>
        <v/>
      </c>
      <c r="AN33" s="160" t="str">
        <f t="shared" si="5"/>
        <v/>
      </c>
      <c r="AO33" s="160" t="e">
        <f t="shared" si="6"/>
        <v>#N/A</v>
      </c>
      <c r="AP33" s="206" t="str">
        <f t="shared" si="7"/>
        <v/>
      </c>
      <c r="AQ33" s="157">
        <f t="shared" si="29"/>
        <v>0</v>
      </c>
      <c r="AR33" s="88" t="str">
        <f t="shared" si="8"/>
        <v/>
      </c>
      <c r="AS33" s="89">
        <f t="shared" si="30"/>
        <v>0</v>
      </c>
      <c r="AT33" s="88" t="str">
        <f t="shared" si="9"/>
        <v/>
      </c>
      <c r="AU33" s="158">
        <f t="shared" si="10"/>
        <v>0</v>
      </c>
      <c r="AV33" s="90" t="str">
        <f t="shared" si="11"/>
        <v/>
      </c>
      <c r="AW33" s="158" t="b">
        <f t="shared" si="12"/>
        <v>0</v>
      </c>
      <c r="AX33" s="159" t="b">
        <f t="shared" si="13"/>
        <v>0</v>
      </c>
      <c r="AY33" s="158" t="b">
        <f t="shared" si="14"/>
        <v>0</v>
      </c>
      <c r="AZ33" s="159" t="b">
        <f t="shared" si="15"/>
        <v>0</v>
      </c>
      <c r="BA33" s="206" t="b">
        <f t="shared" si="16"/>
        <v>0</v>
      </c>
      <c r="BB33" s="206" t="b">
        <f t="shared" si="17"/>
        <v>0</v>
      </c>
      <c r="BC33" s="158" t="b">
        <f t="shared" si="18"/>
        <v>0</v>
      </c>
      <c r="BD33" s="160" t="b">
        <f t="shared" si="31"/>
        <v>0</v>
      </c>
      <c r="BE33" s="159" t="b">
        <f t="shared" si="37"/>
        <v>0</v>
      </c>
      <c r="BF33" s="161" t="b">
        <f t="shared" si="39"/>
        <v>0</v>
      </c>
      <c r="BG33" s="206" t="str">
        <f t="shared" si="38"/>
        <v>NA</v>
      </c>
      <c r="BH33" s="206" t="str">
        <f t="shared" si="32"/>
        <v/>
      </c>
      <c r="BI33" s="206" t="str">
        <f t="shared" si="22"/>
        <v/>
      </c>
      <c r="BJ33" s="206" t="str">
        <f t="shared" si="23"/>
        <v/>
      </c>
      <c r="BK33" s="206" t="str">
        <f t="shared" si="24"/>
        <v/>
      </c>
      <c r="BL33" s="162" t="str">
        <f t="shared" si="33"/>
        <v/>
      </c>
      <c r="BM33" s="206" t="str">
        <f t="shared" si="25"/>
        <v/>
      </c>
      <c r="BN33" s="206" t="str">
        <f t="shared" si="26"/>
        <v/>
      </c>
      <c r="BO33" s="164" t="s">
        <v>240</v>
      </c>
      <c r="BP33" s="175"/>
      <c r="BQ33" s="175"/>
      <c r="BR33" s="175"/>
      <c r="BS33" s="175"/>
      <c r="BT33" s="175"/>
      <c r="BU33" s="175"/>
    </row>
    <row r="34" spans="2:73" s="105" customFormat="1" ht="12.95" customHeight="1" x14ac:dyDescent="0.2">
      <c r="B34" s="165" t="str">
        <f>IF(ISNA(Z34),"",IF(OR(Z34=1,Z34=2),"    ",MAX($B$8:B33)+1))</f>
        <v/>
      </c>
      <c r="C34" s="1375" t="str">
        <f t="shared" si="0"/>
        <v/>
      </c>
      <c r="D34" s="1375"/>
      <c r="E34" s="1375"/>
      <c r="F34" s="1376"/>
      <c r="G34" s="152" t="str">
        <f t="shared" si="1"/>
        <v/>
      </c>
      <c r="H34" s="153" t="str">
        <f t="shared" si="2"/>
        <v/>
      </c>
      <c r="I34" s="166" t="str">
        <f t="shared" si="2"/>
        <v/>
      </c>
      <c r="J34" s="172"/>
      <c r="K34" s="173"/>
      <c r="L34" s="1075"/>
      <c r="M34" s="1076"/>
      <c r="N34" s="1076"/>
      <c r="O34" s="1076"/>
      <c r="P34" s="1076"/>
      <c r="Q34" s="1076"/>
      <c r="R34" s="1077"/>
      <c r="T34" s="119">
        <v>27</v>
      </c>
      <c r="U34" s="110" t="e">
        <v>#N/A</v>
      </c>
      <c r="V34" s="206" t="e">
        <v>#N/A</v>
      </c>
      <c r="W34" s="206" t="e">
        <v>#N/A</v>
      </c>
      <c r="X34" s="206" t="e">
        <v>#N/A</v>
      </c>
      <c r="Y34" s="206" t="e">
        <v>#N/A</v>
      </c>
      <c r="Z34" s="160" t="e">
        <v>#N/A</v>
      </c>
      <c r="AA34" s="160" t="e">
        <v>#N/A</v>
      </c>
      <c r="AB34" s="160" t="e">
        <v>#N/A</v>
      </c>
      <c r="AC34" s="206" t="e">
        <v>#N/A</v>
      </c>
      <c r="AD34" s="206" t="e">
        <v>#N/A</v>
      </c>
      <c r="AE34" s="206" t="e">
        <v>#N/A</v>
      </c>
      <c r="AF34" s="206" t="e">
        <v>#N/A</v>
      </c>
      <c r="AG34" s="206" t="e">
        <f t="shared" si="3"/>
        <v>#N/A</v>
      </c>
      <c r="AH34" s="206" t="str">
        <f t="shared" si="4"/>
        <v/>
      </c>
      <c r="AI34" s="86" t="e">
        <f>IF(NOT(OR(Z34=1,Z34=2)),IF(AQ34&gt;0,$AR$44*AQ34/SUMIF($AQ$8:$AQ$39,"&gt;0"),IF(AU34&gt;0,$AV$44*AU34/SUMIF($AU$8:$AU$39,"&gt;0"),IF(AS34&gt;0,$AT$44*AS34/SUMIF($AS$8:$AS$39,"&gt;0"),""))),IF(SUMIF(AJ35:$AJ$39,"=" &amp; AJ34,AI35:$AI$39)=0,"",SUMIF(AJ35:$AJ$39,"=" &amp; AJ34,AI35:$AI$39)))</f>
        <v>#N/A</v>
      </c>
      <c r="AJ34" s="87" t="e">
        <f t="shared" si="34"/>
        <v>#N/A</v>
      </c>
      <c r="AK34" s="206" t="str">
        <f t="shared" si="27"/>
        <v/>
      </c>
      <c r="AL34" s="160" t="str">
        <f t="shared" si="28"/>
        <v/>
      </c>
      <c r="AM34" s="160" t="str">
        <f t="shared" si="35"/>
        <v/>
      </c>
      <c r="AN34" s="160" t="str">
        <f t="shared" si="5"/>
        <v/>
      </c>
      <c r="AO34" s="160" t="e">
        <f t="shared" si="6"/>
        <v>#N/A</v>
      </c>
      <c r="AP34" s="206" t="str">
        <f t="shared" si="7"/>
        <v/>
      </c>
      <c r="AQ34" s="157">
        <f t="shared" si="29"/>
        <v>0</v>
      </c>
      <c r="AR34" s="88" t="str">
        <f t="shared" si="8"/>
        <v/>
      </c>
      <c r="AS34" s="89">
        <f t="shared" si="30"/>
        <v>0</v>
      </c>
      <c r="AT34" s="88" t="str">
        <f t="shared" si="9"/>
        <v/>
      </c>
      <c r="AU34" s="158">
        <f t="shared" si="10"/>
        <v>0</v>
      </c>
      <c r="AV34" s="90" t="str">
        <f t="shared" si="11"/>
        <v/>
      </c>
      <c r="AW34" s="158" t="b">
        <f t="shared" si="12"/>
        <v>0</v>
      </c>
      <c r="AX34" s="159" t="b">
        <f t="shared" si="13"/>
        <v>0</v>
      </c>
      <c r="AY34" s="158" t="b">
        <f t="shared" si="14"/>
        <v>0</v>
      </c>
      <c r="AZ34" s="159" t="b">
        <f t="shared" si="15"/>
        <v>0</v>
      </c>
      <c r="BA34" s="206" t="b">
        <f t="shared" si="16"/>
        <v>0</v>
      </c>
      <c r="BB34" s="206" t="b">
        <f t="shared" si="17"/>
        <v>0</v>
      </c>
      <c r="BC34" s="158" t="b">
        <f t="shared" si="18"/>
        <v>0</v>
      </c>
      <c r="BD34" s="160" t="b">
        <f t="shared" si="31"/>
        <v>0</v>
      </c>
      <c r="BE34" s="159" t="b">
        <f t="shared" si="37"/>
        <v>0</v>
      </c>
      <c r="BF34" s="161" t="b">
        <f t="shared" si="39"/>
        <v>0</v>
      </c>
      <c r="BG34" s="206" t="str">
        <f t="shared" si="38"/>
        <v>NA</v>
      </c>
      <c r="BH34" s="206" t="str">
        <f t="shared" si="32"/>
        <v/>
      </c>
      <c r="BI34" s="206" t="str">
        <f t="shared" si="22"/>
        <v/>
      </c>
      <c r="BJ34" s="206" t="str">
        <f t="shared" si="23"/>
        <v/>
      </c>
      <c r="BK34" s="206" t="str">
        <f t="shared" si="24"/>
        <v/>
      </c>
      <c r="BL34" s="162" t="str">
        <f t="shared" si="33"/>
        <v/>
      </c>
      <c r="BM34" s="206" t="str">
        <f t="shared" si="25"/>
        <v/>
      </c>
      <c r="BN34" s="206" t="str">
        <f t="shared" si="26"/>
        <v/>
      </c>
      <c r="BO34" s="1346"/>
      <c r="BP34" s="1347"/>
      <c r="BQ34" s="1347"/>
      <c r="BR34" s="1347"/>
      <c r="BS34" s="1347"/>
      <c r="BT34" s="1347"/>
      <c r="BU34" s="1348"/>
    </row>
    <row r="35" spans="2:73" s="105" customFormat="1" ht="12.95" customHeight="1" x14ac:dyDescent="0.2">
      <c r="B35" s="165" t="str">
        <f>IF(ISNA(Z35),"",IF(OR(Z35=1,Z35=2),"    ",MAX($B$8:B34)+1))</f>
        <v/>
      </c>
      <c r="C35" s="1375" t="str">
        <f t="shared" si="0"/>
        <v/>
      </c>
      <c r="D35" s="1375"/>
      <c r="E35" s="1375"/>
      <c r="F35" s="1376"/>
      <c r="G35" s="152" t="str">
        <f t="shared" si="1"/>
        <v/>
      </c>
      <c r="H35" s="153" t="str">
        <f t="shared" si="2"/>
        <v/>
      </c>
      <c r="I35" s="166" t="str">
        <f t="shared" si="2"/>
        <v/>
      </c>
      <c r="J35" s="172"/>
      <c r="K35" s="173"/>
      <c r="L35" s="1075"/>
      <c r="M35" s="1076"/>
      <c r="N35" s="1076"/>
      <c r="O35" s="1076"/>
      <c r="P35" s="1076"/>
      <c r="Q35" s="1076"/>
      <c r="R35" s="1077"/>
      <c r="T35" s="119">
        <v>28</v>
      </c>
      <c r="U35" s="110" t="e">
        <v>#N/A</v>
      </c>
      <c r="V35" s="206" t="e">
        <v>#N/A</v>
      </c>
      <c r="W35" s="206" t="e">
        <v>#N/A</v>
      </c>
      <c r="X35" s="206" t="e">
        <v>#N/A</v>
      </c>
      <c r="Y35" s="206" t="e">
        <v>#N/A</v>
      </c>
      <c r="Z35" s="160" t="e">
        <v>#N/A</v>
      </c>
      <c r="AA35" s="160" t="e">
        <v>#N/A</v>
      </c>
      <c r="AB35" s="160" t="e">
        <v>#N/A</v>
      </c>
      <c r="AC35" s="206" t="e">
        <v>#N/A</v>
      </c>
      <c r="AD35" s="206" t="e">
        <v>#N/A</v>
      </c>
      <c r="AE35" s="206" t="e">
        <v>#N/A</v>
      </c>
      <c r="AF35" s="206" t="e">
        <v>#N/A</v>
      </c>
      <c r="AG35" s="206" t="e">
        <f t="shared" si="3"/>
        <v>#N/A</v>
      </c>
      <c r="AH35" s="206" t="str">
        <f t="shared" si="4"/>
        <v/>
      </c>
      <c r="AI35" s="86" t="e">
        <f>IF(NOT(OR(Z35=1,Z35=2)),IF(AQ35&gt;0,$AR$44*AQ35/SUMIF($AQ$8:$AQ$39,"&gt;0"),IF(AU35&gt;0,$AV$44*AU35/SUMIF($AU$8:$AU$39,"&gt;0"),IF(AS35&gt;0,$AT$44*AS35/SUMIF($AS$8:$AS$39,"&gt;0"),""))),IF(SUMIF(AJ36:$AJ$39,"=" &amp; AJ35,AI36:$AI$39)=0,"",SUMIF(AJ36:$AJ$39,"=" &amp; AJ35,AI36:$AI$39)))</f>
        <v>#N/A</v>
      </c>
      <c r="AJ35" s="87" t="e">
        <f t="shared" si="34"/>
        <v>#N/A</v>
      </c>
      <c r="AK35" s="206" t="str">
        <f t="shared" si="27"/>
        <v/>
      </c>
      <c r="AL35" s="160" t="str">
        <f t="shared" si="28"/>
        <v/>
      </c>
      <c r="AM35" s="160" t="str">
        <f t="shared" si="35"/>
        <v/>
      </c>
      <c r="AN35" s="160" t="str">
        <f t="shared" si="5"/>
        <v/>
      </c>
      <c r="AO35" s="160" t="e">
        <f t="shared" si="6"/>
        <v>#N/A</v>
      </c>
      <c r="AP35" s="206" t="str">
        <f t="shared" si="7"/>
        <v/>
      </c>
      <c r="AQ35" s="157">
        <f t="shared" si="29"/>
        <v>0</v>
      </c>
      <c r="AR35" s="88" t="str">
        <f t="shared" si="8"/>
        <v/>
      </c>
      <c r="AS35" s="89">
        <f t="shared" si="30"/>
        <v>0</v>
      </c>
      <c r="AT35" s="88" t="str">
        <f t="shared" si="9"/>
        <v/>
      </c>
      <c r="AU35" s="158">
        <f t="shared" si="10"/>
        <v>0</v>
      </c>
      <c r="AV35" s="90" t="str">
        <f t="shared" si="11"/>
        <v/>
      </c>
      <c r="AW35" s="158" t="b">
        <f t="shared" si="12"/>
        <v>0</v>
      </c>
      <c r="AX35" s="159" t="b">
        <f t="shared" si="13"/>
        <v>0</v>
      </c>
      <c r="AY35" s="158" t="b">
        <f t="shared" si="14"/>
        <v>0</v>
      </c>
      <c r="AZ35" s="159" t="b">
        <f t="shared" si="15"/>
        <v>0</v>
      </c>
      <c r="BA35" s="206" t="b">
        <f t="shared" si="16"/>
        <v>0</v>
      </c>
      <c r="BB35" s="206" t="b">
        <f t="shared" si="17"/>
        <v>0</v>
      </c>
      <c r="BC35" s="158" t="b">
        <f t="shared" si="18"/>
        <v>0</v>
      </c>
      <c r="BD35" s="160" t="b">
        <f t="shared" si="31"/>
        <v>0</v>
      </c>
      <c r="BE35" s="159" t="b">
        <f t="shared" si="37"/>
        <v>0</v>
      </c>
      <c r="BF35" s="161" t="b">
        <f t="shared" si="39"/>
        <v>0</v>
      </c>
      <c r="BG35" s="206" t="str">
        <f t="shared" si="38"/>
        <v>NA</v>
      </c>
      <c r="BH35" s="206" t="str">
        <f t="shared" si="32"/>
        <v/>
      </c>
      <c r="BI35" s="206" t="str">
        <f t="shared" si="22"/>
        <v/>
      </c>
      <c r="BJ35" s="206" t="str">
        <f t="shared" si="23"/>
        <v/>
      </c>
      <c r="BK35" s="206" t="str">
        <f t="shared" si="24"/>
        <v/>
      </c>
      <c r="BL35" s="162" t="str">
        <f t="shared" si="33"/>
        <v/>
      </c>
      <c r="BM35" s="206" t="str">
        <f t="shared" si="25"/>
        <v/>
      </c>
      <c r="BN35" s="206" t="str">
        <f t="shared" si="26"/>
        <v/>
      </c>
      <c r="BO35" s="1349"/>
      <c r="BP35" s="1350"/>
      <c r="BQ35" s="1350"/>
      <c r="BR35" s="1350"/>
      <c r="BS35" s="1350"/>
      <c r="BT35" s="1350"/>
      <c r="BU35" s="1351"/>
    </row>
    <row r="36" spans="2:73" s="105" customFormat="1" ht="12.95" customHeight="1" x14ac:dyDescent="0.2">
      <c r="B36" s="165" t="str">
        <f>IF(ISNA(Z36),"",IF(OR(Z36=1,Z36=2),"    ",MAX($B$8:B35)+1))</f>
        <v/>
      </c>
      <c r="C36" s="1375" t="str">
        <f t="shared" si="0"/>
        <v/>
      </c>
      <c r="D36" s="1375"/>
      <c r="E36" s="1375"/>
      <c r="F36" s="1376"/>
      <c r="G36" s="152" t="str">
        <f t="shared" si="1"/>
        <v/>
      </c>
      <c r="H36" s="153" t="str">
        <f t="shared" si="2"/>
        <v/>
      </c>
      <c r="I36" s="166" t="str">
        <f t="shared" si="2"/>
        <v/>
      </c>
      <c r="J36" s="172"/>
      <c r="K36" s="173"/>
      <c r="L36" s="1075"/>
      <c r="M36" s="1076"/>
      <c r="N36" s="1076"/>
      <c r="O36" s="1076"/>
      <c r="P36" s="1076"/>
      <c r="Q36" s="1076"/>
      <c r="R36" s="1077"/>
      <c r="T36" s="119">
        <v>29</v>
      </c>
      <c r="U36" s="110" t="e">
        <v>#N/A</v>
      </c>
      <c r="V36" s="206" t="e">
        <v>#N/A</v>
      </c>
      <c r="W36" s="206" t="e">
        <v>#N/A</v>
      </c>
      <c r="X36" s="206" t="e">
        <v>#N/A</v>
      </c>
      <c r="Y36" s="206" t="e">
        <v>#N/A</v>
      </c>
      <c r="Z36" s="160" t="e">
        <v>#N/A</v>
      </c>
      <c r="AA36" s="160" t="e">
        <v>#N/A</v>
      </c>
      <c r="AB36" s="160" t="e">
        <v>#N/A</v>
      </c>
      <c r="AC36" s="206" t="e">
        <v>#N/A</v>
      </c>
      <c r="AD36" s="206" t="e">
        <v>#N/A</v>
      </c>
      <c r="AE36" s="206" t="e">
        <v>#N/A</v>
      </c>
      <c r="AF36" s="206" t="e">
        <v>#N/A</v>
      </c>
      <c r="AG36" s="206" t="e">
        <f t="shared" si="3"/>
        <v>#N/A</v>
      </c>
      <c r="AH36" s="206" t="str">
        <f t="shared" si="4"/>
        <v/>
      </c>
      <c r="AI36" s="86" t="e">
        <f>IF(NOT(OR(Z36=1,Z36=2)),IF(AQ36&gt;0,$AR$44*AQ36/SUMIF($AQ$8:$AQ$39,"&gt;0"),IF(AU36&gt;0,$AV$44*AU36/SUMIF($AU$8:$AU$39,"&gt;0"),IF(AS36&gt;0,$AT$44*AS36/SUMIF($AS$8:$AS$39,"&gt;0"),""))),IF(SUMIF(AJ37:$AJ$39,"=" &amp; AJ36,AI37:$AI$39)=0,"",SUMIF(AJ37:$AJ$39,"=" &amp; AJ36,AI37:$AI$39)))</f>
        <v>#N/A</v>
      </c>
      <c r="AJ36" s="87" t="e">
        <f t="shared" si="34"/>
        <v>#N/A</v>
      </c>
      <c r="AK36" s="206" t="str">
        <f t="shared" si="27"/>
        <v/>
      </c>
      <c r="AL36" s="160" t="str">
        <f t="shared" si="28"/>
        <v/>
      </c>
      <c r="AM36" s="160" t="str">
        <f t="shared" si="35"/>
        <v/>
      </c>
      <c r="AN36" s="160" t="str">
        <f t="shared" si="5"/>
        <v/>
      </c>
      <c r="AO36" s="160" t="e">
        <f t="shared" si="6"/>
        <v>#N/A</v>
      </c>
      <c r="AP36" s="206" t="str">
        <f t="shared" si="7"/>
        <v/>
      </c>
      <c r="AQ36" s="157">
        <f t="shared" si="29"/>
        <v>0</v>
      </c>
      <c r="AR36" s="88" t="str">
        <f t="shared" si="8"/>
        <v/>
      </c>
      <c r="AS36" s="89">
        <f t="shared" si="30"/>
        <v>0</v>
      </c>
      <c r="AT36" s="88" t="str">
        <f t="shared" si="9"/>
        <v/>
      </c>
      <c r="AU36" s="158">
        <f t="shared" si="10"/>
        <v>0</v>
      </c>
      <c r="AV36" s="90" t="str">
        <f t="shared" si="11"/>
        <v/>
      </c>
      <c r="AW36" s="158" t="b">
        <f t="shared" si="12"/>
        <v>0</v>
      </c>
      <c r="AX36" s="159" t="b">
        <f t="shared" si="13"/>
        <v>0</v>
      </c>
      <c r="AY36" s="158" t="b">
        <f t="shared" si="14"/>
        <v>0</v>
      </c>
      <c r="AZ36" s="159" t="b">
        <f t="shared" si="15"/>
        <v>0</v>
      </c>
      <c r="BA36" s="206" t="b">
        <f t="shared" si="16"/>
        <v>0</v>
      </c>
      <c r="BB36" s="206" t="b">
        <f t="shared" si="17"/>
        <v>0</v>
      </c>
      <c r="BC36" s="158" t="b">
        <f t="shared" si="18"/>
        <v>0</v>
      </c>
      <c r="BD36" s="160" t="b">
        <f t="shared" si="31"/>
        <v>0</v>
      </c>
      <c r="BE36" s="159" t="b">
        <f t="shared" si="37"/>
        <v>0</v>
      </c>
      <c r="BF36" s="161" t="b">
        <f t="shared" si="39"/>
        <v>0</v>
      </c>
      <c r="BG36" s="206" t="str">
        <f t="shared" si="38"/>
        <v>NA</v>
      </c>
      <c r="BH36" s="206" t="str">
        <f t="shared" si="32"/>
        <v/>
      </c>
      <c r="BI36" s="206" t="str">
        <f t="shared" si="22"/>
        <v/>
      </c>
      <c r="BJ36" s="206" t="str">
        <f t="shared" si="23"/>
        <v/>
      </c>
      <c r="BK36" s="206" t="str">
        <f t="shared" si="24"/>
        <v/>
      </c>
      <c r="BL36" s="162" t="str">
        <f t="shared" si="33"/>
        <v/>
      </c>
      <c r="BM36" s="206" t="str">
        <f t="shared" si="25"/>
        <v/>
      </c>
      <c r="BN36" s="206" t="str">
        <f t="shared" si="26"/>
        <v/>
      </c>
      <c r="BO36" s="1349"/>
      <c r="BP36" s="1350"/>
      <c r="BQ36" s="1350"/>
      <c r="BR36" s="1350"/>
      <c r="BS36" s="1350"/>
      <c r="BT36" s="1350"/>
      <c r="BU36" s="1351"/>
    </row>
    <row r="37" spans="2:73" s="105" customFormat="1" ht="12.95" customHeight="1" x14ac:dyDescent="0.2">
      <c r="B37" s="165" t="str">
        <f>IF(ISNA(Z37),"",IF(OR(Z37=1,Z37=2),"    ",MAX($B$8:B36)+1))</f>
        <v/>
      </c>
      <c r="C37" s="1375" t="str">
        <f>IF(ISNA(Z37),"",CONCATENATE($U37,IF(ISNUMBER(AI37),TEXT(ROUND($AI37,3)," (0.0%)"),""),IF(AU37&gt;0," Bonus","")))</f>
        <v/>
      </c>
      <c r="D37" s="1375"/>
      <c r="E37" s="1375"/>
      <c r="F37" s="1376"/>
      <c r="G37" s="152" t="str">
        <f t="shared" si="1"/>
        <v/>
      </c>
      <c r="H37" s="153" t="str">
        <f t="shared" si="2"/>
        <v/>
      </c>
      <c r="I37" s="166" t="str">
        <f t="shared" si="2"/>
        <v/>
      </c>
      <c r="J37" s="172"/>
      <c r="K37" s="173"/>
      <c r="L37" s="1075"/>
      <c r="M37" s="1076"/>
      <c r="N37" s="1076"/>
      <c r="O37" s="1076"/>
      <c r="P37" s="1076"/>
      <c r="Q37" s="1076"/>
      <c r="R37" s="1077"/>
      <c r="T37" s="119">
        <v>30</v>
      </c>
      <c r="U37" s="110" t="e">
        <v>#N/A</v>
      </c>
      <c r="V37" s="206" t="e">
        <v>#N/A</v>
      </c>
      <c r="W37" s="206" t="e">
        <v>#N/A</v>
      </c>
      <c r="X37" s="206" t="e">
        <v>#N/A</v>
      </c>
      <c r="Y37" s="206" t="e">
        <v>#N/A</v>
      </c>
      <c r="Z37" s="160" t="e">
        <v>#N/A</v>
      </c>
      <c r="AA37" s="160" t="e">
        <v>#N/A</v>
      </c>
      <c r="AB37" s="160" t="e">
        <v>#N/A</v>
      </c>
      <c r="AC37" s="206" t="e">
        <v>#N/A</v>
      </c>
      <c r="AD37" s="206" t="e">
        <v>#N/A</v>
      </c>
      <c r="AE37" s="206" t="e">
        <v>#N/A</v>
      </c>
      <c r="AF37" s="206" t="e">
        <v>#N/A</v>
      </c>
      <c r="AG37" s="206" t="e">
        <f t="shared" si="3"/>
        <v>#N/A</v>
      </c>
      <c r="AH37" s="206" t="str">
        <f t="shared" si="4"/>
        <v/>
      </c>
      <c r="AI37" s="86" t="e">
        <f>IF(NOT(OR(Z37=1,Z37=2)),IF(AQ37&gt;0,$AR$44*AQ37/SUMIF($AQ$8:$AQ$39,"&gt;0"),IF(AU37&gt;0,$AV$44*AU37/SUMIF($AU$8:$AU$39,"&gt;0"),IF(AS37&gt;0,$AT$44*AS37/SUMIF($AS$8:$AS$39,"&gt;0"),""))),IF(SUMIF(AJ38:$AJ$39,"=" &amp; AJ37,AI38:$AI$39)=0,"",SUMIF(AJ38:$AJ$39,"=" &amp; AJ37,AI38:$AI$39)))</f>
        <v>#N/A</v>
      </c>
      <c r="AJ37" s="87" t="e">
        <f t="shared" si="34"/>
        <v>#N/A</v>
      </c>
      <c r="AK37" s="206" t="str">
        <f t="shared" si="27"/>
        <v/>
      </c>
      <c r="AL37" s="160" t="str">
        <f t="shared" si="28"/>
        <v/>
      </c>
      <c r="AM37" s="160" t="str">
        <f t="shared" si="35"/>
        <v/>
      </c>
      <c r="AN37" s="160" t="str">
        <f>IF(ISNUMBER(AH37),IF(AND(AB37=0,ISNUMBER(AC37),ISNUMBER(AL37)),1,""),"")</f>
        <v/>
      </c>
      <c r="AO37" s="160" t="e">
        <f t="shared" si="6"/>
        <v>#N/A</v>
      </c>
      <c r="AP37" s="206" t="str">
        <f t="shared" si="7"/>
        <v/>
      </c>
      <c r="AQ37" s="157">
        <f t="shared" si="29"/>
        <v>0</v>
      </c>
      <c r="AR37" s="88" t="str">
        <f t="shared" si="8"/>
        <v/>
      </c>
      <c r="AS37" s="89">
        <f t="shared" si="30"/>
        <v>0</v>
      </c>
      <c r="AT37" s="88" t="str">
        <f t="shared" si="9"/>
        <v/>
      </c>
      <c r="AU37" s="158">
        <f t="shared" si="10"/>
        <v>0</v>
      </c>
      <c r="AV37" s="90" t="str">
        <f t="shared" si="11"/>
        <v/>
      </c>
      <c r="AW37" s="158" t="b">
        <f t="shared" si="12"/>
        <v>0</v>
      </c>
      <c r="AX37" s="159" t="b">
        <f t="shared" si="13"/>
        <v>0</v>
      </c>
      <c r="AY37" s="158" t="b">
        <f t="shared" si="14"/>
        <v>0</v>
      </c>
      <c r="AZ37" s="159" t="b">
        <f t="shared" si="15"/>
        <v>0</v>
      </c>
      <c r="BA37" s="206" t="b">
        <f t="shared" si="16"/>
        <v>0</v>
      </c>
      <c r="BB37" s="206" t="b">
        <f t="shared" si="17"/>
        <v>0</v>
      </c>
      <c r="BC37" s="158" t="b">
        <f t="shared" si="18"/>
        <v>0</v>
      </c>
      <c r="BD37" s="160" t="b">
        <f t="shared" si="31"/>
        <v>0</v>
      </c>
      <c r="BE37" s="159" t="b">
        <f t="shared" si="37"/>
        <v>0</v>
      </c>
      <c r="BF37" s="161" t="b">
        <f t="shared" si="39"/>
        <v>0</v>
      </c>
      <c r="BG37" s="206" t="str">
        <f t="shared" si="38"/>
        <v>NA</v>
      </c>
      <c r="BH37" s="206" t="str">
        <f t="shared" si="32"/>
        <v/>
      </c>
      <c r="BI37" s="206" t="str">
        <f t="shared" si="22"/>
        <v/>
      </c>
      <c r="BJ37" s="206" t="str">
        <f t="shared" si="23"/>
        <v/>
      </c>
      <c r="BK37" s="206" t="str">
        <f t="shared" si="24"/>
        <v/>
      </c>
      <c r="BL37" s="162" t="str">
        <f t="shared" si="33"/>
        <v/>
      </c>
      <c r="BM37" s="206" t="str">
        <f t="shared" si="25"/>
        <v/>
      </c>
      <c r="BN37" s="206" t="str">
        <f t="shared" si="26"/>
        <v/>
      </c>
      <c r="BO37" s="1352"/>
      <c r="BP37" s="1353"/>
      <c r="BQ37" s="1353"/>
      <c r="BR37" s="1353"/>
      <c r="BS37" s="1353"/>
      <c r="BT37" s="1353"/>
      <c r="BU37" s="1354"/>
    </row>
    <row r="38" spans="2:73" s="105" customFormat="1" ht="12.95" customHeight="1" x14ac:dyDescent="0.2">
      <c r="B38" s="165" t="str">
        <f>IF(ISNA(Z38),"",IF(OR(Z38=1,Z38=2),"    ",MAX($B$8:B37)+1))</f>
        <v/>
      </c>
      <c r="C38" s="1375" t="str">
        <f t="shared" ref="C38:C39" si="40">IF(ISNA(Z38),"",CONCATENATE($U38,IF(ISNUMBER(AI38),TEXT(ROUND($AI38,3)," (0.0%)"),""),IF(AU38&gt;0," Bonus","")))</f>
        <v/>
      </c>
      <c r="D38" s="1375"/>
      <c r="E38" s="1375"/>
      <c r="F38" s="1376"/>
      <c r="G38" s="152" t="str">
        <f t="shared" si="1"/>
        <v/>
      </c>
      <c r="H38" s="153" t="str">
        <f t="shared" si="2"/>
        <v/>
      </c>
      <c r="I38" s="166" t="str">
        <f t="shared" si="2"/>
        <v/>
      </c>
      <c r="J38" s="172"/>
      <c r="K38" s="173"/>
      <c r="L38" s="1075"/>
      <c r="M38" s="1076"/>
      <c r="N38" s="1076"/>
      <c r="O38" s="1076"/>
      <c r="P38" s="1076"/>
      <c r="Q38" s="1076"/>
      <c r="R38" s="1077"/>
      <c r="T38" s="119">
        <v>31</v>
      </c>
      <c r="U38" s="110" t="e">
        <v>#N/A</v>
      </c>
      <c r="V38" s="206" t="e">
        <v>#N/A</v>
      </c>
      <c r="W38" s="206" t="e">
        <v>#N/A</v>
      </c>
      <c r="X38" s="206" t="e">
        <v>#N/A</v>
      </c>
      <c r="Y38" s="206" t="e">
        <v>#N/A</v>
      </c>
      <c r="Z38" s="160" t="e">
        <v>#N/A</v>
      </c>
      <c r="AA38" s="160" t="e">
        <v>#N/A</v>
      </c>
      <c r="AB38" s="160" t="e">
        <v>#N/A</v>
      </c>
      <c r="AC38" s="206" t="e">
        <v>#N/A</v>
      </c>
      <c r="AD38" s="206" t="e">
        <v>#N/A</v>
      </c>
      <c r="AE38" s="206" t="e">
        <v>#N/A</v>
      </c>
      <c r="AF38" s="206" t="e">
        <v>#N/A</v>
      </c>
      <c r="AG38" s="206" t="e">
        <f t="shared" si="3"/>
        <v>#N/A</v>
      </c>
      <c r="AH38" s="206" t="str">
        <f t="shared" si="4"/>
        <v/>
      </c>
      <c r="AI38" s="86" t="e">
        <f>IF(NOT(OR(Z38=1,Z38=2)),IF(AQ38&gt;0,$AR$44*AQ38/SUMIF($AQ$8:$AQ$39,"&gt;0"),IF(AU38&gt;0,$AV$44*AU38/SUMIF($AU$8:$AU$39,"&gt;0"),IF(AS38&gt;0,$AT$44*AS38/SUMIF($AS$8:$AS$39,"&gt;0"),""))),IF(SUMIF(AJ39:$AJ$39,"=" &amp; AJ38,AI39:$AI$39)=0,"",SUMIF(AJ39:$AJ$39,"=" &amp; AJ38,AI39:$AI$39)))</f>
        <v>#N/A</v>
      </c>
      <c r="AJ38" s="87" t="e">
        <f t="shared" si="34"/>
        <v>#N/A</v>
      </c>
      <c r="AK38" s="206" t="str">
        <f t="shared" si="27"/>
        <v/>
      </c>
      <c r="AL38" s="160" t="str">
        <f t="shared" si="28"/>
        <v/>
      </c>
      <c r="AM38" s="160" t="str">
        <f t="shared" si="35"/>
        <v/>
      </c>
      <c r="AN38" s="160" t="str">
        <f>IF(ISNUMBER(AH38),IF(AND(AB38=0,ISNUMBER(AC38),ISNUMBER(AL38)),1,""),"")</f>
        <v/>
      </c>
      <c r="AO38" s="160" t="e">
        <f t="shared" si="6"/>
        <v>#N/A</v>
      </c>
      <c r="AP38" s="206" t="str">
        <f t="shared" si="7"/>
        <v/>
      </c>
      <c r="AQ38" s="157">
        <f t="shared" si="29"/>
        <v>0</v>
      </c>
      <c r="AR38" s="88" t="str">
        <f t="shared" si="8"/>
        <v/>
      </c>
      <c r="AS38" s="89">
        <f t="shared" si="30"/>
        <v>0</v>
      </c>
      <c r="AT38" s="88" t="str">
        <f t="shared" si="9"/>
        <v/>
      </c>
      <c r="AU38" s="158">
        <f t="shared" si="10"/>
        <v>0</v>
      </c>
      <c r="AV38" s="90" t="str">
        <f t="shared" si="11"/>
        <v/>
      </c>
      <c r="AW38" s="158" t="b">
        <f t="shared" si="12"/>
        <v>0</v>
      </c>
      <c r="AX38" s="159" t="b">
        <f t="shared" si="13"/>
        <v>0</v>
      </c>
      <c r="AY38" s="158" t="b">
        <f t="shared" si="14"/>
        <v>0</v>
      </c>
      <c r="AZ38" s="159" t="b">
        <f t="shared" si="15"/>
        <v>0</v>
      </c>
      <c r="BA38" s="206" t="b">
        <f t="shared" si="16"/>
        <v>0</v>
      </c>
      <c r="BB38" s="206" t="b">
        <f t="shared" si="17"/>
        <v>0</v>
      </c>
      <c r="BC38" s="158" t="b">
        <f t="shared" si="18"/>
        <v>0</v>
      </c>
      <c r="BD38" s="160" t="b">
        <f t="shared" si="31"/>
        <v>0</v>
      </c>
      <c r="BE38" s="159" t="b">
        <f t="shared" si="37"/>
        <v>0</v>
      </c>
      <c r="BF38" s="161" t="b">
        <f t="shared" si="39"/>
        <v>0</v>
      </c>
      <c r="BG38" s="206" t="str">
        <f t="shared" si="38"/>
        <v>NA</v>
      </c>
      <c r="BH38" s="206" t="str">
        <f t="shared" si="32"/>
        <v/>
      </c>
      <c r="BI38" s="206" t="str">
        <f t="shared" si="22"/>
        <v/>
      </c>
      <c r="BJ38" s="206" t="str">
        <f t="shared" si="23"/>
        <v/>
      </c>
      <c r="BK38" s="206" t="str">
        <f t="shared" si="24"/>
        <v/>
      </c>
      <c r="BL38" s="162" t="str">
        <f t="shared" si="33"/>
        <v/>
      </c>
      <c r="BM38" s="206" t="str">
        <f t="shared" si="25"/>
        <v/>
      </c>
      <c r="BN38" s="206" t="str">
        <f t="shared" si="26"/>
        <v/>
      </c>
      <c r="BO38" s="164" t="s">
        <v>241</v>
      </c>
      <c r="BP38" s="164"/>
      <c r="BQ38" s="164"/>
      <c r="BR38" s="164"/>
      <c r="BS38" s="164"/>
      <c r="BT38" s="164"/>
      <c r="BU38" s="164"/>
    </row>
    <row r="39" spans="2:73" s="105" customFormat="1" ht="12.95" customHeight="1" thickBot="1" x14ac:dyDescent="0.25">
      <c r="B39" s="165" t="str">
        <f>IF(ISNA(Z39),"",IF(OR(Z39=1,Z39=2),"    ",MAX($B$8:B38)+1))</f>
        <v/>
      </c>
      <c r="C39" s="1375" t="str">
        <f t="shared" si="40"/>
        <v/>
      </c>
      <c r="D39" s="1375"/>
      <c r="E39" s="1375"/>
      <c r="F39" s="1376"/>
      <c r="G39" s="176" t="str">
        <f t="shared" si="1"/>
        <v/>
      </c>
      <c r="H39" s="153" t="str">
        <f t="shared" si="2"/>
        <v/>
      </c>
      <c r="I39" s="177" t="str">
        <f t="shared" si="2"/>
        <v/>
      </c>
      <c r="J39" s="178"/>
      <c r="K39" s="179"/>
      <c r="L39" s="1078"/>
      <c r="M39" s="1079"/>
      <c r="N39" s="1079"/>
      <c r="O39" s="1079"/>
      <c r="P39" s="1079"/>
      <c r="Q39" s="1079"/>
      <c r="R39" s="1080"/>
      <c r="T39" s="119">
        <v>32</v>
      </c>
      <c r="U39" s="110" t="e">
        <v>#N/A</v>
      </c>
      <c r="V39" s="206" t="e">
        <v>#N/A</v>
      </c>
      <c r="W39" s="206" t="e">
        <v>#N/A</v>
      </c>
      <c r="X39" s="206" t="e">
        <v>#N/A</v>
      </c>
      <c r="Y39" s="206" t="e">
        <v>#N/A</v>
      </c>
      <c r="Z39" s="160" t="e">
        <v>#N/A</v>
      </c>
      <c r="AA39" s="160" t="e">
        <v>#N/A</v>
      </c>
      <c r="AB39" s="160" t="e">
        <v>#N/A</v>
      </c>
      <c r="AC39" s="206" t="e">
        <v>#N/A</v>
      </c>
      <c r="AD39" s="206" t="e">
        <v>#N/A</v>
      </c>
      <c r="AE39" s="206" t="e">
        <v>#N/A</v>
      </c>
      <c r="AF39" s="206" t="e">
        <v>#N/A</v>
      </c>
      <c r="AG39" s="206" t="e">
        <f t="shared" si="3"/>
        <v>#N/A</v>
      </c>
      <c r="AH39" s="206" t="str">
        <f t="shared" si="4"/>
        <v/>
      </c>
      <c r="AI39" s="86" t="e">
        <f>IF(NOT(OR(Z39=1,Z39=2)),IF(AQ39&gt;0,$AR$44*AQ39/SUMIF($AQ$8:$AQ$39,"&gt;0"),IF(AU39&gt;0,$AV$44*AU39/SUMIF($AU$8:$AU$39,"&gt;0"),IF(AS39&gt;0,$AT$44*AS39/SUMIF($AS$8:$AS$39,"&gt;0"),""))),IF(SUMIF(AJ$39:$AJ40,"=" &amp; AJ39,AI$39:$AI40)=0,"",SUMIF(AJ$39:$AJ40,"=" &amp; AJ39,AI$39:$AI40)))</f>
        <v>#N/A</v>
      </c>
      <c r="AJ39" s="87" t="e">
        <f t="shared" si="34"/>
        <v>#N/A</v>
      </c>
      <c r="AK39" s="206" t="str">
        <f t="shared" si="27"/>
        <v/>
      </c>
      <c r="AL39" s="160" t="str">
        <f t="shared" si="28"/>
        <v/>
      </c>
      <c r="AM39" s="160" t="str">
        <f t="shared" si="35"/>
        <v/>
      </c>
      <c r="AN39" s="160" t="str">
        <f>IF(ISNUMBER(AH39),IF(AND(AB39=0,ISNUMBER(AC39),ISNUMBER(AL39)),1,""),"")</f>
        <v/>
      </c>
      <c r="AO39" s="160" t="e">
        <f t="shared" si="6"/>
        <v>#N/A</v>
      </c>
      <c r="AP39" s="206" t="str">
        <f t="shared" si="7"/>
        <v/>
      </c>
      <c r="AQ39" s="157">
        <f t="shared" si="29"/>
        <v>0</v>
      </c>
      <c r="AR39" s="88" t="str">
        <f t="shared" si="8"/>
        <v/>
      </c>
      <c r="AS39" s="89">
        <f t="shared" si="30"/>
        <v>0</v>
      </c>
      <c r="AT39" s="88" t="str">
        <f t="shared" si="9"/>
        <v/>
      </c>
      <c r="AU39" s="158">
        <f t="shared" si="10"/>
        <v>0</v>
      </c>
      <c r="AV39" s="90" t="str">
        <f t="shared" si="11"/>
        <v/>
      </c>
      <c r="AW39" s="158" t="b">
        <f t="shared" si="12"/>
        <v>0</v>
      </c>
      <c r="AX39" s="159" t="b">
        <f t="shared" si="13"/>
        <v>0</v>
      </c>
      <c r="AY39" s="158" t="b">
        <f t="shared" si="14"/>
        <v>0</v>
      </c>
      <c r="AZ39" s="159" t="b">
        <f t="shared" si="15"/>
        <v>0</v>
      </c>
      <c r="BA39" s="206" t="b">
        <f t="shared" si="16"/>
        <v>0</v>
      </c>
      <c r="BB39" s="206" t="b">
        <f t="shared" si="17"/>
        <v>0</v>
      </c>
      <c r="BC39" s="158" t="b">
        <f t="shared" si="18"/>
        <v>0</v>
      </c>
      <c r="BD39" s="160" t="b">
        <f t="shared" si="31"/>
        <v>0</v>
      </c>
      <c r="BE39" s="159" t="b">
        <f t="shared" si="37"/>
        <v>0</v>
      </c>
      <c r="BF39" s="161" t="b">
        <f t="shared" si="39"/>
        <v>0</v>
      </c>
      <c r="BG39" s="206" t="str">
        <f t="shared" si="38"/>
        <v>NA</v>
      </c>
      <c r="BH39" s="206" t="str">
        <f t="shared" si="32"/>
        <v/>
      </c>
      <c r="BI39" s="206" t="str">
        <f t="shared" si="22"/>
        <v/>
      </c>
      <c r="BJ39" s="206" t="str">
        <f t="shared" si="23"/>
        <v/>
      </c>
      <c r="BK39" s="206" t="str">
        <f t="shared" si="24"/>
        <v/>
      </c>
      <c r="BL39" s="206" t="str">
        <f t="shared" si="33"/>
        <v/>
      </c>
      <c r="BM39" s="206" t="str">
        <f t="shared" si="25"/>
        <v/>
      </c>
      <c r="BN39" s="206" t="str">
        <f t="shared" si="26"/>
        <v/>
      </c>
      <c r="BO39" s="1346"/>
      <c r="BP39" s="1347"/>
      <c r="BQ39" s="1347"/>
      <c r="BR39" s="1347"/>
      <c r="BS39" s="1347"/>
      <c r="BT39" s="1347"/>
      <c r="BU39" s="1348"/>
    </row>
    <row r="40" spans="2:73" s="112" customFormat="1" ht="8.25" customHeight="1" x14ac:dyDescent="0.2">
      <c r="B40" s="1355" t="s">
        <v>242</v>
      </c>
      <c r="C40" s="1356"/>
      <c r="D40" s="1357"/>
      <c r="E40" s="205" t="s">
        <v>243</v>
      </c>
      <c r="F40" s="1358" t="s">
        <v>244</v>
      </c>
      <c r="G40" s="1359"/>
      <c r="H40" s="1359" t="s">
        <v>245</v>
      </c>
      <c r="I40" s="1359"/>
      <c r="J40" s="1360" t="s">
        <v>246</v>
      </c>
      <c r="K40" s="1361"/>
      <c r="L40" s="180" t="s">
        <v>247</v>
      </c>
      <c r="M40" s="1362" t="s">
        <v>248</v>
      </c>
      <c r="N40" s="1362"/>
      <c r="O40" s="1363" t="str">
        <f>IF(U44,"DO REVIEW","DO REV N/A")</f>
        <v>DO REVIEW</v>
      </c>
      <c r="P40" s="1364"/>
      <c r="Q40" s="181" t="str">
        <f>IF(U45,"ED REVIEW","ED REV N/A")</f>
        <v>ED REVIEW</v>
      </c>
      <c r="R40" s="182"/>
      <c r="S40" s="183">
        <v>0</v>
      </c>
      <c r="AI40" s="184"/>
      <c r="AJ40" s="113"/>
      <c r="AK40" s="113"/>
      <c r="AL40" s="113"/>
      <c r="AM40" s="113"/>
      <c r="AN40" s="113"/>
      <c r="AO40" s="110"/>
      <c r="AP40" s="113"/>
      <c r="AQ40" s="185"/>
      <c r="AR40" s="113"/>
      <c r="AS40" s="185"/>
      <c r="AT40" s="113"/>
      <c r="AU40" s="185"/>
      <c r="AV40" s="186"/>
      <c r="AW40" s="113"/>
      <c r="AX40" s="113"/>
      <c r="AY40" s="113"/>
      <c r="AZ40" s="113"/>
      <c r="BA40" s="113"/>
      <c r="BB40" s="113"/>
      <c r="BC40" s="113"/>
      <c r="BD40" s="113"/>
      <c r="BE40" s="113"/>
      <c r="BF40" s="113"/>
      <c r="BG40" s="113"/>
      <c r="BH40" s="110"/>
      <c r="BI40" s="110"/>
      <c r="BJ40" s="110"/>
      <c r="BK40" s="110"/>
      <c r="BL40" s="110"/>
      <c r="BM40" s="110"/>
      <c r="BN40" s="110"/>
      <c r="BO40" s="1349"/>
      <c r="BP40" s="1350"/>
      <c r="BQ40" s="1350"/>
      <c r="BR40" s="1350"/>
      <c r="BS40" s="1350"/>
      <c r="BT40" s="1350"/>
      <c r="BU40" s="1351"/>
    </row>
    <row r="41" spans="2:73" ht="18.75" customHeight="1" thickBot="1" x14ac:dyDescent="0.25">
      <c r="B41" s="1365" t="str">
        <f>IF(ISERROR(AR46),"",TEXT(AR45,"0.0%"))</f>
        <v>0.0%</v>
      </c>
      <c r="C41" s="1366"/>
      <c r="D41" s="1367"/>
      <c r="E41" s="187" t="str">
        <f>IF(AU41=0,"N/A",CONCATENATE(TEXT(AV45,"0.0%")," of ",TEXT(AV44,"0.0%")))</f>
        <v>N/A</v>
      </c>
      <c r="F41" s="1369" t="str">
        <f>IF((graded_aca_events+graded_amn_events)&lt;1,"---",IF(AND(AW4,AX4),"INCOMPLETE",IF(AND(NOT(AW4),AX4),"ACA INC",IF(AND(AW4,NOT(AX4)),"AMN INC","COMPLETE"))))</f>
        <v>---</v>
      </c>
      <c r="G41" s="1369"/>
      <c r="H41" s="1369" t="str">
        <f>IF(AU4,IF(OR(AY4="UNK",NOT(AN6)),"---",IF(AY4,"UNSAT",IF(AVERAGEIFS(AT8:AT39,AS8:AS39,"&gt;0")&lt;0.9,"MARG","SAT"))),"N/A")</f>
        <v>---</v>
      </c>
      <c r="I41" s="1369"/>
      <c r="J41" s="1370" t="str">
        <f>IF(OR(AZ4="UNK",NOT(AM6)),"---",IF(OR(AZ4,AR45&lt;0.7),"FAIL","PASS"))</f>
        <v>---</v>
      </c>
      <c r="K41" s="1371"/>
      <c r="L41" s="188"/>
      <c r="M41" s="1372"/>
      <c r="N41" s="1372"/>
      <c r="O41" s="1373" t="s">
        <v>139</v>
      </c>
      <c r="P41" s="1373"/>
      <c r="Q41" s="1373" t="s">
        <v>139</v>
      </c>
      <c r="R41" s="1374"/>
      <c r="S41" s="189"/>
      <c r="T41" s="119" t="s">
        <v>249</v>
      </c>
      <c r="U41" s="160" t="s">
        <v>250</v>
      </c>
      <c r="V41" s="190"/>
      <c r="W41" s="190"/>
      <c r="X41" s="190"/>
      <c r="Y41" s="190"/>
      <c r="Z41" s="190"/>
      <c r="AA41" s="190"/>
      <c r="AB41" s="190"/>
      <c r="AC41" s="190"/>
      <c r="AD41" s="190"/>
      <c r="AE41" s="190"/>
      <c r="AF41" s="190"/>
      <c r="AG41" s="190"/>
      <c r="AH41" s="190"/>
      <c r="AI41" s="109"/>
      <c r="AJ41" s="108"/>
      <c r="AK41" s="190"/>
      <c r="AL41" s="190"/>
      <c r="AM41" s="190">
        <f>SUM(AM8:AM39)</f>
        <v>0</v>
      </c>
      <c r="AN41" s="190">
        <f>SUM(AN8:AN39)</f>
        <v>0</v>
      </c>
      <c r="AO41" s="119"/>
      <c r="AP41" s="108"/>
      <c r="AQ41" s="191">
        <f>SUMIF(AQ8:AQ39,"&gt;0")</f>
        <v>94</v>
      </c>
      <c r="AR41" s="192">
        <f>IF(AQ41=0,0,SUMPRODUCT($AQ$8:$AQ$39,AR8:AR39)/SUM($AQ$8:$AQ$39))</f>
        <v>0</v>
      </c>
      <c r="AS41" s="193">
        <f>SUMIF(AS8:AS39,"&gt;0")</f>
        <v>5.0999999999999996</v>
      </c>
      <c r="AT41" s="192">
        <f>IF(AS41=0,0,SUMPRODUCT($AS$8:$AS$39,AT8:AT39)/SUM($AS$8:$AS$39))</f>
        <v>0</v>
      </c>
      <c r="AU41" s="193">
        <f>SUM(AU9:AU39)</f>
        <v>0</v>
      </c>
      <c r="AV41" s="192">
        <f>IF(AU41=0,0,SUMPRODUCT($AU$8:$AU$39,AV8:AV39)/SUM($AU$8:$AU$39))</f>
        <v>0</v>
      </c>
      <c r="AW41" s="194"/>
      <c r="AX41" s="194"/>
      <c r="AY41" s="194"/>
      <c r="AZ41" s="194"/>
      <c r="BA41" s="194"/>
      <c r="BB41" s="194"/>
      <c r="BC41" s="110" t="s">
        <v>251</v>
      </c>
      <c r="BD41" s="110" t="s">
        <v>252</v>
      </c>
      <c r="BE41" s="110" t="s">
        <v>253</v>
      </c>
      <c r="BO41" s="1349"/>
      <c r="BP41" s="1350"/>
      <c r="BQ41" s="1350"/>
      <c r="BR41" s="1350"/>
      <c r="BS41" s="1350"/>
      <c r="BT41" s="1350"/>
      <c r="BU41" s="1351"/>
    </row>
    <row r="42" spans="2:73" ht="7.5" customHeight="1" thickTop="1" x14ac:dyDescent="0.2">
      <c r="L42" s="1368" t="s">
        <v>282</v>
      </c>
      <c r="M42" s="1368"/>
      <c r="N42" s="1368"/>
      <c r="O42" s="1368"/>
      <c r="P42" s="1368"/>
      <c r="Q42" s="1368"/>
      <c r="R42" s="1368"/>
      <c r="AP42" s="190"/>
      <c r="AQ42" s="108"/>
      <c r="AR42" s="108"/>
      <c r="AT42" s="192"/>
      <c r="AU42" s="192"/>
      <c r="AV42" s="192"/>
      <c r="AW42" s="108"/>
      <c r="AX42" s="192"/>
      <c r="BO42" s="1352"/>
      <c r="BP42" s="1353"/>
      <c r="BQ42" s="1353"/>
      <c r="BR42" s="1353"/>
      <c r="BS42" s="1353"/>
      <c r="BT42" s="1353"/>
      <c r="BU42" s="1354"/>
    </row>
    <row r="43" spans="2:73" ht="30.75" customHeight="1" x14ac:dyDescent="0.2">
      <c r="T43" s="195" t="s">
        <v>254</v>
      </c>
      <c r="U43" s="160" t="b">
        <v>0</v>
      </c>
      <c r="AI43" s="111">
        <f ca="1">SUMIF(AJ8:$AJ$39,"=" &amp; AJ8,AI9:$AI$39)</f>
        <v>0.05</v>
      </c>
      <c r="AO43" s="196"/>
      <c r="AS43" s="137" t="s">
        <v>255</v>
      </c>
      <c r="AT43" s="197">
        <f>SUMIF(X8:X39,"&gt;0")/SUMIF(W8:W39,"&gt;0")</f>
        <v>5.4255319148936165E-2</v>
      </c>
      <c r="AU43" s="137" t="s">
        <v>256</v>
      </c>
      <c r="AV43" s="100">
        <f>SUMIF(AU8:AU39,"&gt;0")/SUMIF(AQ8:AQ39,"&gt;0")</f>
        <v>0</v>
      </c>
      <c r="AW43" s="198"/>
      <c r="BE43" s="110" t="b">
        <f>AND(ISBLANK($K30),J30&gt;0)</f>
        <v>0</v>
      </c>
      <c r="BO43" s="110"/>
      <c r="BP43" s="110"/>
      <c r="BQ43" s="106"/>
    </row>
    <row r="44" spans="2:73" ht="30.75" customHeight="1" x14ac:dyDescent="0.2">
      <c r="J44" s="199"/>
      <c r="T44" s="200" t="s">
        <v>257</v>
      </c>
      <c r="U44" s="110" t="b">
        <f>IF(AND(Flight?,OR(AW4,AY4,BA4,AZ4,AR45&lt;0.7,H41="MARG")),TRUE,FALSE)</f>
        <v>1</v>
      </c>
      <c r="AO44" s="201"/>
      <c r="AQ44" s="137" t="s">
        <v>258</v>
      </c>
      <c r="AR44" s="197">
        <f>1-AT44</f>
        <v>0.95</v>
      </c>
      <c r="AS44" s="137" t="s">
        <v>259</v>
      </c>
      <c r="AT44" s="197">
        <f>MIN(AT43,AT6)</f>
        <v>0.05</v>
      </c>
      <c r="AU44" s="137" t="s">
        <v>260</v>
      </c>
      <c r="AV44" s="111">
        <f>MIN(AV43,AV6)</f>
        <v>0</v>
      </c>
      <c r="BO44" s="110"/>
      <c r="BP44" s="110"/>
      <c r="BQ44" s="106"/>
    </row>
    <row r="45" spans="2:73" ht="25.5" x14ac:dyDescent="0.2">
      <c r="T45" s="200" t="s">
        <v>261</v>
      </c>
      <c r="U45" s="110" t="b">
        <f>IF(OR(AX4,AY4,AZ4,BB4,AR45&lt;0.7),TRUE,FALSE)</f>
        <v>1</v>
      </c>
      <c r="AO45" s="202"/>
      <c r="AQ45" s="137" t="s">
        <v>262</v>
      </c>
      <c r="AR45" s="111">
        <f>AR41*(1-AT44)+(AT41*AT44)</f>
        <v>0</v>
      </c>
      <c r="AU45" s="110" t="s">
        <v>196</v>
      </c>
      <c r="AV45" s="111">
        <f>AV41*AV44</f>
        <v>0</v>
      </c>
      <c r="BO45" s="110"/>
      <c r="BP45" s="110"/>
      <c r="BQ45" s="106"/>
    </row>
    <row r="46" spans="2:73" ht="25.5" x14ac:dyDescent="0.2">
      <c r="T46" s="200" t="s">
        <v>263</v>
      </c>
      <c r="U46" s="110" t="b">
        <v>0</v>
      </c>
      <c r="AO46" s="202"/>
      <c r="AQ46" s="137" t="s">
        <v>264</v>
      </c>
      <c r="AR46" s="111">
        <f>MIN(1,IF(NOT(OR(AY4,AZ4)),AR45+AV45,MIN(0.69,AR45+AV45)))</f>
        <v>0</v>
      </c>
      <c r="BO46" s="110"/>
      <c r="BP46" s="110"/>
      <c r="BQ46" s="106"/>
    </row>
    <row r="47" spans="2:73" x14ac:dyDescent="0.2">
      <c r="T47" s="200" t="s">
        <v>265</v>
      </c>
      <c r="U47" s="110" t="b">
        <f>IF(NOT(Flight?),TRUE,NOT(OR(ISBLANK(comments),ISBLANK(hdr_class),ISBLANK(hdr_date),ISBLANK(hdr_stud),ISBLANK(hdr_instr),ISBLANK(hdr_acft),ISBLANK(hdr_time),F41="---")))</f>
        <v>0</v>
      </c>
      <c r="AO47" s="202"/>
      <c r="AR47" s="137"/>
      <c r="AS47" s="111"/>
    </row>
    <row r="48" spans="2:73" x14ac:dyDescent="0.2">
      <c r="T48" s="200" t="s">
        <v>266</v>
      </c>
      <c r="U48" s="110" t="b">
        <f>IF(Flight?,TRUE,NOT(OR(ISBLANK(comments),ISBLANK(hdr_class),ISBLANK(hdr_date),ISBLANK(hdr_stud),ISBLANK(hdr_instr),F41="---")))</f>
        <v>1</v>
      </c>
      <c r="AO48" s="201"/>
      <c r="AP48" s="108" t="s">
        <v>267</v>
      </c>
      <c r="AQ48" s="108"/>
      <c r="AR48" s="108"/>
      <c r="AS48" s="108"/>
      <c r="AT48" s="108"/>
    </row>
    <row r="49" spans="20:56" x14ac:dyDescent="0.2">
      <c r="T49" s="200" t="s">
        <v>268</v>
      </c>
      <c r="U49" s="110" t="b">
        <f>AND(U47:U48)</f>
        <v>0</v>
      </c>
      <c r="AO49" s="201"/>
      <c r="AP49" s="108"/>
      <c r="AQ49" s="108"/>
      <c r="AR49" s="108">
        <v>0</v>
      </c>
      <c r="AS49" s="108">
        <v>1</v>
      </c>
      <c r="AT49" s="108">
        <v>2</v>
      </c>
      <c r="AU49" s="108">
        <v>3</v>
      </c>
      <c r="AV49" s="108">
        <v>4</v>
      </c>
    </row>
    <row r="50" spans="20:56" x14ac:dyDescent="0.2">
      <c r="AO50" s="201"/>
      <c r="AP50" s="108" t="s">
        <v>227</v>
      </c>
      <c r="AQ50" s="108">
        <v>1</v>
      </c>
      <c r="AR50" s="203">
        <v>0.7</v>
      </c>
      <c r="AS50" s="203">
        <v>0.9</v>
      </c>
      <c r="AT50" s="203">
        <v>0.93330000000000002</v>
      </c>
      <c r="AU50" s="203">
        <v>0.9667</v>
      </c>
      <c r="AV50" s="203">
        <v>1</v>
      </c>
    </row>
    <row r="51" spans="20:56" x14ac:dyDescent="0.2">
      <c r="AO51" s="201"/>
      <c r="AP51" s="108" t="s">
        <v>228</v>
      </c>
      <c r="AQ51" s="108">
        <v>2</v>
      </c>
      <c r="AR51" s="203">
        <v>0.7</v>
      </c>
      <c r="AS51" s="203">
        <v>0.8</v>
      </c>
      <c r="AT51" s="203">
        <v>0.9</v>
      </c>
      <c r="AU51" s="203">
        <v>0.95</v>
      </c>
      <c r="AV51" s="203">
        <v>1</v>
      </c>
    </row>
    <row r="52" spans="20:56" x14ac:dyDescent="0.2">
      <c r="AO52" s="201"/>
      <c r="AP52" s="108" t="s">
        <v>229</v>
      </c>
      <c r="AQ52" s="108">
        <v>3</v>
      </c>
      <c r="AR52" s="203">
        <v>0.7</v>
      </c>
      <c r="AS52" s="203">
        <v>0.76670000000000005</v>
      </c>
      <c r="AT52" s="203">
        <v>0.83330000000000004</v>
      </c>
      <c r="AU52" s="203">
        <v>0.9</v>
      </c>
      <c r="AV52" s="203">
        <v>1</v>
      </c>
    </row>
    <row r="53" spans="20:56" x14ac:dyDescent="0.2">
      <c r="AP53" s="204" t="s">
        <v>230</v>
      </c>
      <c r="AQ53" s="108">
        <v>11</v>
      </c>
      <c r="AR53" s="203">
        <v>0.6</v>
      </c>
      <c r="AS53" s="203">
        <v>0.9</v>
      </c>
      <c r="AT53" s="203">
        <v>0.93330000000000002</v>
      </c>
      <c r="AU53" s="203">
        <v>0.9667</v>
      </c>
      <c r="AV53" s="203">
        <v>1</v>
      </c>
    </row>
    <row r="54" spans="20:56" x14ac:dyDescent="0.2">
      <c r="AP54" s="204" t="s">
        <v>231</v>
      </c>
      <c r="AQ54" s="108">
        <v>12</v>
      </c>
      <c r="AR54" s="203">
        <v>0.6</v>
      </c>
      <c r="AS54" s="203">
        <v>0.7</v>
      </c>
      <c r="AT54" s="203">
        <v>0.9</v>
      </c>
      <c r="AU54" s="203">
        <v>0.95</v>
      </c>
      <c r="AV54" s="203">
        <v>1</v>
      </c>
    </row>
    <row r="55" spans="20:56" x14ac:dyDescent="0.2">
      <c r="AP55" s="204" t="s">
        <v>232</v>
      </c>
      <c r="AQ55" s="108">
        <v>13</v>
      </c>
      <c r="AR55" s="203">
        <v>0.6</v>
      </c>
      <c r="AS55" s="203">
        <v>0.7</v>
      </c>
      <c r="AT55" s="203">
        <v>0.8</v>
      </c>
      <c r="AU55" s="203">
        <v>0.9</v>
      </c>
      <c r="AV55" s="203">
        <v>1</v>
      </c>
    </row>
    <row r="56" spans="20:56" x14ac:dyDescent="0.2">
      <c r="AP56" s="204" t="s">
        <v>233</v>
      </c>
      <c r="AQ56" s="108">
        <v>22</v>
      </c>
      <c r="AR56" s="203">
        <v>0.3</v>
      </c>
      <c r="AS56" s="203">
        <v>0.6</v>
      </c>
      <c r="AT56" s="203">
        <v>0.9</v>
      </c>
      <c r="AU56" s="203">
        <v>0.95</v>
      </c>
      <c r="AV56" s="203">
        <v>1</v>
      </c>
    </row>
    <row r="57" spans="20:56" x14ac:dyDescent="0.2">
      <c r="AP57" s="204" t="s">
        <v>234</v>
      </c>
      <c r="AQ57" s="108">
        <v>23</v>
      </c>
      <c r="AR57" s="203">
        <v>0.3</v>
      </c>
      <c r="AS57" s="203">
        <v>0.6</v>
      </c>
      <c r="AT57" s="203">
        <v>0.7</v>
      </c>
      <c r="AU57" s="203">
        <v>0.9</v>
      </c>
      <c r="AV57" s="203">
        <v>1</v>
      </c>
    </row>
    <row r="58" spans="20:56" x14ac:dyDescent="0.2">
      <c r="AP58" s="204" t="s">
        <v>235</v>
      </c>
      <c r="AQ58" s="108">
        <v>33</v>
      </c>
      <c r="AR58" s="203">
        <v>0</v>
      </c>
      <c r="AS58" s="203">
        <v>0.3</v>
      </c>
      <c r="AT58" s="203">
        <v>0.6</v>
      </c>
      <c r="AU58" s="203">
        <v>0.9</v>
      </c>
      <c r="AV58" s="203">
        <v>1</v>
      </c>
      <c r="AW58" s="83"/>
      <c r="AX58" s="84"/>
      <c r="BC58" s="84"/>
      <c r="BD58" s="84"/>
    </row>
    <row r="59" spans="20:56" x14ac:dyDescent="0.2">
      <c r="AW59" s="84"/>
      <c r="AX59" s="84"/>
      <c r="BC59" s="84"/>
      <c r="BD59" s="84"/>
    </row>
    <row r="60" spans="20:56" x14ac:dyDescent="0.2">
      <c r="AP60" s="84"/>
      <c r="AQ60" s="83"/>
      <c r="AR60" s="84"/>
      <c r="AS60" s="84"/>
      <c r="AT60" s="84"/>
      <c r="AU60" s="84"/>
      <c r="AV60" s="84"/>
      <c r="AW60" s="83"/>
      <c r="AX60" s="83"/>
      <c r="BC60" s="84"/>
      <c r="BD60" s="84"/>
    </row>
    <row r="61" spans="20:56" x14ac:dyDescent="0.2">
      <c r="AP61" s="101"/>
      <c r="AQ61" s="83"/>
      <c r="AR61" s="84"/>
      <c r="AS61" s="84"/>
      <c r="AT61" s="84"/>
      <c r="AU61" s="84"/>
      <c r="AV61" s="84"/>
      <c r="AW61" s="83"/>
      <c r="AX61" s="83"/>
      <c r="BC61" s="84"/>
      <c r="BD61" s="84"/>
    </row>
    <row r="62" spans="20:56" x14ac:dyDescent="0.2">
      <c r="AP62" s="83"/>
      <c r="AQ62" s="83"/>
      <c r="AR62" s="84"/>
      <c r="AS62" s="84"/>
      <c r="AT62" s="84"/>
      <c r="AU62" s="84"/>
      <c r="AV62" s="84"/>
      <c r="AW62" s="83"/>
      <c r="AX62" s="83"/>
      <c r="BC62" s="84"/>
      <c r="BD62" s="84"/>
    </row>
    <row r="63" spans="20:56" x14ac:dyDescent="0.2">
      <c r="AP63" s="83"/>
      <c r="AQ63" s="83"/>
      <c r="AR63" s="84"/>
      <c r="AS63" s="84"/>
      <c r="AT63" s="84"/>
      <c r="AU63" s="84"/>
      <c r="AV63" s="84"/>
      <c r="AW63" s="83"/>
      <c r="AX63" s="84"/>
      <c r="BC63" s="84"/>
      <c r="BD63" s="84"/>
    </row>
    <row r="64" spans="20:56" x14ac:dyDescent="0.2">
      <c r="AP64" s="83"/>
      <c r="AQ64" s="83"/>
      <c r="AR64" s="84"/>
      <c r="AS64" s="84"/>
      <c r="AT64" s="84"/>
      <c r="AU64" s="84"/>
      <c r="AV64" s="84"/>
      <c r="AW64" s="83"/>
      <c r="AX64" s="84"/>
      <c r="BC64" s="84"/>
      <c r="BD64" s="84"/>
    </row>
    <row r="65" spans="42:48" x14ac:dyDescent="0.2">
      <c r="AP65" s="83"/>
      <c r="AQ65" s="83"/>
      <c r="AR65" s="84"/>
      <c r="AS65" s="84"/>
      <c r="AT65" s="84"/>
      <c r="AU65" s="84"/>
      <c r="AV65" s="84"/>
    </row>
    <row r="66" spans="42:48" x14ac:dyDescent="0.2">
      <c r="AP66" s="83"/>
      <c r="AQ66" s="83"/>
      <c r="AR66" s="84"/>
      <c r="AS66" s="84"/>
      <c r="AT66" s="84"/>
      <c r="AU66" s="84"/>
      <c r="AV66" s="84"/>
    </row>
  </sheetData>
  <sheetProtection algorithmName="SHA-512" hashValue="eg9EcivBA8TDP/2L0zXKHFSBxxtESMMz1l2HSSYE9ioBMVvQJVGDVeMZM145vhvoXOGgwGANnTGVi51CCbTeqQ==" saltValue="kbPRQiPP57QyGiO5W4fCcg==" spinCount="100000" sheet="1" selectLockedCell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17" priority="8" stopIfTrue="1">
      <formula>IF($Z8=1,TRUE,FALSE)</formula>
    </cfRule>
    <cfRule type="expression" dxfId="216" priority="9">
      <formula>IF($Z8=2,TRUE,FALSE)</formula>
    </cfRule>
  </conditionalFormatting>
  <conditionalFormatting sqref="C8:F39">
    <cfRule type="expression" dxfId="215" priority="1" stopIfTrue="1">
      <formula>IF($AF8=FALSE,TRUE,FALSE)</formula>
    </cfRule>
  </conditionalFormatting>
  <conditionalFormatting sqref="F5:G6 M5:P6">
    <cfRule type="expression" dxfId="214" priority="4" stopIfTrue="1">
      <formula>NOT($AU$4)</formula>
    </cfRule>
  </conditionalFormatting>
  <conditionalFormatting sqref="F6:G6">
    <cfRule type="cellIs" dxfId="213" priority="3" operator="equal">
      <formula>""</formula>
    </cfRule>
  </conditionalFormatting>
  <conditionalFormatting sqref="G8:K39">
    <cfRule type="expression" dxfId="212" priority="6" stopIfTrue="1">
      <formula>IF($Z8=1,TRUE,FALSE)</formula>
    </cfRule>
    <cfRule type="expression" dxfId="211" priority="7" stopIfTrue="1">
      <formula>IF($Z8=2,TRUE,FALSE)</formula>
    </cfRule>
  </conditionalFormatting>
  <conditionalFormatting sqref="H8:H39">
    <cfRule type="expression" dxfId="210" priority="10" stopIfTrue="1">
      <formula>IF($AB8=0,TRUE,FALSE)</formula>
    </cfRule>
  </conditionalFormatting>
  <conditionalFormatting sqref="H40:I41">
    <cfRule type="expression" dxfId="209" priority="2" stopIfTrue="1">
      <formula>IF($H$41="N/A",TRUE,FALSE)</formula>
    </cfRule>
  </conditionalFormatting>
  <conditionalFormatting sqref="H6:P6 O4:R4 B6 L8 L41 O41:R41">
    <cfRule type="containsBlanks" dxfId="208" priority="5">
      <formula>LEN(TRIM(B4))=0</formula>
    </cfRule>
  </conditionalFormatting>
  <conditionalFormatting sqref="J8:J39">
    <cfRule type="expression" dxfId="207" priority="14">
      <formula>IF($Z8=1,FALSE,OR($BE8,$BD8))</formula>
    </cfRule>
  </conditionalFormatting>
  <conditionalFormatting sqref="J8:K39 C8:F39">
    <cfRule type="expression" dxfId="206" priority="13">
      <formula>IF($Z8=1,FALSE,OR($AW8,$AX8,$AY8,$AZ8))</formula>
    </cfRule>
  </conditionalFormatting>
  <conditionalFormatting sqref="J8:K39">
    <cfRule type="expression" dxfId="205" priority="11" stopIfTrue="1">
      <formula>IF(ISNA($Z8),TRUE,FALSE)</formula>
    </cfRule>
  </conditionalFormatting>
  <conditionalFormatting sqref="K8:K39">
    <cfRule type="expression" dxfId="204" priority="12">
      <formula>IF(OR($Z8=1,$Z8=2),FALSE,OR($BC8,$BE8,$BF8))</formula>
    </cfRule>
  </conditionalFormatting>
  <dataValidations count="6">
    <dataValidation type="date" allowBlank="1" showInputMessage="1" showErrorMessage="1" sqref="Q4:R4" xr:uid="{59AB9175-4874-424B-8244-F4A55F970035}">
      <formula1>41151</formula1>
      <formula2>77433</formula2>
    </dataValidation>
    <dataValidation type="decimal" allowBlank="1" showInputMessage="1" showErrorMessage="1" sqref="O6:P6" xr:uid="{2A0A27CC-C505-42DF-B88C-F4F55E15E0E3}">
      <formula1>0</formula1>
      <formula2>10</formula2>
    </dataValidation>
    <dataValidation showInputMessage="1" showErrorMessage="1" sqref="O41:R41" xr:uid="{88E9CD59-4F4E-4164-96FD-B7163CEC788E}"/>
    <dataValidation type="list" allowBlank="1" showInputMessage="1" showErrorMessage="1" sqref="K8:K39" xr:uid="{FBFDBC1C-E23D-42DA-BAEA-EB15F5E90989}">
      <formula1>"D,0,1,2,3,4"</formula1>
    </dataValidation>
    <dataValidation type="list" allowBlank="1" showInputMessage="1" showErrorMessage="1" sqref="J8:J39" xr:uid="{D43DE25D-220B-4E50-9714-B1F973EB32EA}">
      <formula1>"NA,0,1,2,3,4,5,6,7,8,9,10,11,12,13,14,15"</formula1>
    </dataValidation>
    <dataValidation type="list" allowBlank="1" showInputMessage="1" showErrorMessage="1" sqref="F6:G6" xr:uid="{886D3901-2D9C-4B30-B4D5-4AE093D5202A}">
      <formula1>"No,Yes"</formula1>
    </dataValidation>
  </dataValidations>
  <hyperlinks>
    <hyperlink ref="BP3" location="PF!A1" display="PF phase Summary Page" xr:uid="{7D682C0E-9000-4AAB-AD0B-C6D20006BD39}"/>
    <hyperlink ref="BP3:BU4" location="SY!A1" display="SY Summary Page" xr:uid="{5576865F-DD09-4AD6-9CD2-6B828977B4EC}"/>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787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788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788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788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788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CD3EB-65C0-4681-AD25-F8A22806C9EB}">
  <sheetPr codeName="Sheet42">
    <tabColor rgb="FFFF00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103" customWidth="1"/>
    <col min="2" max="2" width="3.5703125" style="103" customWidth="1"/>
    <col min="3" max="3" width="5.5703125" style="103" customWidth="1"/>
    <col min="4" max="4" width="9.140625" style="103" customWidth="1"/>
    <col min="5" max="5" width="14" style="103" customWidth="1"/>
    <col min="6" max="6" width="7.85546875" style="103" customWidth="1"/>
    <col min="7" max="11" width="5.140625" style="103" customWidth="1"/>
    <col min="12" max="12" width="21.5703125" style="103" customWidth="1"/>
    <col min="13" max="13" width="6.5703125" style="103" customWidth="1"/>
    <col min="14" max="14" width="12.5703125" style="103" customWidth="1"/>
    <col min="15" max="15" width="7.85546875" style="103" customWidth="1"/>
    <col min="16" max="16" width="2.7109375" style="103" customWidth="1"/>
    <col min="17" max="17" width="4.85546875" style="103" customWidth="1"/>
    <col min="18" max="18" width="7.28515625" style="103" customWidth="1"/>
    <col min="19" max="19" width="1.7109375" style="103" customWidth="1"/>
    <col min="20" max="20" width="19.140625" style="110" hidden="1" customWidth="1"/>
    <col min="21" max="21" width="31.140625" style="110" hidden="1" customWidth="1"/>
    <col min="22" max="22" width="5.140625" style="110" hidden="1" customWidth="1"/>
    <col min="23" max="24" width="6.28515625" style="110" hidden="1" customWidth="1"/>
    <col min="25" max="25" width="8.42578125" style="110" hidden="1" customWidth="1"/>
    <col min="26" max="26" width="7.85546875" style="110" hidden="1" customWidth="1"/>
    <col min="27" max="27" width="10.7109375" style="110" hidden="1" customWidth="1"/>
    <col min="28" max="28" width="8" style="110" hidden="1" customWidth="1"/>
    <col min="29" max="31" width="5.140625" style="110" hidden="1" customWidth="1"/>
    <col min="32" max="34" width="5.85546875" style="110" hidden="1" customWidth="1"/>
    <col min="35" max="35" width="8.5703125" style="111" hidden="1" customWidth="1"/>
    <col min="36" max="36" width="7" style="110" hidden="1" customWidth="1"/>
    <col min="37" max="38" width="5.28515625" style="110" hidden="1" customWidth="1"/>
    <col min="39" max="40" width="7" style="110" hidden="1" customWidth="1"/>
    <col min="41" max="41" width="5.140625" style="110" hidden="1" customWidth="1"/>
    <col min="42" max="42" width="11.28515625" style="110" hidden="1" customWidth="1"/>
    <col min="43" max="43" width="6.42578125" style="110" hidden="1" customWidth="1"/>
    <col min="44" max="44" width="8.28515625" style="110" hidden="1" customWidth="1"/>
    <col min="45" max="45" width="8.85546875" style="110" hidden="1" customWidth="1"/>
    <col min="46" max="46" width="10.7109375" style="110" hidden="1" customWidth="1"/>
    <col min="47" max="47" width="8.85546875" style="110" hidden="1" customWidth="1"/>
    <col min="48" max="48" width="6.28515625" style="110" hidden="1" customWidth="1"/>
    <col min="49" max="49" width="10" style="110" hidden="1" customWidth="1"/>
    <col min="50" max="50" width="7.5703125" style="110" hidden="1" customWidth="1"/>
    <col min="51" max="51" width="7" style="110" hidden="1" customWidth="1"/>
    <col min="52" max="52" width="8.140625" style="110" hidden="1" customWidth="1"/>
    <col min="53" max="53" width="12.5703125" style="110" hidden="1" customWidth="1"/>
    <col min="54" max="54" width="7.7109375" style="110" hidden="1" customWidth="1"/>
    <col min="55" max="55" width="12.7109375" style="110" hidden="1" customWidth="1"/>
    <col min="56" max="56" width="7" style="110" hidden="1" customWidth="1"/>
    <col min="57" max="57" width="15.5703125" style="110" hidden="1" customWidth="1"/>
    <col min="58" max="58" width="9.140625" style="110" hidden="1" customWidth="1"/>
    <col min="59" max="59" width="10" style="110" hidden="1" customWidth="1"/>
    <col min="60" max="60" width="5.28515625" style="110" hidden="1" customWidth="1"/>
    <col min="61" max="61" width="4" style="110" hidden="1" customWidth="1"/>
    <col min="62" max="62" width="4.7109375" style="110" hidden="1" customWidth="1"/>
    <col min="63" max="63" width="5.5703125" style="110" hidden="1" customWidth="1"/>
    <col min="64" max="64" width="5.28515625" style="110" hidden="1" customWidth="1"/>
    <col min="65" max="65" width="4" style="110" hidden="1" customWidth="1"/>
    <col min="66" max="66" width="5.5703125" style="110" hidden="1" customWidth="1"/>
    <col min="67" max="67" width="5.140625" style="106" customWidth="1"/>
    <col min="68" max="73" width="5.140625" style="103" customWidth="1"/>
    <col min="74" max="16384" width="9.140625" style="103"/>
  </cols>
  <sheetData>
    <row r="1" spans="2:73" s="107" customFormat="1" ht="12" hidden="1" x14ac:dyDescent="0.2">
      <c r="T1" s="108"/>
      <c r="U1" s="108"/>
      <c r="V1" s="108"/>
      <c r="W1" s="108"/>
      <c r="X1" s="108"/>
      <c r="Y1" s="108"/>
      <c r="Z1" s="108"/>
      <c r="AA1" s="108"/>
      <c r="AB1" s="108"/>
      <c r="AC1" s="108"/>
      <c r="AD1" s="108"/>
      <c r="AE1" s="108"/>
      <c r="AF1" s="108"/>
      <c r="AG1" s="108"/>
      <c r="AH1" s="108"/>
      <c r="AI1" s="109"/>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row>
    <row r="2" spans="2:73" ht="13.5" thickBot="1" x14ac:dyDescent="0.25"/>
    <row r="3" spans="2:73" ht="13.5" customHeight="1" thickTop="1" x14ac:dyDescent="0.2">
      <c r="B3" s="1421" t="s">
        <v>141</v>
      </c>
      <c r="C3" s="1422"/>
      <c r="D3" s="1422"/>
      <c r="E3" s="1422"/>
      <c r="F3" s="1422"/>
      <c r="G3" s="1423"/>
      <c r="H3" s="1424" t="s">
        <v>679</v>
      </c>
      <c r="I3" s="1425"/>
      <c r="J3" s="1425"/>
      <c r="K3" s="1425"/>
      <c r="L3" s="1425"/>
      <c r="M3" s="1425"/>
      <c r="N3" s="1426"/>
      <c r="O3" s="1427" t="s">
        <v>142</v>
      </c>
      <c r="P3" s="1428"/>
      <c r="Q3" s="1427" t="s">
        <v>143</v>
      </c>
      <c r="R3" s="1429"/>
      <c r="S3" s="112"/>
      <c r="T3" s="113"/>
      <c r="U3" s="113"/>
      <c r="V3" s="113"/>
      <c r="W3" s="113"/>
      <c r="X3" s="113"/>
      <c r="Y3" s="113"/>
      <c r="Z3" s="113"/>
      <c r="AA3" s="113"/>
      <c r="AB3" s="113"/>
      <c r="AC3" s="113"/>
      <c r="AD3" s="113"/>
      <c r="AE3" s="113"/>
      <c r="AF3" s="113"/>
      <c r="AG3" s="113"/>
      <c r="AH3" s="113"/>
      <c r="AI3" s="114"/>
      <c r="AJ3" s="113"/>
      <c r="AK3" s="113"/>
      <c r="AL3" s="113"/>
      <c r="AM3" s="113"/>
      <c r="AN3" s="113"/>
      <c r="AO3" s="113"/>
      <c r="AP3" s="113"/>
      <c r="AQ3" s="108"/>
      <c r="AR3" s="108"/>
      <c r="AW3" s="110" t="s">
        <v>144</v>
      </c>
      <c r="AX3" s="110" t="s">
        <v>145</v>
      </c>
      <c r="AY3" s="110" t="s">
        <v>146</v>
      </c>
      <c r="AZ3" s="110" t="s">
        <v>147</v>
      </c>
      <c r="BA3" s="110" t="s">
        <v>148</v>
      </c>
      <c r="BB3" s="110" t="s">
        <v>149</v>
      </c>
      <c r="BP3" s="1653" t="s">
        <v>499</v>
      </c>
      <c r="BQ3" s="1653"/>
      <c r="BR3" s="1653"/>
      <c r="BS3" s="1653"/>
      <c r="BT3" s="1653"/>
      <c r="BU3" s="1653"/>
    </row>
    <row r="4" spans="2:73" s="105" customFormat="1" ht="15.75" customHeight="1" x14ac:dyDescent="0.2">
      <c r="B4" s="1431" t="s">
        <v>293</v>
      </c>
      <c r="C4" s="1432"/>
      <c r="D4" s="1432"/>
      <c r="E4" s="1432"/>
      <c r="F4" s="1432"/>
      <c r="G4" s="1433"/>
      <c r="H4" s="1434" t="s">
        <v>316</v>
      </c>
      <c r="I4" s="1435"/>
      <c r="J4" s="1435"/>
      <c r="K4" s="1435"/>
      <c r="L4" s="1435"/>
      <c r="M4" s="1435"/>
      <c r="N4" s="1436"/>
      <c r="O4" s="1437"/>
      <c r="P4" s="1438"/>
      <c r="Q4" s="1439"/>
      <c r="R4" s="1440"/>
      <c r="S4" s="115"/>
      <c r="T4" s="116"/>
      <c r="U4" s="116"/>
      <c r="V4" s="116"/>
      <c r="W4" s="116"/>
      <c r="X4" s="116"/>
      <c r="Y4" s="116"/>
      <c r="Z4" s="116"/>
      <c r="AA4" s="116"/>
      <c r="AB4" s="116"/>
      <c r="AC4" s="116"/>
      <c r="AD4" s="116"/>
      <c r="AE4" s="116"/>
      <c r="AF4" s="116"/>
      <c r="AG4" s="116"/>
      <c r="AH4" s="116"/>
      <c r="AI4" s="117"/>
      <c r="AJ4" s="116"/>
      <c r="AK4" s="116"/>
      <c r="AL4" s="116"/>
      <c r="AM4" s="116"/>
      <c r="AN4" s="116"/>
      <c r="AO4" s="116"/>
      <c r="AP4" s="116"/>
      <c r="AQ4" s="118"/>
      <c r="AR4" s="118"/>
      <c r="AS4" s="119"/>
      <c r="AT4" s="120" t="s">
        <v>151</v>
      </c>
      <c r="AU4" s="121" t="b">
        <v>0</v>
      </c>
      <c r="AV4" s="119">
        <v>0</v>
      </c>
      <c r="AW4" s="119" t="b">
        <f>IF(ISERR(OR(AW8:AW39)),"UNK",IF(AND(graded_aca_events&gt;=1,input_test),FALSE,OR(AW8:AW39)))</f>
        <v>0</v>
      </c>
      <c r="AX4" s="119" t="b">
        <f>IF(ISERR(OR(AX8:AX39)),"UNK",IF(AND(graded_aca_events&gt;=1,input_test),FALSE,OR(AX8:AX39)))</f>
        <v>1</v>
      </c>
      <c r="AY4" s="119" t="b">
        <f>IF(ISERR(OR(AY8:AY39)),"UNK",OR(AY8:AY39))</f>
        <v>0</v>
      </c>
      <c r="AZ4" s="119" t="b">
        <f>IF(ISERR(OR(AZ8:AZ39)),"UNK",OR(AZ8:AZ39))</f>
        <v>0</v>
      </c>
      <c r="BA4" s="119" t="b">
        <f>IF(ISERR(OR(BA8:BA39)),"UNK",OR(BA8:BA39))</f>
        <v>0</v>
      </c>
      <c r="BB4" s="119" t="b">
        <f>IF(ISERR(OR(BB8:BB39)),"UNK",OR(BB8:BB39))</f>
        <v>0</v>
      </c>
      <c r="BC4" s="122" t="b">
        <f>OR(BC8:BC39)</f>
        <v>0</v>
      </c>
      <c r="BD4" s="122" t="b">
        <f>OR(BD8:BD39)</f>
        <v>0</v>
      </c>
      <c r="BE4" s="122" t="b">
        <f>OR(BE8:BE39)</f>
        <v>0</v>
      </c>
      <c r="BF4" s="122"/>
      <c r="BG4" s="119"/>
      <c r="BH4" s="1441" t="s">
        <v>152</v>
      </c>
      <c r="BI4" s="1441"/>
      <c r="BJ4" s="1441"/>
      <c r="BK4" s="1441"/>
      <c r="BL4" s="1393" t="s">
        <v>153</v>
      </c>
      <c r="BM4" s="1393"/>
      <c r="BN4" s="1393"/>
      <c r="BO4" s="106"/>
      <c r="BP4" s="1653"/>
      <c r="BQ4" s="1653"/>
      <c r="BR4" s="1653"/>
      <c r="BS4" s="1653"/>
      <c r="BT4" s="1653"/>
      <c r="BU4" s="1653"/>
    </row>
    <row r="5" spans="2:73" s="112" customFormat="1" ht="7.5" customHeight="1" x14ac:dyDescent="0.25">
      <c r="B5" s="1394" t="s">
        <v>154</v>
      </c>
      <c r="C5" s="1395"/>
      <c r="D5" s="1395"/>
      <c r="E5" s="1396"/>
      <c r="F5" s="1397" t="s">
        <v>155</v>
      </c>
      <c r="G5" s="1396"/>
      <c r="H5" s="1397" t="s">
        <v>156</v>
      </c>
      <c r="I5" s="1395"/>
      <c r="J5" s="1395"/>
      <c r="K5" s="1395"/>
      <c r="L5" s="1396"/>
      <c r="M5" s="1398" t="s">
        <v>157</v>
      </c>
      <c r="N5" s="1399"/>
      <c r="O5" s="1400" t="s">
        <v>158</v>
      </c>
      <c r="P5" s="1401"/>
      <c r="Q5" s="1397" t="str">
        <f>IF(AU41=0,"GRADE","GRADE (inc. bonus)")</f>
        <v>GRADE</v>
      </c>
      <c r="R5" s="1402"/>
      <c r="T5" s="113"/>
      <c r="U5" s="113"/>
      <c r="V5" s="113"/>
      <c r="W5" s="113"/>
      <c r="X5" s="113"/>
      <c r="Y5" s="113"/>
      <c r="Z5" s="113"/>
      <c r="AA5" s="113"/>
      <c r="AB5" s="113"/>
      <c r="AC5" s="113"/>
      <c r="AD5" s="113"/>
      <c r="AE5" s="113"/>
      <c r="AF5" s="113"/>
      <c r="AG5" s="113"/>
      <c r="AH5" s="113"/>
      <c r="AI5" s="114"/>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441"/>
      <c r="BI5" s="1441"/>
      <c r="BJ5" s="1441"/>
      <c r="BK5" s="1441"/>
      <c r="BL5" s="1393"/>
      <c r="BM5" s="1393"/>
      <c r="BN5" s="1393"/>
      <c r="BO5" s="123"/>
    </row>
    <row r="6" spans="2:73" s="105" customFormat="1" ht="15.75" customHeight="1" thickBot="1" x14ac:dyDescent="0.25">
      <c r="B6" s="1403"/>
      <c r="C6" s="1404"/>
      <c r="D6" s="1404"/>
      <c r="E6" s="1405"/>
      <c r="F6" s="1552" t="s">
        <v>270</v>
      </c>
      <c r="G6" s="1553"/>
      <c r="H6" s="1408"/>
      <c r="I6" s="1409"/>
      <c r="J6" s="1409"/>
      <c r="K6" s="1409"/>
      <c r="L6" s="1407"/>
      <c r="M6" s="1554"/>
      <c r="N6" s="1555"/>
      <c r="O6" s="1556"/>
      <c r="P6" s="1557"/>
      <c r="Q6" s="1414" t="str">
        <f>IF((graded_aca_events+graded_amn_events)&lt;1,"0",IF(ISERROR(AR46),"",IF(F41&lt;&gt;"COMPLETE","INCOMPLETE",AR46)))</f>
        <v>0</v>
      </c>
      <c r="R6" s="1415"/>
      <c r="S6" s="103"/>
      <c r="T6" s="119"/>
      <c r="U6" s="119">
        <v>2</v>
      </c>
      <c r="V6" s="119">
        <v>3</v>
      </c>
      <c r="W6" s="119">
        <v>6</v>
      </c>
      <c r="X6" s="119">
        <v>7</v>
      </c>
      <c r="Y6" s="119">
        <v>11</v>
      </c>
      <c r="Z6" s="119">
        <v>8</v>
      </c>
      <c r="AA6" s="119">
        <v>9</v>
      </c>
      <c r="AB6" s="119">
        <v>10</v>
      </c>
      <c r="AC6" s="119">
        <v>5</v>
      </c>
      <c r="AD6" s="119">
        <v>4</v>
      </c>
      <c r="AE6" s="119">
        <v>12</v>
      </c>
      <c r="AF6" s="119">
        <v>13</v>
      </c>
      <c r="AG6" s="119"/>
      <c r="AH6" s="119"/>
      <c r="AI6" s="124"/>
      <c r="AJ6" s="125"/>
      <c r="AK6" s="125"/>
      <c r="AL6" s="125"/>
      <c r="AM6" s="125" t="b">
        <f>IF(COUNT(AM8:AM39)&gt;0,TRUE,FALSE)</f>
        <v>0</v>
      </c>
      <c r="AN6" s="125" t="b">
        <f>IF(COUNT(AN8:AN39)&gt;0,TRUE,FALSE)</f>
        <v>0</v>
      </c>
      <c r="AO6" s="119"/>
      <c r="AP6" s="119"/>
      <c r="AQ6" s="118"/>
      <c r="AR6" s="118"/>
      <c r="AS6" s="119"/>
      <c r="AT6" s="85">
        <v>0.2</v>
      </c>
      <c r="AU6" s="119"/>
      <c r="AV6" s="126">
        <f>0.01*input_maxb</f>
        <v>0</v>
      </c>
      <c r="AW6" s="127" t="s">
        <v>159</v>
      </c>
      <c r="AX6" s="128"/>
      <c r="AY6" s="127" t="s">
        <v>160</v>
      </c>
      <c r="AZ6" s="128"/>
      <c r="BA6" s="129" t="s">
        <v>161</v>
      </c>
      <c r="BB6" s="129"/>
      <c r="BC6" s="127" t="s">
        <v>162</v>
      </c>
      <c r="BD6" s="129"/>
      <c r="BE6" s="130"/>
      <c r="BF6" s="131"/>
      <c r="BG6" s="119" t="s">
        <v>163</v>
      </c>
      <c r="BH6" s="1441"/>
      <c r="BI6" s="1441"/>
      <c r="BJ6" s="1441"/>
      <c r="BK6" s="1441"/>
      <c r="BL6" s="1393"/>
      <c r="BM6" s="1393"/>
      <c r="BN6" s="1393"/>
      <c r="BO6" s="106"/>
    </row>
    <row r="7" spans="2:73" ht="27" customHeight="1" thickBot="1" x14ac:dyDescent="0.25">
      <c r="B7" s="1416" t="s">
        <v>164</v>
      </c>
      <c r="C7" s="1417"/>
      <c r="D7" s="1417"/>
      <c r="E7" s="1417"/>
      <c r="F7" s="1418"/>
      <c r="G7" s="132" t="s">
        <v>165</v>
      </c>
      <c r="H7" s="133" t="s">
        <v>166</v>
      </c>
      <c r="I7" s="134" t="s">
        <v>167</v>
      </c>
      <c r="J7" s="135" t="s">
        <v>168</v>
      </c>
      <c r="K7" s="136" t="s">
        <v>169</v>
      </c>
      <c r="L7" s="1419" t="s">
        <v>170</v>
      </c>
      <c r="M7" s="1417"/>
      <c r="N7" s="1417"/>
      <c r="O7" s="1417"/>
      <c r="P7" s="1417"/>
      <c r="Q7" s="1417"/>
      <c r="R7" s="1420"/>
      <c r="T7" s="137" t="s">
        <v>171</v>
      </c>
      <c r="U7" s="137"/>
      <c r="V7" s="137" t="s">
        <v>172</v>
      </c>
      <c r="W7" s="137" t="s">
        <v>173</v>
      </c>
      <c r="X7" s="137" t="s">
        <v>174</v>
      </c>
      <c r="Y7" s="137" t="s">
        <v>175</v>
      </c>
      <c r="Z7" s="137" t="s">
        <v>176</v>
      </c>
      <c r="AA7" s="137" t="s">
        <v>177</v>
      </c>
      <c r="AB7" s="137" t="s">
        <v>178</v>
      </c>
      <c r="AC7" s="137" t="s">
        <v>179</v>
      </c>
      <c r="AD7" s="137" t="s">
        <v>180</v>
      </c>
      <c r="AE7" s="137" t="s">
        <v>181</v>
      </c>
      <c r="AF7" s="137" t="s">
        <v>182</v>
      </c>
      <c r="AG7" s="137" t="s">
        <v>183</v>
      </c>
      <c r="AH7" s="137" t="s">
        <v>184</v>
      </c>
      <c r="AI7" s="138" t="s">
        <v>185</v>
      </c>
      <c r="AJ7" s="139" t="s">
        <v>186</v>
      </c>
      <c r="AK7" s="140" t="s">
        <v>187</v>
      </c>
      <c r="AL7" s="140" t="s">
        <v>188</v>
      </c>
      <c r="AM7" s="140" t="s">
        <v>189</v>
      </c>
      <c r="AN7" s="140" t="s">
        <v>190</v>
      </c>
      <c r="AO7" s="139" t="s">
        <v>191</v>
      </c>
      <c r="AP7" s="139" t="s">
        <v>192</v>
      </c>
      <c r="AQ7" s="141" t="s">
        <v>193</v>
      </c>
      <c r="AR7" s="142" t="s">
        <v>1</v>
      </c>
      <c r="AS7" s="141" t="s">
        <v>194</v>
      </c>
      <c r="AT7" s="142" t="s">
        <v>1</v>
      </c>
      <c r="AU7" s="141" t="s">
        <v>195</v>
      </c>
      <c r="AV7" s="143" t="s">
        <v>196</v>
      </c>
      <c r="AW7" s="144" t="s">
        <v>197</v>
      </c>
      <c r="AX7" s="145" t="s">
        <v>198</v>
      </c>
      <c r="AY7" s="144" t="s">
        <v>199</v>
      </c>
      <c r="AZ7" s="145" t="s">
        <v>200</v>
      </c>
      <c r="BA7" s="146" t="s">
        <v>201</v>
      </c>
      <c r="BB7" s="146" t="s">
        <v>202</v>
      </c>
      <c r="BC7" s="147" t="s">
        <v>203</v>
      </c>
      <c r="BD7" s="148" t="s">
        <v>204</v>
      </c>
      <c r="BE7" s="149" t="s">
        <v>205</v>
      </c>
      <c r="BF7" s="150" t="s">
        <v>206</v>
      </c>
      <c r="BH7" s="110" t="s">
        <v>207</v>
      </c>
      <c r="BI7" s="110" t="s">
        <v>208</v>
      </c>
      <c r="BJ7" s="137" t="s">
        <v>209</v>
      </c>
      <c r="BK7" s="110" t="s">
        <v>210</v>
      </c>
      <c r="BL7" s="110" t="s">
        <v>207</v>
      </c>
      <c r="BM7" s="110" t="s">
        <v>208</v>
      </c>
      <c r="BN7" s="110" t="s">
        <v>210</v>
      </c>
    </row>
    <row r="8" spans="2:73" ht="12.95" customHeight="1" x14ac:dyDescent="0.2">
      <c r="B8" s="151" t="str">
        <f>IF(ISNA(Z8),"",IF(OR(Z8=1,Z8=2),"",1))</f>
        <v/>
      </c>
      <c r="C8" s="1391" t="str">
        <f t="shared" ref="C8:C36" si="0">IF(ISNA(Z8),"",CONCATENATE($U8,IF(ISNUMBER(AI8),TEXT(ROUND($AI8,3)," (0.0%)"),""),IF(AU8&gt;0," Bonus","")))</f>
        <v>Introduction (20.0%)</v>
      </c>
      <c r="D8" s="1391"/>
      <c r="E8" s="1391"/>
      <c r="F8" s="1392"/>
      <c r="G8" s="152" t="str">
        <f t="shared" ref="G8:G39" si="1">BH8</f>
        <v/>
      </c>
      <c r="H8" s="153" t="str">
        <f t="shared" ref="H8:I39" si="2">BJ8</f>
        <v/>
      </c>
      <c r="I8" s="154" t="str">
        <f t="shared" si="2"/>
        <v/>
      </c>
      <c r="J8" s="155"/>
      <c r="K8" s="156"/>
      <c r="L8" s="1072"/>
      <c r="M8" s="1073"/>
      <c r="N8" s="1073"/>
      <c r="O8" s="1073"/>
      <c r="P8" s="1073"/>
      <c r="Q8" s="1073"/>
      <c r="R8" s="1074"/>
      <c r="T8" s="110">
        <v>1</v>
      </c>
      <c r="U8" s="110" t="s">
        <v>286</v>
      </c>
      <c r="V8" s="206" t="s">
        <v>212</v>
      </c>
      <c r="W8" s="206" t="s">
        <v>212</v>
      </c>
      <c r="X8" s="206" t="s">
        <v>212</v>
      </c>
      <c r="Y8" s="206" t="s">
        <v>212</v>
      </c>
      <c r="Z8" s="206">
        <v>2</v>
      </c>
      <c r="AA8" s="206">
        <v>1</v>
      </c>
      <c r="AB8" s="206">
        <v>1</v>
      </c>
      <c r="AC8" s="206" t="s">
        <v>212</v>
      </c>
      <c r="AD8" s="206" t="s">
        <v>212</v>
      </c>
      <c r="AE8" s="206" t="s">
        <v>212</v>
      </c>
      <c r="AF8" s="206" t="s">
        <v>212</v>
      </c>
      <c r="AG8" s="206" t="str">
        <f t="shared" ref="AG8:AG39" si="3">IF(CrewSoloQual="Yes",$AC8,$AD8)</f>
        <v/>
      </c>
      <c r="AH8" s="206" t="str">
        <f t="shared" ref="AH8:AH39" si="4">IF(ISNUMBER(AC8),IF(CrewSoloQual="Yes",$AC8-1,$AD8-1),"")</f>
        <v/>
      </c>
      <c r="AI8" s="86">
        <f>IF(NOT(OR(Z8=1,Z8=2)),IF(AQ8&gt;0,$AR$44*AQ8/SUMIF($AQ$8:$AQ$39,"&gt;0"),IF(AU8&gt;0,$AV$44*AU8/SUMIF($AU$8:$AU$39,"&gt;0"),IF(AS8&gt;0,$AT$44*AS8/SUMIF($AS$8:$AS$39,"&gt;0"),""))),IF(SUMIF(AJ9:$AJ$39,"=" &amp; AJ8,AI9:$AI$39)=0,"",SUMIF(AJ9:$AJ$39,"=" &amp; AJ8,AI9:$AI$39)))</f>
        <v>0.2</v>
      </c>
      <c r="AJ8" s="87">
        <f>0</f>
        <v>0</v>
      </c>
      <c r="AK8" s="206" t="str">
        <f>BI8</f>
        <v/>
      </c>
      <c r="AL8" s="206" t="str">
        <f>IF(ISBLANK(K8),"",K8)</f>
        <v/>
      </c>
      <c r="AM8" s="206" t="str">
        <f>IF(ISNUMBER(AK8),IF(ISNUMBER(AL8),1,""),"")</f>
        <v/>
      </c>
      <c r="AN8" s="206" t="str">
        <f t="shared" ref="AN8:AN36" si="5">IF(ISNUMBER(AH8),IF(AND(AB8=0,ISNUMBER(AC8),ISNUMBER(AL8)),1,""),"")</f>
        <v/>
      </c>
      <c r="AO8" s="206" t="str">
        <f t="shared" ref="AO8:AO39" si="6">IF(AB8=0,IF(CrewSoloQual="No",BI8,BK8),"")</f>
        <v/>
      </c>
      <c r="AP8" s="206" t="str">
        <f t="shared" ref="AP8:AP39" si="7">IF(ISNA(Z8),"",IF(AND(ISNUMBER(B8),G8&gt;=1,H8&lt;&gt;"NG"),IF(K8&lt;BK8,TRUE,FALSE),IF(AND(G8&gt;=1,J8="NA"),TRUE,IF(AND(AM8=1,G8=0,AL8&lt;BI8),TRUE,""))))</f>
        <v/>
      </c>
      <c r="AQ8" s="157">
        <f>IF(ISNA(Z8),0,IF(OR(J8="NA",W8="",AB8=0),0,W8))</f>
        <v>0</v>
      </c>
      <c r="AR8" s="88" t="str">
        <f t="shared" ref="AR8:AR39" si="8">IF(ISNA(Z8),"",IF(AND(NOT(OR(Z8=1,Z8=2,AK8="NG",AB8=0)),IF(ISNUMBER(AL8),AL8&gt;=0,FALSE)),VLOOKUP((10*AD8+AC8),$AQ$50:$AV$58,2+AL8,FALSE),IF(AND(input_test=TRUE,ISNUMBER(AD8),V8&lt;&gt;0),VLOOKUP((10*AD8+AC8),$AQ$50:$AV$58,2,FALSE),"")))</f>
        <v/>
      </c>
      <c r="AS8" s="89">
        <f>IF(ISNA(Z8),0,IF(OR(J8="NA",X8="",AB8=1),0,X8))</f>
        <v>0</v>
      </c>
      <c r="AT8" s="88" t="str">
        <f t="shared" ref="AT8:AT39" si="9">IF(ISNA(Z8),"",IF(AND(NOT(OR(Z8=1,Z8=2,AK8="NG",AB8=1)),IF(ISNUMBER(AL8),AL8&gt;=0,FALSE)),VLOOKUP((10*AH8+AG8),$AQ$50:$AV$58,2+AL8,FALSE),IF(AND(input_test=TRUE,ISNUMBER(AD8),V8&lt;&gt;0),VLOOKUP((10*AH8+AG8),$AQ$50:$AV$58,2,FALSE),"")))</f>
        <v/>
      </c>
      <c r="AU8" s="158">
        <f t="shared" ref="AU8:AU39" si="10">IF(ISNA(Z8),0,IF(OR(J8="NA",Y8=""),0,Y8))</f>
        <v>0</v>
      </c>
      <c r="AV8" s="90" t="str">
        <f t="shared" ref="AV8:AV39" si="11">AR8</f>
        <v/>
      </c>
      <c r="AW8" s="158" t="b">
        <f t="shared" ref="AW8:AW39" si="12">IF(ISNA(Z8),FALSE,IF(OR(AB8=1,G8=0,Z8=1,Z8=2),FALSE,IF(OR(J8="NA",J8&gt;=G8),FALSE,TRUE)))</f>
        <v>0</v>
      </c>
      <c r="AX8" s="159" t="b">
        <f t="shared" ref="AX8:AX39" si="13">IF(ISNA(Z8),FALSE,IF(OR(AB8=0,G8=0,Z8=1,Z8=2,J8="NA"),FALSE,IF(AK8="NG",IF(NOT(ISBLANK(K8)),FALSE,TRUE),IF(J8&gt;=G8,FALSE,TRUE))))</f>
        <v>0</v>
      </c>
      <c r="AY8" s="158" t="b">
        <f t="shared" ref="AY8:AY39" si="14">IF(ISNA(Z8),FALSE,IF(OR(AB8=1,G8&lt;1,Z8=1,Z8=2,AE8=0,ISBLANK(K8)),FALSE,IF(OR(J8="NA",K8&gt;=BI8),FALSE,TRUE)))</f>
        <v>0</v>
      </c>
      <c r="AZ8" s="159" t="b">
        <f t="shared" ref="AZ8:AZ39" si="15">IF(ISNA(Z8),FALSE,IF(OR(AB8=0,G8=0,Z8=1,Z8=2,AE8=0,BI8="NG",K8="",ISBLANK(K8)),FALSE,IF(OR(J8="NA",K8&gt;=AK8),FALSE,TRUE)))</f>
        <v>0</v>
      </c>
      <c r="BA8" s="206" t="b">
        <f t="shared" ref="BA8:BA39" si="16">IF(ISNA(Z8),FALSE,IF(OR(AB8=1,G8&lt;1,Z8=1,Z8=2,AE8=0),FALSE,IF(J8="NA",TRUE,FALSE)))</f>
        <v>0</v>
      </c>
      <c r="BB8" s="206" t="b">
        <f t="shared" ref="BB8:BB39" si="17">IF(ISNA(Z8),FALSE,IF(OR(AB8=0,G8=0,Z8=1,Z8=2),FALSE,IF(J8="NA",TRUE,FALSE)))</f>
        <v>0</v>
      </c>
      <c r="BC8" s="158" t="b">
        <f t="shared" ref="BC8:BC39" si="18">IF(OR(ISNA($Z8),ISNUMBER($Z8),NOT(ISNUMBER($J8)),K8="D"),FALSE,IF(AND(NOT(ISNUMBER($K8)),J8&gt;0),TRUE,FALSE))</f>
        <v>0</v>
      </c>
      <c r="BD8" s="160" t="b">
        <f>IF(OR(ISNA($Z8),ISNUMBER($Z8),NOT(ISNUMBER(K8))),FALSE,OR(NOT(ISNUMBER(J8)),J8=0,AND(J8=0,K8&lt;&gt;0)))</f>
        <v>0</v>
      </c>
      <c r="BE8" s="159" t="b">
        <f t="shared" ref="BE8:BE21" si="19">IF(OR(ISNA($Z8),K8&lt;&gt;"D"),FALSE,IF(OR(AND(H8="NG",J8=0),AND(H8&lt;&gt;"NG",NOT(OR(J8="NA",J8=0)))),TRUE,FALSE))</f>
        <v>0</v>
      </c>
      <c r="BF8" s="161" t="b">
        <f t="shared" ref="BF8:BF30" si="20">IF(OR(ISNA($Z8),H8&lt;&gt;"NG"),FALSE,IF(AND(J8="NA",K8&lt;&gt;""),TRUE,FALSE))</f>
        <v>0</v>
      </c>
      <c r="BG8" s="206" t="b">
        <f t="shared" ref="BG8:BG21" si="21">IF(ISNA($Z8),"NA",IF(OR(AZ8,AY8,AX8,AW8,AP8,BA8,BB8),TRUE,FALSE))</f>
        <v>0</v>
      </c>
      <c r="BH8" s="162" t="str">
        <f>IF(ISNA($Z8),"",IF(OR($Z8=1,$Z8=2),"",$V8))</f>
        <v/>
      </c>
      <c r="BI8" s="206" t="str">
        <f t="shared" ref="BI8:BI39" si="22">IF(ISNA($Z8),"",IF(OR($Z8=1,$Z8=2,$G8=""),"",IF(AB8=0,AH8,$AD8)))</f>
        <v/>
      </c>
      <c r="BJ8" s="206" t="str">
        <f t="shared" ref="BJ8:BJ39" si="23">IF(ISNA(AE8),"",IF(OR(Z8=1,Z8=2),"",IF(OR(AE8=0,AD8="NG"),TEXT(BI8,"0"),CONCATENATE(TEXT(BI8,"0"),"*"))))</f>
        <v/>
      </c>
      <c r="BK8" s="206" t="str">
        <f t="shared" ref="BK8:BK39" si="24">IF(ISNA($Z8),"",IF(OR($Z8=1,$Z8=2,$G8=""),"",IF(AB8=0,AG8,$AC8)))</f>
        <v/>
      </c>
      <c r="BL8" s="162" t="str">
        <f>IF(ISBLANK(BH8),"",IF(BH8=0,"",BH8))</f>
        <v/>
      </c>
      <c r="BM8" s="206" t="str">
        <f t="shared" ref="BM8:BM39" si="25">IF($BH8=0,"",IF($BI8="NG","D",$BI8))</f>
        <v/>
      </c>
      <c r="BN8" s="206" t="str">
        <f t="shared" ref="BN8:BN39" si="26">IF(ISNA(U8),"",IF($BH8=0,"",IF($BI8="NG","D",BK8)))</f>
        <v/>
      </c>
      <c r="BO8" s="163" t="s">
        <v>213</v>
      </c>
      <c r="BP8" s="164"/>
    </row>
    <row r="9" spans="2:73" s="105" customFormat="1" ht="12.95" customHeight="1" x14ac:dyDescent="0.2">
      <c r="B9" s="165">
        <f>IF(ISNA(Z9),"",IF(OR(Z9=1,Z9=2),"    ",MAX($B$8:B8)+1))</f>
        <v>1</v>
      </c>
      <c r="C9" s="1375" t="str">
        <f t="shared" si="0"/>
        <v xml:space="preserve">      - Test Item Description (10.0%)</v>
      </c>
      <c r="D9" s="1375"/>
      <c r="E9" s="1375"/>
      <c r="F9" s="1376"/>
      <c r="G9" s="152">
        <f t="shared" si="1"/>
        <v>1</v>
      </c>
      <c r="H9" s="153" t="str">
        <f t="shared" si="2"/>
        <v>2</v>
      </c>
      <c r="I9" s="166">
        <f t="shared" si="2"/>
        <v>3</v>
      </c>
      <c r="J9" s="167"/>
      <c r="K9" s="168"/>
      <c r="L9" s="1075"/>
      <c r="M9" s="1076"/>
      <c r="N9" s="1076"/>
      <c r="O9" s="1076"/>
      <c r="P9" s="1076"/>
      <c r="Q9" s="1076"/>
      <c r="R9" s="1077"/>
      <c r="T9" s="119">
        <v>2</v>
      </c>
      <c r="U9" s="110" t="s">
        <v>294</v>
      </c>
      <c r="V9" s="206">
        <v>1</v>
      </c>
      <c r="W9" s="206">
        <v>1</v>
      </c>
      <c r="X9" s="206" t="s">
        <v>212</v>
      </c>
      <c r="Y9" s="206" t="s">
        <v>212</v>
      </c>
      <c r="Z9" s="160" t="s">
        <v>212</v>
      </c>
      <c r="AA9" s="160">
        <v>2</v>
      </c>
      <c r="AB9" s="160">
        <v>1</v>
      </c>
      <c r="AC9" s="206">
        <v>3</v>
      </c>
      <c r="AD9" s="206">
        <v>2</v>
      </c>
      <c r="AE9" s="206">
        <v>0</v>
      </c>
      <c r="AF9" s="206" t="b">
        <v>1</v>
      </c>
      <c r="AG9" s="206">
        <f t="shared" si="3"/>
        <v>2</v>
      </c>
      <c r="AH9" s="206">
        <f t="shared" si="4"/>
        <v>1</v>
      </c>
      <c r="AI9" s="86">
        <f>IF(NOT(OR(Z9=1,Z9=2)),IF(AQ9&gt;0,$AR$44*AQ9/SUMIF($AQ$8:$AQ$39,"&gt;0"),IF(AU9&gt;0,$AV$44*AU9/SUMIF($AU$8:$AU$39,"&gt;0"),IF(AS9&gt;0,$AT$44*AS9/SUMIF($AS$8:$AS$39,"&gt;0"),""))),IF(SUMIF(AJ10:$AJ$39,"=" &amp; AJ9,AI10:$AI$39)=0,"",SUMIF(AJ10:$AJ$39,"=" &amp; AJ9,AI10:$AI$39)))</f>
        <v>0.1</v>
      </c>
      <c r="AJ9" s="87">
        <f>IF(OR(Z9=1,Z9=2,AA9&lt;AA8),AJ8+1,AJ8)</f>
        <v>0</v>
      </c>
      <c r="AK9" s="206">
        <f t="shared" ref="AK9:AK39" si="27">BI9</f>
        <v>2</v>
      </c>
      <c r="AL9" s="160" t="str">
        <f t="shared" ref="AL9:AL39" si="28">IF(ISBLANK(K9),"",K9)</f>
        <v/>
      </c>
      <c r="AM9" s="160" t="str">
        <f>IF(ISNUMBER(AK9),IF(ISNUMBER(AL9),1,""),"")</f>
        <v/>
      </c>
      <c r="AN9" s="160" t="str">
        <f t="shared" si="5"/>
        <v/>
      </c>
      <c r="AO9" s="160" t="str">
        <f t="shared" si="6"/>
        <v/>
      </c>
      <c r="AP9" s="206" t="b">
        <f>IF(ISNA(Z9),"",IF(AND(ISNUMBER(B9),G9&gt;=1,H9&lt;&gt;"NG"),IF(K9&lt;BK9,TRUE,FALSE),IF(AND(G9&gt;=1,J9="NA"),TRUE,IF(AND(AM9=1,G9=0,AL9&lt;BI9),TRUE,""))))</f>
        <v>1</v>
      </c>
      <c r="AQ9" s="157">
        <f t="shared" ref="AQ9:AQ39" si="29">IF(ISNA(Z9),0,IF(OR(J9="NA",W9="",AB9=0),0,W9))</f>
        <v>1</v>
      </c>
      <c r="AR9" s="88" t="str">
        <f>IF(ISNA(Z9),"",IF(AND(NOT(OR(Z9=1,Z9=2,AK9="NG",AB9=0)),IF(ISNUMBER(AL9),AL9&gt;=0,FALSE)),VLOOKUP((10*AD9+AC9),$AQ$50:$AV$58,2+AL9,FALSE),IF(AND(input_test=TRUE,ISNUMBER(AD9),V9&lt;&gt;0),VLOOKUP((10*AD9+AC9),$AQ$50:$AV$58,2,FALSE),"")))</f>
        <v/>
      </c>
      <c r="AS9" s="89">
        <f t="shared" ref="AS9:AS39" si="30">IF(ISNA(Z9),0,IF(OR(J9="NA",X9="",AB9=1),0,X9))</f>
        <v>0</v>
      </c>
      <c r="AT9" s="88" t="str">
        <f>IF(ISNA(Z9),"",IF(AND(NOT(OR(Z9=1,Z9=2,AK9="NG",AB9=1)),IF(ISNUMBER(AL9),AL9&gt;=0,FALSE)),VLOOKUP((10*AH9+AG9),$AQ$50:$AV$58,2+AL9,FALSE),IF(AND(input_test=TRUE,ISNUMBER(AD9),V9&lt;&gt;0),VLOOKUP((10*AH9+AG9),$AQ$50:$AV$58,2,FALSE),"")))</f>
        <v/>
      </c>
      <c r="AU9" s="158">
        <f t="shared" si="10"/>
        <v>0</v>
      </c>
      <c r="AV9" s="90" t="str">
        <f t="shared" si="11"/>
        <v/>
      </c>
      <c r="AW9" s="158" t="b">
        <f t="shared" si="12"/>
        <v>0</v>
      </c>
      <c r="AX9" s="159" t="b">
        <f t="shared" si="13"/>
        <v>1</v>
      </c>
      <c r="AY9" s="158" t="b">
        <f t="shared" si="14"/>
        <v>0</v>
      </c>
      <c r="AZ9" s="159" t="b">
        <f t="shared" si="15"/>
        <v>0</v>
      </c>
      <c r="BA9" s="206" t="b">
        <f t="shared" si="16"/>
        <v>0</v>
      </c>
      <c r="BB9" s="206" t="b">
        <f t="shared" si="17"/>
        <v>0</v>
      </c>
      <c r="BC9" s="158" t="b">
        <f t="shared" si="18"/>
        <v>0</v>
      </c>
      <c r="BD9" s="160" t="b">
        <f t="shared" ref="BD9:BD39" si="31">IF(OR(ISNA($Z9),ISNUMBER($Z9),NOT(ISNUMBER(K9))),FALSE,OR(NOT(ISNUMBER(J9)),J9=0,AND(J9=0,K9&lt;&gt;0)))</f>
        <v>0</v>
      </c>
      <c r="BE9" s="159" t="b">
        <f t="shared" si="19"/>
        <v>0</v>
      </c>
      <c r="BF9" s="161" t="b">
        <f t="shared" si="20"/>
        <v>0</v>
      </c>
      <c r="BG9" s="206" t="b">
        <f t="shared" si="21"/>
        <v>1</v>
      </c>
      <c r="BH9" s="206">
        <f t="shared" ref="BH9:BH39" si="32">IF(ISNA($Z9),"",IF(OR($Z9=1,$Z9=2),"",$V9))</f>
        <v>1</v>
      </c>
      <c r="BI9" s="206">
        <f t="shared" si="22"/>
        <v>2</v>
      </c>
      <c r="BJ9" s="206" t="str">
        <f t="shared" si="23"/>
        <v>2</v>
      </c>
      <c r="BK9" s="206">
        <f t="shared" si="24"/>
        <v>3</v>
      </c>
      <c r="BL9" s="162">
        <f t="shared" ref="BL9:BL39" si="33">IF(ISBLANK(BH9),"",IF(BH9=0,"",BH9))</f>
        <v>1</v>
      </c>
      <c r="BM9" s="206">
        <f t="shared" si="25"/>
        <v>2</v>
      </c>
      <c r="BN9" s="206">
        <f t="shared" si="26"/>
        <v>3</v>
      </c>
      <c r="BO9" s="169" t="s">
        <v>214</v>
      </c>
      <c r="BP9" s="170" t="s">
        <v>139</v>
      </c>
    </row>
    <row r="10" spans="2:73" s="105" customFormat="1" ht="12.95" customHeight="1" x14ac:dyDescent="0.2">
      <c r="B10" s="165">
        <f>IF(ISNA(Z10),"",IF(OR(Z10=1,Z10=2),"    ",MAX($B$8:B9)+1))</f>
        <v>2</v>
      </c>
      <c r="C10" s="1375" t="str">
        <f t="shared" si="0"/>
        <v xml:space="preserve">      - Evaluation Scenario &amp; Reqs (10.0%)</v>
      </c>
      <c r="D10" s="1375"/>
      <c r="E10" s="1375"/>
      <c r="F10" s="1376"/>
      <c r="G10" s="152">
        <f t="shared" si="1"/>
        <v>1</v>
      </c>
      <c r="H10" s="153" t="str">
        <f t="shared" si="2"/>
        <v>2</v>
      </c>
      <c r="I10" s="166">
        <f t="shared" si="2"/>
        <v>3</v>
      </c>
      <c r="J10" s="171"/>
      <c r="K10" s="168"/>
      <c r="L10" s="1075"/>
      <c r="M10" s="1076"/>
      <c r="N10" s="1076"/>
      <c r="O10" s="1076"/>
      <c r="P10" s="1076"/>
      <c r="Q10" s="1076"/>
      <c r="R10" s="1077"/>
      <c r="T10" s="119">
        <v>3</v>
      </c>
      <c r="U10" s="110" t="s">
        <v>304</v>
      </c>
      <c r="V10" s="206">
        <v>1</v>
      </c>
      <c r="W10" s="206">
        <v>1</v>
      </c>
      <c r="X10" s="206" t="s">
        <v>212</v>
      </c>
      <c r="Y10" s="206" t="s">
        <v>212</v>
      </c>
      <c r="Z10" s="160" t="s">
        <v>212</v>
      </c>
      <c r="AA10" s="160">
        <v>2</v>
      </c>
      <c r="AB10" s="160">
        <v>1</v>
      </c>
      <c r="AC10" s="206">
        <v>3</v>
      </c>
      <c r="AD10" s="206">
        <v>2</v>
      </c>
      <c r="AE10" s="206">
        <v>0</v>
      </c>
      <c r="AF10" s="206" t="b">
        <v>1</v>
      </c>
      <c r="AG10" s="206">
        <f t="shared" si="3"/>
        <v>2</v>
      </c>
      <c r="AH10" s="206">
        <f t="shared" si="4"/>
        <v>1</v>
      </c>
      <c r="AI10" s="86">
        <f>IF(NOT(OR(Z10=1,Z10=2)),IF(AQ10&gt;0,$AR$44*AQ10/SUMIF($AQ$8:$AQ$39,"&gt;0"),IF(AU10&gt;0,$AV$44*AU10/SUMIF($AU$8:$AU$39,"&gt;0"),IF(AS10&gt;0,$AT$44*AS10/SUMIF($AS$8:$AS$39,"&gt;0"),""))),IF(SUMIF(AJ11:$AJ$39,"=" &amp; AJ10,AI11:$AI$39)=0,"",SUMIF(AJ11:$AJ$39,"=" &amp; AJ10,AI11:$AI$39)))</f>
        <v>0.1</v>
      </c>
      <c r="AJ10" s="87">
        <f t="shared" ref="AJ10:AJ39" si="34">IF(OR(Z10=1,Z10=2,AA10&lt;AA9),AJ9+1,AJ9)</f>
        <v>0</v>
      </c>
      <c r="AK10" s="206">
        <f t="shared" si="27"/>
        <v>2</v>
      </c>
      <c r="AL10" s="160" t="str">
        <f t="shared" si="28"/>
        <v/>
      </c>
      <c r="AM10" s="160" t="str">
        <f t="shared" ref="AM10:AM39" si="35">IF(ISNUMBER(AK10),IF(ISNUMBER(AL10),1,""),"")</f>
        <v/>
      </c>
      <c r="AN10" s="160" t="str">
        <f t="shared" si="5"/>
        <v/>
      </c>
      <c r="AO10" s="160" t="str">
        <f t="shared" si="6"/>
        <v/>
      </c>
      <c r="AP10" s="206" t="b">
        <f t="shared" si="7"/>
        <v>1</v>
      </c>
      <c r="AQ10" s="157">
        <f t="shared" si="29"/>
        <v>1</v>
      </c>
      <c r="AR10" s="88" t="str">
        <f t="shared" si="8"/>
        <v/>
      </c>
      <c r="AS10" s="89">
        <f t="shared" si="30"/>
        <v>0</v>
      </c>
      <c r="AT10" s="88" t="str">
        <f t="shared" si="9"/>
        <v/>
      </c>
      <c r="AU10" s="158">
        <f t="shared" si="10"/>
        <v>0</v>
      </c>
      <c r="AV10" s="90" t="str">
        <f t="shared" si="11"/>
        <v/>
      </c>
      <c r="AW10" s="158" t="b">
        <f t="shared" si="12"/>
        <v>0</v>
      </c>
      <c r="AX10" s="159" t="b">
        <f t="shared" si="13"/>
        <v>1</v>
      </c>
      <c r="AY10" s="158" t="b">
        <f t="shared" si="14"/>
        <v>0</v>
      </c>
      <c r="AZ10" s="159" t="b">
        <f t="shared" si="15"/>
        <v>0</v>
      </c>
      <c r="BA10" s="206" t="b">
        <f t="shared" si="16"/>
        <v>0</v>
      </c>
      <c r="BB10" s="206" t="b">
        <f t="shared" si="17"/>
        <v>0</v>
      </c>
      <c r="BC10" s="158" t="b">
        <f t="shared" si="18"/>
        <v>0</v>
      </c>
      <c r="BD10" s="160" t="b">
        <f t="shared" si="31"/>
        <v>0</v>
      </c>
      <c r="BE10" s="159" t="b">
        <f t="shared" si="19"/>
        <v>0</v>
      </c>
      <c r="BF10" s="161" t="b">
        <f t="shared" si="20"/>
        <v>0</v>
      </c>
      <c r="BG10" s="206" t="b">
        <f t="shared" si="21"/>
        <v>1</v>
      </c>
      <c r="BH10" s="206">
        <f t="shared" si="32"/>
        <v>1</v>
      </c>
      <c r="BI10" s="206">
        <f t="shared" si="22"/>
        <v>2</v>
      </c>
      <c r="BJ10" s="206" t="str">
        <f t="shared" si="23"/>
        <v>2</v>
      </c>
      <c r="BK10" s="206">
        <f t="shared" si="24"/>
        <v>3</v>
      </c>
      <c r="BL10" s="162">
        <f t="shared" si="33"/>
        <v>1</v>
      </c>
      <c r="BM10" s="206">
        <f t="shared" si="25"/>
        <v>2</v>
      </c>
      <c r="BN10" s="206">
        <f t="shared" si="26"/>
        <v>3</v>
      </c>
      <c r="BO10" s="169">
        <v>0</v>
      </c>
      <c r="BP10" s="170" t="s">
        <v>287</v>
      </c>
    </row>
    <row r="11" spans="2:73" s="105" customFormat="1" ht="12.95" customHeight="1" x14ac:dyDescent="0.2">
      <c r="B11" s="165" t="str">
        <f>IF(ISNA(Z11),"",IF(OR(Z11=1,Z11=2),"    ",MAX($B$8:B10)+1))</f>
        <v xml:space="preserve">    </v>
      </c>
      <c r="C11" s="1375" t="str">
        <f t="shared" si="0"/>
        <v>Test Planning (50.0%)</v>
      </c>
      <c r="D11" s="1375"/>
      <c r="E11" s="1375"/>
      <c r="F11" s="1376"/>
      <c r="G11" s="152" t="str">
        <f t="shared" si="1"/>
        <v/>
      </c>
      <c r="H11" s="153" t="str">
        <f t="shared" si="2"/>
        <v/>
      </c>
      <c r="I11" s="166" t="str">
        <f t="shared" si="2"/>
        <v/>
      </c>
      <c r="J11" s="172"/>
      <c r="K11" s="173"/>
      <c r="L11" s="1075"/>
      <c r="M11" s="1076"/>
      <c r="N11" s="1076"/>
      <c r="O11" s="1076"/>
      <c r="P11" s="1076"/>
      <c r="Q11" s="1076"/>
      <c r="R11" s="1077"/>
      <c r="T11" s="119">
        <v>4</v>
      </c>
      <c r="U11" s="110" t="s">
        <v>305</v>
      </c>
      <c r="V11" s="206" t="s">
        <v>212</v>
      </c>
      <c r="W11" s="206" t="s">
        <v>212</v>
      </c>
      <c r="X11" s="206" t="s">
        <v>212</v>
      </c>
      <c r="Y11" s="206" t="s">
        <v>212</v>
      </c>
      <c r="Z11" s="160">
        <v>2</v>
      </c>
      <c r="AA11" s="160">
        <v>1</v>
      </c>
      <c r="AB11" s="160">
        <v>1</v>
      </c>
      <c r="AC11" s="206" t="s">
        <v>212</v>
      </c>
      <c r="AD11" s="206" t="s">
        <v>212</v>
      </c>
      <c r="AE11" s="206" t="s">
        <v>212</v>
      </c>
      <c r="AF11" s="206" t="s">
        <v>212</v>
      </c>
      <c r="AG11" s="206" t="str">
        <f t="shared" si="3"/>
        <v/>
      </c>
      <c r="AH11" s="206" t="str">
        <f t="shared" si="4"/>
        <v/>
      </c>
      <c r="AI11" s="86">
        <f>IF(NOT(OR(Z11=1,Z11=2)),IF(AQ11&gt;0,$AR$44*AQ11/SUMIF($AQ$8:$AQ$39,"&gt;0"),IF(AU11&gt;0,$AV$44*AU11/SUMIF($AU$8:$AU$39,"&gt;0"),IF(AS11&gt;0,$AT$44*AS11/SUMIF($AS$8:$AS$39,"&gt;0"),""))),IF(SUMIF(AJ12:$AJ$39,"=" &amp; AJ11,AI12:$AI$39)=0,"",SUMIF(AJ12:$AJ$39,"=" &amp; AJ11,AI12:$AI$39)))</f>
        <v>0.5</v>
      </c>
      <c r="AJ11" s="87">
        <f t="shared" si="34"/>
        <v>1</v>
      </c>
      <c r="AK11" s="206" t="str">
        <f t="shared" si="27"/>
        <v/>
      </c>
      <c r="AL11" s="160" t="str">
        <f t="shared" si="28"/>
        <v/>
      </c>
      <c r="AM11" s="160" t="str">
        <f t="shared" si="35"/>
        <v/>
      </c>
      <c r="AN11" s="160" t="str">
        <f t="shared" si="5"/>
        <v/>
      </c>
      <c r="AO11" s="160" t="str">
        <f t="shared" si="6"/>
        <v/>
      </c>
      <c r="AP11" s="206" t="str">
        <f t="shared" si="7"/>
        <v/>
      </c>
      <c r="AQ11" s="157">
        <f t="shared" si="29"/>
        <v>0</v>
      </c>
      <c r="AR11" s="88" t="str">
        <f t="shared" si="8"/>
        <v/>
      </c>
      <c r="AS11" s="89">
        <f t="shared" si="30"/>
        <v>0</v>
      </c>
      <c r="AT11" s="88" t="str">
        <f t="shared" si="9"/>
        <v/>
      </c>
      <c r="AU11" s="158">
        <f t="shared" si="10"/>
        <v>0</v>
      </c>
      <c r="AV11" s="90" t="str">
        <f t="shared" si="11"/>
        <v/>
      </c>
      <c r="AW11" s="158" t="b">
        <f t="shared" si="12"/>
        <v>0</v>
      </c>
      <c r="AX11" s="159" t="b">
        <f t="shared" si="13"/>
        <v>0</v>
      </c>
      <c r="AY11" s="158" t="b">
        <f t="shared" si="14"/>
        <v>0</v>
      </c>
      <c r="AZ11" s="159" t="b">
        <f t="shared" si="15"/>
        <v>0</v>
      </c>
      <c r="BA11" s="206" t="b">
        <f t="shared" si="16"/>
        <v>0</v>
      </c>
      <c r="BB11" s="206" t="b">
        <f t="shared" si="17"/>
        <v>0</v>
      </c>
      <c r="BC11" s="158" t="b">
        <f t="shared" si="18"/>
        <v>0</v>
      </c>
      <c r="BD11" s="160" t="b">
        <f t="shared" si="31"/>
        <v>0</v>
      </c>
      <c r="BE11" s="159" t="b">
        <f t="shared" si="19"/>
        <v>0</v>
      </c>
      <c r="BF11" s="161" t="b">
        <f t="shared" si="20"/>
        <v>0</v>
      </c>
      <c r="BG11" s="206" t="b">
        <f t="shared" si="21"/>
        <v>0</v>
      </c>
      <c r="BH11" s="206" t="str">
        <f t="shared" si="32"/>
        <v/>
      </c>
      <c r="BI11" s="206" t="str">
        <f t="shared" si="22"/>
        <v/>
      </c>
      <c r="BJ11" s="206" t="str">
        <f t="shared" si="23"/>
        <v/>
      </c>
      <c r="BK11" s="206" t="str">
        <f t="shared" si="24"/>
        <v/>
      </c>
      <c r="BL11" s="162" t="str">
        <f t="shared" si="33"/>
        <v/>
      </c>
      <c r="BM11" s="206" t="str">
        <f t="shared" si="25"/>
        <v/>
      </c>
      <c r="BN11" s="206" t="str">
        <f t="shared" si="26"/>
        <v/>
      </c>
      <c r="BO11" s="169">
        <v>1</v>
      </c>
      <c r="BP11" s="170" t="s">
        <v>288</v>
      </c>
    </row>
    <row r="12" spans="2:73" s="105" customFormat="1" ht="12.95" customHeight="1" x14ac:dyDescent="0.2">
      <c r="B12" s="165">
        <f>IF(ISNA(Z12),"",IF(OR(Z12=1,Z12=2),"    ",MAX($B$8:B11)+1))</f>
        <v>3</v>
      </c>
      <c r="C12" s="1375" t="str">
        <f t="shared" si="0"/>
        <v xml:space="preserve">      - Specific Test Objectives (10.0%)</v>
      </c>
      <c r="D12" s="1375"/>
      <c r="E12" s="1375"/>
      <c r="F12" s="1376"/>
      <c r="G12" s="152">
        <f t="shared" si="1"/>
        <v>1</v>
      </c>
      <c r="H12" s="153" t="str">
        <f t="shared" si="2"/>
        <v>2*</v>
      </c>
      <c r="I12" s="166">
        <f t="shared" si="2"/>
        <v>3</v>
      </c>
      <c r="J12" s="171"/>
      <c r="K12" s="168"/>
      <c r="L12" s="1075"/>
      <c r="M12" s="1076"/>
      <c r="N12" s="1076"/>
      <c r="O12" s="1076"/>
      <c r="P12" s="1076"/>
      <c r="Q12" s="1076"/>
      <c r="R12" s="1077"/>
      <c r="T12" s="119">
        <v>5</v>
      </c>
      <c r="U12" s="110" t="s">
        <v>306</v>
      </c>
      <c r="V12" s="206">
        <v>1</v>
      </c>
      <c r="W12" s="206">
        <v>1</v>
      </c>
      <c r="X12" s="206" t="s">
        <v>212</v>
      </c>
      <c r="Y12" s="206" t="s">
        <v>212</v>
      </c>
      <c r="Z12" s="160" t="s">
        <v>212</v>
      </c>
      <c r="AA12" s="160">
        <v>2</v>
      </c>
      <c r="AB12" s="160">
        <v>1</v>
      </c>
      <c r="AC12" s="206">
        <v>3</v>
      </c>
      <c r="AD12" s="206">
        <v>2</v>
      </c>
      <c r="AE12" s="206">
        <v>1</v>
      </c>
      <c r="AF12" s="206" t="b">
        <v>1</v>
      </c>
      <c r="AG12" s="206">
        <f t="shared" si="3"/>
        <v>2</v>
      </c>
      <c r="AH12" s="206">
        <f t="shared" si="4"/>
        <v>1</v>
      </c>
      <c r="AI12" s="86">
        <f>IF(NOT(OR(Z12=1,Z12=2)),IF(AQ12&gt;0,$AR$44*AQ12/SUMIF($AQ$8:$AQ$39,"&gt;0"),IF(AU12&gt;0,$AV$44*AU12/SUMIF($AU$8:$AU$39,"&gt;0"),IF(AS12&gt;0,$AT$44*AS12/SUMIF($AS$8:$AS$39,"&gt;0"),""))),IF(SUMIF(AJ13:$AJ$39,"=" &amp; AJ12,AI13:$AI$39)=0,"",SUMIF(AJ13:$AJ$39,"=" &amp; AJ12,AI13:$AI$39)))</f>
        <v>0.1</v>
      </c>
      <c r="AJ12" s="87">
        <f t="shared" si="34"/>
        <v>1</v>
      </c>
      <c r="AK12" s="206">
        <f t="shared" si="27"/>
        <v>2</v>
      </c>
      <c r="AL12" s="160" t="str">
        <f t="shared" si="28"/>
        <v/>
      </c>
      <c r="AM12" s="160" t="str">
        <f t="shared" si="35"/>
        <v/>
      </c>
      <c r="AN12" s="160" t="str">
        <f t="shared" si="5"/>
        <v/>
      </c>
      <c r="AO12" s="160" t="str">
        <f t="shared" si="6"/>
        <v/>
      </c>
      <c r="AP12" s="206" t="b">
        <f t="shared" si="7"/>
        <v>1</v>
      </c>
      <c r="AQ12" s="157">
        <f t="shared" si="29"/>
        <v>1</v>
      </c>
      <c r="AR12" s="88" t="str">
        <f t="shared" si="8"/>
        <v/>
      </c>
      <c r="AS12" s="89">
        <f t="shared" si="30"/>
        <v>0</v>
      </c>
      <c r="AT12" s="88" t="str">
        <f t="shared" si="9"/>
        <v/>
      </c>
      <c r="AU12" s="158">
        <f t="shared" si="10"/>
        <v>0</v>
      </c>
      <c r="AV12" s="90" t="str">
        <f t="shared" si="11"/>
        <v/>
      </c>
      <c r="AW12" s="158" t="b">
        <f t="shared" si="12"/>
        <v>0</v>
      </c>
      <c r="AX12" s="159" t="b">
        <f t="shared" si="13"/>
        <v>1</v>
      </c>
      <c r="AY12" s="158" t="b">
        <f t="shared" si="14"/>
        <v>0</v>
      </c>
      <c r="AZ12" s="159" t="b">
        <f t="shared" si="15"/>
        <v>0</v>
      </c>
      <c r="BA12" s="206" t="b">
        <f t="shared" si="16"/>
        <v>0</v>
      </c>
      <c r="BB12" s="206" t="b">
        <f t="shared" si="17"/>
        <v>0</v>
      </c>
      <c r="BC12" s="158" t="b">
        <f t="shared" si="18"/>
        <v>0</v>
      </c>
      <c r="BD12" s="160" t="b">
        <f t="shared" si="31"/>
        <v>0</v>
      </c>
      <c r="BE12" s="159" t="b">
        <f t="shared" si="19"/>
        <v>0</v>
      </c>
      <c r="BF12" s="161" t="b">
        <f t="shared" si="20"/>
        <v>0</v>
      </c>
      <c r="BG12" s="206" t="b">
        <f t="shared" si="21"/>
        <v>1</v>
      </c>
      <c r="BH12" s="206">
        <f t="shared" si="32"/>
        <v>1</v>
      </c>
      <c r="BI12" s="206">
        <f t="shared" si="22"/>
        <v>2</v>
      </c>
      <c r="BJ12" s="206" t="str">
        <f t="shared" si="23"/>
        <v>2*</v>
      </c>
      <c r="BK12" s="206">
        <f t="shared" si="24"/>
        <v>3</v>
      </c>
      <c r="BL12" s="162">
        <f t="shared" si="33"/>
        <v>1</v>
      </c>
      <c r="BM12" s="206">
        <f t="shared" si="25"/>
        <v>2</v>
      </c>
      <c r="BN12" s="206">
        <f t="shared" si="26"/>
        <v>3</v>
      </c>
      <c r="BO12" s="169">
        <v>2</v>
      </c>
      <c r="BP12" s="170" t="s">
        <v>218</v>
      </c>
    </row>
    <row r="13" spans="2:73" s="105" customFormat="1" ht="12.95" customHeight="1" x14ac:dyDescent="0.2">
      <c r="B13" s="165">
        <f>IF(ISNA(Z13),"",IF(OR(Z13=1,Z13=2),"    ",MAX($B$8:B12)+1))</f>
        <v>4</v>
      </c>
      <c r="C13" s="1375" t="str">
        <f t="shared" si="0"/>
        <v xml:space="preserve">      - Evaluation Elements (10.0%)</v>
      </c>
      <c r="D13" s="1375"/>
      <c r="E13" s="1375"/>
      <c r="F13" s="1376"/>
      <c r="G13" s="152">
        <f t="shared" si="1"/>
        <v>1</v>
      </c>
      <c r="H13" s="153" t="str">
        <f t="shared" si="2"/>
        <v>2</v>
      </c>
      <c r="I13" s="166">
        <f t="shared" si="2"/>
        <v>3</v>
      </c>
      <c r="J13" s="171"/>
      <c r="K13" s="168"/>
      <c r="L13" s="1075"/>
      <c r="M13" s="1076"/>
      <c r="N13" s="1076"/>
      <c r="O13" s="1076"/>
      <c r="P13" s="1076"/>
      <c r="Q13" s="1076"/>
      <c r="R13" s="1077"/>
      <c r="T13" s="119">
        <v>6</v>
      </c>
      <c r="U13" s="110" t="s">
        <v>307</v>
      </c>
      <c r="V13" s="206">
        <v>1</v>
      </c>
      <c r="W13" s="206">
        <v>1</v>
      </c>
      <c r="X13" s="206" t="s">
        <v>212</v>
      </c>
      <c r="Y13" s="206" t="s">
        <v>212</v>
      </c>
      <c r="Z13" s="160" t="s">
        <v>212</v>
      </c>
      <c r="AA13" s="160">
        <v>2</v>
      </c>
      <c r="AB13" s="160">
        <v>1</v>
      </c>
      <c r="AC13" s="206">
        <v>3</v>
      </c>
      <c r="AD13" s="206">
        <v>2</v>
      </c>
      <c r="AE13" s="206">
        <v>0</v>
      </c>
      <c r="AF13" s="206" t="b">
        <v>1</v>
      </c>
      <c r="AG13" s="206">
        <f t="shared" si="3"/>
        <v>2</v>
      </c>
      <c r="AH13" s="206">
        <f t="shared" si="4"/>
        <v>1</v>
      </c>
      <c r="AI13" s="86">
        <f>IF(NOT(OR(Z13=1,Z13=2)),IF(AQ13&gt;0,$AR$44*AQ13/SUMIF($AQ$8:$AQ$39,"&gt;0"),IF(AU13&gt;0,$AV$44*AU13/SUMIF($AU$8:$AU$39,"&gt;0"),IF(AS13&gt;0,$AT$44*AS13/SUMIF($AS$8:$AS$39,"&gt;0"),""))),IF(SUMIF(AJ14:$AJ$39,"=" &amp; AJ13,AI14:$AI$39)=0,"",SUMIF(AJ14:$AJ$39,"=" &amp; AJ13,AI14:$AI$39)))</f>
        <v>0.1</v>
      </c>
      <c r="AJ13" s="87">
        <f t="shared" si="34"/>
        <v>1</v>
      </c>
      <c r="AK13" s="206">
        <f t="shared" si="27"/>
        <v>2</v>
      </c>
      <c r="AL13" s="160" t="str">
        <f t="shared" si="28"/>
        <v/>
      </c>
      <c r="AM13" s="160" t="str">
        <f t="shared" si="35"/>
        <v/>
      </c>
      <c r="AN13" s="160" t="str">
        <f t="shared" si="5"/>
        <v/>
      </c>
      <c r="AO13" s="160" t="str">
        <f t="shared" si="6"/>
        <v/>
      </c>
      <c r="AP13" s="206" t="b">
        <f t="shared" si="7"/>
        <v>1</v>
      </c>
      <c r="AQ13" s="157">
        <f t="shared" si="29"/>
        <v>1</v>
      </c>
      <c r="AR13" s="88" t="str">
        <f t="shared" si="8"/>
        <v/>
      </c>
      <c r="AS13" s="89">
        <f t="shared" si="30"/>
        <v>0</v>
      </c>
      <c r="AT13" s="88" t="str">
        <f t="shared" si="9"/>
        <v/>
      </c>
      <c r="AU13" s="158">
        <f t="shared" si="10"/>
        <v>0</v>
      </c>
      <c r="AV13" s="90" t="str">
        <f t="shared" si="11"/>
        <v/>
      </c>
      <c r="AW13" s="158" t="b">
        <f t="shared" si="12"/>
        <v>0</v>
      </c>
      <c r="AX13" s="159" t="b">
        <f t="shared" si="13"/>
        <v>1</v>
      </c>
      <c r="AY13" s="158" t="b">
        <f t="shared" si="14"/>
        <v>0</v>
      </c>
      <c r="AZ13" s="159" t="b">
        <f t="shared" si="15"/>
        <v>0</v>
      </c>
      <c r="BA13" s="206" t="b">
        <f t="shared" si="16"/>
        <v>0</v>
      </c>
      <c r="BB13" s="206" t="b">
        <f t="shared" si="17"/>
        <v>0</v>
      </c>
      <c r="BC13" s="158" t="b">
        <f t="shared" si="18"/>
        <v>0</v>
      </c>
      <c r="BD13" s="160" t="b">
        <f t="shared" si="31"/>
        <v>0</v>
      </c>
      <c r="BE13" s="159" t="b">
        <f t="shared" si="19"/>
        <v>0</v>
      </c>
      <c r="BF13" s="161" t="b">
        <f t="shared" si="20"/>
        <v>0</v>
      </c>
      <c r="BG13" s="206" t="b">
        <f t="shared" si="21"/>
        <v>1</v>
      </c>
      <c r="BH13" s="206">
        <f t="shared" si="32"/>
        <v>1</v>
      </c>
      <c r="BI13" s="206">
        <f t="shared" si="22"/>
        <v>2</v>
      </c>
      <c r="BJ13" s="206" t="str">
        <f t="shared" si="23"/>
        <v>2</v>
      </c>
      <c r="BK13" s="206">
        <f t="shared" si="24"/>
        <v>3</v>
      </c>
      <c r="BL13" s="162">
        <f t="shared" si="33"/>
        <v>1</v>
      </c>
      <c r="BM13" s="206">
        <f t="shared" si="25"/>
        <v>2</v>
      </c>
      <c r="BN13" s="206">
        <f t="shared" si="26"/>
        <v>3</v>
      </c>
      <c r="BO13" s="169">
        <v>3</v>
      </c>
      <c r="BP13" s="170" t="s">
        <v>220</v>
      </c>
    </row>
    <row r="14" spans="2:73" s="105" customFormat="1" ht="12.95" customHeight="1" x14ac:dyDescent="0.2">
      <c r="B14" s="165">
        <f>IF(ISNA(Z14),"",IF(OR(Z14=1,Z14=2),"    ",MAX($B$8:B13)+1))</f>
        <v>5</v>
      </c>
      <c r="C14" s="1375" t="str">
        <f t="shared" si="0"/>
        <v xml:space="preserve">      - Description (10.0%)</v>
      </c>
      <c r="D14" s="1375"/>
      <c r="E14" s="1375"/>
      <c r="F14" s="1376"/>
      <c r="G14" s="152">
        <f t="shared" si="1"/>
        <v>1</v>
      </c>
      <c r="H14" s="153" t="str">
        <f t="shared" si="2"/>
        <v>2</v>
      </c>
      <c r="I14" s="166">
        <f t="shared" si="2"/>
        <v>3</v>
      </c>
      <c r="J14" s="171"/>
      <c r="K14" s="168"/>
      <c r="L14" s="1075"/>
      <c r="M14" s="1076"/>
      <c r="N14" s="1076"/>
      <c r="O14" s="1076"/>
      <c r="P14" s="1076"/>
      <c r="Q14" s="1076"/>
      <c r="R14" s="1077"/>
      <c r="T14" s="119">
        <v>7</v>
      </c>
      <c r="U14" s="110" t="s">
        <v>308</v>
      </c>
      <c r="V14" s="206">
        <v>1</v>
      </c>
      <c r="W14" s="206">
        <v>1</v>
      </c>
      <c r="X14" s="206" t="s">
        <v>212</v>
      </c>
      <c r="Y14" s="206" t="s">
        <v>212</v>
      </c>
      <c r="Z14" s="160" t="s">
        <v>212</v>
      </c>
      <c r="AA14" s="160">
        <v>2</v>
      </c>
      <c r="AB14" s="160">
        <v>1</v>
      </c>
      <c r="AC14" s="206">
        <v>3</v>
      </c>
      <c r="AD14" s="206">
        <v>2</v>
      </c>
      <c r="AE14" s="206">
        <v>0</v>
      </c>
      <c r="AF14" s="206" t="b">
        <v>1</v>
      </c>
      <c r="AG14" s="206">
        <f t="shared" si="3"/>
        <v>2</v>
      </c>
      <c r="AH14" s="206">
        <f t="shared" si="4"/>
        <v>1</v>
      </c>
      <c r="AI14" s="86">
        <f>IF(NOT(OR(Z14=1,Z14=2)),IF(AQ14&gt;0,$AR$44*AQ14/SUMIF($AQ$8:$AQ$39,"&gt;0"),IF(AU14&gt;0,$AV$44*AU14/SUMIF($AU$8:$AU$39,"&gt;0"),IF(AS14&gt;0,$AT$44*AS14/SUMIF($AS$8:$AS$39,"&gt;0"),""))),IF(SUMIF(AJ15:$AJ$39,"=" &amp; AJ14,AI15:$AI$39)=0,"",SUMIF(AJ15:$AJ$39,"=" &amp; AJ14,AI15:$AI$39)))</f>
        <v>0.1</v>
      </c>
      <c r="AJ14" s="87">
        <f t="shared" si="34"/>
        <v>1</v>
      </c>
      <c r="AK14" s="206">
        <f t="shared" si="27"/>
        <v>2</v>
      </c>
      <c r="AL14" s="160" t="str">
        <f t="shared" si="28"/>
        <v/>
      </c>
      <c r="AM14" s="160" t="str">
        <f t="shared" si="35"/>
        <v/>
      </c>
      <c r="AN14" s="160" t="str">
        <f t="shared" si="5"/>
        <v/>
      </c>
      <c r="AO14" s="160" t="str">
        <f t="shared" si="6"/>
        <v/>
      </c>
      <c r="AP14" s="206" t="b">
        <f t="shared" si="7"/>
        <v>1</v>
      </c>
      <c r="AQ14" s="157">
        <f t="shared" si="29"/>
        <v>1</v>
      </c>
      <c r="AR14" s="88" t="str">
        <f t="shared" si="8"/>
        <v/>
      </c>
      <c r="AS14" s="89">
        <f t="shared" si="30"/>
        <v>0</v>
      </c>
      <c r="AT14" s="88" t="str">
        <f t="shared" si="9"/>
        <v/>
      </c>
      <c r="AU14" s="158">
        <f t="shared" si="10"/>
        <v>0</v>
      </c>
      <c r="AV14" s="90" t="str">
        <f t="shared" si="11"/>
        <v/>
      </c>
      <c r="AW14" s="158" t="b">
        <f t="shared" si="12"/>
        <v>0</v>
      </c>
      <c r="AX14" s="159" t="b">
        <f t="shared" si="13"/>
        <v>1</v>
      </c>
      <c r="AY14" s="158" t="b">
        <f t="shared" si="14"/>
        <v>0</v>
      </c>
      <c r="AZ14" s="159" t="b">
        <f t="shared" si="15"/>
        <v>0</v>
      </c>
      <c r="BA14" s="206" t="b">
        <f t="shared" si="16"/>
        <v>0</v>
      </c>
      <c r="BB14" s="206" t="b">
        <f t="shared" si="17"/>
        <v>0</v>
      </c>
      <c r="BC14" s="158" t="b">
        <f t="shared" si="18"/>
        <v>0</v>
      </c>
      <c r="BD14" s="160" t="b">
        <f t="shared" si="31"/>
        <v>0</v>
      </c>
      <c r="BE14" s="159" t="b">
        <f t="shared" si="19"/>
        <v>0</v>
      </c>
      <c r="BF14" s="161" t="b">
        <f t="shared" si="20"/>
        <v>0</v>
      </c>
      <c r="BG14" s="206" t="b">
        <f t="shared" si="21"/>
        <v>1</v>
      </c>
      <c r="BH14" s="206">
        <f t="shared" si="32"/>
        <v>1</v>
      </c>
      <c r="BI14" s="206">
        <f t="shared" si="22"/>
        <v>2</v>
      </c>
      <c r="BJ14" s="206" t="str">
        <f t="shared" si="23"/>
        <v>2</v>
      </c>
      <c r="BK14" s="206">
        <f t="shared" si="24"/>
        <v>3</v>
      </c>
      <c r="BL14" s="162">
        <f t="shared" si="33"/>
        <v>1</v>
      </c>
      <c r="BM14" s="206">
        <f t="shared" si="25"/>
        <v>2</v>
      </c>
      <c r="BN14" s="206">
        <f t="shared" si="26"/>
        <v>3</v>
      </c>
      <c r="BO14" s="169">
        <v>4</v>
      </c>
      <c r="BP14" s="170" t="s">
        <v>222</v>
      </c>
    </row>
    <row r="15" spans="2:73" s="105" customFormat="1" ht="12.95" customHeight="1" x14ac:dyDescent="0.2">
      <c r="B15" s="165">
        <f>IF(ISNA(Z15),"",IF(OR(Z15=1,Z15=2),"    ",MAX($B$8:B14)+1))</f>
        <v>6</v>
      </c>
      <c r="C15" s="1375" t="str">
        <f t="shared" si="0"/>
        <v xml:space="preserve">      - Test Methodology (10.0%)</v>
      </c>
      <c r="D15" s="1375"/>
      <c r="E15" s="1375"/>
      <c r="F15" s="1376"/>
      <c r="G15" s="152">
        <f t="shared" si="1"/>
        <v>1</v>
      </c>
      <c r="H15" s="153" t="str">
        <f t="shared" si="2"/>
        <v>2</v>
      </c>
      <c r="I15" s="166">
        <f t="shared" si="2"/>
        <v>3</v>
      </c>
      <c r="J15" s="171"/>
      <c r="K15" s="168"/>
      <c r="L15" s="1075"/>
      <c r="M15" s="1076"/>
      <c r="N15" s="1076"/>
      <c r="O15" s="1076"/>
      <c r="P15" s="1076"/>
      <c r="Q15" s="1076"/>
      <c r="R15" s="1077"/>
      <c r="T15" s="119">
        <v>8</v>
      </c>
      <c r="U15" s="110" t="s">
        <v>309</v>
      </c>
      <c r="V15" s="206">
        <v>1</v>
      </c>
      <c r="W15" s="206">
        <v>1</v>
      </c>
      <c r="X15" s="206" t="s">
        <v>212</v>
      </c>
      <c r="Y15" s="206" t="s">
        <v>212</v>
      </c>
      <c r="Z15" s="160" t="s">
        <v>212</v>
      </c>
      <c r="AA15" s="160">
        <v>2</v>
      </c>
      <c r="AB15" s="160">
        <v>1</v>
      </c>
      <c r="AC15" s="206">
        <v>3</v>
      </c>
      <c r="AD15" s="206">
        <v>2</v>
      </c>
      <c r="AE15" s="206">
        <v>0</v>
      </c>
      <c r="AF15" s="206" t="b">
        <v>1</v>
      </c>
      <c r="AG15" s="206">
        <f t="shared" si="3"/>
        <v>2</v>
      </c>
      <c r="AH15" s="206">
        <f t="shared" si="4"/>
        <v>1</v>
      </c>
      <c r="AI15" s="86">
        <f>IF(NOT(OR(Z15=1,Z15=2)),IF(AQ15&gt;0,$AR$44*AQ15/SUMIF($AQ$8:$AQ$39,"&gt;0"),IF(AU15&gt;0,$AV$44*AU15/SUMIF($AU$8:$AU$39,"&gt;0"),IF(AS15&gt;0,$AT$44*AS15/SUMIF($AS$8:$AS$39,"&gt;0"),""))),IF(SUMIF(AJ16:$AJ$39,"=" &amp; AJ15,AI16:$AI$39)=0,"",SUMIF(AJ16:$AJ$39,"=" &amp; AJ15,AI16:$AI$39)))</f>
        <v>0.1</v>
      </c>
      <c r="AJ15" s="87">
        <f t="shared" si="34"/>
        <v>1</v>
      </c>
      <c r="AK15" s="206">
        <f t="shared" si="27"/>
        <v>2</v>
      </c>
      <c r="AL15" s="160" t="str">
        <f t="shared" si="28"/>
        <v/>
      </c>
      <c r="AM15" s="160" t="str">
        <f t="shared" si="35"/>
        <v/>
      </c>
      <c r="AN15" s="160" t="str">
        <f t="shared" si="5"/>
        <v/>
      </c>
      <c r="AO15" s="160" t="str">
        <f t="shared" si="6"/>
        <v/>
      </c>
      <c r="AP15" s="206" t="b">
        <f t="shared" si="7"/>
        <v>1</v>
      </c>
      <c r="AQ15" s="157">
        <f t="shared" si="29"/>
        <v>1</v>
      </c>
      <c r="AR15" s="88" t="str">
        <f t="shared" si="8"/>
        <v/>
      </c>
      <c r="AS15" s="89">
        <f t="shared" si="30"/>
        <v>0</v>
      </c>
      <c r="AT15" s="88" t="str">
        <f t="shared" si="9"/>
        <v/>
      </c>
      <c r="AU15" s="158">
        <f t="shared" si="10"/>
        <v>0</v>
      </c>
      <c r="AV15" s="90" t="str">
        <f t="shared" si="11"/>
        <v/>
      </c>
      <c r="AW15" s="158" t="b">
        <f t="shared" si="12"/>
        <v>0</v>
      </c>
      <c r="AX15" s="159" t="b">
        <f t="shared" si="13"/>
        <v>1</v>
      </c>
      <c r="AY15" s="158" t="b">
        <f t="shared" si="14"/>
        <v>0</v>
      </c>
      <c r="AZ15" s="159" t="b">
        <f t="shared" si="15"/>
        <v>0</v>
      </c>
      <c r="BA15" s="206" t="b">
        <f t="shared" si="16"/>
        <v>0</v>
      </c>
      <c r="BB15" s="206" t="b">
        <f t="shared" si="17"/>
        <v>0</v>
      </c>
      <c r="BC15" s="158" t="b">
        <f t="shared" si="18"/>
        <v>0</v>
      </c>
      <c r="BD15" s="160" t="b">
        <f t="shared" si="31"/>
        <v>0</v>
      </c>
      <c r="BE15" s="159" t="b">
        <f t="shared" si="19"/>
        <v>0</v>
      </c>
      <c r="BF15" s="161" t="b">
        <f t="shared" si="20"/>
        <v>0</v>
      </c>
      <c r="BG15" s="206" t="b">
        <f t="shared" si="21"/>
        <v>1</v>
      </c>
      <c r="BH15" s="206">
        <f t="shared" si="32"/>
        <v>1</v>
      </c>
      <c r="BI15" s="206">
        <f t="shared" si="22"/>
        <v>2</v>
      </c>
      <c r="BJ15" s="206" t="str">
        <f t="shared" si="23"/>
        <v>2</v>
      </c>
      <c r="BK15" s="206">
        <f t="shared" si="24"/>
        <v>3</v>
      </c>
      <c r="BL15" s="162">
        <f t="shared" si="33"/>
        <v>1</v>
      </c>
      <c r="BM15" s="206">
        <f t="shared" si="25"/>
        <v>2</v>
      </c>
      <c r="BN15" s="206">
        <f t="shared" si="26"/>
        <v>3</v>
      </c>
      <c r="BO15" s="106"/>
    </row>
    <row r="16" spans="2:73" s="105" customFormat="1" ht="12.95" customHeight="1" x14ac:dyDescent="0.2">
      <c r="B16" s="165">
        <f>IF(ISNA(Z16),"",IF(OR(Z16=1,Z16=2),"    ",MAX($B$8:B15)+1))</f>
        <v>7</v>
      </c>
      <c r="C16" s="1375" t="str">
        <f t="shared" si="0"/>
        <v xml:space="preserve">      - Evaluation Criteria (10.0%)</v>
      </c>
      <c r="D16" s="1375"/>
      <c r="E16" s="1375"/>
      <c r="F16" s="1376"/>
      <c r="G16" s="152">
        <f t="shared" si="1"/>
        <v>1</v>
      </c>
      <c r="H16" s="153" t="str">
        <f t="shared" si="2"/>
        <v>2</v>
      </c>
      <c r="I16" s="166">
        <f t="shared" si="2"/>
        <v>3</v>
      </c>
      <c r="J16" s="171"/>
      <c r="K16" s="168"/>
      <c r="L16" s="1075"/>
      <c r="M16" s="1076"/>
      <c r="N16" s="1076"/>
      <c r="O16" s="1076"/>
      <c r="P16" s="1076"/>
      <c r="Q16" s="1076"/>
      <c r="R16" s="1077"/>
      <c r="T16" s="119">
        <v>9</v>
      </c>
      <c r="U16" s="110" t="s">
        <v>310</v>
      </c>
      <c r="V16" s="206">
        <v>1</v>
      </c>
      <c r="W16" s="206">
        <v>1</v>
      </c>
      <c r="X16" s="206" t="s">
        <v>212</v>
      </c>
      <c r="Y16" s="206" t="s">
        <v>212</v>
      </c>
      <c r="Z16" s="160" t="s">
        <v>212</v>
      </c>
      <c r="AA16" s="160">
        <v>2</v>
      </c>
      <c r="AB16" s="160">
        <v>1</v>
      </c>
      <c r="AC16" s="206">
        <v>3</v>
      </c>
      <c r="AD16" s="206">
        <v>2</v>
      </c>
      <c r="AE16" s="206">
        <v>0</v>
      </c>
      <c r="AF16" s="206" t="b">
        <v>1</v>
      </c>
      <c r="AG16" s="206">
        <f t="shared" si="3"/>
        <v>2</v>
      </c>
      <c r="AH16" s="206">
        <f t="shared" si="4"/>
        <v>1</v>
      </c>
      <c r="AI16" s="86">
        <f>IF(NOT(OR(Z16=1,Z16=2)),IF(AQ16&gt;0,$AR$44*AQ16/SUMIF($AQ$8:$AQ$39,"&gt;0"),IF(AU16&gt;0,$AV$44*AU16/SUMIF($AU$8:$AU$39,"&gt;0"),IF(AS16&gt;0,$AT$44*AS16/SUMIF($AS$8:$AS$39,"&gt;0"),""))),IF(SUMIF(AJ17:$AJ$39,"=" &amp; AJ16,AI17:$AI$39)=0,"",SUMIF(AJ17:$AJ$39,"=" &amp; AJ16,AI17:$AI$39)))</f>
        <v>0.1</v>
      </c>
      <c r="AJ16" s="87">
        <f t="shared" si="34"/>
        <v>1</v>
      </c>
      <c r="AK16" s="206">
        <f t="shared" si="27"/>
        <v>2</v>
      </c>
      <c r="AL16" s="160" t="str">
        <f t="shared" si="28"/>
        <v/>
      </c>
      <c r="AM16" s="160" t="str">
        <f t="shared" si="35"/>
        <v/>
      </c>
      <c r="AN16" s="160" t="str">
        <f t="shared" si="5"/>
        <v/>
      </c>
      <c r="AO16" s="160" t="str">
        <f t="shared" si="6"/>
        <v/>
      </c>
      <c r="AP16" s="206" t="b">
        <f t="shared" si="7"/>
        <v>1</v>
      </c>
      <c r="AQ16" s="157">
        <f t="shared" si="29"/>
        <v>1</v>
      </c>
      <c r="AR16" s="88" t="str">
        <f t="shared" si="8"/>
        <v/>
      </c>
      <c r="AS16" s="89">
        <f t="shared" si="30"/>
        <v>0</v>
      </c>
      <c r="AT16" s="88" t="str">
        <f t="shared" si="9"/>
        <v/>
      </c>
      <c r="AU16" s="158">
        <f t="shared" si="10"/>
        <v>0</v>
      </c>
      <c r="AV16" s="90" t="str">
        <f t="shared" si="11"/>
        <v/>
      </c>
      <c r="AW16" s="158" t="b">
        <f t="shared" si="12"/>
        <v>0</v>
      </c>
      <c r="AX16" s="159" t="b">
        <f t="shared" si="13"/>
        <v>1</v>
      </c>
      <c r="AY16" s="158" t="b">
        <f t="shared" si="14"/>
        <v>0</v>
      </c>
      <c r="AZ16" s="159" t="b">
        <f t="shared" si="15"/>
        <v>0</v>
      </c>
      <c r="BA16" s="206" t="b">
        <f t="shared" si="16"/>
        <v>0</v>
      </c>
      <c r="BB16" s="206" t="b">
        <f t="shared" si="17"/>
        <v>0</v>
      </c>
      <c r="BC16" s="158" t="b">
        <f t="shared" si="18"/>
        <v>0</v>
      </c>
      <c r="BD16" s="160" t="b">
        <f t="shared" si="31"/>
        <v>0</v>
      </c>
      <c r="BE16" s="159" t="b">
        <f t="shared" si="19"/>
        <v>0</v>
      </c>
      <c r="BF16" s="161" t="b">
        <f t="shared" si="20"/>
        <v>0</v>
      </c>
      <c r="BG16" s="206" t="b">
        <f t="shared" si="21"/>
        <v>1</v>
      </c>
      <c r="BH16" s="206">
        <f t="shared" si="32"/>
        <v>1</v>
      </c>
      <c r="BI16" s="206">
        <f t="shared" si="22"/>
        <v>2</v>
      </c>
      <c r="BJ16" s="206" t="str">
        <f t="shared" si="23"/>
        <v>2</v>
      </c>
      <c r="BK16" s="206">
        <f t="shared" si="24"/>
        <v>3</v>
      </c>
      <c r="BL16" s="162">
        <f t="shared" si="33"/>
        <v>1</v>
      </c>
      <c r="BM16" s="206">
        <f t="shared" si="25"/>
        <v>2</v>
      </c>
      <c r="BN16" s="206">
        <f t="shared" si="26"/>
        <v>3</v>
      </c>
      <c r="BO16" s="169"/>
      <c r="BP16" s="174"/>
    </row>
    <row r="17" spans="2:73" s="105" customFormat="1" ht="12.95" customHeight="1" x14ac:dyDescent="0.2">
      <c r="B17" s="165" t="str">
        <f>IF(ISNA(Z17),"",IF(OR(Z17=1,Z17=2),"    ",MAX($B$8:B16)+1))</f>
        <v xml:space="preserve">    </v>
      </c>
      <c r="C17" s="1375" t="str">
        <f t="shared" si="0"/>
        <v>Test Cards (10.0%)</v>
      </c>
      <c r="D17" s="1375"/>
      <c r="E17" s="1375"/>
      <c r="F17" s="1376"/>
      <c r="G17" s="152" t="str">
        <f t="shared" si="1"/>
        <v/>
      </c>
      <c r="H17" s="153" t="str">
        <f t="shared" si="2"/>
        <v/>
      </c>
      <c r="I17" s="166" t="str">
        <f t="shared" si="2"/>
        <v/>
      </c>
      <c r="J17" s="172"/>
      <c r="K17" s="173"/>
      <c r="L17" s="1075"/>
      <c r="M17" s="1076"/>
      <c r="N17" s="1076"/>
      <c r="O17" s="1076"/>
      <c r="P17" s="1076"/>
      <c r="Q17" s="1076"/>
      <c r="R17" s="1077"/>
      <c r="T17" s="119">
        <v>10</v>
      </c>
      <c r="U17" s="110" t="s">
        <v>311</v>
      </c>
      <c r="V17" s="206" t="s">
        <v>212</v>
      </c>
      <c r="W17" s="206" t="s">
        <v>212</v>
      </c>
      <c r="X17" s="206" t="s">
        <v>212</v>
      </c>
      <c r="Y17" s="206" t="s">
        <v>212</v>
      </c>
      <c r="Z17" s="160">
        <v>2</v>
      </c>
      <c r="AA17" s="160">
        <v>1</v>
      </c>
      <c r="AB17" s="160">
        <v>1</v>
      </c>
      <c r="AC17" s="206" t="s">
        <v>212</v>
      </c>
      <c r="AD17" s="206" t="s">
        <v>212</v>
      </c>
      <c r="AE17" s="206" t="s">
        <v>212</v>
      </c>
      <c r="AF17" s="206" t="s">
        <v>212</v>
      </c>
      <c r="AG17" s="206" t="str">
        <f t="shared" si="3"/>
        <v/>
      </c>
      <c r="AH17" s="206" t="str">
        <f t="shared" si="4"/>
        <v/>
      </c>
      <c r="AI17" s="86">
        <f>IF(NOT(OR(Z17=1,Z17=2)),IF(AQ17&gt;0,$AR$44*AQ17/SUMIF($AQ$8:$AQ$39,"&gt;0"),IF(AU17&gt;0,$AV$44*AU17/SUMIF($AU$8:$AU$39,"&gt;0"),IF(AS17&gt;0,$AT$44*AS17/SUMIF($AS$8:$AS$39,"&gt;0"),""))),IF(SUMIF(AJ18:$AJ$39,"=" &amp; AJ17,AI18:$AI$39)=0,"",SUMIF(AJ18:$AJ$39,"=" &amp; AJ17,AI18:$AI$39)))</f>
        <v>0.1</v>
      </c>
      <c r="AJ17" s="87">
        <f t="shared" si="34"/>
        <v>2</v>
      </c>
      <c r="AK17" s="206" t="str">
        <f t="shared" si="27"/>
        <v/>
      </c>
      <c r="AL17" s="160" t="str">
        <f t="shared" si="28"/>
        <v/>
      </c>
      <c r="AM17" s="160" t="str">
        <f t="shared" si="35"/>
        <v/>
      </c>
      <c r="AN17" s="160" t="str">
        <f t="shared" si="5"/>
        <v/>
      </c>
      <c r="AO17" s="160" t="str">
        <f t="shared" si="6"/>
        <v/>
      </c>
      <c r="AP17" s="206" t="str">
        <f t="shared" si="7"/>
        <v/>
      </c>
      <c r="AQ17" s="157">
        <f t="shared" si="29"/>
        <v>0</v>
      </c>
      <c r="AR17" s="88" t="str">
        <f t="shared" si="8"/>
        <v/>
      </c>
      <c r="AS17" s="89">
        <f t="shared" si="30"/>
        <v>0</v>
      </c>
      <c r="AT17" s="88" t="str">
        <f t="shared" si="9"/>
        <v/>
      </c>
      <c r="AU17" s="158">
        <f t="shared" si="10"/>
        <v>0</v>
      </c>
      <c r="AV17" s="90" t="str">
        <f t="shared" si="11"/>
        <v/>
      </c>
      <c r="AW17" s="158" t="b">
        <f t="shared" si="12"/>
        <v>0</v>
      </c>
      <c r="AX17" s="159" t="b">
        <f t="shared" si="13"/>
        <v>0</v>
      </c>
      <c r="AY17" s="158" t="b">
        <f t="shared" si="14"/>
        <v>0</v>
      </c>
      <c r="AZ17" s="159" t="b">
        <f t="shared" si="15"/>
        <v>0</v>
      </c>
      <c r="BA17" s="206" t="b">
        <f t="shared" si="16"/>
        <v>0</v>
      </c>
      <c r="BB17" s="206" t="b">
        <f t="shared" si="17"/>
        <v>0</v>
      </c>
      <c r="BC17" s="158" t="b">
        <f t="shared" si="18"/>
        <v>0</v>
      </c>
      <c r="BD17" s="160" t="b">
        <f t="shared" si="31"/>
        <v>0</v>
      </c>
      <c r="BE17" s="159" t="b">
        <f t="shared" si="19"/>
        <v>0</v>
      </c>
      <c r="BF17" s="161" t="b">
        <f t="shared" si="20"/>
        <v>0</v>
      </c>
      <c r="BG17" s="206" t="b">
        <f t="shared" si="21"/>
        <v>0</v>
      </c>
      <c r="BH17" s="206" t="str">
        <f t="shared" si="32"/>
        <v/>
      </c>
      <c r="BI17" s="206" t="str">
        <f t="shared" si="22"/>
        <v/>
      </c>
      <c r="BJ17" s="206" t="str">
        <f t="shared" si="23"/>
        <v/>
      </c>
      <c r="BK17" s="206" t="str">
        <f t="shared" si="24"/>
        <v/>
      </c>
      <c r="BL17" s="162" t="str">
        <f t="shared" si="33"/>
        <v/>
      </c>
      <c r="BM17" s="206" t="str">
        <f t="shared" si="25"/>
        <v/>
      </c>
      <c r="BN17" s="206" t="str">
        <f t="shared" si="26"/>
        <v/>
      </c>
      <c r="BO17" s="106"/>
    </row>
    <row r="18" spans="2:73" s="105" customFormat="1" ht="12.95" customHeight="1" x14ac:dyDescent="0.2">
      <c r="B18" s="165">
        <f>IF(ISNA(Z18),"",IF(OR(Z18=1,Z18=2),"    ",MAX($B$8:B17)+1))</f>
        <v>8</v>
      </c>
      <c r="C18" s="1375" t="str">
        <f t="shared" si="0"/>
        <v xml:space="preserve">      - Test Cards (10.0%)</v>
      </c>
      <c r="D18" s="1375"/>
      <c r="E18" s="1375"/>
      <c r="F18" s="1376"/>
      <c r="G18" s="152">
        <f t="shared" si="1"/>
        <v>1</v>
      </c>
      <c r="H18" s="153" t="str">
        <f t="shared" si="2"/>
        <v>2</v>
      </c>
      <c r="I18" s="166">
        <f t="shared" si="2"/>
        <v>3</v>
      </c>
      <c r="J18" s="171"/>
      <c r="K18" s="168"/>
      <c r="L18" s="1075"/>
      <c r="M18" s="1076"/>
      <c r="N18" s="1076"/>
      <c r="O18" s="1076"/>
      <c r="P18" s="1076"/>
      <c r="Q18" s="1076"/>
      <c r="R18" s="1077"/>
      <c r="T18" s="119">
        <v>11</v>
      </c>
      <c r="U18" s="110" t="s">
        <v>312</v>
      </c>
      <c r="V18" s="206">
        <v>1</v>
      </c>
      <c r="W18" s="206">
        <v>1</v>
      </c>
      <c r="X18" s="206" t="s">
        <v>212</v>
      </c>
      <c r="Y18" s="206" t="s">
        <v>212</v>
      </c>
      <c r="Z18" s="160" t="s">
        <v>212</v>
      </c>
      <c r="AA18" s="160">
        <v>2</v>
      </c>
      <c r="AB18" s="160">
        <v>1</v>
      </c>
      <c r="AC18" s="206">
        <v>3</v>
      </c>
      <c r="AD18" s="206">
        <v>2</v>
      </c>
      <c r="AE18" s="206">
        <v>0</v>
      </c>
      <c r="AF18" s="206" t="b">
        <v>1</v>
      </c>
      <c r="AG18" s="206">
        <f t="shared" si="3"/>
        <v>2</v>
      </c>
      <c r="AH18" s="206">
        <f t="shared" si="4"/>
        <v>1</v>
      </c>
      <c r="AI18" s="86">
        <f>IF(NOT(OR(Z18=1,Z18=2)),IF(AQ18&gt;0,$AR$44*AQ18/SUMIF($AQ$8:$AQ$39,"&gt;0"),IF(AU18&gt;0,$AV$44*AU18/SUMIF($AU$8:$AU$39,"&gt;0"),IF(AS18&gt;0,$AT$44*AS18/SUMIF($AS$8:$AS$39,"&gt;0"),""))),IF(SUMIF(AJ19:$AJ$39,"=" &amp; AJ18,AI19:$AI$39)=0,"",SUMIF(AJ19:$AJ$39,"=" &amp; AJ18,AI19:$AI$39)))</f>
        <v>0.1</v>
      </c>
      <c r="AJ18" s="87">
        <f t="shared" si="34"/>
        <v>2</v>
      </c>
      <c r="AK18" s="206">
        <f t="shared" si="27"/>
        <v>2</v>
      </c>
      <c r="AL18" s="160" t="str">
        <f t="shared" si="28"/>
        <v/>
      </c>
      <c r="AM18" s="160" t="str">
        <f t="shared" si="35"/>
        <v/>
      </c>
      <c r="AN18" s="160" t="str">
        <f t="shared" si="5"/>
        <v/>
      </c>
      <c r="AO18" s="160" t="str">
        <f t="shared" si="6"/>
        <v/>
      </c>
      <c r="AP18" s="206" t="b">
        <f t="shared" si="7"/>
        <v>1</v>
      </c>
      <c r="AQ18" s="157">
        <f t="shared" si="29"/>
        <v>1</v>
      </c>
      <c r="AR18" s="88" t="str">
        <f t="shared" si="8"/>
        <v/>
      </c>
      <c r="AS18" s="89">
        <f t="shared" si="30"/>
        <v>0</v>
      </c>
      <c r="AT18" s="88" t="str">
        <f t="shared" si="9"/>
        <v/>
      </c>
      <c r="AU18" s="158">
        <f t="shared" si="10"/>
        <v>0</v>
      </c>
      <c r="AV18" s="90" t="str">
        <f t="shared" si="11"/>
        <v/>
      </c>
      <c r="AW18" s="158" t="b">
        <f t="shared" si="12"/>
        <v>0</v>
      </c>
      <c r="AX18" s="159" t="b">
        <f t="shared" si="13"/>
        <v>1</v>
      </c>
      <c r="AY18" s="158" t="b">
        <f t="shared" si="14"/>
        <v>0</v>
      </c>
      <c r="AZ18" s="159" t="b">
        <f t="shared" si="15"/>
        <v>0</v>
      </c>
      <c r="BA18" s="206" t="b">
        <f t="shared" si="16"/>
        <v>0</v>
      </c>
      <c r="BB18" s="206" t="b">
        <f t="shared" si="17"/>
        <v>0</v>
      </c>
      <c r="BC18" s="158" t="b">
        <f t="shared" si="18"/>
        <v>0</v>
      </c>
      <c r="BD18" s="160" t="b">
        <f t="shared" si="31"/>
        <v>0</v>
      </c>
      <c r="BE18" s="159" t="b">
        <f t="shared" si="19"/>
        <v>0</v>
      </c>
      <c r="BF18" s="161" t="b">
        <f t="shared" si="20"/>
        <v>0</v>
      </c>
      <c r="BG18" s="206" t="b">
        <f t="shared" si="21"/>
        <v>1</v>
      </c>
      <c r="BH18" s="206">
        <f t="shared" si="32"/>
        <v>1</v>
      </c>
      <c r="BI18" s="206">
        <f t="shared" si="22"/>
        <v>2</v>
      </c>
      <c r="BJ18" s="206" t="str">
        <f t="shared" si="23"/>
        <v>2</v>
      </c>
      <c r="BK18" s="206">
        <f t="shared" si="24"/>
        <v>3</v>
      </c>
      <c r="BL18" s="162">
        <f t="shared" si="33"/>
        <v>1</v>
      </c>
      <c r="BM18" s="206">
        <f t="shared" si="25"/>
        <v>2</v>
      </c>
      <c r="BN18" s="206">
        <f t="shared" si="26"/>
        <v>3</v>
      </c>
      <c r="BO18" s="104"/>
      <c r="BP18" s="174" t="s">
        <v>223</v>
      </c>
      <c r="BQ18" s="175"/>
      <c r="BR18" s="175"/>
      <c r="BS18" s="175"/>
      <c r="BT18" s="175"/>
      <c r="BU18" s="175"/>
    </row>
    <row r="19" spans="2:73" s="105" customFormat="1" ht="12.95" customHeight="1" x14ac:dyDescent="0.2">
      <c r="B19" s="165" t="str">
        <f>IF(ISNA(Z19),"",IF(OR(Z19=1,Z19=2),"    ",MAX($B$8:B18)+1))</f>
        <v xml:space="preserve">    </v>
      </c>
      <c r="C19" s="1375" t="str">
        <f t="shared" si="0"/>
        <v>Overall (20.0%)</v>
      </c>
      <c r="D19" s="1375"/>
      <c r="E19" s="1375"/>
      <c r="F19" s="1376"/>
      <c r="G19" s="152" t="str">
        <f t="shared" si="1"/>
        <v/>
      </c>
      <c r="H19" s="153" t="str">
        <f t="shared" si="2"/>
        <v/>
      </c>
      <c r="I19" s="166" t="str">
        <f t="shared" si="2"/>
        <v/>
      </c>
      <c r="J19" s="172"/>
      <c r="K19" s="173"/>
      <c r="L19" s="1075"/>
      <c r="M19" s="1076"/>
      <c r="N19" s="1076"/>
      <c r="O19" s="1076"/>
      <c r="P19" s="1076"/>
      <c r="Q19" s="1076"/>
      <c r="R19" s="1077"/>
      <c r="T19" s="119">
        <v>12</v>
      </c>
      <c r="U19" s="110" t="s">
        <v>289</v>
      </c>
      <c r="V19" s="206" t="s">
        <v>212</v>
      </c>
      <c r="W19" s="206" t="s">
        <v>212</v>
      </c>
      <c r="X19" s="206" t="s">
        <v>212</v>
      </c>
      <c r="Y19" s="206" t="s">
        <v>212</v>
      </c>
      <c r="Z19" s="160">
        <v>2</v>
      </c>
      <c r="AA19" s="160">
        <v>1</v>
      </c>
      <c r="AB19" s="160">
        <v>1</v>
      </c>
      <c r="AC19" s="206" t="s">
        <v>212</v>
      </c>
      <c r="AD19" s="206" t="s">
        <v>212</v>
      </c>
      <c r="AE19" s="206" t="s">
        <v>212</v>
      </c>
      <c r="AF19" s="206" t="s">
        <v>212</v>
      </c>
      <c r="AG19" s="206" t="str">
        <f t="shared" si="3"/>
        <v/>
      </c>
      <c r="AH19" s="206" t="str">
        <f t="shared" si="4"/>
        <v/>
      </c>
      <c r="AI19" s="86">
        <f>IF(NOT(OR(Z19=1,Z19=2)),IF(AQ19&gt;0,$AR$44*AQ19/SUMIF($AQ$8:$AQ$39,"&gt;0"),IF(AU19&gt;0,$AV$44*AU19/SUMIF($AU$8:$AU$39,"&gt;0"),IF(AS19&gt;0,$AT$44*AS19/SUMIF($AS$8:$AS$39,"&gt;0"),""))),IF(SUMIF(AJ20:$AJ$39,"=" &amp; AJ19,AI20:$AI$39)=0,"",SUMIF(AJ20:$AJ$39,"=" &amp; AJ19,AI20:$AI$39)))</f>
        <v>0.2</v>
      </c>
      <c r="AJ19" s="87">
        <f t="shared" si="34"/>
        <v>3</v>
      </c>
      <c r="AK19" s="206" t="str">
        <f t="shared" si="27"/>
        <v/>
      </c>
      <c r="AL19" s="160" t="str">
        <f t="shared" si="28"/>
        <v/>
      </c>
      <c r="AM19" s="160" t="str">
        <f t="shared" si="35"/>
        <v/>
      </c>
      <c r="AN19" s="160" t="str">
        <f t="shared" si="5"/>
        <v/>
      </c>
      <c r="AO19" s="160" t="str">
        <f t="shared" si="6"/>
        <v/>
      </c>
      <c r="AP19" s="206" t="str">
        <f t="shared" si="7"/>
        <v/>
      </c>
      <c r="AQ19" s="157">
        <f t="shared" si="29"/>
        <v>0</v>
      </c>
      <c r="AR19" s="88" t="str">
        <f t="shared" si="8"/>
        <v/>
      </c>
      <c r="AS19" s="89">
        <f t="shared" si="30"/>
        <v>0</v>
      </c>
      <c r="AT19" s="88" t="str">
        <f t="shared" si="9"/>
        <v/>
      </c>
      <c r="AU19" s="158">
        <f t="shared" si="10"/>
        <v>0</v>
      </c>
      <c r="AV19" s="90" t="str">
        <f t="shared" si="11"/>
        <v/>
      </c>
      <c r="AW19" s="158" t="b">
        <f t="shared" si="12"/>
        <v>0</v>
      </c>
      <c r="AX19" s="159" t="b">
        <f t="shared" si="13"/>
        <v>0</v>
      </c>
      <c r="AY19" s="158" t="b">
        <f t="shared" si="14"/>
        <v>0</v>
      </c>
      <c r="AZ19" s="159" t="b">
        <f t="shared" si="15"/>
        <v>0</v>
      </c>
      <c r="BA19" s="206" t="b">
        <f t="shared" si="16"/>
        <v>0</v>
      </c>
      <c r="BB19" s="206" t="b">
        <f t="shared" si="17"/>
        <v>0</v>
      </c>
      <c r="BC19" s="158" t="b">
        <f t="shared" si="18"/>
        <v>0</v>
      </c>
      <c r="BD19" s="160" t="b">
        <f t="shared" si="31"/>
        <v>0</v>
      </c>
      <c r="BE19" s="159" t="b">
        <f t="shared" si="19"/>
        <v>0</v>
      </c>
      <c r="BF19" s="161" t="b">
        <f t="shared" si="20"/>
        <v>0</v>
      </c>
      <c r="BG19" s="206" t="b">
        <f t="shared" si="21"/>
        <v>0</v>
      </c>
      <c r="BH19" s="206" t="str">
        <f t="shared" si="32"/>
        <v/>
      </c>
      <c r="BI19" s="206" t="str">
        <f t="shared" si="22"/>
        <v/>
      </c>
      <c r="BJ19" s="206" t="str">
        <f t="shared" si="23"/>
        <v/>
      </c>
      <c r="BK19" s="206" t="str">
        <f t="shared" si="24"/>
        <v/>
      </c>
      <c r="BL19" s="162" t="str">
        <f t="shared" si="33"/>
        <v/>
      </c>
      <c r="BM19" s="206" t="str">
        <f t="shared" si="25"/>
        <v/>
      </c>
      <c r="BN19" s="206" t="str">
        <f t="shared" si="26"/>
        <v/>
      </c>
      <c r="BO19" s="104"/>
      <c r="BP19" s="164"/>
      <c r="BQ19" s="1386" t="s">
        <v>224</v>
      </c>
      <c r="BR19" s="1386"/>
      <c r="BS19" s="1386"/>
      <c r="BT19" s="1386"/>
      <c r="BU19" s="1386"/>
    </row>
    <row r="20" spans="2:73" s="105" customFormat="1" ht="12.95" customHeight="1" x14ac:dyDescent="0.2">
      <c r="B20" s="165">
        <f>IF(ISNA(Z20),"",IF(OR(Z20=1,Z20=2),"    ",MAX($B$8:B19)+1))</f>
        <v>9</v>
      </c>
      <c r="C20" s="1375" t="str">
        <f t="shared" si="0"/>
        <v xml:space="preserve">      - Grammar (10.0%)</v>
      </c>
      <c r="D20" s="1375"/>
      <c r="E20" s="1375"/>
      <c r="F20" s="1376"/>
      <c r="G20" s="152">
        <f t="shared" si="1"/>
        <v>1</v>
      </c>
      <c r="H20" s="153" t="str">
        <f t="shared" si="2"/>
        <v>2*</v>
      </c>
      <c r="I20" s="166">
        <f t="shared" si="2"/>
        <v>3</v>
      </c>
      <c r="J20" s="171"/>
      <c r="K20" s="168"/>
      <c r="L20" s="1075"/>
      <c r="M20" s="1076"/>
      <c r="N20" s="1076"/>
      <c r="O20" s="1076"/>
      <c r="P20" s="1076"/>
      <c r="Q20" s="1076"/>
      <c r="R20" s="1077"/>
      <c r="T20" s="119">
        <v>13</v>
      </c>
      <c r="U20" s="110" t="s">
        <v>291</v>
      </c>
      <c r="V20" s="206">
        <v>1</v>
      </c>
      <c r="W20" s="206">
        <v>1</v>
      </c>
      <c r="X20" s="206" t="s">
        <v>212</v>
      </c>
      <c r="Y20" s="206" t="s">
        <v>212</v>
      </c>
      <c r="Z20" s="160" t="s">
        <v>212</v>
      </c>
      <c r="AA20" s="160">
        <v>2</v>
      </c>
      <c r="AB20" s="160">
        <v>1</v>
      </c>
      <c r="AC20" s="206">
        <v>3</v>
      </c>
      <c r="AD20" s="206">
        <v>2</v>
      </c>
      <c r="AE20" s="206">
        <v>1</v>
      </c>
      <c r="AF20" s="206" t="b">
        <v>1</v>
      </c>
      <c r="AG20" s="206">
        <f t="shared" si="3"/>
        <v>2</v>
      </c>
      <c r="AH20" s="206">
        <f t="shared" si="4"/>
        <v>1</v>
      </c>
      <c r="AI20" s="86">
        <f>IF(NOT(OR(Z20=1,Z20=2)),IF(AQ20&gt;0,$AR$44*AQ20/SUMIF($AQ$8:$AQ$39,"&gt;0"),IF(AU20&gt;0,$AV$44*AU20/SUMIF($AU$8:$AU$39,"&gt;0"),IF(AS20&gt;0,$AT$44*AS20/SUMIF($AS$8:$AS$39,"&gt;0"),""))),IF(SUMIF(AJ21:$AJ$39,"=" &amp; AJ20,AI21:$AI$39)=0,"",SUMIF(AJ21:$AJ$39,"=" &amp; AJ20,AI21:$AI$39)))</f>
        <v>0.1</v>
      </c>
      <c r="AJ20" s="87">
        <f t="shared" si="34"/>
        <v>3</v>
      </c>
      <c r="AK20" s="206">
        <f t="shared" si="27"/>
        <v>2</v>
      </c>
      <c r="AL20" s="160" t="str">
        <f t="shared" si="28"/>
        <v/>
      </c>
      <c r="AM20" s="160" t="str">
        <f t="shared" si="35"/>
        <v/>
      </c>
      <c r="AN20" s="160" t="str">
        <f t="shared" si="5"/>
        <v/>
      </c>
      <c r="AO20" s="160" t="str">
        <f t="shared" si="6"/>
        <v/>
      </c>
      <c r="AP20" s="206" t="b">
        <f t="shared" si="7"/>
        <v>1</v>
      </c>
      <c r="AQ20" s="157">
        <f t="shared" si="29"/>
        <v>1</v>
      </c>
      <c r="AR20" s="88" t="str">
        <f t="shared" si="8"/>
        <v/>
      </c>
      <c r="AS20" s="89">
        <f t="shared" si="30"/>
        <v>0</v>
      </c>
      <c r="AT20" s="88" t="str">
        <f t="shared" si="9"/>
        <v/>
      </c>
      <c r="AU20" s="158">
        <f t="shared" si="10"/>
        <v>0</v>
      </c>
      <c r="AV20" s="90" t="str">
        <f t="shared" si="11"/>
        <v/>
      </c>
      <c r="AW20" s="158" t="b">
        <f t="shared" si="12"/>
        <v>0</v>
      </c>
      <c r="AX20" s="159" t="b">
        <f t="shared" si="13"/>
        <v>1</v>
      </c>
      <c r="AY20" s="158" t="b">
        <f t="shared" si="14"/>
        <v>0</v>
      </c>
      <c r="AZ20" s="159" t="b">
        <f t="shared" si="15"/>
        <v>0</v>
      </c>
      <c r="BA20" s="206" t="b">
        <f t="shared" si="16"/>
        <v>0</v>
      </c>
      <c r="BB20" s="206" t="b">
        <f t="shared" si="17"/>
        <v>0</v>
      </c>
      <c r="BC20" s="158" t="b">
        <f t="shared" si="18"/>
        <v>0</v>
      </c>
      <c r="BD20" s="160" t="b">
        <f t="shared" si="31"/>
        <v>0</v>
      </c>
      <c r="BE20" s="159" t="b">
        <f t="shared" si="19"/>
        <v>0</v>
      </c>
      <c r="BF20" s="161" t="b">
        <f t="shared" si="20"/>
        <v>0</v>
      </c>
      <c r="BG20" s="206" t="b">
        <f t="shared" si="21"/>
        <v>1</v>
      </c>
      <c r="BH20" s="206">
        <f t="shared" si="32"/>
        <v>1</v>
      </c>
      <c r="BI20" s="206">
        <f t="shared" si="22"/>
        <v>2</v>
      </c>
      <c r="BJ20" s="206" t="str">
        <f t="shared" si="23"/>
        <v>2*</v>
      </c>
      <c r="BK20" s="206">
        <f t="shared" si="24"/>
        <v>3</v>
      </c>
      <c r="BL20" s="162">
        <f t="shared" si="33"/>
        <v>1</v>
      </c>
      <c r="BM20" s="206">
        <f t="shared" si="25"/>
        <v>2</v>
      </c>
      <c r="BN20" s="206">
        <f t="shared" si="26"/>
        <v>3</v>
      </c>
      <c r="BO20" s="104"/>
      <c r="BP20" s="104"/>
      <c r="BQ20" s="104">
        <v>0</v>
      </c>
      <c r="BR20" s="104">
        <v>1</v>
      </c>
      <c r="BS20" s="104">
        <v>2</v>
      </c>
      <c r="BT20" s="104">
        <v>3</v>
      </c>
      <c r="BU20" s="104">
        <v>4</v>
      </c>
    </row>
    <row r="21" spans="2:73" s="105" customFormat="1" ht="12.95" customHeight="1" x14ac:dyDescent="0.2">
      <c r="B21" s="165">
        <f>IF(ISNA(Z21),"",IF(OR(Z21=1,Z21=2),"    ",MAX($B$8:B20)+1))</f>
        <v>10</v>
      </c>
      <c r="C21" s="1375" t="str">
        <f t="shared" si="0"/>
        <v xml:space="preserve">      - Mechanics (10.0%)</v>
      </c>
      <c r="D21" s="1375"/>
      <c r="E21" s="1375"/>
      <c r="F21" s="1376"/>
      <c r="G21" s="152">
        <f t="shared" si="1"/>
        <v>1</v>
      </c>
      <c r="H21" s="153" t="str">
        <f t="shared" si="2"/>
        <v>2*</v>
      </c>
      <c r="I21" s="166">
        <f t="shared" si="2"/>
        <v>3</v>
      </c>
      <c r="J21" s="171"/>
      <c r="K21" s="168"/>
      <c r="L21" s="1075"/>
      <c r="M21" s="1076"/>
      <c r="N21" s="1076"/>
      <c r="O21" s="1076"/>
      <c r="P21" s="1076"/>
      <c r="Q21" s="1076"/>
      <c r="R21" s="1077"/>
      <c r="T21" s="119">
        <v>14</v>
      </c>
      <c r="U21" s="110" t="s">
        <v>292</v>
      </c>
      <c r="V21" s="206">
        <v>1</v>
      </c>
      <c r="W21" s="206">
        <v>1</v>
      </c>
      <c r="X21" s="206" t="s">
        <v>212</v>
      </c>
      <c r="Y21" s="206" t="s">
        <v>212</v>
      </c>
      <c r="Z21" s="160" t="s">
        <v>212</v>
      </c>
      <c r="AA21" s="160">
        <v>2</v>
      </c>
      <c r="AB21" s="160">
        <v>1</v>
      </c>
      <c r="AC21" s="206">
        <v>3</v>
      </c>
      <c r="AD21" s="206">
        <v>2</v>
      </c>
      <c r="AE21" s="206">
        <v>1</v>
      </c>
      <c r="AF21" s="206" t="b">
        <v>1</v>
      </c>
      <c r="AG21" s="206">
        <f t="shared" si="3"/>
        <v>2</v>
      </c>
      <c r="AH21" s="206">
        <f t="shared" si="4"/>
        <v>1</v>
      </c>
      <c r="AI21" s="86">
        <f>IF(NOT(OR(Z21=1,Z21=2)),IF(AQ21&gt;0,$AR$44*AQ21/SUMIF($AQ$8:$AQ$39,"&gt;0"),IF(AU21&gt;0,$AV$44*AU21/SUMIF($AU$8:$AU$39,"&gt;0"),IF(AS21&gt;0,$AT$44*AS21/SUMIF($AS$8:$AS$39,"&gt;0"),""))),IF(SUMIF(AJ22:$AJ$39,"=" &amp; AJ21,AI22:$AI$39)=0,"",SUMIF(AJ22:$AJ$39,"=" &amp; AJ21,AI22:$AI$39)))</f>
        <v>0.1</v>
      </c>
      <c r="AJ21" s="87">
        <f t="shared" si="34"/>
        <v>3</v>
      </c>
      <c r="AK21" s="206">
        <f t="shared" si="27"/>
        <v>2</v>
      </c>
      <c r="AL21" s="160" t="str">
        <f t="shared" si="28"/>
        <v/>
      </c>
      <c r="AM21" s="160" t="str">
        <f t="shared" si="35"/>
        <v/>
      </c>
      <c r="AN21" s="160" t="str">
        <f t="shared" si="5"/>
        <v/>
      </c>
      <c r="AO21" s="160" t="str">
        <f t="shared" si="6"/>
        <v/>
      </c>
      <c r="AP21" s="206" t="b">
        <f t="shared" si="7"/>
        <v>1</v>
      </c>
      <c r="AQ21" s="157">
        <f t="shared" si="29"/>
        <v>1</v>
      </c>
      <c r="AR21" s="88" t="str">
        <f t="shared" si="8"/>
        <v/>
      </c>
      <c r="AS21" s="89">
        <f t="shared" si="30"/>
        <v>0</v>
      </c>
      <c r="AT21" s="88" t="str">
        <f t="shared" si="9"/>
        <v/>
      </c>
      <c r="AU21" s="158">
        <f t="shared" si="10"/>
        <v>0</v>
      </c>
      <c r="AV21" s="90" t="str">
        <f t="shared" si="11"/>
        <v/>
      </c>
      <c r="AW21" s="158" t="b">
        <f t="shared" si="12"/>
        <v>0</v>
      </c>
      <c r="AX21" s="159" t="b">
        <f t="shared" si="13"/>
        <v>1</v>
      </c>
      <c r="AY21" s="158" t="b">
        <f t="shared" si="14"/>
        <v>0</v>
      </c>
      <c r="AZ21" s="159" t="b">
        <f t="shared" si="15"/>
        <v>0</v>
      </c>
      <c r="BA21" s="206" t="b">
        <f t="shared" si="16"/>
        <v>0</v>
      </c>
      <c r="BB21" s="206" t="b">
        <f t="shared" si="17"/>
        <v>0</v>
      </c>
      <c r="BC21" s="158" t="b">
        <f t="shared" si="18"/>
        <v>0</v>
      </c>
      <c r="BD21" s="160" t="b">
        <f t="shared" si="31"/>
        <v>0</v>
      </c>
      <c r="BE21" s="159" t="b">
        <f t="shared" si="19"/>
        <v>0</v>
      </c>
      <c r="BF21" s="161" t="b">
        <f t="shared" si="20"/>
        <v>0</v>
      </c>
      <c r="BG21" s="206" t="b">
        <f t="shared" si="21"/>
        <v>1</v>
      </c>
      <c r="BH21" s="206">
        <f t="shared" si="32"/>
        <v>1</v>
      </c>
      <c r="BI21" s="206">
        <f t="shared" si="22"/>
        <v>2</v>
      </c>
      <c r="BJ21" s="206" t="str">
        <f t="shared" si="23"/>
        <v>2*</v>
      </c>
      <c r="BK21" s="206">
        <f t="shared" si="24"/>
        <v>3</v>
      </c>
      <c r="BL21" s="162">
        <f t="shared" si="33"/>
        <v>1</v>
      </c>
      <c r="BM21" s="206">
        <f t="shared" si="25"/>
        <v>2</v>
      </c>
      <c r="BN21" s="206">
        <f t="shared" si="26"/>
        <v>3</v>
      </c>
      <c r="BO21" s="1387" t="s">
        <v>226</v>
      </c>
      <c r="BP21" s="104" t="s">
        <v>227</v>
      </c>
      <c r="BQ21" s="91">
        <f t="shared" ref="BQ21:BU29" si="36">AR50</f>
        <v>0.7</v>
      </c>
      <c r="BR21" s="92">
        <f t="shared" si="36"/>
        <v>0.9</v>
      </c>
      <c r="BS21" s="92">
        <f t="shared" si="36"/>
        <v>0.93330000000000002</v>
      </c>
      <c r="BT21" s="92">
        <f t="shared" si="36"/>
        <v>0.9667</v>
      </c>
      <c r="BU21" s="93">
        <f t="shared" si="36"/>
        <v>1</v>
      </c>
    </row>
    <row r="22" spans="2:73" s="105" customFormat="1" ht="12.95" customHeight="1" x14ac:dyDescent="0.2">
      <c r="B22" s="165" t="str">
        <f>IF(ISNA(Z22),"",IF(OR(Z22=1,Z22=2),"    ",MAX($B$8:B21)+1))</f>
        <v/>
      </c>
      <c r="C22" s="1375" t="str">
        <f t="shared" si="0"/>
        <v/>
      </c>
      <c r="D22" s="1375"/>
      <c r="E22" s="1375"/>
      <c r="F22" s="1376"/>
      <c r="G22" s="152" t="str">
        <f t="shared" si="1"/>
        <v/>
      </c>
      <c r="H22" s="153" t="str">
        <f t="shared" si="2"/>
        <v/>
      </c>
      <c r="I22" s="166" t="str">
        <f t="shared" si="2"/>
        <v/>
      </c>
      <c r="J22" s="172"/>
      <c r="K22" s="173"/>
      <c r="L22" s="1075"/>
      <c r="M22" s="1076"/>
      <c r="N22" s="1076"/>
      <c r="O22" s="1076"/>
      <c r="P22" s="1076"/>
      <c r="Q22" s="1076"/>
      <c r="R22" s="1077"/>
      <c r="T22" s="119">
        <v>15</v>
      </c>
      <c r="U22" s="110" t="e">
        <v>#N/A</v>
      </c>
      <c r="V22" s="206" t="e">
        <v>#N/A</v>
      </c>
      <c r="W22" s="206" t="e">
        <v>#N/A</v>
      </c>
      <c r="X22" s="206" t="e">
        <v>#N/A</v>
      </c>
      <c r="Y22" s="206" t="e">
        <v>#N/A</v>
      </c>
      <c r="Z22" s="160" t="e">
        <v>#N/A</v>
      </c>
      <c r="AA22" s="160" t="e">
        <v>#N/A</v>
      </c>
      <c r="AB22" s="160" t="e">
        <v>#N/A</v>
      </c>
      <c r="AC22" s="206" t="e">
        <v>#N/A</v>
      </c>
      <c r="AD22" s="206" t="e">
        <v>#N/A</v>
      </c>
      <c r="AE22" s="206" t="e">
        <v>#N/A</v>
      </c>
      <c r="AF22" s="206" t="e">
        <v>#N/A</v>
      </c>
      <c r="AG22" s="206" t="e">
        <f t="shared" si="3"/>
        <v>#N/A</v>
      </c>
      <c r="AH22" s="206" t="str">
        <f t="shared" si="4"/>
        <v/>
      </c>
      <c r="AI22" s="86" t="e">
        <f>IF(NOT(OR(Z22=1,Z22=2)),IF(AQ22&gt;0,$AR$44*AQ22/SUMIF($AQ$8:$AQ$39,"&gt;0"),IF(AU22&gt;0,$AV$44*AU22/SUMIF($AU$8:$AU$39,"&gt;0"),IF(AS22&gt;0,$AT$44*AS22/SUMIF($AS$8:$AS$39,"&gt;0"),""))),IF(SUMIF(AJ23:$AJ$39,"=" &amp; AJ22,AI23:$AI$39)=0,"",SUMIF(AJ23:$AJ$39,"=" &amp; AJ22,AI23:$AI$39)))</f>
        <v>#N/A</v>
      </c>
      <c r="AJ22" s="87" t="e">
        <f t="shared" si="34"/>
        <v>#N/A</v>
      </c>
      <c r="AK22" s="206" t="str">
        <f t="shared" si="27"/>
        <v/>
      </c>
      <c r="AL22" s="160" t="str">
        <f t="shared" si="28"/>
        <v/>
      </c>
      <c r="AM22" s="160" t="str">
        <f t="shared" si="35"/>
        <v/>
      </c>
      <c r="AN22" s="160" t="str">
        <f t="shared" si="5"/>
        <v/>
      </c>
      <c r="AO22" s="160" t="e">
        <f t="shared" si="6"/>
        <v>#N/A</v>
      </c>
      <c r="AP22" s="206" t="str">
        <f t="shared" si="7"/>
        <v/>
      </c>
      <c r="AQ22" s="157">
        <f t="shared" si="29"/>
        <v>0</v>
      </c>
      <c r="AR22" s="88" t="str">
        <f t="shared" si="8"/>
        <v/>
      </c>
      <c r="AS22" s="89">
        <f t="shared" si="30"/>
        <v>0</v>
      </c>
      <c r="AT22" s="88" t="str">
        <f t="shared" si="9"/>
        <v/>
      </c>
      <c r="AU22" s="158">
        <f t="shared" si="10"/>
        <v>0</v>
      </c>
      <c r="AV22" s="90" t="str">
        <f t="shared" si="11"/>
        <v/>
      </c>
      <c r="AW22" s="158" t="b">
        <f t="shared" si="12"/>
        <v>0</v>
      </c>
      <c r="AX22" s="159" t="b">
        <f t="shared" si="13"/>
        <v>0</v>
      </c>
      <c r="AY22" s="158" t="b">
        <f t="shared" si="14"/>
        <v>0</v>
      </c>
      <c r="AZ22" s="159" t="b">
        <f t="shared" si="15"/>
        <v>0</v>
      </c>
      <c r="BA22" s="206" t="b">
        <f t="shared" si="16"/>
        <v>0</v>
      </c>
      <c r="BB22" s="206" t="b">
        <f t="shared" si="17"/>
        <v>0</v>
      </c>
      <c r="BC22" s="158" t="b">
        <f t="shared" si="18"/>
        <v>0</v>
      </c>
      <c r="BD22" s="160" t="b">
        <f t="shared" si="31"/>
        <v>0</v>
      </c>
      <c r="BE22" s="159" t="b">
        <f>IF(OR(ISNA($Z22),K22&lt;&gt;"D"),FALSE,IF(OR(AND(H22="NG",J22=0),AND(H22&lt;&gt;"NG",NOT(OR(J22="NA",J22=0)))),TRUE,FALSE))</f>
        <v>0</v>
      </c>
      <c r="BF22" s="161" t="b">
        <f t="shared" si="20"/>
        <v>0</v>
      </c>
      <c r="BG22" s="206" t="str">
        <f>IF(ISNA($Z22),"NA",IF(OR(AZ22,AY22,AX22,AW22,AP22,BA22,BB22),TRUE,FALSE))</f>
        <v>NA</v>
      </c>
      <c r="BH22" s="206" t="str">
        <f t="shared" si="32"/>
        <v/>
      </c>
      <c r="BI22" s="206" t="str">
        <f t="shared" si="22"/>
        <v/>
      </c>
      <c r="BJ22" s="206" t="str">
        <f t="shared" si="23"/>
        <v/>
      </c>
      <c r="BK22" s="206" t="str">
        <f t="shared" si="24"/>
        <v/>
      </c>
      <c r="BL22" s="162" t="str">
        <f t="shared" si="33"/>
        <v/>
      </c>
      <c r="BM22" s="206" t="str">
        <f t="shared" si="25"/>
        <v/>
      </c>
      <c r="BN22" s="206" t="str">
        <f t="shared" si="26"/>
        <v/>
      </c>
      <c r="BO22" s="1387"/>
      <c r="BP22" s="104" t="s">
        <v>228</v>
      </c>
      <c r="BQ22" s="94">
        <f t="shared" si="36"/>
        <v>0.7</v>
      </c>
      <c r="BR22" s="95">
        <f t="shared" si="36"/>
        <v>0.8</v>
      </c>
      <c r="BS22" s="95">
        <f t="shared" si="36"/>
        <v>0.9</v>
      </c>
      <c r="BT22" s="95">
        <f t="shared" si="36"/>
        <v>0.95</v>
      </c>
      <c r="BU22" s="96">
        <f t="shared" si="36"/>
        <v>1</v>
      </c>
    </row>
    <row r="23" spans="2:73" s="105" customFormat="1" ht="12.95" customHeight="1" x14ac:dyDescent="0.2">
      <c r="B23" s="165" t="str">
        <f>IF(ISNA(Z23),"",IF(OR(Z23=1,Z23=2),"    ",MAX($B$8:B22)+1))</f>
        <v/>
      </c>
      <c r="C23" s="1375" t="str">
        <f t="shared" si="0"/>
        <v/>
      </c>
      <c r="D23" s="1375"/>
      <c r="E23" s="1375"/>
      <c r="F23" s="1376"/>
      <c r="G23" s="152" t="str">
        <f t="shared" si="1"/>
        <v/>
      </c>
      <c r="H23" s="153" t="str">
        <f t="shared" si="2"/>
        <v/>
      </c>
      <c r="I23" s="166" t="str">
        <f t="shared" si="2"/>
        <v/>
      </c>
      <c r="J23" s="172"/>
      <c r="K23" s="173"/>
      <c r="L23" s="1075"/>
      <c r="M23" s="1076"/>
      <c r="N23" s="1076"/>
      <c r="O23" s="1076"/>
      <c r="P23" s="1076"/>
      <c r="Q23" s="1076"/>
      <c r="R23" s="1077"/>
      <c r="T23" s="119">
        <v>16</v>
      </c>
      <c r="U23" s="110" t="e">
        <v>#N/A</v>
      </c>
      <c r="V23" s="206" t="e">
        <v>#N/A</v>
      </c>
      <c r="W23" s="206" t="e">
        <v>#N/A</v>
      </c>
      <c r="X23" s="206" t="e">
        <v>#N/A</v>
      </c>
      <c r="Y23" s="206" t="e">
        <v>#N/A</v>
      </c>
      <c r="Z23" s="160" t="e">
        <v>#N/A</v>
      </c>
      <c r="AA23" s="160" t="e">
        <v>#N/A</v>
      </c>
      <c r="AB23" s="160" t="e">
        <v>#N/A</v>
      </c>
      <c r="AC23" s="206" t="e">
        <v>#N/A</v>
      </c>
      <c r="AD23" s="206" t="e">
        <v>#N/A</v>
      </c>
      <c r="AE23" s="206" t="e">
        <v>#N/A</v>
      </c>
      <c r="AF23" s="206" t="e">
        <v>#N/A</v>
      </c>
      <c r="AG23" s="206" t="e">
        <f t="shared" si="3"/>
        <v>#N/A</v>
      </c>
      <c r="AH23" s="206" t="str">
        <f t="shared" si="4"/>
        <v/>
      </c>
      <c r="AI23" s="86" t="e">
        <f>IF(NOT(OR(Z23=1,Z23=2)),IF(AQ23&gt;0,$AR$44*AQ23/SUMIF($AQ$8:$AQ$39,"&gt;0"),IF(AU23&gt;0,$AV$44*AU23/SUMIF($AU$8:$AU$39,"&gt;0"),IF(AS23&gt;0,$AT$44*AS23/SUMIF($AS$8:$AS$39,"&gt;0"),""))),IF(SUMIF(AJ24:$AJ$39,"=" &amp; AJ23,AI24:$AI$39)=0,"",SUMIF(AJ24:$AJ$39,"=" &amp; AJ23,AI24:$AI$39)))</f>
        <v>#N/A</v>
      </c>
      <c r="AJ23" s="87" t="e">
        <f t="shared" si="34"/>
        <v>#N/A</v>
      </c>
      <c r="AK23" s="206" t="str">
        <f t="shared" si="27"/>
        <v/>
      </c>
      <c r="AL23" s="160" t="str">
        <f t="shared" si="28"/>
        <v/>
      </c>
      <c r="AM23" s="160" t="str">
        <f t="shared" si="35"/>
        <v/>
      </c>
      <c r="AN23" s="160" t="str">
        <f t="shared" si="5"/>
        <v/>
      </c>
      <c r="AO23" s="160" t="e">
        <f t="shared" si="6"/>
        <v>#N/A</v>
      </c>
      <c r="AP23" s="206" t="str">
        <f t="shared" si="7"/>
        <v/>
      </c>
      <c r="AQ23" s="157">
        <f t="shared" si="29"/>
        <v>0</v>
      </c>
      <c r="AR23" s="88" t="str">
        <f t="shared" si="8"/>
        <v/>
      </c>
      <c r="AS23" s="89">
        <f t="shared" si="30"/>
        <v>0</v>
      </c>
      <c r="AT23" s="88" t="str">
        <f t="shared" si="9"/>
        <v/>
      </c>
      <c r="AU23" s="158">
        <f t="shared" si="10"/>
        <v>0</v>
      </c>
      <c r="AV23" s="90" t="str">
        <f t="shared" si="11"/>
        <v/>
      </c>
      <c r="AW23" s="158" t="b">
        <f t="shared" si="12"/>
        <v>0</v>
      </c>
      <c r="AX23" s="159" t="b">
        <f t="shared" si="13"/>
        <v>0</v>
      </c>
      <c r="AY23" s="158" t="b">
        <f t="shared" si="14"/>
        <v>0</v>
      </c>
      <c r="AZ23" s="159" t="b">
        <f t="shared" si="15"/>
        <v>0</v>
      </c>
      <c r="BA23" s="206" t="b">
        <f t="shared" si="16"/>
        <v>0</v>
      </c>
      <c r="BB23" s="206" t="b">
        <f t="shared" si="17"/>
        <v>0</v>
      </c>
      <c r="BC23" s="158" t="b">
        <f t="shared" si="18"/>
        <v>0</v>
      </c>
      <c r="BD23" s="160" t="b">
        <f t="shared" si="31"/>
        <v>0</v>
      </c>
      <c r="BE23" s="159" t="b">
        <f t="shared" ref="BE23:BE39" si="37">IF(OR(ISNA($Z23),K23&lt;&gt;"D"),FALSE,IF(OR(AND(H23="NG",J23=0),AND(H23&lt;&gt;"NG",NOT(OR(J23="NA",J23=0)))),TRUE,FALSE))</f>
        <v>0</v>
      </c>
      <c r="BF23" s="161" t="b">
        <f t="shared" si="20"/>
        <v>0</v>
      </c>
      <c r="BG23" s="206" t="str">
        <f t="shared" ref="BG23:BG39" si="38">IF(ISNA($Z23),"NA",IF(OR(AZ23,AY23,AX23,AW23,AP23,BA23,BB23),TRUE,FALSE))</f>
        <v>NA</v>
      </c>
      <c r="BH23" s="206" t="str">
        <f t="shared" si="32"/>
        <v/>
      </c>
      <c r="BI23" s="206" t="str">
        <f t="shared" si="22"/>
        <v/>
      </c>
      <c r="BJ23" s="206" t="str">
        <f t="shared" si="23"/>
        <v/>
      </c>
      <c r="BK23" s="206" t="str">
        <f t="shared" si="24"/>
        <v/>
      </c>
      <c r="BL23" s="162" t="str">
        <f t="shared" si="33"/>
        <v/>
      </c>
      <c r="BM23" s="206" t="str">
        <f t="shared" si="25"/>
        <v/>
      </c>
      <c r="BN23" s="206" t="str">
        <f t="shared" si="26"/>
        <v/>
      </c>
      <c r="BO23" s="1387"/>
      <c r="BP23" s="104" t="s">
        <v>229</v>
      </c>
      <c r="BQ23" s="94">
        <f t="shared" si="36"/>
        <v>0.7</v>
      </c>
      <c r="BR23" s="95">
        <f t="shared" si="36"/>
        <v>0.76670000000000005</v>
      </c>
      <c r="BS23" s="95">
        <f t="shared" si="36"/>
        <v>0.83330000000000004</v>
      </c>
      <c r="BT23" s="95">
        <f t="shared" si="36"/>
        <v>0.9</v>
      </c>
      <c r="BU23" s="96">
        <f t="shared" si="36"/>
        <v>1</v>
      </c>
    </row>
    <row r="24" spans="2:73" s="105" customFormat="1" ht="12.95" customHeight="1" x14ac:dyDescent="0.2">
      <c r="B24" s="165" t="str">
        <f>IF(ISNA(Z24),"",IF(OR(Z24=1,Z24=2),"    ",MAX($B$8:B23)+1))</f>
        <v/>
      </c>
      <c r="C24" s="1375" t="str">
        <f t="shared" si="0"/>
        <v/>
      </c>
      <c r="D24" s="1375"/>
      <c r="E24" s="1375"/>
      <c r="F24" s="1376"/>
      <c r="G24" s="152" t="str">
        <f t="shared" si="1"/>
        <v/>
      </c>
      <c r="H24" s="153" t="str">
        <f t="shared" si="2"/>
        <v/>
      </c>
      <c r="I24" s="166" t="str">
        <f t="shared" si="2"/>
        <v/>
      </c>
      <c r="J24" s="172"/>
      <c r="K24" s="173"/>
      <c r="L24" s="1075"/>
      <c r="M24" s="1076"/>
      <c r="N24" s="1076"/>
      <c r="O24" s="1076"/>
      <c r="P24" s="1076"/>
      <c r="Q24" s="1076"/>
      <c r="R24" s="1077"/>
      <c r="T24" s="119">
        <v>17</v>
      </c>
      <c r="U24" s="110" t="e">
        <v>#N/A</v>
      </c>
      <c r="V24" s="206" t="e">
        <v>#N/A</v>
      </c>
      <c r="W24" s="206" t="e">
        <v>#N/A</v>
      </c>
      <c r="X24" s="206" t="e">
        <v>#N/A</v>
      </c>
      <c r="Y24" s="206" t="e">
        <v>#N/A</v>
      </c>
      <c r="Z24" s="160" t="e">
        <v>#N/A</v>
      </c>
      <c r="AA24" s="160" t="e">
        <v>#N/A</v>
      </c>
      <c r="AB24" s="160" t="e">
        <v>#N/A</v>
      </c>
      <c r="AC24" s="206" t="e">
        <v>#N/A</v>
      </c>
      <c r="AD24" s="206" t="e">
        <v>#N/A</v>
      </c>
      <c r="AE24" s="206" t="e">
        <v>#N/A</v>
      </c>
      <c r="AF24" s="206" t="e">
        <v>#N/A</v>
      </c>
      <c r="AG24" s="206" t="e">
        <f t="shared" si="3"/>
        <v>#N/A</v>
      </c>
      <c r="AH24" s="206" t="str">
        <f t="shared" si="4"/>
        <v/>
      </c>
      <c r="AI24" s="86" t="e">
        <f>IF(NOT(OR(Z24=1,Z24=2)),IF(AQ24&gt;0,$AR$44*AQ24/SUMIF($AQ$8:$AQ$39,"&gt;0"),IF(AU24&gt;0,$AV$44*AU24/SUMIF($AU$8:$AU$39,"&gt;0"),IF(AS24&gt;0,$AT$44*AS24/SUMIF($AS$8:$AS$39,"&gt;0"),""))),IF(SUMIF(AJ25:$AJ$39,"=" &amp; AJ24,AI25:$AI$39)=0,"",SUMIF(AJ25:$AJ$39,"=" &amp; AJ24,AI25:$AI$39)))</f>
        <v>#N/A</v>
      </c>
      <c r="AJ24" s="87" t="e">
        <f t="shared" si="34"/>
        <v>#N/A</v>
      </c>
      <c r="AK24" s="206" t="str">
        <f t="shared" si="27"/>
        <v/>
      </c>
      <c r="AL24" s="160" t="str">
        <f t="shared" si="28"/>
        <v/>
      </c>
      <c r="AM24" s="160" t="str">
        <f t="shared" si="35"/>
        <v/>
      </c>
      <c r="AN24" s="160" t="str">
        <f t="shared" si="5"/>
        <v/>
      </c>
      <c r="AO24" s="160" t="e">
        <f t="shared" si="6"/>
        <v>#N/A</v>
      </c>
      <c r="AP24" s="206" t="str">
        <f t="shared" si="7"/>
        <v/>
      </c>
      <c r="AQ24" s="157">
        <f t="shared" si="29"/>
        <v>0</v>
      </c>
      <c r="AR24" s="88" t="str">
        <f t="shared" si="8"/>
        <v/>
      </c>
      <c r="AS24" s="89">
        <f t="shared" si="30"/>
        <v>0</v>
      </c>
      <c r="AT24" s="88" t="str">
        <f t="shared" si="9"/>
        <v/>
      </c>
      <c r="AU24" s="158">
        <f t="shared" si="10"/>
        <v>0</v>
      </c>
      <c r="AV24" s="90" t="str">
        <f t="shared" si="11"/>
        <v/>
      </c>
      <c r="AW24" s="158" t="b">
        <f t="shared" si="12"/>
        <v>0</v>
      </c>
      <c r="AX24" s="159" t="b">
        <f t="shared" si="13"/>
        <v>0</v>
      </c>
      <c r="AY24" s="158" t="b">
        <f t="shared" si="14"/>
        <v>0</v>
      </c>
      <c r="AZ24" s="159" t="b">
        <f t="shared" si="15"/>
        <v>0</v>
      </c>
      <c r="BA24" s="206" t="b">
        <f t="shared" si="16"/>
        <v>0</v>
      </c>
      <c r="BB24" s="206" t="b">
        <f t="shared" si="17"/>
        <v>0</v>
      </c>
      <c r="BC24" s="158" t="b">
        <f t="shared" si="18"/>
        <v>0</v>
      </c>
      <c r="BD24" s="160" t="b">
        <f t="shared" si="31"/>
        <v>0</v>
      </c>
      <c r="BE24" s="159" t="b">
        <f t="shared" si="37"/>
        <v>0</v>
      </c>
      <c r="BF24" s="161" t="b">
        <f t="shared" si="20"/>
        <v>0</v>
      </c>
      <c r="BG24" s="206" t="str">
        <f t="shared" si="38"/>
        <v>NA</v>
      </c>
      <c r="BH24" s="206" t="str">
        <f t="shared" si="32"/>
        <v/>
      </c>
      <c r="BI24" s="206" t="str">
        <f t="shared" si="22"/>
        <v/>
      </c>
      <c r="BJ24" s="206" t="str">
        <f t="shared" si="23"/>
        <v/>
      </c>
      <c r="BK24" s="206" t="str">
        <f t="shared" si="24"/>
        <v/>
      </c>
      <c r="BL24" s="162" t="str">
        <f t="shared" si="33"/>
        <v/>
      </c>
      <c r="BM24" s="206" t="str">
        <f t="shared" si="25"/>
        <v/>
      </c>
      <c r="BN24" s="206" t="str">
        <f t="shared" si="26"/>
        <v/>
      </c>
      <c r="BO24" s="1387"/>
      <c r="BP24" s="104" t="s">
        <v>230</v>
      </c>
      <c r="BQ24" s="94">
        <f t="shared" si="36"/>
        <v>0.6</v>
      </c>
      <c r="BR24" s="95">
        <f t="shared" si="36"/>
        <v>0.9</v>
      </c>
      <c r="BS24" s="95">
        <f t="shared" si="36"/>
        <v>0.93330000000000002</v>
      </c>
      <c r="BT24" s="95">
        <f t="shared" si="36"/>
        <v>0.9667</v>
      </c>
      <c r="BU24" s="96">
        <f t="shared" si="36"/>
        <v>1</v>
      </c>
    </row>
    <row r="25" spans="2:73" s="105" customFormat="1" ht="12.95" customHeight="1" x14ac:dyDescent="0.2">
      <c r="B25" s="165" t="str">
        <f>IF(ISNA(Z25),"",IF(OR(Z25=1,Z25=2),"    ",MAX($B$8:B24)+1))</f>
        <v/>
      </c>
      <c r="C25" s="1375" t="str">
        <f t="shared" si="0"/>
        <v/>
      </c>
      <c r="D25" s="1375"/>
      <c r="E25" s="1375"/>
      <c r="F25" s="1376"/>
      <c r="G25" s="152" t="str">
        <f t="shared" si="1"/>
        <v/>
      </c>
      <c r="H25" s="153" t="str">
        <f t="shared" si="2"/>
        <v/>
      </c>
      <c r="I25" s="166" t="str">
        <f t="shared" si="2"/>
        <v/>
      </c>
      <c r="J25" s="172"/>
      <c r="K25" s="173"/>
      <c r="L25" s="1075"/>
      <c r="M25" s="1076"/>
      <c r="N25" s="1076"/>
      <c r="O25" s="1076"/>
      <c r="P25" s="1076"/>
      <c r="Q25" s="1076"/>
      <c r="R25" s="1077"/>
      <c r="T25" s="119">
        <v>18</v>
      </c>
      <c r="U25" s="110" t="e">
        <v>#N/A</v>
      </c>
      <c r="V25" s="206" t="e">
        <v>#N/A</v>
      </c>
      <c r="W25" s="206" t="e">
        <v>#N/A</v>
      </c>
      <c r="X25" s="206" t="e">
        <v>#N/A</v>
      </c>
      <c r="Y25" s="206" t="e">
        <v>#N/A</v>
      </c>
      <c r="Z25" s="160" t="e">
        <v>#N/A</v>
      </c>
      <c r="AA25" s="160" t="e">
        <v>#N/A</v>
      </c>
      <c r="AB25" s="160" t="e">
        <v>#N/A</v>
      </c>
      <c r="AC25" s="206" t="e">
        <v>#N/A</v>
      </c>
      <c r="AD25" s="206" t="e">
        <v>#N/A</v>
      </c>
      <c r="AE25" s="206" t="e">
        <v>#N/A</v>
      </c>
      <c r="AF25" s="206" t="e">
        <v>#N/A</v>
      </c>
      <c r="AG25" s="206" t="e">
        <f t="shared" si="3"/>
        <v>#N/A</v>
      </c>
      <c r="AH25" s="206" t="str">
        <f t="shared" si="4"/>
        <v/>
      </c>
      <c r="AI25" s="86" t="e">
        <f>IF(NOT(OR(Z25=1,Z25=2)),IF(AQ25&gt;0,$AR$44*AQ25/SUMIF($AQ$8:$AQ$39,"&gt;0"),IF(AU25&gt;0,$AV$44*AU25/SUMIF($AU$8:$AU$39,"&gt;0"),IF(AS25&gt;0,$AT$44*AS25/SUMIF($AS$8:$AS$39,"&gt;0"),""))),IF(SUMIF(AJ26:$AJ$39,"=" &amp; AJ25,AI26:$AI$39)=0,"",SUMIF(AJ26:$AJ$39,"=" &amp; AJ25,AI26:$AI$39)))</f>
        <v>#N/A</v>
      </c>
      <c r="AJ25" s="87" t="e">
        <f t="shared" si="34"/>
        <v>#N/A</v>
      </c>
      <c r="AK25" s="206" t="str">
        <f t="shared" si="27"/>
        <v/>
      </c>
      <c r="AL25" s="160" t="str">
        <f t="shared" si="28"/>
        <v/>
      </c>
      <c r="AM25" s="160" t="str">
        <f t="shared" si="35"/>
        <v/>
      </c>
      <c r="AN25" s="160" t="str">
        <f t="shared" si="5"/>
        <v/>
      </c>
      <c r="AO25" s="160" t="e">
        <f t="shared" si="6"/>
        <v>#N/A</v>
      </c>
      <c r="AP25" s="206" t="str">
        <f t="shared" si="7"/>
        <v/>
      </c>
      <c r="AQ25" s="157">
        <f t="shared" si="29"/>
        <v>0</v>
      </c>
      <c r="AR25" s="88" t="str">
        <f t="shared" si="8"/>
        <v/>
      </c>
      <c r="AS25" s="89">
        <f t="shared" si="30"/>
        <v>0</v>
      </c>
      <c r="AT25" s="88" t="str">
        <f t="shared" si="9"/>
        <v/>
      </c>
      <c r="AU25" s="158">
        <f t="shared" si="10"/>
        <v>0</v>
      </c>
      <c r="AV25" s="90" t="str">
        <f t="shared" si="11"/>
        <v/>
      </c>
      <c r="AW25" s="158" t="b">
        <f t="shared" si="12"/>
        <v>0</v>
      </c>
      <c r="AX25" s="159" t="b">
        <f t="shared" si="13"/>
        <v>0</v>
      </c>
      <c r="AY25" s="158" t="b">
        <f t="shared" si="14"/>
        <v>0</v>
      </c>
      <c r="AZ25" s="159" t="b">
        <f t="shared" si="15"/>
        <v>0</v>
      </c>
      <c r="BA25" s="206" t="b">
        <f t="shared" si="16"/>
        <v>0</v>
      </c>
      <c r="BB25" s="206" t="b">
        <f t="shared" si="17"/>
        <v>0</v>
      </c>
      <c r="BC25" s="158" t="b">
        <f t="shared" si="18"/>
        <v>0</v>
      </c>
      <c r="BD25" s="160" t="b">
        <f t="shared" si="31"/>
        <v>0</v>
      </c>
      <c r="BE25" s="159" t="b">
        <f t="shared" si="37"/>
        <v>0</v>
      </c>
      <c r="BF25" s="161" t="b">
        <f t="shared" si="20"/>
        <v>0</v>
      </c>
      <c r="BG25" s="206" t="str">
        <f t="shared" si="38"/>
        <v>NA</v>
      </c>
      <c r="BH25" s="206" t="str">
        <f t="shared" si="32"/>
        <v/>
      </c>
      <c r="BI25" s="206" t="str">
        <f t="shared" si="22"/>
        <v/>
      </c>
      <c r="BJ25" s="206" t="str">
        <f t="shared" si="23"/>
        <v/>
      </c>
      <c r="BK25" s="206" t="str">
        <f t="shared" si="24"/>
        <v/>
      </c>
      <c r="BL25" s="162" t="str">
        <f t="shared" si="33"/>
        <v/>
      </c>
      <c r="BM25" s="206" t="str">
        <f t="shared" si="25"/>
        <v/>
      </c>
      <c r="BN25" s="206" t="str">
        <f t="shared" si="26"/>
        <v/>
      </c>
      <c r="BO25" s="1387"/>
      <c r="BP25" s="104" t="s">
        <v>231</v>
      </c>
      <c r="BQ25" s="94">
        <f t="shared" si="36"/>
        <v>0.6</v>
      </c>
      <c r="BR25" s="95">
        <f t="shared" si="36"/>
        <v>0.7</v>
      </c>
      <c r="BS25" s="95">
        <f t="shared" si="36"/>
        <v>0.9</v>
      </c>
      <c r="BT25" s="95">
        <f t="shared" si="36"/>
        <v>0.95</v>
      </c>
      <c r="BU25" s="96">
        <f t="shared" si="36"/>
        <v>1</v>
      </c>
    </row>
    <row r="26" spans="2:73" s="105" customFormat="1" ht="12.95" customHeight="1" x14ac:dyDescent="0.2">
      <c r="B26" s="165" t="str">
        <f>IF(ISNA(Z26),"",IF(OR(Z26=1,Z26=2),"    ",MAX($B$8:B25)+1))</f>
        <v/>
      </c>
      <c r="C26" s="1375" t="str">
        <f t="shared" si="0"/>
        <v/>
      </c>
      <c r="D26" s="1375"/>
      <c r="E26" s="1375"/>
      <c r="F26" s="1376"/>
      <c r="G26" s="152" t="str">
        <f t="shared" si="1"/>
        <v/>
      </c>
      <c r="H26" s="153" t="str">
        <f t="shared" si="2"/>
        <v/>
      </c>
      <c r="I26" s="166" t="str">
        <f t="shared" si="2"/>
        <v/>
      </c>
      <c r="J26" s="172"/>
      <c r="K26" s="173"/>
      <c r="L26" s="1075"/>
      <c r="M26" s="1076"/>
      <c r="N26" s="1076"/>
      <c r="O26" s="1076"/>
      <c r="P26" s="1076"/>
      <c r="Q26" s="1076"/>
      <c r="R26" s="1077"/>
      <c r="T26" s="119">
        <v>19</v>
      </c>
      <c r="U26" s="110" t="e">
        <v>#N/A</v>
      </c>
      <c r="V26" s="206" t="e">
        <v>#N/A</v>
      </c>
      <c r="W26" s="206" t="e">
        <v>#N/A</v>
      </c>
      <c r="X26" s="206" t="e">
        <v>#N/A</v>
      </c>
      <c r="Y26" s="206" t="e">
        <v>#N/A</v>
      </c>
      <c r="Z26" s="160" t="e">
        <v>#N/A</v>
      </c>
      <c r="AA26" s="160" t="e">
        <v>#N/A</v>
      </c>
      <c r="AB26" s="160" t="e">
        <v>#N/A</v>
      </c>
      <c r="AC26" s="206" t="e">
        <v>#N/A</v>
      </c>
      <c r="AD26" s="206" t="e">
        <v>#N/A</v>
      </c>
      <c r="AE26" s="206" t="e">
        <v>#N/A</v>
      </c>
      <c r="AF26" s="206" t="e">
        <v>#N/A</v>
      </c>
      <c r="AG26" s="206" t="e">
        <f t="shared" si="3"/>
        <v>#N/A</v>
      </c>
      <c r="AH26" s="206" t="str">
        <f t="shared" si="4"/>
        <v/>
      </c>
      <c r="AI26" s="86" t="e">
        <f>IF(NOT(OR(Z26=1,Z26=2)),IF(AQ26&gt;0,$AR$44*AQ26/SUMIF($AQ$8:$AQ$39,"&gt;0"),IF(AU26&gt;0,$AV$44*AU26/SUMIF($AU$8:$AU$39,"&gt;0"),IF(AS26&gt;0,$AT$44*AS26/SUMIF($AS$8:$AS$39,"&gt;0"),""))),IF(SUMIF(AJ27:$AJ$39,"=" &amp; AJ26,AI27:$AI$39)=0,"",SUMIF(AJ27:$AJ$39,"=" &amp; AJ26,AI27:$AI$39)))</f>
        <v>#N/A</v>
      </c>
      <c r="AJ26" s="87" t="e">
        <f t="shared" si="34"/>
        <v>#N/A</v>
      </c>
      <c r="AK26" s="206" t="str">
        <f t="shared" si="27"/>
        <v/>
      </c>
      <c r="AL26" s="160" t="str">
        <f t="shared" si="28"/>
        <v/>
      </c>
      <c r="AM26" s="160" t="str">
        <f t="shared" si="35"/>
        <v/>
      </c>
      <c r="AN26" s="160" t="str">
        <f t="shared" si="5"/>
        <v/>
      </c>
      <c r="AO26" s="160" t="e">
        <f t="shared" si="6"/>
        <v>#N/A</v>
      </c>
      <c r="AP26" s="206" t="str">
        <f t="shared" si="7"/>
        <v/>
      </c>
      <c r="AQ26" s="157">
        <f t="shared" si="29"/>
        <v>0</v>
      </c>
      <c r="AR26" s="88" t="str">
        <f t="shared" si="8"/>
        <v/>
      </c>
      <c r="AS26" s="89">
        <f t="shared" si="30"/>
        <v>0</v>
      </c>
      <c r="AT26" s="88" t="str">
        <f t="shared" si="9"/>
        <v/>
      </c>
      <c r="AU26" s="158">
        <f t="shared" si="10"/>
        <v>0</v>
      </c>
      <c r="AV26" s="90" t="str">
        <f t="shared" si="11"/>
        <v/>
      </c>
      <c r="AW26" s="158" t="b">
        <f t="shared" si="12"/>
        <v>0</v>
      </c>
      <c r="AX26" s="159" t="b">
        <f t="shared" si="13"/>
        <v>0</v>
      </c>
      <c r="AY26" s="158" t="b">
        <f t="shared" si="14"/>
        <v>0</v>
      </c>
      <c r="AZ26" s="159" t="b">
        <f t="shared" si="15"/>
        <v>0</v>
      </c>
      <c r="BA26" s="206" t="b">
        <f t="shared" si="16"/>
        <v>0</v>
      </c>
      <c r="BB26" s="206" t="b">
        <f t="shared" si="17"/>
        <v>0</v>
      </c>
      <c r="BC26" s="158" t="b">
        <f t="shared" si="18"/>
        <v>0</v>
      </c>
      <c r="BD26" s="160" t="b">
        <f t="shared" si="31"/>
        <v>0</v>
      </c>
      <c r="BE26" s="159" t="b">
        <f t="shared" si="37"/>
        <v>0</v>
      </c>
      <c r="BF26" s="161" t="b">
        <f t="shared" si="20"/>
        <v>0</v>
      </c>
      <c r="BG26" s="206" t="str">
        <f t="shared" si="38"/>
        <v>NA</v>
      </c>
      <c r="BH26" s="206" t="str">
        <f t="shared" si="32"/>
        <v/>
      </c>
      <c r="BI26" s="206" t="str">
        <f t="shared" si="22"/>
        <v/>
      </c>
      <c r="BJ26" s="206" t="str">
        <f t="shared" si="23"/>
        <v/>
      </c>
      <c r="BK26" s="206" t="str">
        <f t="shared" si="24"/>
        <v/>
      </c>
      <c r="BL26" s="162" t="str">
        <f t="shared" si="33"/>
        <v/>
      </c>
      <c r="BM26" s="206" t="str">
        <f t="shared" si="25"/>
        <v/>
      </c>
      <c r="BN26" s="206" t="str">
        <f t="shared" si="26"/>
        <v/>
      </c>
      <c r="BO26" s="1387"/>
      <c r="BP26" s="104" t="s">
        <v>232</v>
      </c>
      <c r="BQ26" s="94">
        <f t="shared" si="36"/>
        <v>0.6</v>
      </c>
      <c r="BR26" s="95">
        <f t="shared" si="36"/>
        <v>0.7</v>
      </c>
      <c r="BS26" s="95">
        <f t="shared" si="36"/>
        <v>0.8</v>
      </c>
      <c r="BT26" s="95">
        <f t="shared" si="36"/>
        <v>0.9</v>
      </c>
      <c r="BU26" s="96">
        <f t="shared" si="36"/>
        <v>1</v>
      </c>
    </row>
    <row r="27" spans="2:73" s="105" customFormat="1" ht="12.95" customHeight="1" x14ac:dyDescent="0.2">
      <c r="B27" s="165" t="str">
        <f>IF(ISNA(Z27),"",IF(OR(Z27=1,Z27=2),"    ",MAX($B$8:B26)+1))</f>
        <v/>
      </c>
      <c r="C27" s="1375" t="str">
        <f t="shared" si="0"/>
        <v/>
      </c>
      <c r="D27" s="1375"/>
      <c r="E27" s="1375"/>
      <c r="F27" s="1376"/>
      <c r="G27" s="152" t="str">
        <f t="shared" si="1"/>
        <v/>
      </c>
      <c r="H27" s="153" t="str">
        <f t="shared" si="2"/>
        <v/>
      </c>
      <c r="I27" s="166" t="str">
        <f t="shared" si="2"/>
        <v/>
      </c>
      <c r="J27" s="172"/>
      <c r="K27" s="173"/>
      <c r="L27" s="1075"/>
      <c r="M27" s="1076"/>
      <c r="N27" s="1076"/>
      <c r="O27" s="1076"/>
      <c r="P27" s="1076"/>
      <c r="Q27" s="1076"/>
      <c r="R27" s="1077"/>
      <c r="T27" s="119">
        <v>20</v>
      </c>
      <c r="U27" s="110" t="e">
        <v>#N/A</v>
      </c>
      <c r="V27" s="206" t="e">
        <v>#N/A</v>
      </c>
      <c r="W27" s="206" t="e">
        <v>#N/A</v>
      </c>
      <c r="X27" s="206" t="e">
        <v>#N/A</v>
      </c>
      <c r="Y27" s="206" t="e">
        <v>#N/A</v>
      </c>
      <c r="Z27" s="160" t="e">
        <v>#N/A</v>
      </c>
      <c r="AA27" s="160" t="e">
        <v>#N/A</v>
      </c>
      <c r="AB27" s="160" t="e">
        <v>#N/A</v>
      </c>
      <c r="AC27" s="206" t="e">
        <v>#N/A</v>
      </c>
      <c r="AD27" s="206" t="e">
        <v>#N/A</v>
      </c>
      <c r="AE27" s="206" t="e">
        <v>#N/A</v>
      </c>
      <c r="AF27" s="206" t="e">
        <v>#N/A</v>
      </c>
      <c r="AG27" s="206" t="e">
        <f t="shared" si="3"/>
        <v>#N/A</v>
      </c>
      <c r="AH27" s="206" t="str">
        <f t="shared" si="4"/>
        <v/>
      </c>
      <c r="AI27" s="86" t="e">
        <f>IF(NOT(OR(Z27=1,Z27=2)),IF(AQ27&gt;0,$AR$44*AQ27/SUMIF($AQ$8:$AQ$39,"&gt;0"),IF(AU27&gt;0,$AV$44*AU27/SUMIF($AU$8:$AU$39,"&gt;0"),IF(AS27&gt;0,$AT$44*AS27/SUMIF($AS$8:$AS$39,"&gt;0"),""))),IF(SUMIF(AJ28:$AJ$39,"=" &amp; AJ27,AI28:$AI$39)=0,"",SUMIF(AJ28:$AJ$39,"=" &amp; AJ27,AI28:$AI$39)))</f>
        <v>#N/A</v>
      </c>
      <c r="AJ27" s="87" t="e">
        <f t="shared" si="34"/>
        <v>#N/A</v>
      </c>
      <c r="AK27" s="206" t="str">
        <f t="shared" si="27"/>
        <v/>
      </c>
      <c r="AL27" s="160" t="str">
        <f t="shared" si="28"/>
        <v/>
      </c>
      <c r="AM27" s="160" t="str">
        <f t="shared" si="35"/>
        <v/>
      </c>
      <c r="AN27" s="160" t="str">
        <f t="shared" si="5"/>
        <v/>
      </c>
      <c r="AO27" s="160" t="e">
        <f t="shared" si="6"/>
        <v>#N/A</v>
      </c>
      <c r="AP27" s="206" t="str">
        <f t="shared" si="7"/>
        <v/>
      </c>
      <c r="AQ27" s="157">
        <f t="shared" si="29"/>
        <v>0</v>
      </c>
      <c r="AR27" s="88" t="str">
        <f t="shared" si="8"/>
        <v/>
      </c>
      <c r="AS27" s="89">
        <f t="shared" si="30"/>
        <v>0</v>
      </c>
      <c r="AT27" s="88" t="str">
        <f t="shared" si="9"/>
        <v/>
      </c>
      <c r="AU27" s="158">
        <f t="shared" si="10"/>
        <v>0</v>
      </c>
      <c r="AV27" s="90" t="str">
        <f t="shared" si="11"/>
        <v/>
      </c>
      <c r="AW27" s="158" t="b">
        <f t="shared" si="12"/>
        <v>0</v>
      </c>
      <c r="AX27" s="159" t="b">
        <f t="shared" si="13"/>
        <v>0</v>
      </c>
      <c r="AY27" s="158" t="b">
        <f t="shared" si="14"/>
        <v>0</v>
      </c>
      <c r="AZ27" s="159" t="b">
        <f t="shared" si="15"/>
        <v>0</v>
      </c>
      <c r="BA27" s="206" t="b">
        <f t="shared" si="16"/>
        <v>0</v>
      </c>
      <c r="BB27" s="206" t="b">
        <f t="shared" si="17"/>
        <v>0</v>
      </c>
      <c r="BC27" s="158" t="b">
        <f t="shared" si="18"/>
        <v>0</v>
      </c>
      <c r="BD27" s="160" t="b">
        <f t="shared" si="31"/>
        <v>0</v>
      </c>
      <c r="BE27" s="159" t="b">
        <f t="shared" si="37"/>
        <v>0</v>
      </c>
      <c r="BF27" s="161" t="b">
        <f t="shared" si="20"/>
        <v>0</v>
      </c>
      <c r="BG27" s="206" t="str">
        <f t="shared" si="38"/>
        <v>NA</v>
      </c>
      <c r="BH27" s="206" t="str">
        <f t="shared" si="32"/>
        <v/>
      </c>
      <c r="BI27" s="206" t="str">
        <f t="shared" si="22"/>
        <v/>
      </c>
      <c r="BJ27" s="206" t="str">
        <f t="shared" si="23"/>
        <v/>
      </c>
      <c r="BK27" s="206" t="str">
        <f t="shared" si="24"/>
        <v/>
      </c>
      <c r="BL27" s="162" t="str">
        <f t="shared" si="33"/>
        <v/>
      </c>
      <c r="BM27" s="206" t="str">
        <f t="shared" si="25"/>
        <v/>
      </c>
      <c r="BN27" s="206" t="str">
        <f t="shared" si="26"/>
        <v/>
      </c>
      <c r="BO27" s="1387"/>
      <c r="BP27" s="104" t="s">
        <v>233</v>
      </c>
      <c r="BQ27" s="94">
        <f t="shared" si="36"/>
        <v>0.3</v>
      </c>
      <c r="BR27" s="95">
        <f t="shared" si="36"/>
        <v>0.6</v>
      </c>
      <c r="BS27" s="95">
        <f t="shared" si="36"/>
        <v>0.9</v>
      </c>
      <c r="BT27" s="95">
        <f t="shared" si="36"/>
        <v>0.95</v>
      </c>
      <c r="BU27" s="96">
        <f t="shared" si="36"/>
        <v>1</v>
      </c>
    </row>
    <row r="28" spans="2:73" s="105" customFormat="1" ht="12.95" customHeight="1" x14ac:dyDescent="0.2">
      <c r="B28" s="165" t="str">
        <f>IF(ISNA(Z28),"",IF(OR(Z28=1,Z28=2),"    ",MAX($B$8:B27)+1))</f>
        <v/>
      </c>
      <c r="C28" s="1375" t="str">
        <f t="shared" si="0"/>
        <v/>
      </c>
      <c r="D28" s="1375"/>
      <c r="E28" s="1375"/>
      <c r="F28" s="1376"/>
      <c r="G28" s="152" t="str">
        <f t="shared" si="1"/>
        <v/>
      </c>
      <c r="H28" s="153" t="str">
        <f t="shared" si="2"/>
        <v/>
      </c>
      <c r="I28" s="166" t="str">
        <f t="shared" si="2"/>
        <v/>
      </c>
      <c r="J28" s="172"/>
      <c r="K28" s="173"/>
      <c r="L28" s="1075"/>
      <c r="M28" s="1076"/>
      <c r="N28" s="1076"/>
      <c r="O28" s="1076"/>
      <c r="P28" s="1076"/>
      <c r="Q28" s="1076"/>
      <c r="R28" s="1077"/>
      <c r="T28" s="119">
        <v>21</v>
      </c>
      <c r="U28" s="110" t="e">
        <v>#N/A</v>
      </c>
      <c r="V28" s="206" t="e">
        <v>#N/A</v>
      </c>
      <c r="W28" s="206" t="e">
        <v>#N/A</v>
      </c>
      <c r="X28" s="206" t="e">
        <v>#N/A</v>
      </c>
      <c r="Y28" s="206" t="e">
        <v>#N/A</v>
      </c>
      <c r="Z28" s="160" t="e">
        <v>#N/A</v>
      </c>
      <c r="AA28" s="160" t="e">
        <v>#N/A</v>
      </c>
      <c r="AB28" s="160" t="e">
        <v>#N/A</v>
      </c>
      <c r="AC28" s="206" t="e">
        <v>#N/A</v>
      </c>
      <c r="AD28" s="206" t="e">
        <v>#N/A</v>
      </c>
      <c r="AE28" s="206" t="e">
        <v>#N/A</v>
      </c>
      <c r="AF28" s="206" t="e">
        <v>#N/A</v>
      </c>
      <c r="AG28" s="206" t="e">
        <f t="shared" si="3"/>
        <v>#N/A</v>
      </c>
      <c r="AH28" s="206" t="str">
        <f t="shared" si="4"/>
        <v/>
      </c>
      <c r="AI28" s="86" t="e">
        <f>IF(NOT(OR(Z28=1,Z28=2)),IF(AQ28&gt;0,$AR$44*AQ28/SUMIF($AQ$8:$AQ$39,"&gt;0"),IF(AU28&gt;0,$AV$44*AU28/SUMIF($AU$8:$AU$39,"&gt;0"),IF(AS28&gt;0,$AT$44*AS28/SUMIF($AS$8:$AS$39,"&gt;0"),""))),IF(SUMIF(AJ29:$AJ$39,"=" &amp; AJ28,AI29:$AI$39)=0,"",SUMIF(AJ29:$AJ$39,"=" &amp; AJ28,AI29:$AI$39)))</f>
        <v>#N/A</v>
      </c>
      <c r="AJ28" s="87" t="e">
        <f t="shared" si="34"/>
        <v>#N/A</v>
      </c>
      <c r="AK28" s="206" t="str">
        <f t="shared" si="27"/>
        <v/>
      </c>
      <c r="AL28" s="160" t="str">
        <f t="shared" si="28"/>
        <v/>
      </c>
      <c r="AM28" s="160" t="str">
        <f t="shared" si="35"/>
        <v/>
      </c>
      <c r="AN28" s="160" t="str">
        <f t="shared" si="5"/>
        <v/>
      </c>
      <c r="AO28" s="160" t="e">
        <f t="shared" si="6"/>
        <v>#N/A</v>
      </c>
      <c r="AP28" s="206" t="str">
        <f t="shared" si="7"/>
        <v/>
      </c>
      <c r="AQ28" s="157">
        <f t="shared" si="29"/>
        <v>0</v>
      </c>
      <c r="AR28" s="88" t="str">
        <f t="shared" si="8"/>
        <v/>
      </c>
      <c r="AS28" s="89">
        <f t="shared" si="30"/>
        <v>0</v>
      </c>
      <c r="AT28" s="88" t="str">
        <f t="shared" si="9"/>
        <v/>
      </c>
      <c r="AU28" s="158">
        <f t="shared" si="10"/>
        <v>0</v>
      </c>
      <c r="AV28" s="90" t="str">
        <f t="shared" si="11"/>
        <v/>
      </c>
      <c r="AW28" s="158" t="b">
        <f t="shared" si="12"/>
        <v>0</v>
      </c>
      <c r="AX28" s="159" t="b">
        <f t="shared" si="13"/>
        <v>0</v>
      </c>
      <c r="AY28" s="158" t="b">
        <f t="shared" si="14"/>
        <v>0</v>
      </c>
      <c r="AZ28" s="159" t="b">
        <f t="shared" si="15"/>
        <v>0</v>
      </c>
      <c r="BA28" s="206" t="b">
        <f t="shared" si="16"/>
        <v>0</v>
      </c>
      <c r="BB28" s="206" t="b">
        <f t="shared" si="17"/>
        <v>0</v>
      </c>
      <c r="BC28" s="158" t="b">
        <f t="shared" si="18"/>
        <v>0</v>
      </c>
      <c r="BD28" s="160" t="b">
        <f t="shared" si="31"/>
        <v>0</v>
      </c>
      <c r="BE28" s="159" t="b">
        <f t="shared" si="37"/>
        <v>0</v>
      </c>
      <c r="BF28" s="161" t="b">
        <f t="shared" si="20"/>
        <v>0</v>
      </c>
      <c r="BG28" s="206" t="str">
        <f t="shared" si="38"/>
        <v>NA</v>
      </c>
      <c r="BH28" s="206" t="str">
        <f t="shared" si="32"/>
        <v/>
      </c>
      <c r="BI28" s="206" t="str">
        <f t="shared" si="22"/>
        <v/>
      </c>
      <c r="BJ28" s="206" t="str">
        <f t="shared" si="23"/>
        <v/>
      </c>
      <c r="BK28" s="206" t="str">
        <f t="shared" si="24"/>
        <v/>
      </c>
      <c r="BL28" s="162" t="str">
        <f t="shared" si="33"/>
        <v/>
      </c>
      <c r="BM28" s="206" t="str">
        <f t="shared" si="25"/>
        <v/>
      </c>
      <c r="BN28" s="206" t="str">
        <f t="shared" si="26"/>
        <v/>
      </c>
      <c r="BO28" s="1387"/>
      <c r="BP28" s="104" t="s">
        <v>234</v>
      </c>
      <c r="BQ28" s="94">
        <f t="shared" si="36"/>
        <v>0.3</v>
      </c>
      <c r="BR28" s="95">
        <f t="shared" si="36"/>
        <v>0.6</v>
      </c>
      <c r="BS28" s="95">
        <f t="shared" si="36"/>
        <v>0.7</v>
      </c>
      <c r="BT28" s="95">
        <f t="shared" si="36"/>
        <v>0.9</v>
      </c>
      <c r="BU28" s="96">
        <f t="shared" si="36"/>
        <v>1</v>
      </c>
    </row>
    <row r="29" spans="2:73" s="105" customFormat="1" ht="12.95" customHeight="1" x14ac:dyDescent="0.2">
      <c r="B29" s="165" t="str">
        <f>IF(ISNA(Z29),"",IF(OR(Z29=1,Z29=2),"    ",MAX($B$8:B28)+1))</f>
        <v/>
      </c>
      <c r="C29" s="1375" t="str">
        <f t="shared" si="0"/>
        <v/>
      </c>
      <c r="D29" s="1375"/>
      <c r="E29" s="1375"/>
      <c r="F29" s="1376"/>
      <c r="G29" s="152" t="str">
        <f t="shared" si="1"/>
        <v/>
      </c>
      <c r="H29" s="153" t="str">
        <f t="shared" si="2"/>
        <v/>
      </c>
      <c r="I29" s="166" t="str">
        <f t="shared" si="2"/>
        <v/>
      </c>
      <c r="J29" s="172"/>
      <c r="K29" s="173"/>
      <c r="L29" s="1075"/>
      <c r="M29" s="1076"/>
      <c r="N29" s="1076"/>
      <c r="O29" s="1076"/>
      <c r="P29" s="1076"/>
      <c r="Q29" s="1076"/>
      <c r="R29" s="1077"/>
      <c r="T29" s="119">
        <v>22</v>
      </c>
      <c r="U29" s="110" t="e">
        <v>#N/A</v>
      </c>
      <c r="V29" s="206" t="e">
        <v>#N/A</v>
      </c>
      <c r="W29" s="206" t="e">
        <v>#N/A</v>
      </c>
      <c r="X29" s="206" t="e">
        <v>#N/A</v>
      </c>
      <c r="Y29" s="206" t="e">
        <v>#N/A</v>
      </c>
      <c r="Z29" s="160" t="e">
        <v>#N/A</v>
      </c>
      <c r="AA29" s="160" t="e">
        <v>#N/A</v>
      </c>
      <c r="AB29" s="160" t="e">
        <v>#N/A</v>
      </c>
      <c r="AC29" s="206" t="e">
        <v>#N/A</v>
      </c>
      <c r="AD29" s="206" t="e">
        <v>#N/A</v>
      </c>
      <c r="AE29" s="206" t="e">
        <v>#N/A</v>
      </c>
      <c r="AF29" s="206" t="e">
        <v>#N/A</v>
      </c>
      <c r="AG29" s="206" t="e">
        <f t="shared" si="3"/>
        <v>#N/A</v>
      </c>
      <c r="AH29" s="206" t="str">
        <f t="shared" si="4"/>
        <v/>
      </c>
      <c r="AI29" s="86" t="e">
        <f>IF(NOT(OR(Z29=1,Z29=2)),IF(AQ29&gt;0,$AR$44*AQ29/SUMIF($AQ$8:$AQ$39,"&gt;0"),IF(AU29&gt;0,$AV$44*AU29/SUMIF($AU$8:$AU$39,"&gt;0"),IF(AS29&gt;0,$AT$44*AS29/SUMIF($AS$8:$AS$39,"&gt;0"),""))),IF(SUMIF(AJ30:$AJ$39,"=" &amp; AJ29,AI30:$AI$39)=0,"",SUMIF(AJ30:$AJ$39,"=" &amp; AJ29,AI30:$AI$39)))</f>
        <v>#N/A</v>
      </c>
      <c r="AJ29" s="87" t="e">
        <f t="shared" si="34"/>
        <v>#N/A</v>
      </c>
      <c r="AK29" s="206" t="str">
        <f t="shared" si="27"/>
        <v/>
      </c>
      <c r="AL29" s="160" t="str">
        <f t="shared" si="28"/>
        <v/>
      </c>
      <c r="AM29" s="160" t="str">
        <f t="shared" si="35"/>
        <v/>
      </c>
      <c r="AN29" s="160" t="str">
        <f t="shared" si="5"/>
        <v/>
      </c>
      <c r="AO29" s="160" t="e">
        <f t="shared" si="6"/>
        <v>#N/A</v>
      </c>
      <c r="AP29" s="206" t="str">
        <f t="shared" si="7"/>
        <v/>
      </c>
      <c r="AQ29" s="157">
        <f t="shared" si="29"/>
        <v>0</v>
      </c>
      <c r="AR29" s="88" t="str">
        <f t="shared" si="8"/>
        <v/>
      </c>
      <c r="AS29" s="89">
        <f t="shared" si="30"/>
        <v>0</v>
      </c>
      <c r="AT29" s="88" t="str">
        <f t="shared" si="9"/>
        <v/>
      </c>
      <c r="AU29" s="158">
        <f t="shared" si="10"/>
        <v>0</v>
      </c>
      <c r="AV29" s="90" t="str">
        <f t="shared" si="11"/>
        <v/>
      </c>
      <c r="AW29" s="158" t="b">
        <f t="shared" si="12"/>
        <v>0</v>
      </c>
      <c r="AX29" s="159" t="b">
        <f t="shared" si="13"/>
        <v>0</v>
      </c>
      <c r="AY29" s="158" t="b">
        <f t="shared" si="14"/>
        <v>0</v>
      </c>
      <c r="AZ29" s="159" t="b">
        <f t="shared" si="15"/>
        <v>0</v>
      </c>
      <c r="BA29" s="206" t="b">
        <f t="shared" si="16"/>
        <v>0</v>
      </c>
      <c r="BB29" s="206" t="b">
        <f t="shared" si="17"/>
        <v>0</v>
      </c>
      <c r="BC29" s="158" t="b">
        <f t="shared" si="18"/>
        <v>0</v>
      </c>
      <c r="BD29" s="160" t="b">
        <f t="shared" si="31"/>
        <v>0</v>
      </c>
      <c r="BE29" s="159" t="b">
        <f t="shared" si="37"/>
        <v>0</v>
      </c>
      <c r="BF29" s="161" t="b">
        <f t="shared" si="20"/>
        <v>0</v>
      </c>
      <c r="BG29" s="206" t="str">
        <f t="shared" si="38"/>
        <v>NA</v>
      </c>
      <c r="BH29" s="206" t="str">
        <f t="shared" si="32"/>
        <v/>
      </c>
      <c r="BI29" s="206" t="str">
        <f t="shared" si="22"/>
        <v/>
      </c>
      <c r="BJ29" s="206" t="str">
        <f t="shared" si="23"/>
        <v/>
      </c>
      <c r="BK29" s="206" t="str">
        <f t="shared" si="24"/>
        <v/>
      </c>
      <c r="BL29" s="162" t="str">
        <f t="shared" si="33"/>
        <v/>
      </c>
      <c r="BM29" s="206" t="str">
        <f t="shared" si="25"/>
        <v/>
      </c>
      <c r="BN29" s="206" t="str">
        <f t="shared" si="26"/>
        <v/>
      </c>
      <c r="BO29" s="1387"/>
      <c r="BP29" s="104" t="s">
        <v>235</v>
      </c>
      <c r="BQ29" s="97">
        <f t="shared" si="36"/>
        <v>0</v>
      </c>
      <c r="BR29" s="98">
        <f t="shared" si="36"/>
        <v>0.3</v>
      </c>
      <c r="BS29" s="98">
        <f t="shared" si="36"/>
        <v>0.6</v>
      </c>
      <c r="BT29" s="98">
        <f t="shared" si="36"/>
        <v>0.9</v>
      </c>
      <c r="BU29" s="99">
        <f t="shared" si="36"/>
        <v>1</v>
      </c>
    </row>
    <row r="30" spans="2:73" s="105" customFormat="1" ht="12.95" customHeight="1" x14ac:dyDescent="0.2">
      <c r="B30" s="165" t="str">
        <f>IF(ISNA(Z30),"",IF(OR(Z30=1,Z30=2),"    ",MAX($B$8:B29)+1))</f>
        <v/>
      </c>
      <c r="C30" s="1375" t="str">
        <f t="shared" si="0"/>
        <v/>
      </c>
      <c r="D30" s="1375"/>
      <c r="E30" s="1375"/>
      <c r="F30" s="1376"/>
      <c r="G30" s="152" t="str">
        <f t="shared" si="1"/>
        <v/>
      </c>
      <c r="H30" s="153" t="str">
        <f t="shared" si="2"/>
        <v/>
      </c>
      <c r="I30" s="166" t="str">
        <f t="shared" si="2"/>
        <v/>
      </c>
      <c r="J30" s="172"/>
      <c r="K30" s="173"/>
      <c r="L30" s="1075"/>
      <c r="M30" s="1076"/>
      <c r="N30" s="1076"/>
      <c r="O30" s="1076"/>
      <c r="P30" s="1076"/>
      <c r="Q30" s="1076"/>
      <c r="R30" s="1077"/>
      <c r="T30" s="119">
        <v>23</v>
      </c>
      <c r="U30" s="110" t="e">
        <v>#N/A</v>
      </c>
      <c r="V30" s="206" t="e">
        <v>#N/A</v>
      </c>
      <c r="W30" s="206" t="e">
        <v>#N/A</v>
      </c>
      <c r="X30" s="206" t="e">
        <v>#N/A</v>
      </c>
      <c r="Y30" s="206" t="e">
        <v>#N/A</v>
      </c>
      <c r="Z30" s="160" t="e">
        <v>#N/A</v>
      </c>
      <c r="AA30" s="160" t="e">
        <v>#N/A</v>
      </c>
      <c r="AB30" s="160" t="e">
        <v>#N/A</v>
      </c>
      <c r="AC30" s="206" t="e">
        <v>#N/A</v>
      </c>
      <c r="AD30" s="206" t="e">
        <v>#N/A</v>
      </c>
      <c r="AE30" s="206" t="e">
        <v>#N/A</v>
      </c>
      <c r="AF30" s="206" t="e">
        <v>#N/A</v>
      </c>
      <c r="AG30" s="206" t="e">
        <f t="shared" si="3"/>
        <v>#N/A</v>
      </c>
      <c r="AH30" s="206" t="str">
        <f t="shared" si="4"/>
        <v/>
      </c>
      <c r="AI30" s="86" t="e">
        <f>IF(NOT(OR(Z30=1,Z30=2)),IF(AQ30&gt;0,$AR$44*AQ30/SUMIF($AQ$8:$AQ$39,"&gt;0"),IF(AU30&gt;0,$AV$44*AU30/SUMIF($AU$8:$AU$39,"&gt;0"),IF(AS30&gt;0,$AT$44*AS30/SUMIF($AS$8:$AS$39,"&gt;0"),""))),IF(SUMIF(AJ31:$AJ$39,"=" &amp; AJ30,AI31:$AI$39)=0,"",SUMIF(AJ31:$AJ$39,"=" &amp; AJ30,AI31:$AI$39)))</f>
        <v>#N/A</v>
      </c>
      <c r="AJ30" s="87" t="e">
        <f t="shared" si="34"/>
        <v>#N/A</v>
      </c>
      <c r="AK30" s="206" t="str">
        <f t="shared" si="27"/>
        <v/>
      </c>
      <c r="AL30" s="160" t="str">
        <f t="shared" si="28"/>
        <v/>
      </c>
      <c r="AM30" s="160" t="str">
        <f t="shared" si="35"/>
        <v/>
      </c>
      <c r="AN30" s="160" t="str">
        <f t="shared" si="5"/>
        <v/>
      </c>
      <c r="AO30" s="160" t="e">
        <f t="shared" si="6"/>
        <v>#N/A</v>
      </c>
      <c r="AP30" s="206" t="str">
        <f t="shared" si="7"/>
        <v/>
      </c>
      <c r="AQ30" s="157">
        <f t="shared" si="29"/>
        <v>0</v>
      </c>
      <c r="AR30" s="88" t="str">
        <f t="shared" si="8"/>
        <v/>
      </c>
      <c r="AS30" s="89">
        <f t="shared" si="30"/>
        <v>0</v>
      </c>
      <c r="AT30" s="88" t="str">
        <f t="shared" si="9"/>
        <v/>
      </c>
      <c r="AU30" s="158">
        <f t="shared" si="10"/>
        <v>0</v>
      </c>
      <c r="AV30" s="90" t="str">
        <f t="shared" si="11"/>
        <v/>
      </c>
      <c r="AW30" s="158" t="b">
        <f t="shared" si="12"/>
        <v>0</v>
      </c>
      <c r="AX30" s="159" t="b">
        <f t="shared" si="13"/>
        <v>0</v>
      </c>
      <c r="AY30" s="158" t="b">
        <f t="shared" si="14"/>
        <v>0</v>
      </c>
      <c r="AZ30" s="159" t="b">
        <f t="shared" si="15"/>
        <v>0</v>
      </c>
      <c r="BA30" s="206" t="b">
        <f t="shared" si="16"/>
        <v>0</v>
      </c>
      <c r="BB30" s="206" t="b">
        <f t="shared" si="17"/>
        <v>0</v>
      </c>
      <c r="BC30" s="158" t="b">
        <f t="shared" si="18"/>
        <v>0</v>
      </c>
      <c r="BD30" s="160" t="b">
        <f t="shared" si="31"/>
        <v>0</v>
      </c>
      <c r="BE30" s="159" t="b">
        <f t="shared" si="37"/>
        <v>0</v>
      </c>
      <c r="BF30" s="161" t="b">
        <f t="shared" si="20"/>
        <v>0</v>
      </c>
      <c r="BG30" s="206" t="str">
        <f t="shared" si="38"/>
        <v>NA</v>
      </c>
      <c r="BH30" s="206" t="str">
        <f t="shared" si="32"/>
        <v/>
      </c>
      <c r="BI30" s="206" t="str">
        <f t="shared" si="22"/>
        <v/>
      </c>
      <c r="BJ30" s="206" t="str">
        <f t="shared" si="23"/>
        <v/>
      </c>
      <c r="BK30" s="206" t="str">
        <f t="shared" si="24"/>
        <v/>
      </c>
      <c r="BL30" s="162" t="str">
        <f t="shared" si="33"/>
        <v/>
      </c>
      <c r="BM30" s="206" t="str">
        <f t="shared" si="25"/>
        <v/>
      </c>
      <c r="BN30" s="206" t="str">
        <f t="shared" si="26"/>
        <v/>
      </c>
      <c r="BO30" s="106"/>
    </row>
    <row r="31" spans="2:73" s="105" customFormat="1" ht="12.95" customHeight="1" x14ac:dyDescent="0.2">
      <c r="B31" s="165" t="str">
        <f>IF(ISNA(Z31),"",IF(OR(Z31=1,Z31=2),"    ",MAX($B$8:B30)+1))</f>
        <v/>
      </c>
      <c r="C31" s="1375" t="str">
        <f t="shared" si="0"/>
        <v/>
      </c>
      <c r="D31" s="1375"/>
      <c r="E31" s="1375"/>
      <c r="F31" s="1376"/>
      <c r="G31" s="152" t="str">
        <f t="shared" si="1"/>
        <v/>
      </c>
      <c r="H31" s="153" t="str">
        <f t="shared" si="2"/>
        <v/>
      </c>
      <c r="I31" s="166" t="str">
        <f t="shared" si="2"/>
        <v/>
      </c>
      <c r="J31" s="172"/>
      <c r="K31" s="173"/>
      <c r="L31" s="1075"/>
      <c r="M31" s="1076"/>
      <c r="N31" s="1076"/>
      <c r="O31" s="1076"/>
      <c r="P31" s="1076"/>
      <c r="Q31" s="1076"/>
      <c r="R31" s="1077"/>
      <c r="T31" s="119">
        <v>24</v>
      </c>
      <c r="U31" s="110" t="e">
        <v>#N/A</v>
      </c>
      <c r="V31" s="206" t="e">
        <v>#N/A</v>
      </c>
      <c r="W31" s="206" t="e">
        <v>#N/A</v>
      </c>
      <c r="X31" s="206" t="e">
        <v>#N/A</v>
      </c>
      <c r="Y31" s="206" t="e">
        <v>#N/A</v>
      </c>
      <c r="Z31" s="160" t="e">
        <v>#N/A</v>
      </c>
      <c r="AA31" s="160" t="e">
        <v>#N/A</v>
      </c>
      <c r="AB31" s="160" t="e">
        <v>#N/A</v>
      </c>
      <c r="AC31" s="206" t="e">
        <v>#N/A</v>
      </c>
      <c r="AD31" s="206" t="e">
        <v>#N/A</v>
      </c>
      <c r="AE31" s="206" t="e">
        <v>#N/A</v>
      </c>
      <c r="AF31" s="206" t="e">
        <v>#N/A</v>
      </c>
      <c r="AG31" s="206" t="e">
        <f t="shared" si="3"/>
        <v>#N/A</v>
      </c>
      <c r="AH31" s="206" t="str">
        <f t="shared" si="4"/>
        <v/>
      </c>
      <c r="AI31" s="86" t="e">
        <f>IF(NOT(OR(Z31=1,Z31=2)),IF(AQ31&gt;0,$AR$44*AQ31/SUMIF($AQ$8:$AQ$39,"&gt;0"),IF(AU31&gt;0,$AV$44*AU31/SUMIF($AU$8:$AU$39,"&gt;0"),IF(AS31&gt;0,$AT$44*AS31/SUMIF($AS$8:$AS$39,"&gt;0"),""))),IF(SUMIF(AJ32:$AJ$39,"=" &amp; AJ31,AI32:$AI$39)=0,"",SUMIF(AJ32:$AJ$39,"=" &amp; AJ31,AI32:$AI$39)))</f>
        <v>#N/A</v>
      </c>
      <c r="AJ31" s="87" t="e">
        <f t="shared" si="34"/>
        <v>#N/A</v>
      </c>
      <c r="AK31" s="206" t="str">
        <f t="shared" si="27"/>
        <v/>
      </c>
      <c r="AL31" s="160" t="str">
        <f t="shared" si="28"/>
        <v/>
      </c>
      <c r="AM31" s="160" t="str">
        <f t="shared" si="35"/>
        <v/>
      </c>
      <c r="AN31" s="160" t="str">
        <f t="shared" si="5"/>
        <v/>
      </c>
      <c r="AO31" s="160" t="e">
        <f t="shared" si="6"/>
        <v>#N/A</v>
      </c>
      <c r="AP31" s="206" t="str">
        <f t="shared" si="7"/>
        <v/>
      </c>
      <c r="AQ31" s="157">
        <f t="shared" si="29"/>
        <v>0</v>
      </c>
      <c r="AR31" s="88" t="str">
        <f t="shared" si="8"/>
        <v/>
      </c>
      <c r="AS31" s="89">
        <f t="shared" si="30"/>
        <v>0</v>
      </c>
      <c r="AT31" s="88" t="str">
        <f t="shared" si="9"/>
        <v/>
      </c>
      <c r="AU31" s="158">
        <f t="shared" si="10"/>
        <v>0</v>
      </c>
      <c r="AV31" s="90" t="str">
        <f t="shared" si="11"/>
        <v/>
      </c>
      <c r="AW31" s="158" t="b">
        <f t="shared" si="12"/>
        <v>0</v>
      </c>
      <c r="AX31" s="159" t="b">
        <f t="shared" si="13"/>
        <v>0</v>
      </c>
      <c r="AY31" s="158" t="b">
        <f t="shared" si="14"/>
        <v>0</v>
      </c>
      <c r="AZ31" s="159" t="b">
        <f t="shared" si="15"/>
        <v>0</v>
      </c>
      <c r="BA31" s="206" t="b">
        <f t="shared" si="16"/>
        <v>0</v>
      </c>
      <c r="BB31" s="206" t="b">
        <f t="shared" si="17"/>
        <v>0</v>
      </c>
      <c r="BC31" s="158" t="b">
        <f t="shared" si="18"/>
        <v>0</v>
      </c>
      <c r="BD31" s="160" t="b">
        <f>IF(OR(ISNA($Z31),ISNUMBER($Z31),NOT(ISNUMBER(K31))),FALSE,OR(NOT(ISNUMBER(J31)),J31=0,AND(J31=0,K31&lt;&gt;0)))</f>
        <v>0</v>
      </c>
      <c r="BE31" s="159" t="b">
        <f t="shared" si="37"/>
        <v>0</v>
      </c>
      <c r="BF31" s="161" t="b">
        <f>IF(OR(ISNA($Z31),H31&lt;&gt;"NG"),FALSE,IF(AND(J31="NA",K31&lt;&gt;""),TRUE,FALSE))</f>
        <v>0</v>
      </c>
      <c r="BG31" s="206" t="str">
        <f t="shared" si="38"/>
        <v>NA</v>
      </c>
      <c r="BH31" s="206" t="str">
        <f t="shared" si="32"/>
        <v/>
      </c>
      <c r="BI31" s="206" t="str">
        <f t="shared" si="22"/>
        <v/>
      </c>
      <c r="BJ31" s="206" t="str">
        <f t="shared" si="23"/>
        <v/>
      </c>
      <c r="BK31" s="206" t="str">
        <f t="shared" si="24"/>
        <v/>
      </c>
      <c r="BL31" s="162" t="str">
        <f t="shared" si="33"/>
        <v/>
      </c>
      <c r="BM31" s="206" t="str">
        <f t="shared" si="25"/>
        <v/>
      </c>
      <c r="BN31" s="206" t="str">
        <f t="shared" si="26"/>
        <v/>
      </c>
      <c r="BO31" s="169" t="s">
        <v>236</v>
      </c>
      <c r="BP31" s="175" t="s">
        <v>237</v>
      </c>
    </row>
    <row r="32" spans="2:73" s="105" customFormat="1" ht="12.95" customHeight="1" x14ac:dyDescent="0.2">
      <c r="B32" s="165" t="str">
        <f>IF(ISNA(Z32),"",IF(OR(Z32=1,Z32=2),"    ",MAX($B$8:B31)+1))</f>
        <v/>
      </c>
      <c r="C32" s="1375" t="str">
        <f t="shared" si="0"/>
        <v/>
      </c>
      <c r="D32" s="1375"/>
      <c r="E32" s="1375"/>
      <c r="F32" s="1376"/>
      <c r="G32" s="152" t="str">
        <f t="shared" si="1"/>
        <v/>
      </c>
      <c r="H32" s="153" t="str">
        <f t="shared" si="2"/>
        <v/>
      </c>
      <c r="I32" s="166" t="str">
        <f t="shared" si="2"/>
        <v/>
      </c>
      <c r="J32" s="172"/>
      <c r="K32" s="173"/>
      <c r="L32" s="1075"/>
      <c r="M32" s="1076"/>
      <c r="N32" s="1076"/>
      <c r="O32" s="1076"/>
      <c r="P32" s="1076"/>
      <c r="Q32" s="1076"/>
      <c r="R32" s="1077"/>
      <c r="T32" s="119">
        <v>25</v>
      </c>
      <c r="U32" s="110" t="e">
        <v>#N/A</v>
      </c>
      <c r="V32" s="206" t="e">
        <v>#N/A</v>
      </c>
      <c r="W32" s="206" t="e">
        <v>#N/A</v>
      </c>
      <c r="X32" s="206" t="e">
        <v>#N/A</v>
      </c>
      <c r="Y32" s="206" t="e">
        <v>#N/A</v>
      </c>
      <c r="Z32" s="160" t="e">
        <v>#N/A</v>
      </c>
      <c r="AA32" s="160" t="e">
        <v>#N/A</v>
      </c>
      <c r="AB32" s="160" t="e">
        <v>#N/A</v>
      </c>
      <c r="AC32" s="206" t="e">
        <v>#N/A</v>
      </c>
      <c r="AD32" s="206" t="e">
        <v>#N/A</v>
      </c>
      <c r="AE32" s="206" t="e">
        <v>#N/A</v>
      </c>
      <c r="AF32" s="206" t="e">
        <v>#N/A</v>
      </c>
      <c r="AG32" s="206" t="e">
        <f t="shared" si="3"/>
        <v>#N/A</v>
      </c>
      <c r="AH32" s="206" t="str">
        <f t="shared" si="4"/>
        <v/>
      </c>
      <c r="AI32" s="86" t="e">
        <f>IF(NOT(OR(Z32=1,Z32=2)),IF(AQ32&gt;0,$AR$44*AQ32/SUMIF($AQ$8:$AQ$39,"&gt;0"),IF(AU32&gt;0,$AV$44*AU32/SUMIF($AU$8:$AU$39,"&gt;0"),IF(AS32&gt;0,$AT$44*AS32/SUMIF($AS$8:$AS$39,"&gt;0"),""))),IF(SUMIF(AJ33:$AJ$39,"=" &amp; AJ32,AI33:$AI$39)=0,"",SUMIF(AJ33:$AJ$39,"=" &amp; AJ32,AI33:$AI$39)))</f>
        <v>#N/A</v>
      </c>
      <c r="AJ32" s="87" t="e">
        <f t="shared" si="34"/>
        <v>#N/A</v>
      </c>
      <c r="AK32" s="206" t="str">
        <f t="shared" si="27"/>
        <v/>
      </c>
      <c r="AL32" s="160" t="str">
        <f t="shared" si="28"/>
        <v/>
      </c>
      <c r="AM32" s="160" t="str">
        <f t="shared" si="35"/>
        <v/>
      </c>
      <c r="AN32" s="160" t="str">
        <f t="shared" si="5"/>
        <v/>
      </c>
      <c r="AO32" s="160" t="e">
        <f t="shared" si="6"/>
        <v>#N/A</v>
      </c>
      <c r="AP32" s="206" t="str">
        <f t="shared" si="7"/>
        <v/>
      </c>
      <c r="AQ32" s="157">
        <f t="shared" si="29"/>
        <v>0</v>
      </c>
      <c r="AR32" s="88" t="str">
        <f t="shared" si="8"/>
        <v/>
      </c>
      <c r="AS32" s="89">
        <f t="shared" si="30"/>
        <v>0</v>
      </c>
      <c r="AT32" s="88" t="str">
        <f t="shared" si="9"/>
        <v/>
      </c>
      <c r="AU32" s="158">
        <f t="shared" si="10"/>
        <v>0</v>
      </c>
      <c r="AV32" s="90" t="str">
        <f t="shared" si="11"/>
        <v/>
      </c>
      <c r="AW32" s="158" t="b">
        <f t="shared" si="12"/>
        <v>0</v>
      </c>
      <c r="AX32" s="159" t="b">
        <f t="shared" si="13"/>
        <v>0</v>
      </c>
      <c r="AY32" s="158" t="b">
        <f t="shared" si="14"/>
        <v>0</v>
      </c>
      <c r="AZ32" s="159" t="b">
        <f t="shared" si="15"/>
        <v>0</v>
      </c>
      <c r="BA32" s="206" t="b">
        <f t="shared" si="16"/>
        <v>0</v>
      </c>
      <c r="BB32" s="206" t="b">
        <f t="shared" si="17"/>
        <v>0</v>
      </c>
      <c r="BC32" s="158" t="b">
        <f t="shared" si="18"/>
        <v>0</v>
      </c>
      <c r="BD32" s="160" t="b">
        <f t="shared" si="31"/>
        <v>0</v>
      </c>
      <c r="BE32" s="159" t="b">
        <f t="shared" si="37"/>
        <v>0</v>
      </c>
      <c r="BF32" s="161" t="b">
        <f t="shared" ref="BF32:BF39" si="39">IF(OR(ISNA($Z32),H32&lt;&gt;"NG"),FALSE,IF(AND(J32="NA",K32&lt;&gt;""),TRUE,FALSE))</f>
        <v>0</v>
      </c>
      <c r="BG32" s="206" t="str">
        <f t="shared" si="38"/>
        <v>NA</v>
      </c>
      <c r="BH32" s="206" t="str">
        <f t="shared" si="32"/>
        <v/>
      </c>
      <c r="BI32" s="206" t="str">
        <f t="shared" si="22"/>
        <v/>
      </c>
      <c r="BJ32" s="206" t="str">
        <f t="shared" si="23"/>
        <v/>
      </c>
      <c r="BK32" s="206" t="str">
        <f t="shared" si="24"/>
        <v/>
      </c>
      <c r="BL32" s="162" t="str">
        <f t="shared" si="33"/>
        <v/>
      </c>
      <c r="BM32" s="206" t="str">
        <f t="shared" si="25"/>
        <v/>
      </c>
      <c r="BN32" s="206" t="str">
        <f t="shared" si="26"/>
        <v/>
      </c>
      <c r="BO32" s="169" t="s">
        <v>238</v>
      </c>
      <c r="BP32" s="175" t="s">
        <v>239</v>
      </c>
    </row>
    <row r="33" spans="2:73" s="105" customFormat="1" ht="12.95" customHeight="1" x14ac:dyDescent="0.2">
      <c r="B33" s="165" t="str">
        <f>IF(ISNA(Z33),"",IF(OR(Z33=1,Z33=2),"    ",MAX($B$8:B32)+1))</f>
        <v/>
      </c>
      <c r="C33" s="1375" t="str">
        <f t="shared" si="0"/>
        <v/>
      </c>
      <c r="D33" s="1375"/>
      <c r="E33" s="1375"/>
      <c r="F33" s="1376"/>
      <c r="G33" s="152" t="str">
        <f t="shared" si="1"/>
        <v/>
      </c>
      <c r="H33" s="153" t="str">
        <f t="shared" si="2"/>
        <v/>
      </c>
      <c r="I33" s="166" t="str">
        <f t="shared" si="2"/>
        <v/>
      </c>
      <c r="J33" s="172"/>
      <c r="K33" s="173"/>
      <c r="L33" s="1075"/>
      <c r="M33" s="1076"/>
      <c r="N33" s="1076"/>
      <c r="O33" s="1076"/>
      <c r="P33" s="1076"/>
      <c r="Q33" s="1076"/>
      <c r="R33" s="1077"/>
      <c r="T33" s="119">
        <v>26</v>
      </c>
      <c r="U33" s="110" t="e">
        <v>#N/A</v>
      </c>
      <c r="V33" s="206" t="e">
        <v>#N/A</v>
      </c>
      <c r="W33" s="206" t="e">
        <v>#N/A</v>
      </c>
      <c r="X33" s="206" t="e">
        <v>#N/A</v>
      </c>
      <c r="Y33" s="206" t="e">
        <v>#N/A</v>
      </c>
      <c r="Z33" s="160" t="e">
        <v>#N/A</v>
      </c>
      <c r="AA33" s="160" t="e">
        <v>#N/A</v>
      </c>
      <c r="AB33" s="160" t="e">
        <v>#N/A</v>
      </c>
      <c r="AC33" s="206" t="e">
        <v>#N/A</v>
      </c>
      <c r="AD33" s="206" t="e">
        <v>#N/A</v>
      </c>
      <c r="AE33" s="206" t="e">
        <v>#N/A</v>
      </c>
      <c r="AF33" s="206" t="e">
        <v>#N/A</v>
      </c>
      <c r="AG33" s="206" t="e">
        <f t="shared" si="3"/>
        <v>#N/A</v>
      </c>
      <c r="AH33" s="206" t="str">
        <f t="shared" si="4"/>
        <v/>
      </c>
      <c r="AI33" s="86" t="e">
        <f>IF(NOT(OR(Z33=1,Z33=2)),IF(AQ33&gt;0,$AR$44*AQ33/SUMIF($AQ$8:$AQ$39,"&gt;0"),IF(AU33&gt;0,$AV$44*AU33/SUMIF($AU$8:$AU$39,"&gt;0"),IF(AS33&gt;0,$AT$44*AS33/SUMIF($AS$8:$AS$39,"&gt;0"),""))),IF(SUMIF(AJ34:$AJ$39,"=" &amp; AJ33,AI34:$AI$39)=0,"",SUMIF(AJ34:$AJ$39,"=" &amp; AJ33,AI34:$AI$39)))</f>
        <v>#N/A</v>
      </c>
      <c r="AJ33" s="87" t="e">
        <f t="shared" si="34"/>
        <v>#N/A</v>
      </c>
      <c r="AK33" s="206" t="str">
        <f t="shared" si="27"/>
        <v/>
      </c>
      <c r="AL33" s="160" t="str">
        <f t="shared" si="28"/>
        <v/>
      </c>
      <c r="AM33" s="160" t="str">
        <f t="shared" si="35"/>
        <v/>
      </c>
      <c r="AN33" s="160" t="str">
        <f t="shared" si="5"/>
        <v/>
      </c>
      <c r="AO33" s="160" t="e">
        <f t="shared" si="6"/>
        <v>#N/A</v>
      </c>
      <c r="AP33" s="206" t="str">
        <f t="shared" si="7"/>
        <v/>
      </c>
      <c r="AQ33" s="157">
        <f t="shared" si="29"/>
        <v>0</v>
      </c>
      <c r="AR33" s="88" t="str">
        <f t="shared" si="8"/>
        <v/>
      </c>
      <c r="AS33" s="89">
        <f t="shared" si="30"/>
        <v>0</v>
      </c>
      <c r="AT33" s="88" t="str">
        <f t="shared" si="9"/>
        <v/>
      </c>
      <c r="AU33" s="158">
        <f t="shared" si="10"/>
        <v>0</v>
      </c>
      <c r="AV33" s="90" t="str">
        <f t="shared" si="11"/>
        <v/>
      </c>
      <c r="AW33" s="158" t="b">
        <f t="shared" si="12"/>
        <v>0</v>
      </c>
      <c r="AX33" s="159" t="b">
        <f t="shared" si="13"/>
        <v>0</v>
      </c>
      <c r="AY33" s="158" t="b">
        <f t="shared" si="14"/>
        <v>0</v>
      </c>
      <c r="AZ33" s="159" t="b">
        <f t="shared" si="15"/>
        <v>0</v>
      </c>
      <c r="BA33" s="206" t="b">
        <f t="shared" si="16"/>
        <v>0</v>
      </c>
      <c r="BB33" s="206" t="b">
        <f t="shared" si="17"/>
        <v>0</v>
      </c>
      <c r="BC33" s="158" t="b">
        <f t="shared" si="18"/>
        <v>0</v>
      </c>
      <c r="BD33" s="160" t="b">
        <f t="shared" si="31"/>
        <v>0</v>
      </c>
      <c r="BE33" s="159" t="b">
        <f t="shared" si="37"/>
        <v>0</v>
      </c>
      <c r="BF33" s="161" t="b">
        <f t="shared" si="39"/>
        <v>0</v>
      </c>
      <c r="BG33" s="206" t="str">
        <f t="shared" si="38"/>
        <v>NA</v>
      </c>
      <c r="BH33" s="206" t="str">
        <f t="shared" si="32"/>
        <v/>
      </c>
      <c r="BI33" s="206" t="str">
        <f t="shared" si="22"/>
        <v/>
      </c>
      <c r="BJ33" s="206" t="str">
        <f t="shared" si="23"/>
        <v/>
      </c>
      <c r="BK33" s="206" t="str">
        <f t="shared" si="24"/>
        <v/>
      </c>
      <c r="BL33" s="162" t="str">
        <f t="shared" si="33"/>
        <v/>
      </c>
      <c r="BM33" s="206" t="str">
        <f t="shared" si="25"/>
        <v/>
      </c>
      <c r="BN33" s="206" t="str">
        <f t="shared" si="26"/>
        <v/>
      </c>
      <c r="BO33" s="164" t="s">
        <v>240</v>
      </c>
      <c r="BP33" s="175"/>
      <c r="BQ33" s="175"/>
      <c r="BR33" s="175"/>
      <c r="BS33" s="175"/>
      <c r="BT33" s="175"/>
      <c r="BU33" s="175"/>
    </row>
    <row r="34" spans="2:73" s="105" customFormat="1" ht="12.95" customHeight="1" x14ac:dyDescent="0.2">
      <c r="B34" s="165" t="str">
        <f>IF(ISNA(Z34),"",IF(OR(Z34=1,Z34=2),"    ",MAX($B$8:B33)+1))</f>
        <v/>
      </c>
      <c r="C34" s="1375" t="str">
        <f t="shared" si="0"/>
        <v/>
      </c>
      <c r="D34" s="1375"/>
      <c r="E34" s="1375"/>
      <c r="F34" s="1376"/>
      <c r="G34" s="152" t="str">
        <f t="shared" si="1"/>
        <v/>
      </c>
      <c r="H34" s="153" t="str">
        <f t="shared" si="2"/>
        <v/>
      </c>
      <c r="I34" s="166" t="str">
        <f t="shared" si="2"/>
        <v/>
      </c>
      <c r="J34" s="172"/>
      <c r="K34" s="173"/>
      <c r="L34" s="1075"/>
      <c r="M34" s="1076"/>
      <c r="N34" s="1076"/>
      <c r="O34" s="1076"/>
      <c r="P34" s="1076"/>
      <c r="Q34" s="1076"/>
      <c r="R34" s="1077"/>
      <c r="T34" s="119">
        <v>27</v>
      </c>
      <c r="U34" s="110" t="e">
        <v>#N/A</v>
      </c>
      <c r="V34" s="206" t="e">
        <v>#N/A</v>
      </c>
      <c r="W34" s="206" t="e">
        <v>#N/A</v>
      </c>
      <c r="X34" s="206" t="e">
        <v>#N/A</v>
      </c>
      <c r="Y34" s="206" t="e">
        <v>#N/A</v>
      </c>
      <c r="Z34" s="160" t="e">
        <v>#N/A</v>
      </c>
      <c r="AA34" s="160" t="e">
        <v>#N/A</v>
      </c>
      <c r="AB34" s="160" t="e">
        <v>#N/A</v>
      </c>
      <c r="AC34" s="206" t="e">
        <v>#N/A</v>
      </c>
      <c r="AD34" s="206" t="e">
        <v>#N/A</v>
      </c>
      <c r="AE34" s="206" t="e">
        <v>#N/A</v>
      </c>
      <c r="AF34" s="206" t="e">
        <v>#N/A</v>
      </c>
      <c r="AG34" s="206" t="e">
        <f t="shared" si="3"/>
        <v>#N/A</v>
      </c>
      <c r="AH34" s="206" t="str">
        <f t="shared" si="4"/>
        <v/>
      </c>
      <c r="AI34" s="86" t="e">
        <f>IF(NOT(OR(Z34=1,Z34=2)),IF(AQ34&gt;0,$AR$44*AQ34/SUMIF($AQ$8:$AQ$39,"&gt;0"),IF(AU34&gt;0,$AV$44*AU34/SUMIF($AU$8:$AU$39,"&gt;0"),IF(AS34&gt;0,$AT$44*AS34/SUMIF($AS$8:$AS$39,"&gt;0"),""))),IF(SUMIF(AJ35:$AJ$39,"=" &amp; AJ34,AI35:$AI$39)=0,"",SUMIF(AJ35:$AJ$39,"=" &amp; AJ34,AI35:$AI$39)))</f>
        <v>#N/A</v>
      </c>
      <c r="AJ34" s="87" t="e">
        <f t="shared" si="34"/>
        <v>#N/A</v>
      </c>
      <c r="AK34" s="206" t="str">
        <f t="shared" si="27"/>
        <v/>
      </c>
      <c r="AL34" s="160" t="str">
        <f t="shared" si="28"/>
        <v/>
      </c>
      <c r="AM34" s="160" t="str">
        <f t="shared" si="35"/>
        <v/>
      </c>
      <c r="AN34" s="160" t="str">
        <f t="shared" si="5"/>
        <v/>
      </c>
      <c r="AO34" s="160" t="e">
        <f t="shared" si="6"/>
        <v>#N/A</v>
      </c>
      <c r="AP34" s="206" t="str">
        <f t="shared" si="7"/>
        <v/>
      </c>
      <c r="AQ34" s="157">
        <f t="shared" si="29"/>
        <v>0</v>
      </c>
      <c r="AR34" s="88" t="str">
        <f t="shared" si="8"/>
        <v/>
      </c>
      <c r="AS34" s="89">
        <f t="shared" si="30"/>
        <v>0</v>
      </c>
      <c r="AT34" s="88" t="str">
        <f t="shared" si="9"/>
        <v/>
      </c>
      <c r="AU34" s="158">
        <f t="shared" si="10"/>
        <v>0</v>
      </c>
      <c r="AV34" s="90" t="str">
        <f t="shared" si="11"/>
        <v/>
      </c>
      <c r="AW34" s="158" t="b">
        <f t="shared" si="12"/>
        <v>0</v>
      </c>
      <c r="AX34" s="159" t="b">
        <f t="shared" si="13"/>
        <v>0</v>
      </c>
      <c r="AY34" s="158" t="b">
        <f t="shared" si="14"/>
        <v>0</v>
      </c>
      <c r="AZ34" s="159" t="b">
        <f t="shared" si="15"/>
        <v>0</v>
      </c>
      <c r="BA34" s="206" t="b">
        <f t="shared" si="16"/>
        <v>0</v>
      </c>
      <c r="BB34" s="206" t="b">
        <f t="shared" si="17"/>
        <v>0</v>
      </c>
      <c r="BC34" s="158" t="b">
        <f t="shared" si="18"/>
        <v>0</v>
      </c>
      <c r="BD34" s="160" t="b">
        <f t="shared" si="31"/>
        <v>0</v>
      </c>
      <c r="BE34" s="159" t="b">
        <f t="shared" si="37"/>
        <v>0</v>
      </c>
      <c r="BF34" s="161" t="b">
        <f t="shared" si="39"/>
        <v>0</v>
      </c>
      <c r="BG34" s="206" t="str">
        <f t="shared" si="38"/>
        <v>NA</v>
      </c>
      <c r="BH34" s="206" t="str">
        <f t="shared" si="32"/>
        <v/>
      </c>
      <c r="BI34" s="206" t="str">
        <f t="shared" si="22"/>
        <v/>
      </c>
      <c r="BJ34" s="206" t="str">
        <f t="shared" si="23"/>
        <v/>
      </c>
      <c r="BK34" s="206" t="str">
        <f t="shared" si="24"/>
        <v/>
      </c>
      <c r="BL34" s="162" t="str">
        <f t="shared" si="33"/>
        <v/>
      </c>
      <c r="BM34" s="206" t="str">
        <f t="shared" si="25"/>
        <v/>
      </c>
      <c r="BN34" s="206" t="str">
        <f t="shared" si="26"/>
        <v/>
      </c>
      <c r="BO34" s="1346"/>
      <c r="BP34" s="1347"/>
      <c r="BQ34" s="1347"/>
      <c r="BR34" s="1347"/>
      <c r="BS34" s="1347"/>
      <c r="BT34" s="1347"/>
      <c r="BU34" s="1348"/>
    </row>
    <row r="35" spans="2:73" s="105" customFormat="1" ht="12.95" customHeight="1" x14ac:dyDescent="0.2">
      <c r="B35" s="165" t="str">
        <f>IF(ISNA(Z35),"",IF(OR(Z35=1,Z35=2),"    ",MAX($B$8:B34)+1))</f>
        <v/>
      </c>
      <c r="C35" s="1375" t="str">
        <f t="shared" si="0"/>
        <v/>
      </c>
      <c r="D35" s="1375"/>
      <c r="E35" s="1375"/>
      <c r="F35" s="1376"/>
      <c r="G35" s="152" t="str">
        <f t="shared" si="1"/>
        <v/>
      </c>
      <c r="H35" s="153" t="str">
        <f t="shared" si="2"/>
        <v/>
      </c>
      <c r="I35" s="166" t="str">
        <f t="shared" si="2"/>
        <v/>
      </c>
      <c r="J35" s="172"/>
      <c r="K35" s="173"/>
      <c r="L35" s="1075"/>
      <c r="M35" s="1076"/>
      <c r="N35" s="1076"/>
      <c r="O35" s="1076"/>
      <c r="P35" s="1076"/>
      <c r="Q35" s="1076"/>
      <c r="R35" s="1077"/>
      <c r="T35" s="119">
        <v>28</v>
      </c>
      <c r="U35" s="110" t="e">
        <v>#N/A</v>
      </c>
      <c r="V35" s="206" t="e">
        <v>#N/A</v>
      </c>
      <c r="W35" s="206" t="e">
        <v>#N/A</v>
      </c>
      <c r="X35" s="206" t="e">
        <v>#N/A</v>
      </c>
      <c r="Y35" s="206" t="e">
        <v>#N/A</v>
      </c>
      <c r="Z35" s="160" t="e">
        <v>#N/A</v>
      </c>
      <c r="AA35" s="160" t="e">
        <v>#N/A</v>
      </c>
      <c r="AB35" s="160" t="e">
        <v>#N/A</v>
      </c>
      <c r="AC35" s="206" t="e">
        <v>#N/A</v>
      </c>
      <c r="AD35" s="206" t="e">
        <v>#N/A</v>
      </c>
      <c r="AE35" s="206" t="e">
        <v>#N/A</v>
      </c>
      <c r="AF35" s="206" t="e">
        <v>#N/A</v>
      </c>
      <c r="AG35" s="206" t="e">
        <f t="shared" si="3"/>
        <v>#N/A</v>
      </c>
      <c r="AH35" s="206" t="str">
        <f t="shared" si="4"/>
        <v/>
      </c>
      <c r="AI35" s="86" t="e">
        <f>IF(NOT(OR(Z35=1,Z35=2)),IF(AQ35&gt;0,$AR$44*AQ35/SUMIF($AQ$8:$AQ$39,"&gt;0"),IF(AU35&gt;0,$AV$44*AU35/SUMIF($AU$8:$AU$39,"&gt;0"),IF(AS35&gt;0,$AT$44*AS35/SUMIF($AS$8:$AS$39,"&gt;0"),""))),IF(SUMIF(AJ36:$AJ$39,"=" &amp; AJ35,AI36:$AI$39)=0,"",SUMIF(AJ36:$AJ$39,"=" &amp; AJ35,AI36:$AI$39)))</f>
        <v>#N/A</v>
      </c>
      <c r="AJ35" s="87" t="e">
        <f t="shared" si="34"/>
        <v>#N/A</v>
      </c>
      <c r="AK35" s="206" t="str">
        <f t="shared" si="27"/>
        <v/>
      </c>
      <c r="AL35" s="160" t="str">
        <f t="shared" si="28"/>
        <v/>
      </c>
      <c r="AM35" s="160" t="str">
        <f t="shared" si="35"/>
        <v/>
      </c>
      <c r="AN35" s="160" t="str">
        <f t="shared" si="5"/>
        <v/>
      </c>
      <c r="AO35" s="160" t="e">
        <f t="shared" si="6"/>
        <v>#N/A</v>
      </c>
      <c r="AP35" s="206" t="str">
        <f t="shared" si="7"/>
        <v/>
      </c>
      <c r="AQ35" s="157">
        <f t="shared" si="29"/>
        <v>0</v>
      </c>
      <c r="AR35" s="88" t="str">
        <f t="shared" si="8"/>
        <v/>
      </c>
      <c r="AS35" s="89">
        <f t="shared" si="30"/>
        <v>0</v>
      </c>
      <c r="AT35" s="88" t="str">
        <f t="shared" si="9"/>
        <v/>
      </c>
      <c r="AU35" s="158">
        <f t="shared" si="10"/>
        <v>0</v>
      </c>
      <c r="AV35" s="90" t="str">
        <f t="shared" si="11"/>
        <v/>
      </c>
      <c r="AW35" s="158" t="b">
        <f t="shared" si="12"/>
        <v>0</v>
      </c>
      <c r="AX35" s="159" t="b">
        <f t="shared" si="13"/>
        <v>0</v>
      </c>
      <c r="AY35" s="158" t="b">
        <f t="shared" si="14"/>
        <v>0</v>
      </c>
      <c r="AZ35" s="159" t="b">
        <f t="shared" si="15"/>
        <v>0</v>
      </c>
      <c r="BA35" s="206" t="b">
        <f t="shared" si="16"/>
        <v>0</v>
      </c>
      <c r="BB35" s="206" t="b">
        <f t="shared" si="17"/>
        <v>0</v>
      </c>
      <c r="BC35" s="158" t="b">
        <f t="shared" si="18"/>
        <v>0</v>
      </c>
      <c r="BD35" s="160" t="b">
        <f t="shared" si="31"/>
        <v>0</v>
      </c>
      <c r="BE35" s="159" t="b">
        <f t="shared" si="37"/>
        <v>0</v>
      </c>
      <c r="BF35" s="161" t="b">
        <f t="shared" si="39"/>
        <v>0</v>
      </c>
      <c r="BG35" s="206" t="str">
        <f t="shared" si="38"/>
        <v>NA</v>
      </c>
      <c r="BH35" s="206" t="str">
        <f t="shared" si="32"/>
        <v/>
      </c>
      <c r="BI35" s="206" t="str">
        <f t="shared" si="22"/>
        <v/>
      </c>
      <c r="BJ35" s="206" t="str">
        <f t="shared" si="23"/>
        <v/>
      </c>
      <c r="BK35" s="206" t="str">
        <f t="shared" si="24"/>
        <v/>
      </c>
      <c r="BL35" s="162" t="str">
        <f t="shared" si="33"/>
        <v/>
      </c>
      <c r="BM35" s="206" t="str">
        <f t="shared" si="25"/>
        <v/>
      </c>
      <c r="BN35" s="206" t="str">
        <f t="shared" si="26"/>
        <v/>
      </c>
      <c r="BO35" s="1349"/>
      <c r="BP35" s="1350"/>
      <c r="BQ35" s="1350"/>
      <c r="BR35" s="1350"/>
      <c r="BS35" s="1350"/>
      <c r="BT35" s="1350"/>
      <c r="BU35" s="1351"/>
    </row>
    <row r="36" spans="2:73" s="105" customFormat="1" ht="12.95" customHeight="1" x14ac:dyDescent="0.2">
      <c r="B36" s="165" t="str">
        <f>IF(ISNA(Z36),"",IF(OR(Z36=1,Z36=2),"    ",MAX($B$8:B35)+1))</f>
        <v/>
      </c>
      <c r="C36" s="1375" t="str">
        <f t="shared" si="0"/>
        <v/>
      </c>
      <c r="D36" s="1375"/>
      <c r="E36" s="1375"/>
      <c r="F36" s="1376"/>
      <c r="G36" s="152" t="str">
        <f t="shared" si="1"/>
        <v/>
      </c>
      <c r="H36" s="153" t="str">
        <f t="shared" si="2"/>
        <v/>
      </c>
      <c r="I36" s="166" t="str">
        <f t="shared" si="2"/>
        <v/>
      </c>
      <c r="J36" s="172"/>
      <c r="K36" s="173"/>
      <c r="L36" s="1075"/>
      <c r="M36" s="1076"/>
      <c r="N36" s="1076"/>
      <c r="O36" s="1076"/>
      <c r="P36" s="1076"/>
      <c r="Q36" s="1076"/>
      <c r="R36" s="1077"/>
      <c r="T36" s="119">
        <v>29</v>
      </c>
      <c r="U36" s="110" t="e">
        <v>#N/A</v>
      </c>
      <c r="V36" s="206" t="e">
        <v>#N/A</v>
      </c>
      <c r="W36" s="206" t="e">
        <v>#N/A</v>
      </c>
      <c r="X36" s="206" t="e">
        <v>#N/A</v>
      </c>
      <c r="Y36" s="206" t="e">
        <v>#N/A</v>
      </c>
      <c r="Z36" s="160" t="e">
        <v>#N/A</v>
      </c>
      <c r="AA36" s="160" t="e">
        <v>#N/A</v>
      </c>
      <c r="AB36" s="160" t="e">
        <v>#N/A</v>
      </c>
      <c r="AC36" s="206" t="e">
        <v>#N/A</v>
      </c>
      <c r="AD36" s="206" t="e">
        <v>#N/A</v>
      </c>
      <c r="AE36" s="206" t="e">
        <v>#N/A</v>
      </c>
      <c r="AF36" s="206" t="e">
        <v>#N/A</v>
      </c>
      <c r="AG36" s="206" t="e">
        <f t="shared" si="3"/>
        <v>#N/A</v>
      </c>
      <c r="AH36" s="206" t="str">
        <f t="shared" si="4"/>
        <v/>
      </c>
      <c r="AI36" s="86" t="e">
        <f>IF(NOT(OR(Z36=1,Z36=2)),IF(AQ36&gt;0,$AR$44*AQ36/SUMIF($AQ$8:$AQ$39,"&gt;0"),IF(AU36&gt;0,$AV$44*AU36/SUMIF($AU$8:$AU$39,"&gt;0"),IF(AS36&gt;0,$AT$44*AS36/SUMIF($AS$8:$AS$39,"&gt;0"),""))),IF(SUMIF(AJ37:$AJ$39,"=" &amp; AJ36,AI37:$AI$39)=0,"",SUMIF(AJ37:$AJ$39,"=" &amp; AJ36,AI37:$AI$39)))</f>
        <v>#N/A</v>
      </c>
      <c r="AJ36" s="87" t="e">
        <f t="shared" si="34"/>
        <v>#N/A</v>
      </c>
      <c r="AK36" s="206" t="str">
        <f t="shared" si="27"/>
        <v/>
      </c>
      <c r="AL36" s="160" t="str">
        <f t="shared" si="28"/>
        <v/>
      </c>
      <c r="AM36" s="160" t="str">
        <f t="shared" si="35"/>
        <v/>
      </c>
      <c r="AN36" s="160" t="str">
        <f t="shared" si="5"/>
        <v/>
      </c>
      <c r="AO36" s="160" t="e">
        <f t="shared" si="6"/>
        <v>#N/A</v>
      </c>
      <c r="AP36" s="206" t="str">
        <f t="shared" si="7"/>
        <v/>
      </c>
      <c r="AQ36" s="157">
        <f t="shared" si="29"/>
        <v>0</v>
      </c>
      <c r="AR36" s="88" t="str">
        <f t="shared" si="8"/>
        <v/>
      </c>
      <c r="AS36" s="89">
        <f t="shared" si="30"/>
        <v>0</v>
      </c>
      <c r="AT36" s="88" t="str">
        <f t="shared" si="9"/>
        <v/>
      </c>
      <c r="AU36" s="158">
        <f t="shared" si="10"/>
        <v>0</v>
      </c>
      <c r="AV36" s="90" t="str">
        <f t="shared" si="11"/>
        <v/>
      </c>
      <c r="AW36" s="158" t="b">
        <f t="shared" si="12"/>
        <v>0</v>
      </c>
      <c r="AX36" s="159" t="b">
        <f t="shared" si="13"/>
        <v>0</v>
      </c>
      <c r="AY36" s="158" t="b">
        <f t="shared" si="14"/>
        <v>0</v>
      </c>
      <c r="AZ36" s="159" t="b">
        <f t="shared" si="15"/>
        <v>0</v>
      </c>
      <c r="BA36" s="206" t="b">
        <f t="shared" si="16"/>
        <v>0</v>
      </c>
      <c r="BB36" s="206" t="b">
        <f t="shared" si="17"/>
        <v>0</v>
      </c>
      <c r="BC36" s="158" t="b">
        <f t="shared" si="18"/>
        <v>0</v>
      </c>
      <c r="BD36" s="160" t="b">
        <f t="shared" si="31"/>
        <v>0</v>
      </c>
      <c r="BE36" s="159" t="b">
        <f t="shared" si="37"/>
        <v>0</v>
      </c>
      <c r="BF36" s="161" t="b">
        <f t="shared" si="39"/>
        <v>0</v>
      </c>
      <c r="BG36" s="206" t="str">
        <f t="shared" si="38"/>
        <v>NA</v>
      </c>
      <c r="BH36" s="206" t="str">
        <f t="shared" si="32"/>
        <v/>
      </c>
      <c r="BI36" s="206" t="str">
        <f t="shared" si="22"/>
        <v/>
      </c>
      <c r="BJ36" s="206" t="str">
        <f t="shared" si="23"/>
        <v/>
      </c>
      <c r="BK36" s="206" t="str">
        <f t="shared" si="24"/>
        <v/>
      </c>
      <c r="BL36" s="162" t="str">
        <f t="shared" si="33"/>
        <v/>
      </c>
      <c r="BM36" s="206" t="str">
        <f t="shared" si="25"/>
        <v/>
      </c>
      <c r="BN36" s="206" t="str">
        <f t="shared" si="26"/>
        <v/>
      </c>
      <c r="BO36" s="1349"/>
      <c r="BP36" s="1350"/>
      <c r="BQ36" s="1350"/>
      <c r="BR36" s="1350"/>
      <c r="BS36" s="1350"/>
      <c r="BT36" s="1350"/>
      <c r="BU36" s="1351"/>
    </row>
    <row r="37" spans="2:73" s="105" customFormat="1" ht="12.95" customHeight="1" x14ac:dyDescent="0.2">
      <c r="B37" s="165" t="str">
        <f>IF(ISNA(Z37),"",IF(OR(Z37=1,Z37=2),"    ",MAX($B$8:B36)+1))</f>
        <v/>
      </c>
      <c r="C37" s="1375" t="str">
        <f>IF(ISNA(Z37),"",CONCATENATE($U37,IF(ISNUMBER(AI37),TEXT(ROUND($AI37,3)," (0.0%)"),""),IF(AU37&gt;0," Bonus","")))</f>
        <v/>
      </c>
      <c r="D37" s="1375"/>
      <c r="E37" s="1375"/>
      <c r="F37" s="1376"/>
      <c r="G37" s="152" t="str">
        <f t="shared" si="1"/>
        <v/>
      </c>
      <c r="H37" s="153" t="str">
        <f t="shared" si="2"/>
        <v/>
      </c>
      <c r="I37" s="166" t="str">
        <f t="shared" si="2"/>
        <v/>
      </c>
      <c r="J37" s="172"/>
      <c r="K37" s="173"/>
      <c r="L37" s="1075"/>
      <c r="M37" s="1076"/>
      <c r="N37" s="1076"/>
      <c r="O37" s="1076"/>
      <c r="P37" s="1076"/>
      <c r="Q37" s="1076"/>
      <c r="R37" s="1077"/>
      <c r="T37" s="119">
        <v>30</v>
      </c>
      <c r="U37" s="110" t="e">
        <v>#N/A</v>
      </c>
      <c r="V37" s="206" t="e">
        <v>#N/A</v>
      </c>
      <c r="W37" s="206" t="e">
        <v>#N/A</v>
      </c>
      <c r="X37" s="206" t="e">
        <v>#N/A</v>
      </c>
      <c r="Y37" s="206" t="e">
        <v>#N/A</v>
      </c>
      <c r="Z37" s="160" t="e">
        <v>#N/A</v>
      </c>
      <c r="AA37" s="160" t="e">
        <v>#N/A</v>
      </c>
      <c r="AB37" s="160" t="e">
        <v>#N/A</v>
      </c>
      <c r="AC37" s="206" t="e">
        <v>#N/A</v>
      </c>
      <c r="AD37" s="206" t="e">
        <v>#N/A</v>
      </c>
      <c r="AE37" s="206" t="e">
        <v>#N/A</v>
      </c>
      <c r="AF37" s="206" t="e">
        <v>#N/A</v>
      </c>
      <c r="AG37" s="206" t="e">
        <f t="shared" si="3"/>
        <v>#N/A</v>
      </c>
      <c r="AH37" s="206" t="str">
        <f t="shared" si="4"/>
        <v/>
      </c>
      <c r="AI37" s="86" t="e">
        <f>IF(NOT(OR(Z37=1,Z37=2)),IF(AQ37&gt;0,$AR$44*AQ37/SUMIF($AQ$8:$AQ$39,"&gt;0"),IF(AU37&gt;0,$AV$44*AU37/SUMIF($AU$8:$AU$39,"&gt;0"),IF(AS37&gt;0,$AT$44*AS37/SUMIF($AS$8:$AS$39,"&gt;0"),""))),IF(SUMIF(AJ38:$AJ$39,"=" &amp; AJ37,AI38:$AI$39)=0,"",SUMIF(AJ38:$AJ$39,"=" &amp; AJ37,AI38:$AI$39)))</f>
        <v>#N/A</v>
      </c>
      <c r="AJ37" s="87" t="e">
        <f t="shared" si="34"/>
        <v>#N/A</v>
      </c>
      <c r="AK37" s="206" t="str">
        <f t="shared" si="27"/>
        <v/>
      </c>
      <c r="AL37" s="160" t="str">
        <f t="shared" si="28"/>
        <v/>
      </c>
      <c r="AM37" s="160" t="str">
        <f t="shared" si="35"/>
        <v/>
      </c>
      <c r="AN37" s="160" t="str">
        <f>IF(ISNUMBER(AH37),IF(AND(AB37=0,ISNUMBER(AC37),ISNUMBER(AL37)),1,""),"")</f>
        <v/>
      </c>
      <c r="AO37" s="160" t="e">
        <f t="shared" si="6"/>
        <v>#N/A</v>
      </c>
      <c r="AP37" s="206" t="str">
        <f t="shared" si="7"/>
        <v/>
      </c>
      <c r="AQ37" s="157">
        <f t="shared" si="29"/>
        <v>0</v>
      </c>
      <c r="AR37" s="88" t="str">
        <f t="shared" si="8"/>
        <v/>
      </c>
      <c r="AS37" s="89">
        <f t="shared" si="30"/>
        <v>0</v>
      </c>
      <c r="AT37" s="88" t="str">
        <f t="shared" si="9"/>
        <v/>
      </c>
      <c r="AU37" s="158">
        <f t="shared" si="10"/>
        <v>0</v>
      </c>
      <c r="AV37" s="90" t="str">
        <f t="shared" si="11"/>
        <v/>
      </c>
      <c r="AW37" s="158" t="b">
        <f t="shared" si="12"/>
        <v>0</v>
      </c>
      <c r="AX37" s="159" t="b">
        <f t="shared" si="13"/>
        <v>0</v>
      </c>
      <c r="AY37" s="158" t="b">
        <f t="shared" si="14"/>
        <v>0</v>
      </c>
      <c r="AZ37" s="159" t="b">
        <f t="shared" si="15"/>
        <v>0</v>
      </c>
      <c r="BA37" s="206" t="b">
        <f t="shared" si="16"/>
        <v>0</v>
      </c>
      <c r="BB37" s="206" t="b">
        <f t="shared" si="17"/>
        <v>0</v>
      </c>
      <c r="BC37" s="158" t="b">
        <f t="shared" si="18"/>
        <v>0</v>
      </c>
      <c r="BD37" s="160" t="b">
        <f t="shared" si="31"/>
        <v>0</v>
      </c>
      <c r="BE37" s="159" t="b">
        <f t="shared" si="37"/>
        <v>0</v>
      </c>
      <c r="BF37" s="161" t="b">
        <f t="shared" si="39"/>
        <v>0</v>
      </c>
      <c r="BG37" s="206" t="str">
        <f t="shared" si="38"/>
        <v>NA</v>
      </c>
      <c r="BH37" s="206" t="str">
        <f t="shared" si="32"/>
        <v/>
      </c>
      <c r="BI37" s="206" t="str">
        <f t="shared" si="22"/>
        <v/>
      </c>
      <c r="BJ37" s="206" t="str">
        <f t="shared" si="23"/>
        <v/>
      </c>
      <c r="BK37" s="206" t="str">
        <f t="shared" si="24"/>
        <v/>
      </c>
      <c r="BL37" s="162" t="str">
        <f t="shared" si="33"/>
        <v/>
      </c>
      <c r="BM37" s="206" t="str">
        <f t="shared" si="25"/>
        <v/>
      </c>
      <c r="BN37" s="206" t="str">
        <f t="shared" si="26"/>
        <v/>
      </c>
      <c r="BO37" s="1352"/>
      <c r="BP37" s="1353"/>
      <c r="BQ37" s="1353"/>
      <c r="BR37" s="1353"/>
      <c r="BS37" s="1353"/>
      <c r="BT37" s="1353"/>
      <c r="BU37" s="1354"/>
    </row>
    <row r="38" spans="2:73" s="105" customFormat="1" ht="12.95" customHeight="1" x14ac:dyDescent="0.2">
      <c r="B38" s="165" t="str">
        <f>IF(ISNA(Z38),"",IF(OR(Z38=1,Z38=2),"    ",MAX($B$8:B37)+1))</f>
        <v/>
      </c>
      <c r="C38" s="1375" t="str">
        <f t="shared" ref="C38:C39" si="40">IF(ISNA(Z38),"",CONCATENATE($U38,IF(ISNUMBER(AI38),TEXT(ROUND($AI38,3)," (0.0%)"),""),IF(AU38&gt;0," Bonus","")))</f>
        <v/>
      </c>
      <c r="D38" s="1375"/>
      <c r="E38" s="1375"/>
      <c r="F38" s="1376"/>
      <c r="G38" s="152" t="str">
        <f t="shared" si="1"/>
        <v/>
      </c>
      <c r="H38" s="153" t="str">
        <f t="shared" si="2"/>
        <v/>
      </c>
      <c r="I38" s="166" t="str">
        <f t="shared" si="2"/>
        <v/>
      </c>
      <c r="J38" s="172"/>
      <c r="K38" s="173"/>
      <c r="L38" s="1075"/>
      <c r="M38" s="1076"/>
      <c r="N38" s="1076"/>
      <c r="O38" s="1076"/>
      <c r="P38" s="1076"/>
      <c r="Q38" s="1076"/>
      <c r="R38" s="1077"/>
      <c r="T38" s="119">
        <v>31</v>
      </c>
      <c r="U38" s="110" t="e">
        <v>#N/A</v>
      </c>
      <c r="V38" s="206" t="e">
        <v>#N/A</v>
      </c>
      <c r="W38" s="206" t="e">
        <v>#N/A</v>
      </c>
      <c r="X38" s="206" t="e">
        <v>#N/A</v>
      </c>
      <c r="Y38" s="206" t="e">
        <v>#N/A</v>
      </c>
      <c r="Z38" s="160" t="e">
        <v>#N/A</v>
      </c>
      <c r="AA38" s="160" t="e">
        <v>#N/A</v>
      </c>
      <c r="AB38" s="160" t="e">
        <v>#N/A</v>
      </c>
      <c r="AC38" s="206" t="e">
        <v>#N/A</v>
      </c>
      <c r="AD38" s="206" t="e">
        <v>#N/A</v>
      </c>
      <c r="AE38" s="206" t="e">
        <v>#N/A</v>
      </c>
      <c r="AF38" s="206" t="e">
        <v>#N/A</v>
      </c>
      <c r="AG38" s="206" t="e">
        <f t="shared" si="3"/>
        <v>#N/A</v>
      </c>
      <c r="AH38" s="206" t="str">
        <f t="shared" si="4"/>
        <v/>
      </c>
      <c r="AI38" s="86" t="e">
        <f>IF(NOT(OR(Z38=1,Z38=2)),IF(AQ38&gt;0,$AR$44*AQ38/SUMIF($AQ$8:$AQ$39,"&gt;0"),IF(AU38&gt;0,$AV$44*AU38/SUMIF($AU$8:$AU$39,"&gt;0"),IF(AS38&gt;0,$AT$44*AS38/SUMIF($AS$8:$AS$39,"&gt;0"),""))),IF(SUMIF(AJ39:$AJ$39,"=" &amp; AJ38,AI39:$AI$39)=0,"",SUMIF(AJ39:$AJ$39,"=" &amp; AJ38,AI39:$AI$39)))</f>
        <v>#N/A</v>
      </c>
      <c r="AJ38" s="87" t="e">
        <f t="shared" si="34"/>
        <v>#N/A</v>
      </c>
      <c r="AK38" s="206" t="str">
        <f t="shared" si="27"/>
        <v/>
      </c>
      <c r="AL38" s="160" t="str">
        <f t="shared" si="28"/>
        <v/>
      </c>
      <c r="AM38" s="160" t="str">
        <f t="shared" si="35"/>
        <v/>
      </c>
      <c r="AN38" s="160" t="str">
        <f>IF(ISNUMBER(AH38),IF(AND(AB38=0,ISNUMBER(AC38),ISNUMBER(AL38)),1,""),"")</f>
        <v/>
      </c>
      <c r="AO38" s="160" t="e">
        <f t="shared" si="6"/>
        <v>#N/A</v>
      </c>
      <c r="AP38" s="206" t="str">
        <f t="shared" si="7"/>
        <v/>
      </c>
      <c r="AQ38" s="157">
        <f t="shared" si="29"/>
        <v>0</v>
      </c>
      <c r="AR38" s="88" t="str">
        <f t="shared" si="8"/>
        <v/>
      </c>
      <c r="AS38" s="89">
        <f t="shared" si="30"/>
        <v>0</v>
      </c>
      <c r="AT38" s="88" t="str">
        <f t="shared" si="9"/>
        <v/>
      </c>
      <c r="AU38" s="158">
        <f t="shared" si="10"/>
        <v>0</v>
      </c>
      <c r="AV38" s="90" t="str">
        <f t="shared" si="11"/>
        <v/>
      </c>
      <c r="AW38" s="158" t="b">
        <f t="shared" si="12"/>
        <v>0</v>
      </c>
      <c r="AX38" s="159" t="b">
        <f t="shared" si="13"/>
        <v>0</v>
      </c>
      <c r="AY38" s="158" t="b">
        <f t="shared" si="14"/>
        <v>0</v>
      </c>
      <c r="AZ38" s="159" t="b">
        <f t="shared" si="15"/>
        <v>0</v>
      </c>
      <c r="BA38" s="206" t="b">
        <f t="shared" si="16"/>
        <v>0</v>
      </c>
      <c r="BB38" s="206" t="b">
        <f t="shared" si="17"/>
        <v>0</v>
      </c>
      <c r="BC38" s="158" t="b">
        <f t="shared" si="18"/>
        <v>0</v>
      </c>
      <c r="BD38" s="160" t="b">
        <f t="shared" si="31"/>
        <v>0</v>
      </c>
      <c r="BE38" s="159" t="b">
        <f t="shared" si="37"/>
        <v>0</v>
      </c>
      <c r="BF38" s="161" t="b">
        <f t="shared" si="39"/>
        <v>0</v>
      </c>
      <c r="BG38" s="206" t="str">
        <f t="shared" si="38"/>
        <v>NA</v>
      </c>
      <c r="BH38" s="206" t="str">
        <f t="shared" si="32"/>
        <v/>
      </c>
      <c r="BI38" s="206" t="str">
        <f t="shared" si="22"/>
        <v/>
      </c>
      <c r="BJ38" s="206" t="str">
        <f t="shared" si="23"/>
        <v/>
      </c>
      <c r="BK38" s="206" t="str">
        <f t="shared" si="24"/>
        <v/>
      </c>
      <c r="BL38" s="162" t="str">
        <f t="shared" si="33"/>
        <v/>
      </c>
      <c r="BM38" s="206" t="str">
        <f t="shared" si="25"/>
        <v/>
      </c>
      <c r="BN38" s="206" t="str">
        <f t="shared" si="26"/>
        <v/>
      </c>
      <c r="BO38" s="164" t="s">
        <v>241</v>
      </c>
      <c r="BP38" s="164"/>
      <c r="BQ38" s="164"/>
      <c r="BR38" s="164"/>
      <c r="BS38" s="164"/>
      <c r="BT38" s="164"/>
      <c r="BU38" s="164"/>
    </row>
    <row r="39" spans="2:73" s="105" customFormat="1" ht="12.95" customHeight="1" thickBot="1" x14ac:dyDescent="0.25">
      <c r="B39" s="165" t="str">
        <f>IF(ISNA(Z39),"",IF(OR(Z39=1,Z39=2),"    ",MAX($B$8:B38)+1))</f>
        <v/>
      </c>
      <c r="C39" s="1375" t="str">
        <f t="shared" si="40"/>
        <v/>
      </c>
      <c r="D39" s="1375"/>
      <c r="E39" s="1375"/>
      <c r="F39" s="1376"/>
      <c r="G39" s="176" t="str">
        <f t="shared" si="1"/>
        <v/>
      </c>
      <c r="H39" s="153" t="str">
        <f t="shared" si="2"/>
        <v/>
      </c>
      <c r="I39" s="177" t="str">
        <f t="shared" si="2"/>
        <v/>
      </c>
      <c r="J39" s="178"/>
      <c r="K39" s="179"/>
      <c r="L39" s="1078"/>
      <c r="M39" s="1079"/>
      <c r="N39" s="1079"/>
      <c r="O39" s="1079"/>
      <c r="P39" s="1079"/>
      <c r="Q39" s="1079"/>
      <c r="R39" s="1080"/>
      <c r="T39" s="119">
        <v>32</v>
      </c>
      <c r="U39" s="110" t="e">
        <v>#N/A</v>
      </c>
      <c r="V39" s="206" t="e">
        <v>#N/A</v>
      </c>
      <c r="W39" s="206" t="e">
        <v>#N/A</v>
      </c>
      <c r="X39" s="206" t="e">
        <v>#N/A</v>
      </c>
      <c r="Y39" s="206" t="e">
        <v>#N/A</v>
      </c>
      <c r="Z39" s="160" t="e">
        <v>#N/A</v>
      </c>
      <c r="AA39" s="160" t="e">
        <v>#N/A</v>
      </c>
      <c r="AB39" s="160" t="e">
        <v>#N/A</v>
      </c>
      <c r="AC39" s="206" t="e">
        <v>#N/A</v>
      </c>
      <c r="AD39" s="206" t="e">
        <v>#N/A</v>
      </c>
      <c r="AE39" s="206" t="e">
        <v>#N/A</v>
      </c>
      <c r="AF39" s="206" t="e">
        <v>#N/A</v>
      </c>
      <c r="AG39" s="206" t="e">
        <f t="shared" si="3"/>
        <v>#N/A</v>
      </c>
      <c r="AH39" s="206" t="str">
        <f t="shared" si="4"/>
        <v/>
      </c>
      <c r="AI39" s="86" t="e">
        <f>IF(NOT(OR(Z39=1,Z39=2)),IF(AQ39&gt;0,$AR$44*AQ39/SUMIF($AQ$8:$AQ$39,"&gt;0"),IF(AU39&gt;0,$AV$44*AU39/SUMIF($AU$8:$AU$39,"&gt;0"),IF(AS39&gt;0,$AT$44*AS39/SUMIF($AS$8:$AS$39,"&gt;0"),""))),IF(SUMIF(AJ$39:$AJ40,"=" &amp; AJ39,AI$39:$AI40)=0,"",SUMIF(AJ$39:$AJ40,"=" &amp; AJ39,AI$39:$AI40)))</f>
        <v>#N/A</v>
      </c>
      <c r="AJ39" s="87" t="e">
        <f t="shared" si="34"/>
        <v>#N/A</v>
      </c>
      <c r="AK39" s="206" t="str">
        <f t="shared" si="27"/>
        <v/>
      </c>
      <c r="AL39" s="160" t="str">
        <f t="shared" si="28"/>
        <v/>
      </c>
      <c r="AM39" s="160" t="str">
        <f t="shared" si="35"/>
        <v/>
      </c>
      <c r="AN39" s="160" t="str">
        <f>IF(ISNUMBER(AH39),IF(AND(AB39=0,ISNUMBER(AC39),ISNUMBER(AL39)),1,""),"")</f>
        <v/>
      </c>
      <c r="AO39" s="160" t="e">
        <f t="shared" si="6"/>
        <v>#N/A</v>
      </c>
      <c r="AP39" s="206" t="str">
        <f t="shared" si="7"/>
        <v/>
      </c>
      <c r="AQ39" s="157">
        <f t="shared" si="29"/>
        <v>0</v>
      </c>
      <c r="AR39" s="88" t="str">
        <f t="shared" si="8"/>
        <v/>
      </c>
      <c r="AS39" s="89">
        <f t="shared" si="30"/>
        <v>0</v>
      </c>
      <c r="AT39" s="88" t="str">
        <f t="shared" si="9"/>
        <v/>
      </c>
      <c r="AU39" s="158">
        <f t="shared" si="10"/>
        <v>0</v>
      </c>
      <c r="AV39" s="90" t="str">
        <f t="shared" si="11"/>
        <v/>
      </c>
      <c r="AW39" s="158" t="b">
        <f t="shared" si="12"/>
        <v>0</v>
      </c>
      <c r="AX39" s="159" t="b">
        <f t="shared" si="13"/>
        <v>0</v>
      </c>
      <c r="AY39" s="158" t="b">
        <f t="shared" si="14"/>
        <v>0</v>
      </c>
      <c r="AZ39" s="159" t="b">
        <f t="shared" si="15"/>
        <v>0</v>
      </c>
      <c r="BA39" s="206" t="b">
        <f t="shared" si="16"/>
        <v>0</v>
      </c>
      <c r="BB39" s="206" t="b">
        <f t="shared" si="17"/>
        <v>0</v>
      </c>
      <c r="BC39" s="158" t="b">
        <f t="shared" si="18"/>
        <v>0</v>
      </c>
      <c r="BD39" s="160" t="b">
        <f t="shared" si="31"/>
        <v>0</v>
      </c>
      <c r="BE39" s="159" t="b">
        <f t="shared" si="37"/>
        <v>0</v>
      </c>
      <c r="BF39" s="161" t="b">
        <f t="shared" si="39"/>
        <v>0</v>
      </c>
      <c r="BG39" s="206" t="str">
        <f t="shared" si="38"/>
        <v>NA</v>
      </c>
      <c r="BH39" s="206" t="str">
        <f t="shared" si="32"/>
        <v/>
      </c>
      <c r="BI39" s="206" t="str">
        <f t="shared" si="22"/>
        <v/>
      </c>
      <c r="BJ39" s="206" t="str">
        <f t="shared" si="23"/>
        <v/>
      </c>
      <c r="BK39" s="206" t="str">
        <f t="shared" si="24"/>
        <v/>
      </c>
      <c r="BL39" s="206" t="str">
        <f t="shared" si="33"/>
        <v/>
      </c>
      <c r="BM39" s="206" t="str">
        <f t="shared" si="25"/>
        <v/>
      </c>
      <c r="BN39" s="206" t="str">
        <f t="shared" si="26"/>
        <v/>
      </c>
      <c r="BO39" s="1346"/>
      <c r="BP39" s="1347"/>
      <c r="BQ39" s="1347"/>
      <c r="BR39" s="1347"/>
      <c r="BS39" s="1347"/>
      <c r="BT39" s="1347"/>
      <c r="BU39" s="1348"/>
    </row>
    <row r="40" spans="2:73" s="112" customFormat="1" ht="8.25" customHeight="1" x14ac:dyDescent="0.2">
      <c r="B40" s="1355" t="s">
        <v>242</v>
      </c>
      <c r="C40" s="1356"/>
      <c r="D40" s="1357"/>
      <c r="E40" s="205" t="s">
        <v>243</v>
      </c>
      <c r="F40" s="1358" t="s">
        <v>244</v>
      </c>
      <c r="G40" s="1359"/>
      <c r="H40" s="1359" t="s">
        <v>245</v>
      </c>
      <c r="I40" s="1359"/>
      <c r="J40" s="1360" t="s">
        <v>246</v>
      </c>
      <c r="K40" s="1361"/>
      <c r="L40" s="180" t="s">
        <v>247</v>
      </c>
      <c r="M40" s="1362" t="s">
        <v>248</v>
      </c>
      <c r="N40" s="1362"/>
      <c r="O40" s="1363" t="str">
        <f>IF(U44,"DO REVIEW","DO REV N/A")</f>
        <v>DO REV N/A</v>
      </c>
      <c r="P40" s="1364"/>
      <c r="Q40" s="181" t="str">
        <f>IF(U45,"ED REVIEW","ED REV N/A")</f>
        <v>ED REVIEW</v>
      </c>
      <c r="R40" s="182"/>
      <c r="S40" s="183">
        <v>0</v>
      </c>
      <c r="AI40" s="184"/>
      <c r="AJ40" s="113"/>
      <c r="AK40" s="113"/>
      <c r="AL40" s="113"/>
      <c r="AM40" s="113"/>
      <c r="AN40" s="113"/>
      <c r="AO40" s="110"/>
      <c r="AP40" s="113"/>
      <c r="AQ40" s="185"/>
      <c r="AR40" s="113"/>
      <c r="AS40" s="185"/>
      <c r="AT40" s="113"/>
      <c r="AU40" s="185"/>
      <c r="AV40" s="186"/>
      <c r="AW40" s="113"/>
      <c r="AX40" s="113"/>
      <c r="AY40" s="113"/>
      <c r="AZ40" s="113"/>
      <c r="BA40" s="113"/>
      <c r="BB40" s="113"/>
      <c r="BC40" s="113"/>
      <c r="BD40" s="113"/>
      <c r="BE40" s="113"/>
      <c r="BF40" s="113"/>
      <c r="BG40" s="113"/>
      <c r="BH40" s="110"/>
      <c r="BI40" s="110"/>
      <c r="BJ40" s="110"/>
      <c r="BK40" s="110"/>
      <c r="BL40" s="110"/>
      <c r="BM40" s="110"/>
      <c r="BN40" s="110"/>
      <c r="BO40" s="1349"/>
      <c r="BP40" s="1350"/>
      <c r="BQ40" s="1350"/>
      <c r="BR40" s="1350"/>
      <c r="BS40" s="1350"/>
      <c r="BT40" s="1350"/>
      <c r="BU40" s="1351"/>
    </row>
    <row r="41" spans="2:73" ht="18.75" customHeight="1" thickBot="1" x14ac:dyDescent="0.25">
      <c r="B41" s="1365" t="str">
        <f>IF(ISERROR(AR46),"",TEXT(AR45,"0.0%"))</f>
        <v>0.0%</v>
      </c>
      <c r="C41" s="1366"/>
      <c r="D41" s="1367"/>
      <c r="E41" s="187" t="str">
        <f>IF(AU41=0,"N/A",CONCATENATE(TEXT(AV45,"0.0%")," of ",TEXT(AV44,"0.0%")))</f>
        <v>N/A</v>
      </c>
      <c r="F41" s="1369" t="str">
        <f>IF((graded_aca_events+graded_amn_events)&lt;1,"---",IF(AND(AW4,AX4),"INCOMPLETE",IF(AND(NOT(AW4),AX4),"ACA INC",IF(AND(AW4,NOT(AX4)),"AMN INC","COMPLETE"))))</f>
        <v>---</v>
      </c>
      <c r="G41" s="1369"/>
      <c r="H41" s="1369" t="str">
        <f>IF(AU4,IF(OR(AY4="UNK",NOT(AN6)),"---",IF(AY4,"UNSAT",IF(AVERAGEIFS(AT8:AT39,AS8:AS39,"&gt;0")&lt;0.9,"MARG","SAT"))),"N/A")</f>
        <v>N/A</v>
      </c>
      <c r="I41" s="1369"/>
      <c r="J41" s="1370" t="str">
        <f>IF(OR(AZ4="UNK",NOT(AM6)),"---",IF(OR(AZ4,AR45&lt;0.7),"FAIL","PASS"))</f>
        <v>---</v>
      </c>
      <c r="K41" s="1371"/>
      <c r="L41" s="188"/>
      <c r="M41" s="1372"/>
      <c r="N41" s="1372"/>
      <c r="O41" s="1373" t="s">
        <v>139</v>
      </c>
      <c r="P41" s="1373"/>
      <c r="Q41" s="1373" t="s">
        <v>139</v>
      </c>
      <c r="R41" s="1374"/>
      <c r="S41" s="189"/>
      <c r="T41" s="119" t="s">
        <v>249</v>
      </c>
      <c r="U41" s="160" t="s">
        <v>250</v>
      </c>
      <c r="V41" s="190"/>
      <c r="W41" s="190"/>
      <c r="X41" s="190"/>
      <c r="Y41" s="190"/>
      <c r="Z41" s="190"/>
      <c r="AA41" s="190"/>
      <c r="AB41" s="190"/>
      <c r="AC41" s="190"/>
      <c r="AD41" s="190"/>
      <c r="AE41" s="190"/>
      <c r="AF41" s="190"/>
      <c r="AG41" s="190"/>
      <c r="AH41" s="190"/>
      <c r="AI41" s="109"/>
      <c r="AJ41" s="108"/>
      <c r="AK41" s="190"/>
      <c r="AL41" s="190"/>
      <c r="AM41" s="190">
        <f>SUM(AM8:AM39)</f>
        <v>0</v>
      </c>
      <c r="AN41" s="190">
        <f>SUM(AN8:AN39)</f>
        <v>0</v>
      </c>
      <c r="AO41" s="119"/>
      <c r="AP41" s="108"/>
      <c r="AQ41" s="191">
        <f>SUMIF(AQ8:AQ39,"&gt;0")</f>
        <v>10</v>
      </c>
      <c r="AR41" s="192">
        <f>IF(AQ41=0,0,SUMPRODUCT($AQ$8:$AQ$39,AR8:AR39)/SUM($AQ$8:$AQ$39))</f>
        <v>0</v>
      </c>
      <c r="AS41" s="193">
        <f>SUMIF(AS8:AS39,"&gt;0")</f>
        <v>0</v>
      </c>
      <c r="AT41" s="192">
        <f>IF(AS41=0,0,SUMPRODUCT($AS$8:$AS$39,AT8:AT39)/SUM($AS$8:$AS$39))</f>
        <v>0</v>
      </c>
      <c r="AU41" s="193">
        <f>SUM(AU9:AU39)</f>
        <v>0</v>
      </c>
      <c r="AV41" s="192">
        <f>IF(AU41=0,0,SUMPRODUCT($AU$8:$AU$39,AV8:AV39)/SUM($AU$8:$AU$39))</f>
        <v>0</v>
      </c>
      <c r="AW41" s="194"/>
      <c r="AX41" s="194"/>
      <c r="AY41" s="194"/>
      <c r="AZ41" s="194"/>
      <c r="BA41" s="194"/>
      <c r="BB41" s="194"/>
      <c r="BC41" s="110" t="s">
        <v>251</v>
      </c>
      <c r="BD41" s="110" t="s">
        <v>252</v>
      </c>
      <c r="BE41" s="110" t="s">
        <v>253</v>
      </c>
      <c r="BO41" s="1349"/>
      <c r="BP41" s="1350"/>
      <c r="BQ41" s="1350"/>
      <c r="BR41" s="1350"/>
      <c r="BS41" s="1350"/>
      <c r="BT41" s="1350"/>
      <c r="BU41" s="1351"/>
    </row>
    <row r="42" spans="2:73" ht="7.5" customHeight="1" thickTop="1" x14ac:dyDescent="0.2">
      <c r="L42" s="1368" t="s">
        <v>300</v>
      </c>
      <c r="M42" s="1368"/>
      <c r="N42" s="1368"/>
      <c r="O42" s="1368"/>
      <c r="P42" s="1368"/>
      <c r="Q42" s="1368"/>
      <c r="R42" s="1368"/>
      <c r="AP42" s="190"/>
      <c r="AQ42" s="108"/>
      <c r="AR42" s="108"/>
      <c r="AT42" s="192"/>
      <c r="AU42" s="192"/>
      <c r="AV42" s="192"/>
      <c r="AW42" s="108"/>
      <c r="AX42" s="192"/>
      <c r="BO42" s="1352"/>
      <c r="BP42" s="1353"/>
      <c r="BQ42" s="1353"/>
      <c r="BR42" s="1353"/>
      <c r="BS42" s="1353"/>
      <c r="BT42" s="1353"/>
      <c r="BU42" s="1354"/>
    </row>
    <row r="43" spans="2:73" ht="30.75" customHeight="1" x14ac:dyDescent="0.2">
      <c r="T43" s="195" t="s">
        <v>254</v>
      </c>
      <c r="U43" s="160" t="b">
        <v>0</v>
      </c>
      <c r="AI43" s="111">
        <f ca="1">SUMIF(AJ8:$AJ$39,"=" &amp; AJ8,AI9:$AI$39)</f>
        <v>0.7</v>
      </c>
      <c r="AO43" s="196"/>
      <c r="AS43" s="137" t="s">
        <v>255</v>
      </c>
      <c r="AT43" s="197">
        <f>SUMIF(X8:X39,"&gt;0")/SUMIF(W8:W39,"&gt;0")</f>
        <v>0</v>
      </c>
      <c r="AU43" s="137" t="s">
        <v>256</v>
      </c>
      <c r="AV43" s="100">
        <f>SUMIF(AU8:AU39,"&gt;0")/SUMIF(AQ8:AQ39,"&gt;0")</f>
        <v>0</v>
      </c>
      <c r="AW43" s="198"/>
      <c r="BE43" s="110" t="b">
        <f>AND(ISBLANK($K30),J30&gt;0)</f>
        <v>0</v>
      </c>
      <c r="BO43" s="110"/>
      <c r="BP43" s="110"/>
      <c r="BQ43" s="106"/>
    </row>
    <row r="44" spans="2:73" ht="30.75" customHeight="1" x14ac:dyDescent="0.2">
      <c r="J44" s="199"/>
      <c r="T44" s="200" t="s">
        <v>257</v>
      </c>
      <c r="U44" s="110" t="b">
        <f>IF(AND(Flight?,OR(AW4,AY4,BA4,AZ4,AR45&lt;0.7,H41="MARG")),TRUE,FALSE)</f>
        <v>0</v>
      </c>
      <c r="AO44" s="201"/>
      <c r="AQ44" s="137" t="s">
        <v>258</v>
      </c>
      <c r="AR44" s="197">
        <f>1-AT44</f>
        <v>1</v>
      </c>
      <c r="AS44" s="137" t="s">
        <v>259</v>
      </c>
      <c r="AT44" s="197">
        <f>MIN(AT43,AT6)</f>
        <v>0</v>
      </c>
      <c r="AU44" s="137" t="s">
        <v>260</v>
      </c>
      <c r="AV44" s="111">
        <f>MIN(AV43,AV6)</f>
        <v>0</v>
      </c>
      <c r="BO44" s="110"/>
      <c r="BP44" s="110"/>
      <c r="BQ44" s="106"/>
    </row>
    <row r="45" spans="2:73" ht="25.5" x14ac:dyDescent="0.2">
      <c r="T45" s="200" t="s">
        <v>261</v>
      </c>
      <c r="U45" s="110" t="b">
        <f>IF(OR(AX4,AY4,AZ4,BB4,AR45&lt;0.7),TRUE,FALSE)</f>
        <v>1</v>
      </c>
      <c r="AO45" s="202"/>
      <c r="AQ45" s="137" t="s">
        <v>262</v>
      </c>
      <c r="AR45" s="111">
        <f>AR41*(1-AT44)+(AT41*AT44)</f>
        <v>0</v>
      </c>
      <c r="AU45" s="110" t="s">
        <v>196</v>
      </c>
      <c r="AV45" s="111">
        <f>AV41*AV44</f>
        <v>0</v>
      </c>
      <c r="BO45" s="110"/>
      <c r="BP45" s="110"/>
      <c r="BQ45" s="106"/>
    </row>
    <row r="46" spans="2:73" ht="25.5" x14ac:dyDescent="0.2">
      <c r="T46" s="200" t="s">
        <v>263</v>
      </c>
      <c r="U46" s="110" t="b">
        <v>0</v>
      </c>
      <c r="AO46" s="202"/>
      <c r="AQ46" s="137" t="s">
        <v>264</v>
      </c>
      <c r="AR46" s="111">
        <f>MIN(1,IF(NOT(OR(AY4,AZ4)),AR45+AV45,MIN(0.69,AR45+AV45)))</f>
        <v>0</v>
      </c>
      <c r="BO46" s="110"/>
      <c r="BP46" s="110"/>
      <c r="BQ46" s="106"/>
    </row>
    <row r="47" spans="2:73" x14ac:dyDescent="0.2">
      <c r="T47" s="200" t="s">
        <v>265</v>
      </c>
      <c r="U47" s="110" t="b">
        <f>IF(NOT(Flight?),TRUE,NOT(OR(ISBLANK(comments),ISBLANK(hdr_class),ISBLANK(date),ISBLANK(hdr_stud),ISBLANK(instructor),ISBLANK(hdr_acft),ISBLANK(hdr_time),F41="---")))</f>
        <v>1</v>
      </c>
      <c r="AO47" s="202"/>
      <c r="AR47" s="137"/>
      <c r="AS47" s="111"/>
    </row>
    <row r="48" spans="2:73" x14ac:dyDescent="0.2">
      <c r="T48" s="200" t="s">
        <v>266</v>
      </c>
      <c r="U48" s="110" t="b">
        <f>IF(Flight?,TRUE,NOT(OR(ISBLANK(comments),ISBLANK(hdr_class),ISBLANK(date),ISBLANK(hdr_stud),ISBLANK(instructor),F41="---")))</f>
        <v>0</v>
      </c>
      <c r="AO48" s="201"/>
      <c r="AP48" s="108" t="s">
        <v>267</v>
      </c>
      <c r="AQ48" s="108"/>
      <c r="AR48" s="108"/>
      <c r="AS48" s="108"/>
      <c r="AT48" s="108"/>
    </row>
    <row r="49" spans="20:56" x14ac:dyDescent="0.2">
      <c r="T49" s="200" t="s">
        <v>268</v>
      </c>
      <c r="U49" s="110" t="b">
        <f>AND(U47:U48)</f>
        <v>0</v>
      </c>
      <c r="AO49" s="201"/>
      <c r="AP49" s="108"/>
      <c r="AQ49" s="108"/>
      <c r="AR49" s="108">
        <v>0</v>
      </c>
      <c r="AS49" s="108">
        <v>1</v>
      </c>
      <c r="AT49" s="108">
        <v>2</v>
      </c>
      <c r="AU49" s="108">
        <v>3</v>
      </c>
      <c r="AV49" s="108">
        <v>4</v>
      </c>
    </row>
    <row r="50" spans="20:56" x14ac:dyDescent="0.2">
      <c r="AO50" s="201"/>
      <c r="AP50" s="108" t="s">
        <v>227</v>
      </c>
      <c r="AQ50" s="108">
        <v>1</v>
      </c>
      <c r="AR50" s="203">
        <v>0.7</v>
      </c>
      <c r="AS50" s="203">
        <v>0.9</v>
      </c>
      <c r="AT50" s="203">
        <v>0.93330000000000002</v>
      </c>
      <c r="AU50" s="203">
        <v>0.9667</v>
      </c>
      <c r="AV50" s="203">
        <v>1</v>
      </c>
    </row>
    <row r="51" spans="20:56" x14ac:dyDescent="0.2">
      <c r="AO51" s="201"/>
      <c r="AP51" s="108" t="s">
        <v>228</v>
      </c>
      <c r="AQ51" s="108">
        <v>2</v>
      </c>
      <c r="AR51" s="203">
        <v>0.7</v>
      </c>
      <c r="AS51" s="203">
        <v>0.8</v>
      </c>
      <c r="AT51" s="203">
        <v>0.9</v>
      </c>
      <c r="AU51" s="203">
        <v>0.95</v>
      </c>
      <c r="AV51" s="203">
        <v>1</v>
      </c>
    </row>
    <row r="52" spans="20:56" x14ac:dyDescent="0.2">
      <c r="AO52" s="201"/>
      <c r="AP52" s="108" t="s">
        <v>229</v>
      </c>
      <c r="AQ52" s="108">
        <v>3</v>
      </c>
      <c r="AR52" s="203">
        <v>0.7</v>
      </c>
      <c r="AS52" s="203">
        <v>0.76670000000000005</v>
      </c>
      <c r="AT52" s="203">
        <v>0.83330000000000004</v>
      </c>
      <c r="AU52" s="203">
        <v>0.9</v>
      </c>
      <c r="AV52" s="203">
        <v>1</v>
      </c>
    </row>
    <row r="53" spans="20:56" x14ac:dyDescent="0.2">
      <c r="AP53" s="204" t="s">
        <v>230</v>
      </c>
      <c r="AQ53" s="108">
        <v>11</v>
      </c>
      <c r="AR53" s="203">
        <v>0.6</v>
      </c>
      <c r="AS53" s="203">
        <v>0.9</v>
      </c>
      <c r="AT53" s="203">
        <v>0.93330000000000002</v>
      </c>
      <c r="AU53" s="203">
        <v>0.9667</v>
      </c>
      <c r="AV53" s="203">
        <v>1</v>
      </c>
    </row>
    <row r="54" spans="20:56" x14ac:dyDescent="0.2">
      <c r="AP54" s="204" t="s">
        <v>231</v>
      </c>
      <c r="AQ54" s="108">
        <v>12</v>
      </c>
      <c r="AR54" s="203">
        <v>0.6</v>
      </c>
      <c r="AS54" s="203">
        <v>0.7</v>
      </c>
      <c r="AT54" s="203">
        <v>0.9</v>
      </c>
      <c r="AU54" s="203">
        <v>0.95</v>
      </c>
      <c r="AV54" s="203">
        <v>1</v>
      </c>
    </row>
    <row r="55" spans="20:56" x14ac:dyDescent="0.2">
      <c r="AP55" s="204" t="s">
        <v>232</v>
      </c>
      <c r="AQ55" s="108">
        <v>13</v>
      </c>
      <c r="AR55" s="203">
        <v>0.6</v>
      </c>
      <c r="AS55" s="203">
        <v>0.7</v>
      </c>
      <c r="AT55" s="203">
        <v>0.8</v>
      </c>
      <c r="AU55" s="203">
        <v>0.9</v>
      </c>
      <c r="AV55" s="203">
        <v>1</v>
      </c>
    </row>
    <row r="56" spans="20:56" x14ac:dyDescent="0.2">
      <c r="AP56" s="204" t="s">
        <v>233</v>
      </c>
      <c r="AQ56" s="108">
        <v>22</v>
      </c>
      <c r="AR56" s="203">
        <v>0.3</v>
      </c>
      <c r="AS56" s="203">
        <v>0.6</v>
      </c>
      <c r="AT56" s="203">
        <v>0.9</v>
      </c>
      <c r="AU56" s="203">
        <v>0.95</v>
      </c>
      <c r="AV56" s="203">
        <v>1</v>
      </c>
    </row>
    <row r="57" spans="20:56" x14ac:dyDescent="0.2">
      <c r="AP57" s="204" t="s">
        <v>234</v>
      </c>
      <c r="AQ57" s="108">
        <v>23</v>
      </c>
      <c r="AR57" s="203">
        <v>0.3</v>
      </c>
      <c r="AS57" s="203">
        <v>0.6</v>
      </c>
      <c r="AT57" s="203">
        <v>0.7</v>
      </c>
      <c r="AU57" s="203">
        <v>0.9</v>
      </c>
      <c r="AV57" s="203">
        <v>1</v>
      </c>
    </row>
    <row r="58" spans="20:56" x14ac:dyDescent="0.2">
      <c r="AP58" s="204" t="s">
        <v>235</v>
      </c>
      <c r="AQ58" s="108">
        <v>33</v>
      </c>
      <c r="AR58" s="203">
        <v>0</v>
      </c>
      <c r="AS58" s="203">
        <v>0.3</v>
      </c>
      <c r="AT58" s="203">
        <v>0.6</v>
      </c>
      <c r="AU58" s="203">
        <v>0.9</v>
      </c>
      <c r="AV58" s="203">
        <v>1</v>
      </c>
      <c r="AW58" s="83"/>
      <c r="AX58" s="84"/>
      <c r="BC58" s="84"/>
      <c r="BD58" s="84"/>
    </row>
    <row r="59" spans="20:56" x14ac:dyDescent="0.2">
      <c r="AW59" s="84"/>
      <c r="AX59" s="84"/>
      <c r="BC59" s="84"/>
      <c r="BD59" s="84"/>
    </row>
    <row r="60" spans="20:56" x14ac:dyDescent="0.2">
      <c r="AP60" s="84"/>
      <c r="AQ60" s="83"/>
      <c r="AR60" s="84"/>
      <c r="AS60" s="84"/>
      <c r="AT60" s="84"/>
      <c r="AU60" s="84"/>
      <c r="AV60" s="84"/>
      <c r="AW60" s="83"/>
      <c r="AX60" s="83"/>
      <c r="BC60" s="84"/>
      <c r="BD60" s="84"/>
    </row>
    <row r="61" spans="20:56" x14ac:dyDescent="0.2">
      <c r="AP61" s="101"/>
      <c r="AQ61" s="83"/>
      <c r="AR61" s="84"/>
      <c r="AS61" s="84"/>
      <c r="AT61" s="84"/>
      <c r="AU61" s="84"/>
      <c r="AV61" s="84"/>
      <c r="AW61" s="83"/>
      <c r="AX61" s="83"/>
      <c r="BC61" s="84"/>
      <c r="BD61" s="84"/>
    </row>
    <row r="62" spans="20:56" x14ac:dyDescent="0.2">
      <c r="AP62" s="83"/>
      <c r="AQ62" s="83"/>
      <c r="AR62" s="84"/>
      <c r="AS62" s="84"/>
      <c r="AT62" s="84"/>
      <c r="AU62" s="84"/>
      <c r="AV62" s="84"/>
      <c r="AW62" s="83"/>
      <c r="AX62" s="83"/>
      <c r="BC62" s="84"/>
      <c r="BD62" s="84"/>
    </row>
    <row r="63" spans="20:56" x14ac:dyDescent="0.2">
      <c r="AP63" s="83"/>
      <c r="AQ63" s="83"/>
      <c r="AR63" s="84"/>
      <c r="AS63" s="84"/>
      <c r="AT63" s="84"/>
      <c r="AU63" s="84"/>
      <c r="AV63" s="84"/>
      <c r="AW63" s="83"/>
      <c r="AX63" s="84"/>
      <c r="BC63" s="84"/>
      <c r="BD63" s="84"/>
    </row>
    <row r="64" spans="20:56" x14ac:dyDescent="0.2">
      <c r="AP64" s="83"/>
      <c r="AQ64" s="83"/>
      <c r="AR64" s="84"/>
      <c r="AS64" s="84"/>
      <c r="AT64" s="84"/>
      <c r="AU64" s="84"/>
      <c r="AV64" s="84"/>
      <c r="AW64" s="83"/>
      <c r="AX64" s="84"/>
      <c r="BC64" s="84"/>
      <c r="BD64" s="84"/>
    </row>
    <row r="65" spans="42:48" x14ac:dyDescent="0.2">
      <c r="AP65" s="83"/>
      <c r="AQ65" s="83"/>
      <c r="AR65" s="84"/>
      <c r="AS65" s="84"/>
      <c r="AT65" s="84"/>
      <c r="AU65" s="84"/>
      <c r="AV65" s="84"/>
    </row>
    <row r="66" spans="42:48" x14ac:dyDescent="0.2">
      <c r="AP66" s="83"/>
      <c r="AQ66" s="83"/>
      <c r="AR66" s="84"/>
      <c r="AS66" s="84"/>
      <c r="AT66" s="84"/>
      <c r="AU66" s="84"/>
      <c r="AV66" s="84"/>
    </row>
  </sheetData>
  <sheetProtection algorithmName="SHA-512" hashValue="v/wvXqNmdOadxvCdNpwXhFQg3XcdypS1MuyZ5pdwzVviT6sztrCVfj5Zv6Tc4+Rqxp/9fksdIM68X9RaIOFP0A==" saltValue="Ly13bS4NLeIlQDtKggH/XQ==" spinCount="100000" sheet="1" selectLockedCells="1"/>
  <mergeCells count="76">
    <mergeCell ref="C38:F38"/>
    <mergeCell ref="C39:F39"/>
    <mergeCell ref="BO39:BU42"/>
    <mergeCell ref="B40:D40"/>
    <mergeCell ref="F40:G40"/>
    <mergeCell ref="H40:I40"/>
    <mergeCell ref="J40:K40"/>
    <mergeCell ref="M40:N40"/>
    <mergeCell ref="C32:F32"/>
    <mergeCell ref="C33:F33"/>
    <mergeCell ref="C34:F34"/>
    <mergeCell ref="BO34:BU37"/>
    <mergeCell ref="C35:F35"/>
    <mergeCell ref="C36:F36"/>
    <mergeCell ref="C37:F37"/>
    <mergeCell ref="O40:P40"/>
    <mergeCell ref="B41:D41"/>
    <mergeCell ref="L42:R42"/>
    <mergeCell ref="F41:G41"/>
    <mergeCell ref="H41:I41"/>
    <mergeCell ref="J41:K41"/>
    <mergeCell ref="M41:N41"/>
    <mergeCell ref="O41:P4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13:F13"/>
    <mergeCell ref="C14:F14"/>
    <mergeCell ref="C15:F15"/>
    <mergeCell ref="C16:F16"/>
    <mergeCell ref="C31:F31"/>
    <mergeCell ref="C18:F18"/>
    <mergeCell ref="C19:F19"/>
    <mergeCell ref="C30:F30"/>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s>
  <conditionalFormatting sqref="B8:F39">
    <cfRule type="expression" dxfId="203" priority="8" stopIfTrue="1">
      <formula>IF($Z8=1,TRUE,FALSE)</formula>
    </cfRule>
    <cfRule type="expression" dxfId="202" priority="9">
      <formula>IF($Z8=2,TRUE,FALSE)</formula>
    </cfRule>
  </conditionalFormatting>
  <conditionalFormatting sqref="C8:F39">
    <cfRule type="expression" dxfId="201" priority="1" stopIfTrue="1">
      <formula>IF($AF8=FALSE,TRUE,FALSE)</formula>
    </cfRule>
  </conditionalFormatting>
  <conditionalFormatting sqref="F5:G6 M5:P6">
    <cfRule type="expression" dxfId="200" priority="4" stopIfTrue="1">
      <formula>NOT($AU$4)</formula>
    </cfRule>
  </conditionalFormatting>
  <conditionalFormatting sqref="F6:G6">
    <cfRule type="cellIs" dxfId="199" priority="3" operator="equal">
      <formula>""</formula>
    </cfRule>
  </conditionalFormatting>
  <conditionalFormatting sqref="G8:K39">
    <cfRule type="expression" dxfId="198" priority="6" stopIfTrue="1">
      <formula>IF($Z8=1,TRUE,FALSE)</formula>
    </cfRule>
    <cfRule type="expression" dxfId="197" priority="7" stopIfTrue="1">
      <formula>IF($Z8=2,TRUE,FALSE)</formula>
    </cfRule>
  </conditionalFormatting>
  <conditionalFormatting sqref="H8:H39">
    <cfRule type="expression" dxfId="196" priority="10" stopIfTrue="1">
      <formula>IF($AB8=0,TRUE,FALSE)</formula>
    </cfRule>
  </conditionalFormatting>
  <conditionalFormatting sqref="H40:I41">
    <cfRule type="expression" dxfId="195" priority="2" stopIfTrue="1">
      <formula>IF($H$41="N/A",TRUE,FALSE)</formula>
    </cfRule>
  </conditionalFormatting>
  <conditionalFormatting sqref="H6:P6 O4:R4 B6 L8 L41 O41:R41">
    <cfRule type="containsBlanks" dxfId="194" priority="5">
      <formula>LEN(TRIM(B4))=0</formula>
    </cfRule>
  </conditionalFormatting>
  <conditionalFormatting sqref="J8:J39">
    <cfRule type="expression" dxfId="193" priority="14">
      <formula>IF($Z8=1,FALSE,OR($BE8,$BD8))</formula>
    </cfRule>
  </conditionalFormatting>
  <conditionalFormatting sqref="J8:K39 C8:F39">
    <cfRule type="expression" dxfId="192" priority="13">
      <formula>IF($Z8=1,FALSE,OR($AW8,$AX8,$AY8,$AZ8))</formula>
    </cfRule>
  </conditionalFormatting>
  <conditionalFormatting sqref="J8:K39">
    <cfRule type="expression" dxfId="191" priority="11" stopIfTrue="1">
      <formula>IF(ISNA($Z8),TRUE,FALSE)</formula>
    </cfRule>
  </conditionalFormatting>
  <conditionalFormatting sqref="K8:K39">
    <cfRule type="expression" dxfId="190" priority="12">
      <formula>IF(OR($Z8=1,$Z8=2),FALSE,OR($BC8,$BE8,$BF8))</formula>
    </cfRule>
  </conditionalFormatting>
  <dataValidations count="6">
    <dataValidation type="date" allowBlank="1" showInputMessage="1" showErrorMessage="1" sqref="Q4:R4" xr:uid="{187BF4B8-9FD3-460B-9D25-27550158943F}">
      <formula1>41151</formula1>
      <formula2>77433</formula2>
    </dataValidation>
    <dataValidation type="decimal" allowBlank="1" showInputMessage="1" showErrorMessage="1" sqref="O6:P6" xr:uid="{B6E3D997-5628-4A85-A758-C70032051329}">
      <formula1>0</formula1>
      <formula2>10</formula2>
    </dataValidation>
    <dataValidation showInputMessage="1" showErrorMessage="1" sqref="O41:R41" xr:uid="{A886DC4F-09C6-443D-A438-B7AEEC7FB4E9}"/>
    <dataValidation type="list" allowBlank="1" showInputMessage="1" showErrorMessage="1" sqref="K8:K39" xr:uid="{6DF1F7B4-D20A-44C5-8C53-D07836B69180}">
      <formula1>"D,0,1,2,3,4"</formula1>
    </dataValidation>
    <dataValidation type="list" allowBlank="1" showInputMessage="1" showErrorMessage="1" sqref="J8:J39" xr:uid="{F60E8EB1-41B4-4AD0-B992-D567F6BFCFF5}">
      <formula1>"NA,0,1,2,3,4,5,6,7,8,9,10,11,12,13,14,15"</formula1>
    </dataValidation>
    <dataValidation type="list" allowBlank="1" showInputMessage="1" showErrorMessage="1" sqref="F6:G6" xr:uid="{D8BBCB77-4D12-4211-BAAD-979FB9C9BB1C}">
      <formula1>"No,Yes"</formula1>
    </dataValidation>
  </dataValidations>
  <hyperlinks>
    <hyperlink ref="BP3" location="PF!A1" display="PF phase Summary Page" xr:uid="{36902D77-0FE3-4058-AE4F-60FED4A661D4}"/>
    <hyperlink ref="BP3:BU4" location="SY!A1" display="SY Summary Page" xr:uid="{AD46759D-9AFE-41BF-922E-D420EC7B542C}"/>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IP_Signature">
              <controlPr defaultSize="0" print="0" autoFill="0" autoPict="0" macro="[4]!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33474" r:id="rId5" name="CCG_Click">
              <controlPr defaultSize="0" print="0" autoFill="0" autoPict="0" macro="[4]!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33475" r:id="rId6" name="MCG_Click">
              <controlPr defaultSize="0" print="0" autoFill="0" autoPict="0" macro="[4]!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33476" r:id="rId7" name="DCG_Click">
              <controlPr defaultSize="0" print="0" autoFill="0" autoPict="0" macro="[4]!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33477" r:id="rId8" name="PMC_Click">
              <controlPr defaultSize="0" print="0" autoFill="0" autoPict="0" macro="[4]!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2D77-694E-46A3-A168-8995F38A2954}">
  <sheetPr codeName="Sheet44">
    <tabColor rgb="FFFF0000"/>
    <pageSetUpPr autoPageBreaks="0"/>
  </sheetPr>
  <dimension ref="B1:BU66"/>
  <sheetViews>
    <sheetView showGridLines="0" showRowColHeaders="0" topLeftCell="A2" zoomScaleNormal="100" zoomScaleSheetLayoutView="100" workbookViewId="0">
      <selection activeCell="J22" sqref="J22"/>
    </sheetView>
  </sheetViews>
  <sheetFormatPr defaultColWidth="9.140625" defaultRowHeight="12.75" x14ac:dyDescent="0.2"/>
  <cols>
    <col min="1" max="1" width="1.5703125" style="103" customWidth="1"/>
    <col min="2" max="2" width="3.5703125" style="103" customWidth="1"/>
    <col min="3" max="3" width="5.5703125" style="103" customWidth="1"/>
    <col min="4" max="4" width="9.140625" style="103" customWidth="1"/>
    <col min="5" max="5" width="14" style="103" customWidth="1"/>
    <col min="6" max="6" width="7.85546875" style="103" customWidth="1"/>
    <col min="7" max="11" width="5.140625" style="103" customWidth="1"/>
    <col min="12" max="12" width="21.5703125" style="103" customWidth="1"/>
    <col min="13" max="13" width="6.5703125" style="103" customWidth="1"/>
    <col min="14" max="14" width="12.5703125" style="103" customWidth="1"/>
    <col min="15" max="15" width="7.85546875" style="103" customWidth="1"/>
    <col min="16" max="16" width="2.7109375" style="103" customWidth="1"/>
    <col min="17" max="17" width="4.85546875" style="103" customWidth="1"/>
    <col min="18" max="18" width="7.28515625" style="103" customWidth="1"/>
    <col min="19" max="19" width="1.7109375" style="103" customWidth="1"/>
    <col min="20" max="20" width="19.140625" style="110" hidden="1" customWidth="1"/>
    <col min="21" max="21" width="31.140625" style="110" hidden="1" customWidth="1"/>
    <col min="22" max="22" width="5.140625" style="110" hidden="1" customWidth="1"/>
    <col min="23" max="24" width="6.28515625" style="110" hidden="1" customWidth="1"/>
    <col min="25" max="25" width="8.42578125" style="110" hidden="1" customWidth="1"/>
    <col min="26" max="26" width="7.85546875" style="110" hidden="1" customWidth="1"/>
    <col min="27" max="27" width="10.7109375" style="110" hidden="1" customWidth="1"/>
    <col min="28" max="28" width="8" style="110" hidden="1" customWidth="1"/>
    <col min="29" max="31" width="5.140625" style="110" hidden="1" customWidth="1"/>
    <col min="32" max="34" width="5.85546875" style="110" hidden="1" customWidth="1"/>
    <col min="35" max="35" width="8.5703125" style="111" hidden="1" customWidth="1"/>
    <col min="36" max="36" width="7" style="110" hidden="1" customWidth="1"/>
    <col min="37" max="38" width="5.28515625" style="110" hidden="1" customWidth="1"/>
    <col min="39" max="40" width="7" style="110" hidden="1" customWidth="1"/>
    <col min="41" max="41" width="5.140625" style="110" hidden="1" customWidth="1"/>
    <col min="42" max="42" width="11.28515625" style="110" hidden="1" customWidth="1"/>
    <col min="43" max="43" width="6.42578125" style="110" hidden="1" customWidth="1"/>
    <col min="44" max="44" width="8.28515625" style="110" hidden="1" customWidth="1"/>
    <col min="45" max="45" width="8.85546875" style="110" hidden="1" customWidth="1"/>
    <col min="46" max="46" width="10.7109375" style="110" hidden="1" customWidth="1"/>
    <col min="47" max="47" width="8.85546875" style="110" hidden="1" customWidth="1"/>
    <col min="48" max="48" width="6.28515625" style="110" hidden="1" customWidth="1"/>
    <col min="49" max="49" width="10" style="110" hidden="1" customWidth="1"/>
    <col min="50" max="50" width="7.5703125" style="110" hidden="1" customWidth="1"/>
    <col min="51" max="51" width="7" style="110" hidden="1" customWidth="1"/>
    <col min="52" max="52" width="8.140625" style="110" hidden="1" customWidth="1"/>
    <col min="53" max="53" width="12.5703125" style="110" hidden="1" customWidth="1"/>
    <col min="54" max="54" width="7.7109375" style="110" hidden="1" customWidth="1"/>
    <col min="55" max="55" width="12.7109375" style="110" hidden="1" customWidth="1"/>
    <col min="56" max="56" width="7" style="110" hidden="1" customWidth="1"/>
    <col min="57" max="57" width="15.5703125" style="110" hidden="1" customWidth="1"/>
    <col min="58" max="58" width="9.140625" style="110" hidden="1" customWidth="1"/>
    <col min="59" max="59" width="10" style="110" hidden="1" customWidth="1"/>
    <col min="60" max="60" width="5.28515625" style="110" hidden="1" customWidth="1"/>
    <col min="61" max="61" width="4" style="110" hidden="1" customWidth="1"/>
    <col min="62" max="62" width="4.7109375" style="110" hidden="1" customWidth="1"/>
    <col min="63" max="63" width="5.5703125" style="110" hidden="1" customWidth="1"/>
    <col min="64" max="64" width="5.28515625" style="110" hidden="1" customWidth="1"/>
    <col min="65" max="65" width="4" style="110" hidden="1" customWidth="1"/>
    <col min="66" max="66" width="5.5703125" style="110" hidden="1" customWidth="1"/>
    <col min="67" max="67" width="5.140625" style="106" customWidth="1"/>
    <col min="68" max="73" width="5.140625" style="103" customWidth="1"/>
    <col min="74" max="16384" width="9.140625" style="103"/>
  </cols>
  <sheetData>
    <row r="1" spans="2:73" s="107" customFormat="1" ht="12" hidden="1" x14ac:dyDescent="0.2">
      <c r="T1" s="108"/>
      <c r="U1" s="108"/>
      <c r="V1" s="108"/>
      <c r="W1" s="108"/>
      <c r="X1" s="108"/>
      <c r="Y1" s="108"/>
      <c r="Z1" s="108"/>
      <c r="AA1" s="108"/>
      <c r="AB1" s="108"/>
      <c r="AC1" s="108"/>
      <c r="AD1" s="108"/>
      <c r="AE1" s="108"/>
      <c r="AF1" s="108"/>
      <c r="AG1" s="108"/>
      <c r="AH1" s="108"/>
      <c r="AI1" s="109"/>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row>
    <row r="2" spans="2:73" ht="13.5" thickBot="1" x14ac:dyDescent="0.25"/>
    <row r="3" spans="2:73" ht="13.5" customHeight="1" thickTop="1" x14ac:dyDescent="0.2">
      <c r="B3" s="1421" t="s">
        <v>141</v>
      </c>
      <c r="C3" s="1422"/>
      <c r="D3" s="1422"/>
      <c r="E3" s="1422"/>
      <c r="F3" s="1422"/>
      <c r="G3" s="1423"/>
      <c r="H3" s="1424" t="s">
        <v>508</v>
      </c>
      <c r="I3" s="1654"/>
      <c r="J3" s="1654"/>
      <c r="K3" s="1654"/>
      <c r="L3" s="1654"/>
      <c r="M3" s="1654"/>
      <c r="N3" s="1655"/>
      <c r="O3" s="1427" t="s">
        <v>142</v>
      </c>
      <c r="P3" s="1428"/>
      <c r="Q3" s="1427" t="s">
        <v>143</v>
      </c>
      <c r="R3" s="1429"/>
      <c r="S3" s="112"/>
      <c r="T3" s="113"/>
      <c r="U3" s="113"/>
      <c r="V3" s="113"/>
      <c r="W3" s="113"/>
      <c r="X3" s="113"/>
      <c r="Y3" s="113"/>
      <c r="Z3" s="113"/>
      <c r="AA3" s="113"/>
      <c r="AB3" s="113"/>
      <c r="AC3" s="113"/>
      <c r="AD3" s="113"/>
      <c r="AE3" s="113"/>
      <c r="AF3" s="113"/>
      <c r="AG3" s="113"/>
      <c r="AH3" s="113"/>
      <c r="AI3" s="114"/>
      <c r="AJ3" s="113"/>
      <c r="AK3" s="113"/>
      <c r="AL3" s="113"/>
      <c r="AM3" s="113"/>
      <c r="AN3" s="113"/>
      <c r="AO3" s="113"/>
      <c r="AP3" s="113"/>
      <c r="AQ3" s="108"/>
      <c r="AR3" s="108"/>
      <c r="AW3" s="110" t="s">
        <v>144</v>
      </c>
      <c r="AX3" s="110" t="s">
        <v>145</v>
      </c>
      <c r="AY3" s="110" t="s">
        <v>146</v>
      </c>
      <c r="AZ3" s="110" t="s">
        <v>147</v>
      </c>
      <c r="BA3" s="110" t="s">
        <v>148</v>
      </c>
      <c r="BB3" s="110" t="s">
        <v>149</v>
      </c>
      <c r="BP3" s="1430" t="s">
        <v>499</v>
      </c>
      <c r="BQ3" s="1430"/>
      <c r="BR3" s="1430"/>
      <c r="BS3" s="1430"/>
      <c r="BT3" s="1430"/>
      <c r="BU3" s="1430"/>
    </row>
    <row r="4" spans="2:73" s="105" customFormat="1" ht="15.75" customHeight="1" x14ac:dyDescent="0.2">
      <c r="B4" s="1431" t="s">
        <v>509</v>
      </c>
      <c r="C4" s="1432"/>
      <c r="D4" s="1432"/>
      <c r="E4" s="1432"/>
      <c r="F4" s="1432"/>
      <c r="G4" s="1433"/>
      <c r="H4" s="1434" t="s">
        <v>316</v>
      </c>
      <c r="I4" s="1435"/>
      <c r="J4" s="1435"/>
      <c r="K4" s="1435"/>
      <c r="L4" s="1435"/>
      <c r="M4" s="1435"/>
      <c r="N4" s="1436"/>
      <c r="O4" s="1437"/>
      <c r="P4" s="1438"/>
      <c r="Q4" s="1439"/>
      <c r="R4" s="1440"/>
      <c r="S4" s="115"/>
      <c r="T4" s="116"/>
      <c r="U4" s="116"/>
      <c r="V4" s="116"/>
      <c r="W4" s="116"/>
      <c r="X4" s="116"/>
      <c r="Y4" s="116"/>
      <c r="Z4" s="116"/>
      <c r="AA4" s="116"/>
      <c r="AB4" s="116"/>
      <c r="AC4" s="116"/>
      <c r="AD4" s="116"/>
      <c r="AE4" s="116"/>
      <c r="AF4" s="116"/>
      <c r="AG4" s="116"/>
      <c r="AH4" s="116"/>
      <c r="AI4" s="117"/>
      <c r="AJ4" s="116"/>
      <c r="AK4" s="116"/>
      <c r="AL4" s="116"/>
      <c r="AM4" s="116"/>
      <c r="AN4" s="116"/>
      <c r="AO4" s="116"/>
      <c r="AP4" s="116"/>
      <c r="AQ4" s="118"/>
      <c r="AR4" s="118"/>
      <c r="AS4" s="119"/>
      <c r="AT4" s="120" t="s">
        <v>151</v>
      </c>
      <c r="AU4" s="121" t="b">
        <v>1</v>
      </c>
      <c r="AV4" s="119">
        <v>5</v>
      </c>
      <c r="AW4" s="119" t="b">
        <f>IF(ISERR(OR(AW8:AW39)),"UNK",IF(AND(graded_aca_events&gt;=1,input_test),FALSE,OR(AW8:AW39)))</f>
        <v>1</v>
      </c>
      <c r="AX4" s="119" t="b">
        <f>IF(ISERR(OR(AX8:AX39)),"UNK",IF(AND(graded_aca_events&gt;=1,input_test),FALSE,OR(AX8:AX39)))</f>
        <v>1</v>
      </c>
      <c r="AY4" s="119" t="b">
        <f>IF(ISERR(OR(AY8:AY39)),"UNK",OR(AY8:AY39))</f>
        <v>0</v>
      </c>
      <c r="AZ4" s="119" t="b">
        <f>IF(ISERR(OR(AZ8:AZ39)),"UNK",OR(AZ8:AZ39))</f>
        <v>0</v>
      </c>
      <c r="BA4" s="119" t="b">
        <f>IF(ISERR(OR(BA8:BA39)),"UNK",OR(BA8:BA39))</f>
        <v>0</v>
      </c>
      <c r="BB4" s="119" t="b">
        <f>IF(ISERR(OR(BB8:BB39)),"UNK",OR(BB8:BB39))</f>
        <v>0</v>
      </c>
      <c r="BC4" s="122" t="b">
        <f>OR(BC8:BC39)</f>
        <v>0</v>
      </c>
      <c r="BD4" s="122" t="b">
        <f>OR(BD8:BD39)</f>
        <v>0</v>
      </c>
      <c r="BE4" s="122" t="b">
        <f>OR(BE8:BE39)</f>
        <v>0</v>
      </c>
      <c r="BF4" s="122"/>
      <c r="BG4" s="119"/>
      <c r="BH4" s="1441" t="s">
        <v>152</v>
      </c>
      <c r="BI4" s="1441"/>
      <c r="BJ4" s="1441"/>
      <c r="BK4" s="1441"/>
      <c r="BL4" s="1393" t="s">
        <v>153</v>
      </c>
      <c r="BM4" s="1393"/>
      <c r="BN4" s="1393"/>
      <c r="BO4" s="106"/>
      <c r="BP4" s="1430"/>
      <c r="BQ4" s="1430"/>
      <c r="BR4" s="1430"/>
      <c r="BS4" s="1430"/>
      <c r="BT4" s="1430"/>
      <c r="BU4" s="1430"/>
    </row>
    <row r="5" spans="2:73" s="112" customFormat="1" ht="7.5" customHeight="1" x14ac:dyDescent="0.25">
      <c r="B5" s="1394" t="s">
        <v>154</v>
      </c>
      <c r="C5" s="1395"/>
      <c r="D5" s="1395"/>
      <c r="E5" s="1396"/>
      <c r="F5" s="1397" t="s">
        <v>155</v>
      </c>
      <c r="G5" s="1396"/>
      <c r="H5" s="1397" t="s">
        <v>156</v>
      </c>
      <c r="I5" s="1395"/>
      <c r="J5" s="1395"/>
      <c r="K5" s="1395"/>
      <c r="L5" s="1396"/>
      <c r="M5" s="1398" t="s">
        <v>157</v>
      </c>
      <c r="N5" s="1399"/>
      <c r="O5" s="1400" t="s">
        <v>158</v>
      </c>
      <c r="P5" s="1401"/>
      <c r="Q5" s="1397" t="str">
        <f>IF(AU41=0,"GRADE","GRADE (inc. bonus)")</f>
        <v>GRADE</v>
      </c>
      <c r="R5" s="1402"/>
      <c r="T5" s="113"/>
      <c r="U5" s="113"/>
      <c r="V5" s="113"/>
      <c r="W5" s="113"/>
      <c r="X5" s="113"/>
      <c r="Y5" s="113"/>
      <c r="Z5" s="113"/>
      <c r="AA5" s="113"/>
      <c r="AB5" s="113"/>
      <c r="AC5" s="113"/>
      <c r="AD5" s="113"/>
      <c r="AE5" s="113"/>
      <c r="AF5" s="113"/>
      <c r="AG5" s="113"/>
      <c r="AH5" s="113"/>
      <c r="AI5" s="114"/>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441"/>
      <c r="BI5" s="1441"/>
      <c r="BJ5" s="1441"/>
      <c r="BK5" s="1441"/>
      <c r="BL5" s="1393"/>
      <c r="BM5" s="1393"/>
      <c r="BN5" s="1393"/>
      <c r="BO5" s="123"/>
    </row>
    <row r="6" spans="2:73" s="105" customFormat="1" ht="15.75" customHeight="1" thickBot="1" x14ac:dyDescent="0.25">
      <c r="B6" s="1403"/>
      <c r="C6" s="1404"/>
      <c r="D6" s="1404"/>
      <c r="E6" s="1405"/>
      <c r="F6" s="1406" t="s">
        <v>270</v>
      </c>
      <c r="G6" s="1407"/>
      <c r="H6" s="1408"/>
      <c r="I6" s="1409"/>
      <c r="J6" s="1409"/>
      <c r="K6" s="1409"/>
      <c r="L6" s="1407"/>
      <c r="M6" s="1410" t="s">
        <v>284</v>
      </c>
      <c r="N6" s="1411"/>
      <c r="O6" s="1412"/>
      <c r="P6" s="1413"/>
      <c r="Q6" s="1414" t="str">
        <f>IF((graded_aca_events+graded_amn_events)&lt;1,"0",IF(ISERROR(AR46),"",IF(F41&lt;&gt;"COMPLETE","INCOMPLETE",AR46)))</f>
        <v>0</v>
      </c>
      <c r="R6" s="1415"/>
      <c r="S6" s="103"/>
      <c r="T6" s="119"/>
      <c r="U6" s="119">
        <v>2</v>
      </c>
      <c r="V6" s="119">
        <v>3</v>
      </c>
      <c r="W6" s="119">
        <v>6</v>
      </c>
      <c r="X6" s="119">
        <v>7</v>
      </c>
      <c r="Y6" s="119">
        <v>11</v>
      </c>
      <c r="Z6" s="119">
        <v>8</v>
      </c>
      <c r="AA6" s="119">
        <v>9</v>
      </c>
      <c r="AB6" s="119">
        <v>10</v>
      </c>
      <c r="AC6" s="119">
        <v>5</v>
      </c>
      <c r="AD6" s="119">
        <v>4</v>
      </c>
      <c r="AE6" s="119">
        <v>12</v>
      </c>
      <c r="AF6" s="119">
        <v>13</v>
      </c>
      <c r="AG6" s="119"/>
      <c r="AH6" s="119"/>
      <c r="AI6" s="124"/>
      <c r="AJ6" s="125"/>
      <c r="AK6" s="125"/>
      <c r="AL6" s="125"/>
      <c r="AM6" s="125" t="b">
        <f>IF(COUNT(AM8:AM39)&gt;0,TRUE,FALSE)</f>
        <v>0</v>
      </c>
      <c r="AN6" s="125" t="b">
        <f>IF(COUNT(AN8:AN39)&gt;0,TRUE,FALSE)</f>
        <v>0</v>
      </c>
      <c r="AO6" s="119"/>
      <c r="AP6" s="119"/>
      <c r="AQ6" s="118"/>
      <c r="AR6" s="118"/>
      <c r="AS6" s="119"/>
      <c r="AT6" s="85">
        <v>0.05</v>
      </c>
      <c r="AU6" s="119"/>
      <c r="AV6" s="126">
        <f>0.01*input_maxb</f>
        <v>0.05</v>
      </c>
      <c r="AW6" s="127" t="s">
        <v>159</v>
      </c>
      <c r="AX6" s="128"/>
      <c r="AY6" s="127" t="s">
        <v>160</v>
      </c>
      <c r="AZ6" s="128"/>
      <c r="BA6" s="129" t="s">
        <v>161</v>
      </c>
      <c r="BB6" s="129"/>
      <c r="BC6" s="127" t="s">
        <v>162</v>
      </c>
      <c r="BD6" s="129"/>
      <c r="BE6" s="130"/>
      <c r="BF6" s="131"/>
      <c r="BG6" s="119" t="s">
        <v>163</v>
      </c>
      <c r="BH6" s="1441"/>
      <c r="BI6" s="1441"/>
      <c r="BJ6" s="1441"/>
      <c r="BK6" s="1441"/>
      <c r="BL6" s="1393"/>
      <c r="BM6" s="1393"/>
      <c r="BN6" s="1393"/>
      <c r="BO6" s="106"/>
    </row>
    <row r="7" spans="2:73" ht="27" customHeight="1" thickBot="1" x14ac:dyDescent="0.25">
      <c r="B7" s="1416" t="s">
        <v>164</v>
      </c>
      <c r="C7" s="1417"/>
      <c r="D7" s="1417"/>
      <c r="E7" s="1417"/>
      <c r="F7" s="1418"/>
      <c r="G7" s="132" t="s">
        <v>165</v>
      </c>
      <c r="H7" s="133" t="s">
        <v>166</v>
      </c>
      <c r="I7" s="134" t="s">
        <v>167</v>
      </c>
      <c r="J7" s="135" t="s">
        <v>168</v>
      </c>
      <c r="K7" s="136" t="s">
        <v>169</v>
      </c>
      <c r="L7" s="1419" t="s">
        <v>170</v>
      </c>
      <c r="M7" s="1417"/>
      <c r="N7" s="1417"/>
      <c r="O7" s="1417"/>
      <c r="P7" s="1417"/>
      <c r="Q7" s="1417"/>
      <c r="R7" s="1420"/>
      <c r="T7" s="137" t="s">
        <v>171</v>
      </c>
      <c r="U7" s="137"/>
      <c r="V7" s="137" t="s">
        <v>172</v>
      </c>
      <c r="W7" s="137" t="s">
        <v>173</v>
      </c>
      <c r="X7" s="137" t="s">
        <v>174</v>
      </c>
      <c r="Y7" s="137" t="s">
        <v>175</v>
      </c>
      <c r="Z7" s="137" t="s">
        <v>176</v>
      </c>
      <c r="AA7" s="137" t="s">
        <v>177</v>
      </c>
      <c r="AB7" s="137" t="s">
        <v>178</v>
      </c>
      <c r="AC7" s="137" t="s">
        <v>179</v>
      </c>
      <c r="AD7" s="137" t="s">
        <v>180</v>
      </c>
      <c r="AE7" s="137" t="s">
        <v>181</v>
      </c>
      <c r="AF7" s="137" t="s">
        <v>182</v>
      </c>
      <c r="AG7" s="137" t="s">
        <v>183</v>
      </c>
      <c r="AH7" s="137" t="s">
        <v>184</v>
      </c>
      <c r="AI7" s="138" t="s">
        <v>185</v>
      </c>
      <c r="AJ7" s="139" t="s">
        <v>186</v>
      </c>
      <c r="AK7" s="140" t="s">
        <v>187</v>
      </c>
      <c r="AL7" s="140" t="s">
        <v>188</v>
      </c>
      <c r="AM7" s="140" t="s">
        <v>189</v>
      </c>
      <c r="AN7" s="140" t="s">
        <v>190</v>
      </c>
      <c r="AO7" s="139" t="s">
        <v>191</v>
      </c>
      <c r="AP7" s="139" t="s">
        <v>192</v>
      </c>
      <c r="AQ7" s="141" t="s">
        <v>193</v>
      </c>
      <c r="AR7" s="142" t="s">
        <v>1</v>
      </c>
      <c r="AS7" s="141" t="s">
        <v>194</v>
      </c>
      <c r="AT7" s="142" t="s">
        <v>1</v>
      </c>
      <c r="AU7" s="141" t="s">
        <v>195</v>
      </c>
      <c r="AV7" s="143" t="s">
        <v>196</v>
      </c>
      <c r="AW7" s="144" t="s">
        <v>197</v>
      </c>
      <c r="AX7" s="145" t="s">
        <v>198</v>
      </c>
      <c r="AY7" s="144" t="s">
        <v>199</v>
      </c>
      <c r="AZ7" s="145" t="s">
        <v>200</v>
      </c>
      <c r="BA7" s="146" t="s">
        <v>201</v>
      </c>
      <c r="BB7" s="146" t="s">
        <v>202</v>
      </c>
      <c r="BC7" s="147" t="s">
        <v>203</v>
      </c>
      <c r="BD7" s="148" t="s">
        <v>204</v>
      </c>
      <c r="BE7" s="149" t="s">
        <v>205</v>
      </c>
      <c r="BF7" s="150" t="s">
        <v>206</v>
      </c>
      <c r="BH7" s="110" t="s">
        <v>207</v>
      </c>
      <c r="BI7" s="110" t="s">
        <v>208</v>
      </c>
      <c r="BJ7" s="137" t="s">
        <v>209</v>
      </c>
      <c r="BK7" s="110" t="s">
        <v>210</v>
      </c>
      <c r="BL7" s="110" t="s">
        <v>207</v>
      </c>
      <c r="BM7" s="110" t="s">
        <v>208</v>
      </c>
      <c r="BN7" s="110" t="s">
        <v>210</v>
      </c>
    </row>
    <row r="8" spans="2:73" ht="12.95" customHeight="1" x14ac:dyDescent="0.2">
      <c r="B8" s="151" t="str">
        <f>IF(ISNA(Z8),"",IF(OR(Z8=1,Z8=2),"",1))</f>
        <v/>
      </c>
      <c r="C8" s="1391" t="str">
        <f t="shared" ref="C8:C36" si="0">IF(ISNA(Z8),"",CONCATENATE($U8,IF(ISNUMBER(AI8),TEXT(ROUND($AI8,3)," (0.0%)"),""),IF(AU8&gt;0," Bonus","")))</f>
        <v>Airmanship Tasks (5.0%)</v>
      </c>
      <c r="D8" s="1391"/>
      <c r="E8" s="1391"/>
      <c r="F8" s="1392"/>
      <c r="G8" s="152" t="str">
        <f t="shared" ref="G8:G39" si="1">BH8</f>
        <v/>
      </c>
      <c r="H8" s="153" t="str">
        <f t="shared" ref="H8:I39" si="2">BJ8</f>
        <v/>
      </c>
      <c r="I8" s="154" t="str">
        <f t="shared" si="2"/>
        <v/>
      </c>
      <c r="J8" s="155"/>
      <c r="K8" s="156"/>
      <c r="L8" s="1072"/>
      <c r="M8" s="1073"/>
      <c r="N8" s="1073"/>
      <c r="O8" s="1073"/>
      <c r="P8" s="1073"/>
      <c r="Q8" s="1073"/>
      <c r="R8" s="1074"/>
      <c r="T8" s="110">
        <v>1</v>
      </c>
      <c r="U8" s="110" t="s">
        <v>211</v>
      </c>
      <c r="V8" s="206" t="s">
        <v>212</v>
      </c>
      <c r="W8" s="206" t="s">
        <v>212</v>
      </c>
      <c r="X8" s="206" t="s">
        <v>212</v>
      </c>
      <c r="Y8" s="206" t="s">
        <v>212</v>
      </c>
      <c r="Z8" s="206">
        <v>1</v>
      </c>
      <c r="AA8" s="206">
        <v>0</v>
      </c>
      <c r="AB8" s="206">
        <v>1</v>
      </c>
      <c r="AC8" s="206" t="s">
        <v>212</v>
      </c>
      <c r="AD8" s="206" t="s">
        <v>212</v>
      </c>
      <c r="AE8" s="206">
        <v>0</v>
      </c>
      <c r="AF8" s="206" t="s">
        <v>212</v>
      </c>
      <c r="AG8" s="206" t="str">
        <f t="shared" ref="AG8:AG39" si="3">IF(CrewSoloQual="Yes",$AC8,$AD8)</f>
        <v/>
      </c>
      <c r="AH8" s="206" t="str">
        <f t="shared" ref="AH8:AH39" si="4">IF(ISNUMBER(AC8),IF(CrewSoloQual="Yes",$AC8-1,$AD8-1),"")</f>
        <v/>
      </c>
      <c r="AI8" s="86">
        <f>IF(NOT(OR(Z8=1,Z8=2)),IF(AQ8&gt;0,$AR$44*AQ8/SUMIF($AQ$8:$AQ$39,"&gt;0"),IF(AU8&gt;0,$AV$44*AU8/SUMIF($AU$8:$AU$39,"&gt;0"),IF(AS8&gt;0,$AT$44*AS8/SUMIF($AS$8:$AS$39,"&gt;0"),""))),IF(SUMIF(AJ9:$AJ$39,"=" &amp; AJ8,AI9:$AI$39)=0,"",SUMIF(AJ9:$AJ$39,"=" &amp; AJ8,AI9:$AI$39)))</f>
        <v>0.05</v>
      </c>
      <c r="AJ8" s="87">
        <f>0</f>
        <v>0</v>
      </c>
      <c r="AK8" s="206" t="str">
        <f>BI8</f>
        <v/>
      </c>
      <c r="AL8" s="206" t="str">
        <f>IF(ISBLANK(K8),"",K8)</f>
        <v/>
      </c>
      <c r="AM8" s="206" t="str">
        <f>IF(ISNUMBER(AK8),IF(ISNUMBER(AL8),1,""),"")</f>
        <v/>
      </c>
      <c r="AN8" s="206" t="str">
        <f t="shared" ref="AN8:AN36" si="5">IF(ISNUMBER(AH8),IF(AND(AB8=0,ISNUMBER(AC8),ISNUMBER(AL8)),1,""),"")</f>
        <v/>
      </c>
      <c r="AO8" s="206" t="str">
        <f t="shared" ref="AO8:AO39" si="6">IF(AB8=0,IF(CrewSoloQual="No",BI8,BK8),"")</f>
        <v/>
      </c>
      <c r="AP8" s="206" t="str">
        <f t="shared" ref="AP8:AP39" si="7">IF(ISNA(Z8),"",IF(AND(ISNUMBER(B8),G8&gt;=1,H8&lt;&gt;"NG"),IF(K8&lt;BK8,TRUE,FALSE),IF(AND(G8&gt;=1,J8="NA"),TRUE,IF(AND(AM8=1,G8=0,AL8&lt;BI8),TRUE,""))))</f>
        <v/>
      </c>
      <c r="AQ8" s="157">
        <f>IF(ISNA(Z8),0,IF(OR(J8="NA",W8="",AB8=0),0,W8))</f>
        <v>0</v>
      </c>
      <c r="AR8" s="88" t="str">
        <f t="shared" ref="AR8:AR39" si="8">IF(ISNA(Z8),"",IF(AND(NOT(OR(Z8=1,Z8=2,AK8="NG",AB8=0)),IF(ISNUMBER(AL8),AL8&gt;=0,FALSE)),VLOOKUP((10*AD8+AC8),$AQ$50:$AV$58,2+AL8,FALSE),IF(AND(input_test=TRUE,ISNUMBER(AD8),V8&lt;&gt;0),VLOOKUP((10*AD8+AC8),$AQ$50:$AV$58,2,FALSE),"")))</f>
        <v/>
      </c>
      <c r="AS8" s="89">
        <f>IF(ISNA(Z8),0,IF(OR(J8="NA",X8="",AB8=1),0,X8))</f>
        <v>0</v>
      </c>
      <c r="AT8" s="88" t="str">
        <f t="shared" ref="AT8:AT39" si="9">IF(ISNA(Z8),"",IF(AND(NOT(OR(Z8=1,Z8=2,AK8="NG",AB8=1)),IF(ISNUMBER(AL8),AL8&gt;=0,FALSE)),VLOOKUP((10*AH8+AG8),$AQ$50:$AV$58,2+AL8,FALSE),IF(AND(input_test=TRUE,ISNUMBER(AD8),V8&lt;&gt;0),VLOOKUP((10*AH8+AG8),$AQ$50:$AV$58,2,FALSE),"")))</f>
        <v/>
      </c>
      <c r="AU8" s="158">
        <f t="shared" ref="AU8:AU39" si="10">IF(ISNA(Z8),0,IF(OR(J8="NA",Y8=""),0,Y8))</f>
        <v>0</v>
      </c>
      <c r="AV8" s="90" t="str">
        <f t="shared" ref="AV8:AV39" si="11">AR8</f>
        <v/>
      </c>
      <c r="AW8" s="158" t="b">
        <f t="shared" ref="AW8:AW39" si="12">IF(ISNA(Z8),FALSE,IF(OR(AB8=1,G8=0,Z8=1,Z8=2),FALSE,IF(OR(J8="NA",J8&gt;=G8),FALSE,TRUE)))</f>
        <v>0</v>
      </c>
      <c r="AX8" s="159" t="b">
        <f t="shared" ref="AX8:AX39" si="13">IF(ISNA(Z8),FALSE,IF(OR(AB8=0,G8=0,Z8=1,Z8=2,J8="NA"),FALSE,IF(AK8="NG",IF(NOT(ISBLANK(K8)),FALSE,TRUE),IF(J8&gt;=G8,FALSE,TRUE))))</f>
        <v>0</v>
      </c>
      <c r="AY8" s="158" t="b">
        <f t="shared" ref="AY8:AY39" si="14">IF(ISNA(Z8),FALSE,IF(OR(AB8=1,G8&lt;1,Z8=1,Z8=2,AE8=0,ISBLANK(K8)),FALSE,IF(OR(J8="NA",K8&gt;=BI8),FALSE,TRUE)))</f>
        <v>0</v>
      </c>
      <c r="AZ8" s="159" t="b">
        <f t="shared" ref="AZ8:AZ39" si="15">IF(ISNA(Z8),FALSE,IF(OR(AB8=0,G8=0,Z8=1,Z8=2,AE8=0,BI8="NG",K8="",ISBLANK(K8)),FALSE,IF(OR(J8="NA",K8&gt;=AK8),FALSE,TRUE)))</f>
        <v>0</v>
      </c>
      <c r="BA8" s="206" t="b">
        <f t="shared" ref="BA8:BA39" si="16">IF(ISNA(Z8),FALSE,IF(OR(AB8=1,G8&lt;1,Z8=1,Z8=2,AE8=0),FALSE,IF(J8="NA",TRUE,FALSE)))</f>
        <v>0</v>
      </c>
      <c r="BB8" s="206" t="b">
        <f t="shared" ref="BB8:BB39" si="17">IF(ISNA(Z8),FALSE,IF(OR(AB8=0,G8=0,Z8=1,Z8=2),FALSE,IF(J8="NA",TRUE,FALSE)))</f>
        <v>0</v>
      </c>
      <c r="BC8" s="158" t="b">
        <f t="shared" ref="BC8:BC39" si="18">IF(OR(ISNA($Z8),ISNUMBER($Z8),NOT(ISNUMBER($J8)),K8="D"),FALSE,IF(AND(NOT(ISNUMBER($K8)),J8&gt;0),TRUE,FALSE))</f>
        <v>0</v>
      </c>
      <c r="BD8" s="160" t="b">
        <f>IF(OR(ISNA($Z8),ISNUMBER($Z8),NOT(ISNUMBER(K8))),FALSE,OR(NOT(ISNUMBER(J8)),J8=0,AND(J8=0,K8&lt;&gt;0)))</f>
        <v>0</v>
      </c>
      <c r="BE8" s="159" t="b">
        <f t="shared" ref="BE8:BE21" si="19">IF(OR(ISNA($Z8),K8&lt;&gt;"D"),FALSE,IF(OR(AND(H8="NG",J8=0),AND(H8&lt;&gt;"NG",NOT(OR(J8="NA",J8=0)))),TRUE,FALSE))</f>
        <v>0</v>
      </c>
      <c r="BF8" s="161" t="b">
        <f t="shared" ref="BF8:BF30" si="20">IF(OR(ISNA($Z8),H8&lt;&gt;"NG"),FALSE,IF(AND(J8="NA",K8&lt;&gt;""),TRUE,FALSE))</f>
        <v>0</v>
      </c>
      <c r="BG8" s="206" t="b">
        <f t="shared" ref="BG8:BG21" si="21">IF(ISNA($Z8),"NA",IF(OR(AZ8,AY8,AX8,AW8,AP8,BA8,BB8),TRUE,FALSE))</f>
        <v>0</v>
      </c>
      <c r="BH8" s="162" t="str">
        <f>IF(ISNA($Z8),"",IF(OR($Z8=1,$Z8=2),"",$V8))</f>
        <v/>
      </c>
      <c r="BI8" s="206" t="str">
        <f t="shared" ref="BI8:BI39" si="22">IF(ISNA($Z8),"",IF(OR($Z8=1,$Z8=2,$G8=""),"",IF(AB8=0,AH8,$AD8)))</f>
        <v/>
      </c>
      <c r="BJ8" s="206" t="str">
        <f t="shared" ref="BJ8:BJ39" si="23">IF(ISNA(AE8),"",IF(OR(Z8=1,Z8=2),"",IF(OR(AE8=0,AD8="NG"),TEXT(BI8,"0"),CONCATENATE(TEXT(BI8,"0"),"*"))))</f>
        <v/>
      </c>
      <c r="BK8" s="206" t="str">
        <f t="shared" ref="BK8:BK39" si="24">IF(ISNA($Z8),"",IF(OR($Z8=1,$Z8=2,$G8=""),"",IF(AB8=0,AG8,$AC8)))</f>
        <v/>
      </c>
      <c r="BL8" s="162" t="str">
        <f>IF(ISBLANK(BH8),"",IF(BH8=0,"",BH8))</f>
        <v/>
      </c>
      <c r="BM8" s="206" t="str">
        <f t="shared" ref="BM8:BM39" si="25">IF($BH8=0,"",IF($BI8="NG","D",$BI8))</f>
        <v/>
      </c>
      <c r="BN8" s="206" t="str">
        <f t="shared" ref="BN8:BN39" si="26">IF(ISNA(U8),"",IF($BH8=0,"",IF($BI8="NG","D",BK8)))</f>
        <v/>
      </c>
      <c r="BO8" s="163" t="s">
        <v>213</v>
      </c>
      <c r="BP8" s="164"/>
    </row>
    <row r="9" spans="2:73" s="105" customFormat="1" ht="12.95" customHeight="1" x14ac:dyDescent="0.2">
      <c r="B9" s="165">
        <f>IF(ISNA(Z9),"",IF(OR(Z9=1,Z9=2),"    ",MAX($B$8:B8)+1))</f>
        <v>1</v>
      </c>
      <c r="C9" s="1375" t="str">
        <f t="shared" si="0"/>
        <v>Basic CR Knowledge/Operations  (1.3%)</v>
      </c>
      <c r="D9" s="1375"/>
      <c r="E9" s="1375"/>
      <c r="F9" s="1376"/>
      <c r="G9" s="152">
        <f t="shared" si="1"/>
        <v>1</v>
      </c>
      <c r="H9" s="153" t="str">
        <f t="shared" si="2"/>
        <v>2*</v>
      </c>
      <c r="I9" s="166">
        <f t="shared" si="2"/>
        <v>3</v>
      </c>
      <c r="J9" s="167"/>
      <c r="K9" s="168"/>
      <c r="L9" s="1075"/>
      <c r="M9" s="1076"/>
      <c r="N9" s="1076"/>
      <c r="O9" s="1076"/>
      <c r="P9" s="1076"/>
      <c r="Q9" s="1076"/>
      <c r="R9" s="1077"/>
      <c r="T9" s="119">
        <v>2</v>
      </c>
      <c r="U9" s="110" t="s">
        <v>285</v>
      </c>
      <c r="V9" s="206">
        <v>1</v>
      </c>
      <c r="W9" s="206" t="s">
        <v>212</v>
      </c>
      <c r="X9" s="206">
        <v>1.3</v>
      </c>
      <c r="Y9" s="206" t="s">
        <v>212</v>
      </c>
      <c r="Z9" s="160" t="s">
        <v>212</v>
      </c>
      <c r="AA9" s="160">
        <v>1</v>
      </c>
      <c r="AB9" s="160">
        <v>0</v>
      </c>
      <c r="AC9" s="206">
        <v>3</v>
      </c>
      <c r="AD9" s="206">
        <v>3</v>
      </c>
      <c r="AE9" s="206">
        <v>1</v>
      </c>
      <c r="AF9" s="206" t="b">
        <v>1</v>
      </c>
      <c r="AG9" s="206">
        <f t="shared" si="3"/>
        <v>3</v>
      </c>
      <c r="AH9" s="206">
        <f t="shared" si="4"/>
        <v>2</v>
      </c>
      <c r="AI9" s="86">
        <f>IF(NOT(OR(Z9=1,Z9=2)),IF(AQ9&gt;0,$AR$44*AQ9/SUMIF($AQ$8:$AQ$39,"&gt;0"),IF(AU9&gt;0,$AV$44*AU9/SUMIF($AU$8:$AU$39,"&gt;0"),IF(AS9&gt;0,$AT$44*AS9/SUMIF($AS$8:$AS$39,"&gt;0"),""))),IF(SUMIF(AJ10:$AJ$39,"=" &amp; AJ9,AI10:$AI$39)=0,"",SUMIF(AJ10:$AJ$39,"=" &amp; AJ9,AI10:$AI$39)))</f>
        <v>1.2745098039215688E-2</v>
      </c>
      <c r="AJ9" s="87">
        <f>IF(OR(Z9=1,Z9=2,AA9&lt;AA8),AJ8+1,AJ8)</f>
        <v>0</v>
      </c>
      <c r="AK9" s="206">
        <f t="shared" ref="AK9:AK39" si="27">BI9</f>
        <v>2</v>
      </c>
      <c r="AL9" s="160" t="str">
        <f t="shared" ref="AL9:AL39" si="28">IF(ISBLANK(K9),"",K9)</f>
        <v/>
      </c>
      <c r="AM9" s="160" t="str">
        <f>IF(ISNUMBER(AK9),IF(ISNUMBER(AL9),1,""),"")</f>
        <v/>
      </c>
      <c r="AN9" s="160" t="str">
        <f t="shared" si="5"/>
        <v/>
      </c>
      <c r="AO9" s="160">
        <f t="shared" si="6"/>
        <v>2</v>
      </c>
      <c r="AP9" s="206" t="b">
        <f>IF(ISNA(Z9),"",IF(AND(ISNUMBER(B9),G9&gt;=1,H9&lt;&gt;"NG"),IF(K9&lt;BK9,TRUE,FALSE),IF(AND(G9&gt;=1,J9="NA"),TRUE,IF(AND(AM9=1,G9=0,AL9&lt;BI9),TRUE,""))))</f>
        <v>1</v>
      </c>
      <c r="AQ9" s="157">
        <f t="shared" ref="AQ9:AQ39" si="29">IF(ISNA(Z9),0,IF(OR(J9="NA",W9="",AB9=0),0,W9))</f>
        <v>0</v>
      </c>
      <c r="AR9" s="88">
        <f>IF(ISNA(Z9),"",IF(AND(NOT(OR(Z9=1,Z9=2,AK9="NG",AB9=0)),IF(ISNUMBER(AL9),AL9&gt;=0,FALSE)),VLOOKUP((10*AD9+AC9),$AQ$50:$AV$58,2+AL9,FALSE),IF(AND(input_test=TRUE,ISNUMBER(AD9),V9&lt;&gt;0),VLOOKUP((10*AD9+AC9),$AQ$50:$AV$58,2,FALSE),"")))</f>
        <v>0</v>
      </c>
      <c r="AS9" s="89">
        <f t="shared" ref="AS9:AS39" si="30">IF(ISNA(Z9),0,IF(OR(J9="NA",X9="",AB9=1),0,X9))</f>
        <v>1.3</v>
      </c>
      <c r="AT9" s="88">
        <f>IF(ISNA(Z9),"",IF(AND(NOT(OR(Z9=1,Z9=2,AK9="NG",AB9=1)),IF(ISNUMBER(AL9),AL9&gt;=0,FALSE)),VLOOKUP((10*AH9+AG9),$AQ$50:$AV$58,2+AL9,FALSE),IF(AND(input_test=TRUE,ISNUMBER(AD9),V9&lt;&gt;0),VLOOKUP((10*AH9+AG9),$AQ$50:$AV$58,2,FALSE),"")))</f>
        <v>0.3</v>
      </c>
      <c r="AU9" s="158">
        <f t="shared" si="10"/>
        <v>0</v>
      </c>
      <c r="AV9" s="90">
        <f t="shared" si="11"/>
        <v>0</v>
      </c>
      <c r="AW9" s="158" t="b">
        <f t="shared" si="12"/>
        <v>1</v>
      </c>
      <c r="AX9" s="159" t="b">
        <f t="shared" si="13"/>
        <v>0</v>
      </c>
      <c r="AY9" s="158" t="b">
        <f t="shared" si="14"/>
        <v>0</v>
      </c>
      <c r="AZ9" s="159" t="b">
        <f t="shared" si="15"/>
        <v>0</v>
      </c>
      <c r="BA9" s="206" t="b">
        <f t="shared" si="16"/>
        <v>0</v>
      </c>
      <c r="BB9" s="206" t="b">
        <f t="shared" si="17"/>
        <v>0</v>
      </c>
      <c r="BC9" s="158" t="b">
        <f t="shared" si="18"/>
        <v>0</v>
      </c>
      <c r="BD9" s="160" t="b">
        <f t="shared" ref="BD9:BD39" si="31">IF(OR(ISNA($Z9),ISNUMBER($Z9),NOT(ISNUMBER(K9))),FALSE,OR(NOT(ISNUMBER(J9)),J9=0,AND(J9=0,K9&lt;&gt;0)))</f>
        <v>0</v>
      </c>
      <c r="BE9" s="159" t="b">
        <f t="shared" si="19"/>
        <v>0</v>
      </c>
      <c r="BF9" s="161" t="b">
        <f t="shared" si="20"/>
        <v>0</v>
      </c>
      <c r="BG9" s="206" t="b">
        <f t="shared" si="21"/>
        <v>1</v>
      </c>
      <c r="BH9" s="206">
        <f t="shared" ref="BH9:BH39" si="32">IF(ISNA($Z9),"",IF(OR($Z9=1,$Z9=2),"",$V9))</f>
        <v>1</v>
      </c>
      <c r="BI9" s="206">
        <f t="shared" si="22"/>
        <v>2</v>
      </c>
      <c r="BJ9" s="206" t="str">
        <f t="shared" si="23"/>
        <v>2*</v>
      </c>
      <c r="BK9" s="206">
        <f t="shared" si="24"/>
        <v>3</v>
      </c>
      <c r="BL9" s="162">
        <f t="shared" ref="BL9:BL39" si="33">IF(ISBLANK(BH9),"",IF(BH9=0,"",BH9))</f>
        <v>1</v>
      </c>
      <c r="BM9" s="206">
        <f t="shared" si="25"/>
        <v>2</v>
      </c>
      <c r="BN9" s="206">
        <f t="shared" si="26"/>
        <v>3</v>
      </c>
      <c r="BO9" s="169" t="s">
        <v>214</v>
      </c>
      <c r="BP9" s="170" t="s">
        <v>215</v>
      </c>
    </row>
    <row r="10" spans="2:73" s="105" customFormat="1" ht="12.95" customHeight="1" x14ac:dyDescent="0.2">
      <c r="B10" s="165">
        <f>IF(ISNA(Z10),"",IF(OR(Z10=1,Z10=2),"    ",MAX($B$8:B9)+1))</f>
        <v>2</v>
      </c>
      <c r="C10" s="1375" t="str">
        <f t="shared" si="0"/>
        <v>Basic Comm/Airspace Mechanics (1.3%)</v>
      </c>
      <c r="D10" s="1375"/>
      <c r="E10" s="1375"/>
      <c r="F10" s="1376"/>
      <c r="G10" s="152">
        <f t="shared" si="1"/>
        <v>1</v>
      </c>
      <c r="H10" s="153" t="str">
        <f t="shared" si="2"/>
        <v>2*</v>
      </c>
      <c r="I10" s="166">
        <f t="shared" si="2"/>
        <v>3</v>
      </c>
      <c r="J10" s="171"/>
      <c r="K10" s="168"/>
      <c r="L10" s="1075"/>
      <c r="M10" s="1076"/>
      <c r="N10" s="1076"/>
      <c r="O10" s="1076"/>
      <c r="P10" s="1076"/>
      <c r="Q10" s="1076"/>
      <c r="R10" s="1077"/>
      <c r="T10" s="119">
        <v>3</v>
      </c>
      <c r="U10" s="110" t="s">
        <v>272</v>
      </c>
      <c r="V10" s="206">
        <v>1</v>
      </c>
      <c r="W10" s="206" t="s">
        <v>212</v>
      </c>
      <c r="X10" s="206">
        <v>1.3</v>
      </c>
      <c r="Y10" s="206" t="s">
        <v>212</v>
      </c>
      <c r="Z10" s="160" t="s">
        <v>212</v>
      </c>
      <c r="AA10" s="160">
        <v>1</v>
      </c>
      <c r="AB10" s="160">
        <v>0</v>
      </c>
      <c r="AC10" s="206">
        <v>3</v>
      </c>
      <c r="AD10" s="206">
        <v>3</v>
      </c>
      <c r="AE10" s="206">
        <v>1</v>
      </c>
      <c r="AF10" s="206" t="b">
        <v>1</v>
      </c>
      <c r="AG10" s="206">
        <f t="shared" si="3"/>
        <v>3</v>
      </c>
      <c r="AH10" s="206">
        <f t="shared" si="4"/>
        <v>2</v>
      </c>
      <c r="AI10" s="86">
        <f>IF(NOT(OR(Z10=1,Z10=2)),IF(AQ10&gt;0,$AR$44*AQ10/SUMIF($AQ$8:$AQ$39,"&gt;0"),IF(AU10&gt;0,$AV$44*AU10/SUMIF($AU$8:$AU$39,"&gt;0"),IF(AS10&gt;0,$AT$44*AS10/SUMIF($AS$8:$AS$39,"&gt;0"),""))),IF(SUMIF(AJ11:$AJ$39,"=" &amp; AJ10,AI11:$AI$39)=0,"",SUMIF(AJ11:$AJ$39,"=" &amp; AJ10,AI11:$AI$39)))</f>
        <v>1.2745098039215688E-2</v>
      </c>
      <c r="AJ10" s="87">
        <f t="shared" ref="AJ10:AJ39" si="34">IF(OR(Z10=1,Z10=2,AA10&lt;AA9),AJ9+1,AJ9)</f>
        <v>0</v>
      </c>
      <c r="AK10" s="206">
        <f t="shared" si="27"/>
        <v>2</v>
      </c>
      <c r="AL10" s="160" t="str">
        <f t="shared" si="28"/>
        <v/>
      </c>
      <c r="AM10" s="160" t="str">
        <f t="shared" ref="AM10:AM39" si="35">IF(ISNUMBER(AK10),IF(ISNUMBER(AL10),1,""),"")</f>
        <v/>
      </c>
      <c r="AN10" s="160" t="str">
        <f t="shared" si="5"/>
        <v/>
      </c>
      <c r="AO10" s="160">
        <f t="shared" si="6"/>
        <v>2</v>
      </c>
      <c r="AP10" s="206" t="b">
        <f t="shared" si="7"/>
        <v>1</v>
      </c>
      <c r="AQ10" s="157">
        <f t="shared" si="29"/>
        <v>0</v>
      </c>
      <c r="AR10" s="88">
        <f t="shared" si="8"/>
        <v>0</v>
      </c>
      <c r="AS10" s="89">
        <f t="shared" si="30"/>
        <v>1.3</v>
      </c>
      <c r="AT10" s="88">
        <f t="shared" si="9"/>
        <v>0.3</v>
      </c>
      <c r="AU10" s="158">
        <f t="shared" si="10"/>
        <v>0</v>
      </c>
      <c r="AV10" s="90">
        <f t="shared" si="11"/>
        <v>0</v>
      </c>
      <c r="AW10" s="158" t="b">
        <f t="shared" si="12"/>
        <v>1</v>
      </c>
      <c r="AX10" s="159" t="b">
        <f t="shared" si="13"/>
        <v>0</v>
      </c>
      <c r="AY10" s="158" t="b">
        <f t="shared" si="14"/>
        <v>0</v>
      </c>
      <c r="AZ10" s="159" t="b">
        <f t="shared" si="15"/>
        <v>0</v>
      </c>
      <c r="BA10" s="206" t="b">
        <f t="shared" si="16"/>
        <v>0</v>
      </c>
      <c r="BB10" s="206" t="b">
        <f t="shared" si="17"/>
        <v>0</v>
      </c>
      <c r="BC10" s="158" t="b">
        <f t="shared" si="18"/>
        <v>0</v>
      </c>
      <c r="BD10" s="160" t="b">
        <f t="shared" si="31"/>
        <v>0</v>
      </c>
      <c r="BE10" s="159" t="b">
        <f t="shared" si="19"/>
        <v>0</v>
      </c>
      <c r="BF10" s="161" t="b">
        <f t="shared" si="20"/>
        <v>0</v>
      </c>
      <c r="BG10" s="206" t="b">
        <f t="shared" si="21"/>
        <v>1</v>
      </c>
      <c r="BH10" s="206">
        <f t="shared" si="32"/>
        <v>1</v>
      </c>
      <c r="BI10" s="206">
        <f t="shared" si="22"/>
        <v>2</v>
      </c>
      <c r="BJ10" s="206" t="str">
        <f t="shared" si="23"/>
        <v>2*</v>
      </c>
      <c r="BK10" s="206">
        <f t="shared" si="24"/>
        <v>3</v>
      </c>
      <c r="BL10" s="162">
        <f t="shared" si="33"/>
        <v>1</v>
      </c>
      <c r="BM10" s="206">
        <f t="shared" si="25"/>
        <v>2</v>
      </c>
      <c r="BN10" s="206">
        <f t="shared" si="26"/>
        <v>3</v>
      </c>
      <c r="BO10" s="169">
        <v>0</v>
      </c>
      <c r="BP10" s="170" t="s">
        <v>216</v>
      </c>
    </row>
    <row r="11" spans="2:73" s="105" customFormat="1" ht="12.95" customHeight="1" x14ac:dyDescent="0.2">
      <c r="B11" s="165">
        <f>IF(ISNA(Z11),"",IF(OR(Z11=1,Z11=2),"    ",MAX($B$8:B10)+1))</f>
        <v>3</v>
      </c>
      <c r="C11" s="1375" t="str">
        <f t="shared" si="0"/>
        <v>Basic SA/Judgement (2.5%)</v>
      </c>
      <c r="D11" s="1375"/>
      <c r="E11" s="1375"/>
      <c r="F11" s="1376"/>
      <c r="G11" s="152">
        <f t="shared" si="1"/>
        <v>1</v>
      </c>
      <c r="H11" s="153" t="str">
        <f t="shared" si="2"/>
        <v>2*</v>
      </c>
      <c r="I11" s="166">
        <f t="shared" si="2"/>
        <v>3</v>
      </c>
      <c r="J11" s="171"/>
      <c r="K11" s="168"/>
      <c r="L11" s="1075"/>
      <c r="M11" s="1076"/>
      <c r="N11" s="1076"/>
      <c r="O11" s="1076"/>
      <c r="P11" s="1076"/>
      <c r="Q11" s="1076"/>
      <c r="R11" s="1077"/>
      <c r="T11" s="119">
        <v>4</v>
      </c>
      <c r="U11" s="110" t="s">
        <v>273</v>
      </c>
      <c r="V11" s="206">
        <v>1</v>
      </c>
      <c r="W11" s="206" t="s">
        <v>212</v>
      </c>
      <c r="X11" s="206">
        <v>2.5</v>
      </c>
      <c r="Y11" s="206" t="s">
        <v>212</v>
      </c>
      <c r="Z11" s="160" t="s">
        <v>212</v>
      </c>
      <c r="AA11" s="160">
        <v>1</v>
      </c>
      <c r="AB11" s="160">
        <v>0</v>
      </c>
      <c r="AC11" s="206">
        <v>3</v>
      </c>
      <c r="AD11" s="206">
        <v>3</v>
      </c>
      <c r="AE11" s="206">
        <v>1</v>
      </c>
      <c r="AF11" s="206" t="b">
        <v>1</v>
      </c>
      <c r="AG11" s="206">
        <f t="shared" si="3"/>
        <v>3</v>
      </c>
      <c r="AH11" s="206">
        <f t="shared" si="4"/>
        <v>2</v>
      </c>
      <c r="AI11" s="86">
        <f>IF(NOT(OR(Z11=1,Z11=2)),IF(AQ11&gt;0,$AR$44*AQ11/SUMIF($AQ$8:$AQ$39,"&gt;0"),IF(AU11&gt;0,$AV$44*AU11/SUMIF($AU$8:$AU$39,"&gt;0"),IF(AS11&gt;0,$AT$44*AS11/SUMIF($AS$8:$AS$39,"&gt;0"),""))),IF(SUMIF(AJ12:$AJ$39,"=" &amp; AJ11,AI12:$AI$39)=0,"",SUMIF(AJ12:$AJ$39,"=" &amp; AJ11,AI12:$AI$39)))</f>
        <v>2.4509803921568631E-2</v>
      </c>
      <c r="AJ11" s="87">
        <f t="shared" si="34"/>
        <v>0</v>
      </c>
      <c r="AK11" s="206">
        <f t="shared" si="27"/>
        <v>2</v>
      </c>
      <c r="AL11" s="160" t="str">
        <f t="shared" si="28"/>
        <v/>
      </c>
      <c r="AM11" s="160" t="str">
        <f t="shared" si="35"/>
        <v/>
      </c>
      <c r="AN11" s="160" t="str">
        <f t="shared" si="5"/>
        <v/>
      </c>
      <c r="AO11" s="160">
        <f t="shared" si="6"/>
        <v>2</v>
      </c>
      <c r="AP11" s="206" t="b">
        <f t="shared" si="7"/>
        <v>1</v>
      </c>
      <c r="AQ11" s="157">
        <f t="shared" si="29"/>
        <v>0</v>
      </c>
      <c r="AR11" s="88">
        <f t="shared" si="8"/>
        <v>0</v>
      </c>
      <c r="AS11" s="89">
        <f t="shared" si="30"/>
        <v>2.5</v>
      </c>
      <c r="AT11" s="88">
        <f t="shared" si="9"/>
        <v>0.3</v>
      </c>
      <c r="AU11" s="158">
        <f t="shared" si="10"/>
        <v>0</v>
      </c>
      <c r="AV11" s="90">
        <f t="shared" si="11"/>
        <v>0</v>
      </c>
      <c r="AW11" s="158" t="b">
        <f t="shared" si="12"/>
        <v>1</v>
      </c>
      <c r="AX11" s="159" t="b">
        <f t="shared" si="13"/>
        <v>0</v>
      </c>
      <c r="AY11" s="158" t="b">
        <f t="shared" si="14"/>
        <v>0</v>
      </c>
      <c r="AZ11" s="159" t="b">
        <f t="shared" si="15"/>
        <v>0</v>
      </c>
      <c r="BA11" s="206" t="b">
        <f t="shared" si="16"/>
        <v>0</v>
      </c>
      <c r="BB11" s="206" t="b">
        <f t="shared" si="17"/>
        <v>0</v>
      </c>
      <c r="BC11" s="158" t="b">
        <f t="shared" si="18"/>
        <v>0</v>
      </c>
      <c r="BD11" s="160" t="b">
        <f t="shared" si="31"/>
        <v>0</v>
      </c>
      <c r="BE11" s="159" t="b">
        <f t="shared" si="19"/>
        <v>0</v>
      </c>
      <c r="BF11" s="161" t="b">
        <f t="shared" si="20"/>
        <v>0</v>
      </c>
      <c r="BG11" s="206" t="b">
        <f t="shared" si="21"/>
        <v>1</v>
      </c>
      <c r="BH11" s="206">
        <f t="shared" si="32"/>
        <v>1</v>
      </c>
      <c r="BI11" s="206">
        <f t="shared" si="22"/>
        <v>2</v>
      </c>
      <c r="BJ11" s="206" t="str">
        <f t="shared" si="23"/>
        <v>2*</v>
      </c>
      <c r="BK11" s="206">
        <f t="shared" si="24"/>
        <v>3</v>
      </c>
      <c r="BL11" s="162">
        <f t="shared" si="33"/>
        <v>1</v>
      </c>
      <c r="BM11" s="206">
        <f t="shared" si="25"/>
        <v>2</v>
      </c>
      <c r="BN11" s="206">
        <f t="shared" si="26"/>
        <v>3</v>
      </c>
      <c r="BO11" s="169">
        <v>1</v>
      </c>
      <c r="BP11" s="170" t="s">
        <v>217</v>
      </c>
    </row>
    <row r="12" spans="2:73" s="105" customFormat="1" ht="12.95" customHeight="1" x14ac:dyDescent="0.2">
      <c r="B12" s="165" t="str">
        <f>IF(ISNA(Z12),"",IF(OR(Z12=1,Z12=2),"    ",MAX($B$8:B11)+1))</f>
        <v xml:space="preserve">    </v>
      </c>
      <c r="C12" s="1375" t="str">
        <f t="shared" si="0"/>
        <v>Academic Tasks</v>
      </c>
      <c r="D12" s="1375"/>
      <c r="E12" s="1375"/>
      <c r="F12" s="1376"/>
      <c r="G12" s="152" t="str">
        <f t="shared" si="1"/>
        <v/>
      </c>
      <c r="H12" s="153" t="str">
        <f t="shared" si="2"/>
        <v/>
      </c>
      <c r="I12" s="166" t="str">
        <f t="shared" si="2"/>
        <v/>
      </c>
      <c r="J12" s="172"/>
      <c r="K12" s="173"/>
      <c r="L12" s="1075"/>
      <c r="M12" s="1076"/>
      <c r="N12" s="1076"/>
      <c r="O12" s="1076"/>
      <c r="P12" s="1076"/>
      <c r="Q12" s="1076"/>
      <c r="R12" s="1077"/>
      <c r="T12" s="119">
        <v>5</v>
      </c>
      <c r="U12" s="110" t="s">
        <v>219</v>
      </c>
      <c r="V12" s="206" t="s">
        <v>212</v>
      </c>
      <c r="W12" s="206" t="s">
        <v>212</v>
      </c>
      <c r="X12" s="206" t="s">
        <v>212</v>
      </c>
      <c r="Y12" s="206" t="s">
        <v>212</v>
      </c>
      <c r="Z12" s="160">
        <v>1</v>
      </c>
      <c r="AA12" s="160">
        <v>0</v>
      </c>
      <c r="AB12" s="160">
        <v>1</v>
      </c>
      <c r="AC12" s="206" t="s">
        <v>212</v>
      </c>
      <c r="AD12" s="206" t="s">
        <v>212</v>
      </c>
      <c r="AE12" s="206">
        <v>0</v>
      </c>
      <c r="AF12" s="206" t="s">
        <v>212</v>
      </c>
      <c r="AG12" s="206" t="str">
        <f t="shared" si="3"/>
        <v/>
      </c>
      <c r="AH12" s="206" t="str">
        <f t="shared" si="4"/>
        <v/>
      </c>
      <c r="AI12" s="86" t="str">
        <f>IF(NOT(OR(Z12=1,Z12=2)),IF(AQ12&gt;0,$AR$44*AQ12/SUMIF($AQ$8:$AQ$39,"&gt;0"),IF(AU12&gt;0,$AV$44*AU12/SUMIF($AU$8:$AU$39,"&gt;0"),IF(AS12&gt;0,$AT$44*AS12/SUMIF($AS$8:$AS$39,"&gt;0"),""))),IF(SUMIF(AJ13:$AJ$39,"=" &amp; AJ12,AI13:$AI$39)=0,"",SUMIF(AJ13:$AJ$39,"=" &amp; AJ12,AI13:$AI$39)))</f>
        <v/>
      </c>
      <c r="AJ12" s="87">
        <f t="shared" si="34"/>
        <v>1</v>
      </c>
      <c r="AK12" s="206" t="str">
        <f t="shared" si="27"/>
        <v/>
      </c>
      <c r="AL12" s="160" t="str">
        <f t="shared" si="28"/>
        <v/>
      </c>
      <c r="AM12" s="160" t="str">
        <f t="shared" si="35"/>
        <v/>
      </c>
      <c r="AN12" s="160" t="str">
        <f t="shared" si="5"/>
        <v/>
      </c>
      <c r="AO12" s="160" t="str">
        <f t="shared" si="6"/>
        <v/>
      </c>
      <c r="AP12" s="206" t="str">
        <f t="shared" si="7"/>
        <v/>
      </c>
      <c r="AQ12" s="157">
        <f t="shared" si="29"/>
        <v>0</v>
      </c>
      <c r="AR12" s="88" t="str">
        <f t="shared" si="8"/>
        <v/>
      </c>
      <c r="AS12" s="89">
        <f t="shared" si="30"/>
        <v>0</v>
      </c>
      <c r="AT12" s="88" t="str">
        <f t="shared" si="9"/>
        <v/>
      </c>
      <c r="AU12" s="158">
        <f t="shared" si="10"/>
        <v>0</v>
      </c>
      <c r="AV12" s="90" t="str">
        <f t="shared" si="11"/>
        <v/>
      </c>
      <c r="AW12" s="158" t="b">
        <f t="shared" si="12"/>
        <v>0</v>
      </c>
      <c r="AX12" s="159" t="b">
        <f t="shared" si="13"/>
        <v>0</v>
      </c>
      <c r="AY12" s="158" t="b">
        <f t="shared" si="14"/>
        <v>0</v>
      </c>
      <c r="AZ12" s="159" t="b">
        <f t="shared" si="15"/>
        <v>0</v>
      </c>
      <c r="BA12" s="206" t="b">
        <f t="shared" si="16"/>
        <v>0</v>
      </c>
      <c r="BB12" s="206" t="b">
        <f t="shared" si="17"/>
        <v>0</v>
      </c>
      <c r="BC12" s="158" t="b">
        <f t="shared" si="18"/>
        <v>0</v>
      </c>
      <c r="BD12" s="160" t="b">
        <f t="shared" si="31"/>
        <v>0</v>
      </c>
      <c r="BE12" s="159" t="b">
        <f t="shared" si="19"/>
        <v>0</v>
      </c>
      <c r="BF12" s="161" t="b">
        <f t="shared" si="20"/>
        <v>0</v>
      </c>
      <c r="BG12" s="206" t="b">
        <f t="shared" si="21"/>
        <v>0</v>
      </c>
      <c r="BH12" s="206" t="str">
        <f t="shared" si="32"/>
        <v/>
      </c>
      <c r="BI12" s="206" t="str">
        <f t="shared" si="22"/>
        <v/>
      </c>
      <c r="BJ12" s="206" t="str">
        <f t="shared" si="23"/>
        <v/>
      </c>
      <c r="BK12" s="206" t="str">
        <f t="shared" si="24"/>
        <v/>
      </c>
      <c r="BL12" s="162" t="str">
        <f t="shared" si="33"/>
        <v/>
      </c>
      <c r="BM12" s="206" t="str">
        <f t="shared" si="25"/>
        <v/>
      </c>
      <c r="BN12" s="206" t="str">
        <f t="shared" si="26"/>
        <v/>
      </c>
      <c r="BO12" s="169">
        <v>2</v>
      </c>
      <c r="BP12" s="170" t="s">
        <v>218</v>
      </c>
    </row>
    <row r="13" spans="2:73" s="105" customFormat="1" ht="12.95" customHeight="1" x14ac:dyDescent="0.2">
      <c r="B13" s="165" t="str">
        <f>IF(ISNA(Z13),"",IF(OR(Z13=1,Z13=2),"    ",MAX($B$8:B12)+1))</f>
        <v xml:space="preserve">    </v>
      </c>
      <c r="C13" s="1375" t="str">
        <f t="shared" si="0"/>
        <v>Test Conduct (68.5%)</v>
      </c>
      <c r="D13" s="1375"/>
      <c r="E13" s="1375"/>
      <c r="F13" s="1376"/>
      <c r="G13" s="152" t="str">
        <f t="shared" si="1"/>
        <v/>
      </c>
      <c r="H13" s="153" t="str">
        <f t="shared" si="2"/>
        <v/>
      </c>
      <c r="I13" s="166" t="str">
        <f t="shared" si="2"/>
        <v/>
      </c>
      <c r="J13" s="172"/>
      <c r="K13" s="173"/>
      <c r="L13" s="1075"/>
      <c r="M13" s="1076"/>
      <c r="N13" s="1076"/>
      <c r="O13" s="1076"/>
      <c r="P13" s="1076"/>
      <c r="Q13" s="1076"/>
      <c r="R13" s="1077"/>
      <c r="T13" s="119">
        <v>6</v>
      </c>
      <c r="U13" s="110" t="s">
        <v>221</v>
      </c>
      <c r="V13" s="206" t="s">
        <v>212</v>
      </c>
      <c r="W13" s="206" t="s">
        <v>212</v>
      </c>
      <c r="X13" s="206" t="s">
        <v>212</v>
      </c>
      <c r="Y13" s="206" t="s">
        <v>212</v>
      </c>
      <c r="Z13" s="160">
        <v>2</v>
      </c>
      <c r="AA13" s="160">
        <v>1</v>
      </c>
      <c r="AB13" s="160">
        <v>1</v>
      </c>
      <c r="AC13" s="206" t="s">
        <v>212</v>
      </c>
      <c r="AD13" s="206" t="s">
        <v>212</v>
      </c>
      <c r="AE13" s="206" t="s">
        <v>212</v>
      </c>
      <c r="AF13" s="206" t="s">
        <v>212</v>
      </c>
      <c r="AG13" s="206" t="str">
        <f t="shared" si="3"/>
        <v/>
      </c>
      <c r="AH13" s="206" t="str">
        <f t="shared" si="4"/>
        <v/>
      </c>
      <c r="AI13" s="86">
        <f>IF(NOT(OR(Z13=1,Z13=2)),IF(AQ13&gt;0,$AR$44*AQ13/SUMIF($AQ$8:$AQ$39,"&gt;0"),IF(AU13&gt;0,$AV$44*AU13/SUMIF($AU$8:$AU$39,"&gt;0"),IF(AS13&gt;0,$AT$44*AS13/SUMIF($AS$8:$AS$39,"&gt;0"),""))),IF(SUMIF(AJ14:$AJ$39,"=" &amp; AJ13,AI14:$AI$39)=0,"",SUMIF(AJ14:$AJ$39,"=" &amp; AJ13,AI14:$AI$39)))</f>
        <v>0.68488372093023253</v>
      </c>
      <c r="AJ13" s="87">
        <f t="shared" si="34"/>
        <v>2</v>
      </c>
      <c r="AK13" s="206" t="str">
        <f t="shared" si="27"/>
        <v/>
      </c>
      <c r="AL13" s="160" t="str">
        <f t="shared" si="28"/>
        <v/>
      </c>
      <c r="AM13" s="160" t="str">
        <f t="shared" si="35"/>
        <v/>
      </c>
      <c r="AN13" s="160" t="str">
        <f t="shared" si="5"/>
        <v/>
      </c>
      <c r="AO13" s="160" t="str">
        <f t="shared" si="6"/>
        <v/>
      </c>
      <c r="AP13" s="206" t="str">
        <f t="shared" si="7"/>
        <v/>
      </c>
      <c r="AQ13" s="157">
        <f t="shared" si="29"/>
        <v>0</v>
      </c>
      <c r="AR13" s="88" t="str">
        <f t="shared" si="8"/>
        <v/>
      </c>
      <c r="AS13" s="89">
        <f t="shared" si="30"/>
        <v>0</v>
      </c>
      <c r="AT13" s="88" t="str">
        <f t="shared" si="9"/>
        <v/>
      </c>
      <c r="AU13" s="158">
        <f t="shared" si="10"/>
        <v>0</v>
      </c>
      <c r="AV13" s="90" t="str">
        <f t="shared" si="11"/>
        <v/>
      </c>
      <c r="AW13" s="158" t="b">
        <f t="shared" si="12"/>
        <v>0</v>
      </c>
      <c r="AX13" s="159" t="b">
        <f t="shared" si="13"/>
        <v>0</v>
      </c>
      <c r="AY13" s="158" t="b">
        <f t="shared" si="14"/>
        <v>0</v>
      </c>
      <c r="AZ13" s="159" t="b">
        <f t="shared" si="15"/>
        <v>0</v>
      </c>
      <c r="BA13" s="206" t="b">
        <f t="shared" si="16"/>
        <v>0</v>
      </c>
      <c r="BB13" s="206" t="b">
        <f t="shared" si="17"/>
        <v>0</v>
      </c>
      <c r="BC13" s="158" t="b">
        <f t="shared" si="18"/>
        <v>0</v>
      </c>
      <c r="BD13" s="160" t="b">
        <f t="shared" si="31"/>
        <v>0</v>
      </c>
      <c r="BE13" s="159" t="b">
        <f t="shared" si="19"/>
        <v>0</v>
      </c>
      <c r="BF13" s="161" t="b">
        <f t="shared" si="20"/>
        <v>0</v>
      </c>
      <c r="BG13" s="206" t="b">
        <f t="shared" si="21"/>
        <v>0</v>
      </c>
      <c r="BH13" s="206" t="str">
        <f t="shared" si="32"/>
        <v/>
      </c>
      <c r="BI13" s="206" t="str">
        <f t="shared" si="22"/>
        <v/>
      </c>
      <c r="BJ13" s="206" t="str">
        <f t="shared" si="23"/>
        <v/>
      </c>
      <c r="BK13" s="206" t="str">
        <f t="shared" si="24"/>
        <v/>
      </c>
      <c r="BL13" s="162" t="str">
        <f t="shared" si="33"/>
        <v/>
      </c>
      <c r="BM13" s="206" t="str">
        <f t="shared" si="25"/>
        <v/>
      </c>
      <c r="BN13" s="206" t="str">
        <f t="shared" si="26"/>
        <v/>
      </c>
      <c r="BO13" s="169">
        <v>3</v>
      </c>
      <c r="BP13" s="170" t="s">
        <v>220</v>
      </c>
    </row>
    <row r="14" spans="2:73" s="105" customFormat="1" ht="12.95" customHeight="1" x14ac:dyDescent="0.2">
      <c r="B14" s="165">
        <f>IF(ISNA(Z14),"",IF(OR(Z14=1,Z14=2),"    ",MAX($B$8:B13)+1))</f>
        <v>4</v>
      </c>
      <c r="C14" s="1375" t="str">
        <f t="shared" si="0"/>
        <v xml:space="preserve">      - Mission Materials/Briefing (5.5%)</v>
      </c>
      <c r="D14" s="1375"/>
      <c r="E14" s="1375"/>
      <c r="F14" s="1376"/>
      <c r="G14" s="152">
        <f t="shared" si="1"/>
        <v>1</v>
      </c>
      <c r="H14" s="153" t="str">
        <f t="shared" si="2"/>
        <v>2*</v>
      </c>
      <c r="I14" s="166">
        <f t="shared" si="2"/>
        <v>3</v>
      </c>
      <c r="J14" s="171"/>
      <c r="K14" s="168"/>
      <c r="L14" s="1075"/>
      <c r="M14" s="1076"/>
      <c r="N14" s="1076"/>
      <c r="O14" s="1076"/>
      <c r="P14" s="1076"/>
      <c r="Q14" s="1076"/>
      <c r="R14" s="1077"/>
      <c r="T14" s="119">
        <v>7</v>
      </c>
      <c r="U14" s="110" t="s">
        <v>274</v>
      </c>
      <c r="V14" s="206">
        <v>1</v>
      </c>
      <c r="W14" s="206">
        <v>5</v>
      </c>
      <c r="X14" s="206" t="s">
        <v>212</v>
      </c>
      <c r="Y14" s="206" t="s">
        <v>212</v>
      </c>
      <c r="Z14" s="160" t="s">
        <v>212</v>
      </c>
      <c r="AA14" s="160">
        <v>2</v>
      </c>
      <c r="AB14" s="160">
        <v>1</v>
      </c>
      <c r="AC14" s="206">
        <v>3</v>
      </c>
      <c r="AD14" s="206">
        <v>2</v>
      </c>
      <c r="AE14" s="206">
        <v>1</v>
      </c>
      <c r="AF14" s="206" t="b">
        <v>1</v>
      </c>
      <c r="AG14" s="206">
        <f t="shared" si="3"/>
        <v>2</v>
      </c>
      <c r="AH14" s="206">
        <f t="shared" si="4"/>
        <v>1</v>
      </c>
      <c r="AI14" s="86">
        <f>IF(NOT(OR(Z14=1,Z14=2)),IF(AQ14&gt;0,$AR$44*AQ14/SUMIF($AQ$8:$AQ$39,"&gt;0"),IF(AU14&gt;0,$AV$44*AU14/SUMIF($AU$8:$AU$39,"&gt;0"),IF(AS14&gt;0,$AT$44*AS14/SUMIF($AS$8:$AS$39,"&gt;0"),""))),IF(SUMIF(AJ15:$AJ$39,"=" &amp; AJ14,AI15:$AI$39)=0,"",SUMIF(AJ15:$AJ$39,"=" &amp; AJ14,AI15:$AI$39)))</f>
        <v>5.5232558139534885E-2</v>
      </c>
      <c r="AJ14" s="87">
        <f t="shared" si="34"/>
        <v>2</v>
      </c>
      <c r="AK14" s="206">
        <f t="shared" si="27"/>
        <v>2</v>
      </c>
      <c r="AL14" s="160" t="str">
        <f t="shared" si="28"/>
        <v/>
      </c>
      <c r="AM14" s="160" t="str">
        <f t="shared" si="35"/>
        <v/>
      </c>
      <c r="AN14" s="160" t="str">
        <f t="shared" si="5"/>
        <v/>
      </c>
      <c r="AO14" s="160" t="str">
        <f t="shared" si="6"/>
        <v/>
      </c>
      <c r="AP14" s="206" t="b">
        <f t="shared" si="7"/>
        <v>1</v>
      </c>
      <c r="AQ14" s="157">
        <f t="shared" si="29"/>
        <v>5</v>
      </c>
      <c r="AR14" s="88">
        <f t="shared" si="8"/>
        <v>0.3</v>
      </c>
      <c r="AS14" s="89">
        <f t="shared" si="30"/>
        <v>0</v>
      </c>
      <c r="AT14" s="88">
        <f t="shared" si="9"/>
        <v>0.6</v>
      </c>
      <c r="AU14" s="158">
        <f t="shared" si="10"/>
        <v>0</v>
      </c>
      <c r="AV14" s="90">
        <f t="shared" si="11"/>
        <v>0.3</v>
      </c>
      <c r="AW14" s="158" t="b">
        <f t="shared" si="12"/>
        <v>0</v>
      </c>
      <c r="AX14" s="159" t="b">
        <f t="shared" si="13"/>
        <v>1</v>
      </c>
      <c r="AY14" s="158" t="b">
        <f t="shared" si="14"/>
        <v>0</v>
      </c>
      <c r="AZ14" s="159" t="b">
        <f t="shared" si="15"/>
        <v>0</v>
      </c>
      <c r="BA14" s="206" t="b">
        <f t="shared" si="16"/>
        <v>0</v>
      </c>
      <c r="BB14" s="206" t="b">
        <f t="shared" si="17"/>
        <v>0</v>
      </c>
      <c r="BC14" s="158" t="b">
        <f t="shared" si="18"/>
        <v>0</v>
      </c>
      <c r="BD14" s="160" t="b">
        <f t="shared" si="31"/>
        <v>0</v>
      </c>
      <c r="BE14" s="159" t="b">
        <f t="shared" si="19"/>
        <v>0</v>
      </c>
      <c r="BF14" s="161" t="b">
        <f t="shared" si="20"/>
        <v>0</v>
      </c>
      <c r="BG14" s="206" t="b">
        <f t="shared" si="21"/>
        <v>1</v>
      </c>
      <c r="BH14" s="206">
        <f t="shared" si="32"/>
        <v>1</v>
      </c>
      <c r="BI14" s="206">
        <f t="shared" si="22"/>
        <v>2</v>
      </c>
      <c r="BJ14" s="206" t="str">
        <f t="shared" si="23"/>
        <v>2*</v>
      </c>
      <c r="BK14" s="206">
        <f t="shared" si="24"/>
        <v>3</v>
      </c>
      <c r="BL14" s="162">
        <f t="shared" si="33"/>
        <v>1</v>
      </c>
      <c r="BM14" s="206">
        <f t="shared" si="25"/>
        <v>2</v>
      </c>
      <c r="BN14" s="206">
        <f t="shared" si="26"/>
        <v>3</v>
      </c>
      <c r="BO14" s="169">
        <v>4</v>
      </c>
      <c r="BP14" s="170" t="s">
        <v>222</v>
      </c>
    </row>
    <row r="15" spans="2:73" s="105" customFormat="1" ht="12.95" customHeight="1" x14ac:dyDescent="0.2">
      <c r="B15" s="165">
        <f>IF(ISNA(Z15),"",IF(OR(Z15=1,Z15=2),"    ",MAX($B$8:B14)+1))</f>
        <v>5</v>
      </c>
      <c r="C15" s="1375" t="str">
        <f t="shared" si="0"/>
        <v xml:space="preserve">      - Mission Management/Adaptability (16.6%)</v>
      </c>
      <c r="D15" s="1375"/>
      <c r="E15" s="1375"/>
      <c r="F15" s="1376"/>
      <c r="G15" s="152">
        <f t="shared" si="1"/>
        <v>1</v>
      </c>
      <c r="H15" s="153" t="str">
        <f t="shared" si="2"/>
        <v>2*</v>
      </c>
      <c r="I15" s="166">
        <f t="shared" si="2"/>
        <v>3</v>
      </c>
      <c r="J15" s="171"/>
      <c r="K15" s="168"/>
      <c r="L15" s="1075"/>
      <c r="M15" s="1076"/>
      <c r="N15" s="1076"/>
      <c r="O15" s="1076"/>
      <c r="P15" s="1076"/>
      <c r="Q15" s="1076"/>
      <c r="R15" s="1077"/>
      <c r="T15" s="119">
        <v>8</v>
      </c>
      <c r="U15" s="110" t="s">
        <v>275</v>
      </c>
      <c r="V15" s="206">
        <v>1</v>
      </c>
      <c r="W15" s="206">
        <v>15</v>
      </c>
      <c r="X15" s="206" t="s">
        <v>212</v>
      </c>
      <c r="Y15" s="206" t="s">
        <v>212</v>
      </c>
      <c r="Z15" s="160" t="s">
        <v>212</v>
      </c>
      <c r="AA15" s="160">
        <v>2</v>
      </c>
      <c r="AB15" s="160">
        <v>1</v>
      </c>
      <c r="AC15" s="206">
        <v>3</v>
      </c>
      <c r="AD15" s="206">
        <v>2</v>
      </c>
      <c r="AE15" s="206">
        <v>1</v>
      </c>
      <c r="AF15" s="206" t="b">
        <v>1</v>
      </c>
      <c r="AG15" s="206">
        <f t="shared" si="3"/>
        <v>2</v>
      </c>
      <c r="AH15" s="206">
        <f t="shared" si="4"/>
        <v>1</v>
      </c>
      <c r="AI15" s="86">
        <f>IF(NOT(OR(Z15=1,Z15=2)),IF(AQ15&gt;0,$AR$44*AQ15/SUMIF($AQ$8:$AQ$39,"&gt;0"),IF(AU15&gt;0,$AV$44*AU15/SUMIF($AU$8:$AU$39,"&gt;0"),IF(AS15&gt;0,$AT$44*AS15/SUMIF($AS$8:$AS$39,"&gt;0"),""))),IF(SUMIF(AJ16:$AJ$39,"=" &amp; AJ15,AI16:$AI$39)=0,"",SUMIF(AJ16:$AJ$39,"=" &amp; AJ15,AI16:$AI$39)))</f>
        <v>0.16569767441860464</v>
      </c>
      <c r="AJ15" s="87">
        <f t="shared" si="34"/>
        <v>2</v>
      </c>
      <c r="AK15" s="206">
        <f t="shared" si="27"/>
        <v>2</v>
      </c>
      <c r="AL15" s="160" t="str">
        <f t="shared" si="28"/>
        <v/>
      </c>
      <c r="AM15" s="160" t="str">
        <f t="shared" si="35"/>
        <v/>
      </c>
      <c r="AN15" s="160" t="str">
        <f t="shared" si="5"/>
        <v/>
      </c>
      <c r="AO15" s="160" t="str">
        <f t="shared" si="6"/>
        <v/>
      </c>
      <c r="AP15" s="206" t="b">
        <f t="shared" si="7"/>
        <v>1</v>
      </c>
      <c r="AQ15" s="157">
        <f t="shared" si="29"/>
        <v>15</v>
      </c>
      <c r="AR15" s="88">
        <f t="shared" si="8"/>
        <v>0.3</v>
      </c>
      <c r="AS15" s="89">
        <f t="shared" si="30"/>
        <v>0</v>
      </c>
      <c r="AT15" s="88">
        <f t="shared" si="9"/>
        <v>0.6</v>
      </c>
      <c r="AU15" s="158">
        <f t="shared" si="10"/>
        <v>0</v>
      </c>
      <c r="AV15" s="90">
        <f t="shared" si="11"/>
        <v>0.3</v>
      </c>
      <c r="AW15" s="158" t="b">
        <f t="shared" si="12"/>
        <v>0</v>
      </c>
      <c r="AX15" s="159" t="b">
        <f t="shared" si="13"/>
        <v>1</v>
      </c>
      <c r="AY15" s="158" t="b">
        <f t="shared" si="14"/>
        <v>0</v>
      </c>
      <c r="AZ15" s="159" t="b">
        <f t="shared" si="15"/>
        <v>0</v>
      </c>
      <c r="BA15" s="206" t="b">
        <f t="shared" si="16"/>
        <v>0</v>
      </c>
      <c r="BB15" s="206" t="b">
        <f t="shared" si="17"/>
        <v>0</v>
      </c>
      <c r="BC15" s="158" t="b">
        <f t="shared" si="18"/>
        <v>0</v>
      </c>
      <c r="BD15" s="160" t="b">
        <f t="shared" si="31"/>
        <v>0</v>
      </c>
      <c r="BE15" s="159" t="b">
        <f t="shared" si="19"/>
        <v>0</v>
      </c>
      <c r="BF15" s="161" t="b">
        <f t="shared" si="20"/>
        <v>0</v>
      </c>
      <c r="BG15" s="206" t="b">
        <f t="shared" si="21"/>
        <v>1</v>
      </c>
      <c r="BH15" s="206">
        <f t="shared" si="32"/>
        <v>1</v>
      </c>
      <c r="BI15" s="206">
        <f t="shared" si="22"/>
        <v>2</v>
      </c>
      <c r="BJ15" s="206" t="str">
        <f t="shared" si="23"/>
        <v>2*</v>
      </c>
      <c r="BK15" s="206">
        <f t="shared" si="24"/>
        <v>3</v>
      </c>
      <c r="BL15" s="162">
        <f t="shared" si="33"/>
        <v>1</v>
      </c>
      <c r="BM15" s="206">
        <f t="shared" si="25"/>
        <v>2</v>
      </c>
      <c r="BN15" s="206">
        <f t="shared" si="26"/>
        <v>3</v>
      </c>
      <c r="BO15" s="106"/>
    </row>
    <row r="16" spans="2:73" s="105" customFormat="1" ht="12.95" customHeight="1" x14ac:dyDescent="0.2">
      <c r="B16" s="165">
        <f>IF(ISNA(Z16),"",IF(OR(Z16=1,Z16=2),"    ",MAX($B$8:B15)+1))</f>
        <v>6</v>
      </c>
      <c r="C16" s="1375" t="str">
        <f t="shared" si="0"/>
        <v xml:space="preserve">      - Test Plan/Card Adherence (8.8%)</v>
      </c>
      <c r="D16" s="1375"/>
      <c r="E16" s="1375"/>
      <c r="F16" s="1376"/>
      <c r="G16" s="152">
        <f t="shared" si="1"/>
        <v>1</v>
      </c>
      <c r="H16" s="153" t="str">
        <f t="shared" si="2"/>
        <v>3*</v>
      </c>
      <c r="I16" s="166">
        <f t="shared" si="2"/>
        <v>3</v>
      </c>
      <c r="J16" s="171"/>
      <c r="K16" s="168"/>
      <c r="L16" s="1075"/>
      <c r="M16" s="1076"/>
      <c r="N16" s="1076"/>
      <c r="O16" s="1076"/>
      <c r="P16" s="1076"/>
      <c r="Q16" s="1076"/>
      <c r="R16" s="1077"/>
      <c r="T16" s="119">
        <v>9</v>
      </c>
      <c r="U16" s="110" t="s">
        <v>276</v>
      </c>
      <c r="V16" s="206">
        <v>1</v>
      </c>
      <c r="W16" s="206">
        <v>8</v>
      </c>
      <c r="X16" s="206" t="s">
        <v>212</v>
      </c>
      <c r="Y16" s="206" t="s">
        <v>212</v>
      </c>
      <c r="Z16" s="160" t="s">
        <v>212</v>
      </c>
      <c r="AA16" s="160">
        <v>2</v>
      </c>
      <c r="AB16" s="160">
        <v>1</v>
      </c>
      <c r="AC16" s="206">
        <v>3</v>
      </c>
      <c r="AD16" s="206">
        <v>3</v>
      </c>
      <c r="AE16" s="206">
        <v>1</v>
      </c>
      <c r="AF16" s="206" t="b">
        <v>1</v>
      </c>
      <c r="AG16" s="206">
        <f t="shared" si="3"/>
        <v>3</v>
      </c>
      <c r="AH16" s="206">
        <f t="shared" si="4"/>
        <v>2</v>
      </c>
      <c r="AI16" s="86">
        <f>IF(NOT(OR(Z16=1,Z16=2)),IF(AQ16&gt;0,$AR$44*AQ16/SUMIF($AQ$8:$AQ$39,"&gt;0"),IF(AU16&gt;0,$AV$44*AU16/SUMIF($AU$8:$AU$39,"&gt;0"),IF(AS16&gt;0,$AT$44*AS16/SUMIF($AS$8:$AS$39,"&gt;0"),""))),IF(SUMIF(AJ17:$AJ$39,"=" &amp; AJ16,AI17:$AI$39)=0,"",SUMIF(AJ17:$AJ$39,"=" &amp; AJ16,AI17:$AI$39)))</f>
        <v>8.8372093023255813E-2</v>
      </c>
      <c r="AJ16" s="87">
        <f t="shared" si="34"/>
        <v>2</v>
      </c>
      <c r="AK16" s="206">
        <f t="shared" si="27"/>
        <v>3</v>
      </c>
      <c r="AL16" s="160" t="str">
        <f t="shared" si="28"/>
        <v/>
      </c>
      <c r="AM16" s="160" t="str">
        <f t="shared" si="35"/>
        <v/>
      </c>
      <c r="AN16" s="160" t="str">
        <f t="shared" si="5"/>
        <v/>
      </c>
      <c r="AO16" s="160" t="str">
        <f t="shared" si="6"/>
        <v/>
      </c>
      <c r="AP16" s="206" t="b">
        <f t="shared" si="7"/>
        <v>1</v>
      </c>
      <c r="AQ16" s="157">
        <f t="shared" si="29"/>
        <v>8</v>
      </c>
      <c r="AR16" s="88">
        <f t="shared" si="8"/>
        <v>0</v>
      </c>
      <c r="AS16" s="89">
        <f t="shared" si="30"/>
        <v>0</v>
      </c>
      <c r="AT16" s="88">
        <f t="shared" si="9"/>
        <v>0.3</v>
      </c>
      <c r="AU16" s="158">
        <f t="shared" si="10"/>
        <v>0</v>
      </c>
      <c r="AV16" s="90">
        <f t="shared" si="11"/>
        <v>0</v>
      </c>
      <c r="AW16" s="158" t="b">
        <f t="shared" si="12"/>
        <v>0</v>
      </c>
      <c r="AX16" s="159" t="b">
        <f t="shared" si="13"/>
        <v>1</v>
      </c>
      <c r="AY16" s="158" t="b">
        <f t="shared" si="14"/>
        <v>0</v>
      </c>
      <c r="AZ16" s="159" t="b">
        <f t="shared" si="15"/>
        <v>0</v>
      </c>
      <c r="BA16" s="206" t="b">
        <f t="shared" si="16"/>
        <v>0</v>
      </c>
      <c r="BB16" s="206" t="b">
        <f t="shared" si="17"/>
        <v>0</v>
      </c>
      <c r="BC16" s="158" t="b">
        <f t="shared" si="18"/>
        <v>0</v>
      </c>
      <c r="BD16" s="160" t="b">
        <f t="shared" si="31"/>
        <v>0</v>
      </c>
      <c r="BE16" s="159" t="b">
        <f t="shared" si="19"/>
        <v>0</v>
      </c>
      <c r="BF16" s="161" t="b">
        <f t="shared" si="20"/>
        <v>0</v>
      </c>
      <c r="BG16" s="206" t="b">
        <f t="shared" si="21"/>
        <v>1</v>
      </c>
      <c r="BH16" s="206">
        <f t="shared" si="32"/>
        <v>1</v>
      </c>
      <c r="BI16" s="206">
        <f t="shared" si="22"/>
        <v>3</v>
      </c>
      <c r="BJ16" s="206" t="str">
        <f t="shared" si="23"/>
        <v>3*</v>
      </c>
      <c r="BK16" s="206">
        <f t="shared" si="24"/>
        <v>3</v>
      </c>
      <c r="BL16" s="162">
        <f t="shared" si="33"/>
        <v>1</v>
      </c>
      <c r="BM16" s="206">
        <f t="shared" si="25"/>
        <v>3</v>
      </c>
      <c r="BN16" s="206">
        <f t="shared" si="26"/>
        <v>3</v>
      </c>
      <c r="BO16" s="169"/>
      <c r="BP16" s="174"/>
    </row>
    <row r="17" spans="2:73" s="105" customFormat="1" ht="12.95" customHeight="1" x14ac:dyDescent="0.2">
      <c r="B17" s="165">
        <f>IF(ISNA(Z17),"",IF(OR(Z17=1,Z17=2),"    ",MAX($B$8:B16)+1))</f>
        <v>7</v>
      </c>
      <c r="C17" s="1375" t="str">
        <f t="shared" si="0"/>
        <v xml:space="preserve">      - Test Specific Comm/CRM (8.8%)</v>
      </c>
      <c r="D17" s="1375"/>
      <c r="E17" s="1375"/>
      <c r="F17" s="1376"/>
      <c r="G17" s="152">
        <f t="shared" si="1"/>
        <v>1</v>
      </c>
      <c r="H17" s="153" t="str">
        <f t="shared" si="2"/>
        <v>3*</v>
      </c>
      <c r="I17" s="166">
        <f t="shared" si="2"/>
        <v>3</v>
      </c>
      <c r="J17" s="171"/>
      <c r="K17" s="168"/>
      <c r="L17" s="1075"/>
      <c r="M17" s="1076"/>
      <c r="N17" s="1076"/>
      <c r="O17" s="1076"/>
      <c r="P17" s="1076"/>
      <c r="Q17" s="1076"/>
      <c r="R17" s="1077"/>
      <c r="T17" s="119">
        <v>10</v>
      </c>
      <c r="U17" s="110" t="s">
        <v>277</v>
      </c>
      <c r="V17" s="206">
        <v>1</v>
      </c>
      <c r="W17" s="206">
        <v>8</v>
      </c>
      <c r="X17" s="206" t="s">
        <v>212</v>
      </c>
      <c r="Y17" s="206" t="s">
        <v>212</v>
      </c>
      <c r="Z17" s="160" t="s">
        <v>212</v>
      </c>
      <c r="AA17" s="160">
        <v>2</v>
      </c>
      <c r="AB17" s="160">
        <v>1</v>
      </c>
      <c r="AC17" s="206">
        <v>3</v>
      </c>
      <c r="AD17" s="206">
        <v>3</v>
      </c>
      <c r="AE17" s="206">
        <v>1</v>
      </c>
      <c r="AF17" s="206" t="b">
        <v>1</v>
      </c>
      <c r="AG17" s="206">
        <f t="shared" si="3"/>
        <v>3</v>
      </c>
      <c r="AH17" s="206">
        <f t="shared" si="4"/>
        <v>2</v>
      </c>
      <c r="AI17" s="86">
        <f>IF(NOT(OR(Z17=1,Z17=2)),IF(AQ17&gt;0,$AR$44*AQ17/SUMIF($AQ$8:$AQ$39,"&gt;0"),IF(AU17&gt;0,$AV$44*AU17/SUMIF($AU$8:$AU$39,"&gt;0"),IF(AS17&gt;0,$AT$44*AS17/SUMIF($AS$8:$AS$39,"&gt;0"),""))),IF(SUMIF(AJ18:$AJ$39,"=" &amp; AJ17,AI18:$AI$39)=0,"",SUMIF(AJ18:$AJ$39,"=" &amp; AJ17,AI18:$AI$39)))</f>
        <v>8.8372093023255813E-2</v>
      </c>
      <c r="AJ17" s="87">
        <f t="shared" si="34"/>
        <v>2</v>
      </c>
      <c r="AK17" s="206">
        <f t="shared" si="27"/>
        <v>3</v>
      </c>
      <c r="AL17" s="160" t="str">
        <f t="shared" si="28"/>
        <v/>
      </c>
      <c r="AM17" s="160" t="str">
        <f t="shared" si="35"/>
        <v/>
      </c>
      <c r="AN17" s="160" t="str">
        <f t="shared" si="5"/>
        <v/>
      </c>
      <c r="AO17" s="160" t="str">
        <f t="shared" si="6"/>
        <v/>
      </c>
      <c r="AP17" s="206" t="b">
        <f t="shared" si="7"/>
        <v>1</v>
      </c>
      <c r="AQ17" s="157">
        <f t="shared" si="29"/>
        <v>8</v>
      </c>
      <c r="AR17" s="88">
        <f t="shared" si="8"/>
        <v>0</v>
      </c>
      <c r="AS17" s="89">
        <f t="shared" si="30"/>
        <v>0</v>
      </c>
      <c r="AT17" s="88">
        <f t="shared" si="9"/>
        <v>0.3</v>
      </c>
      <c r="AU17" s="158">
        <f t="shared" si="10"/>
        <v>0</v>
      </c>
      <c r="AV17" s="90">
        <f t="shared" si="11"/>
        <v>0</v>
      </c>
      <c r="AW17" s="158" t="b">
        <f t="shared" si="12"/>
        <v>0</v>
      </c>
      <c r="AX17" s="159" t="b">
        <f t="shared" si="13"/>
        <v>1</v>
      </c>
      <c r="AY17" s="158" t="b">
        <f t="shared" si="14"/>
        <v>0</v>
      </c>
      <c r="AZ17" s="159" t="b">
        <f t="shared" si="15"/>
        <v>0</v>
      </c>
      <c r="BA17" s="206" t="b">
        <f t="shared" si="16"/>
        <v>0</v>
      </c>
      <c r="BB17" s="206" t="b">
        <f t="shared" si="17"/>
        <v>0</v>
      </c>
      <c r="BC17" s="158" t="b">
        <f t="shared" si="18"/>
        <v>0</v>
      </c>
      <c r="BD17" s="160" t="b">
        <f t="shared" si="31"/>
        <v>0</v>
      </c>
      <c r="BE17" s="159" t="b">
        <f t="shared" si="19"/>
        <v>0</v>
      </c>
      <c r="BF17" s="161" t="b">
        <f t="shared" si="20"/>
        <v>0</v>
      </c>
      <c r="BG17" s="206" t="b">
        <f t="shared" si="21"/>
        <v>1</v>
      </c>
      <c r="BH17" s="206">
        <f t="shared" si="32"/>
        <v>1</v>
      </c>
      <c r="BI17" s="206">
        <f t="shared" si="22"/>
        <v>3</v>
      </c>
      <c r="BJ17" s="206" t="str">
        <f t="shared" si="23"/>
        <v>3*</v>
      </c>
      <c r="BK17" s="206">
        <f t="shared" si="24"/>
        <v>3</v>
      </c>
      <c r="BL17" s="162">
        <f t="shared" si="33"/>
        <v>1</v>
      </c>
      <c r="BM17" s="206">
        <f t="shared" si="25"/>
        <v>3</v>
      </c>
      <c r="BN17" s="206">
        <f t="shared" si="26"/>
        <v>3</v>
      </c>
      <c r="BO17" s="106"/>
    </row>
    <row r="18" spans="2:73" s="105" customFormat="1" ht="12.95" customHeight="1" x14ac:dyDescent="0.2">
      <c r="B18" s="165">
        <f>IF(ISNA(Z18),"",IF(OR(Z18=1,Z18=2),"    ",MAX($B$8:B17)+1))</f>
        <v>8</v>
      </c>
      <c r="C18" s="1375" t="str">
        <f t="shared" si="0"/>
        <v xml:space="preserve">      - Limit Adherence (8.8%)</v>
      </c>
      <c r="D18" s="1375"/>
      <c r="E18" s="1375"/>
      <c r="F18" s="1376"/>
      <c r="G18" s="152">
        <f t="shared" si="1"/>
        <v>1</v>
      </c>
      <c r="H18" s="153" t="str">
        <f t="shared" si="2"/>
        <v>3*</v>
      </c>
      <c r="I18" s="166">
        <f t="shared" si="2"/>
        <v>3</v>
      </c>
      <c r="J18" s="171"/>
      <c r="K18" s="168"/>
      <c r="L18" s="1075"/>
      <c r="M18" s="1076"/>
      <c r="N18" s="1076"/>
      <c r="O18" s="1076"/>
      <c r="P18" s="1076"/>
      <c r="Q18" s="1076"/>
      <c r="R18" s="1077"/>
      <c r="T18" s="119">
        <v>11</v>
      </c>
      <c r="U18" s="110" t="s">
        <v>510</v>
      </c>
      <c r="V18" s="206">
        <v>1</v>
      </c>
      <c r="W18" s="206">
        <v>8</v>
      </c>
      <c r="X18" s="206" t="s">
        <v>212</v>
      </c>
      <c r="Y18" s="206" t="s">
        <v>212</v>
      </c>
      <c r="Z18" s="160" t="s">
        <v>212</v>
      </c>
      <c r="AA18" s="160">
        <v>2</v>
      </c>
      <c r="AB18" s="160">
        <v>1</v>
      </c>
      <c r="AC18" s="206">
        <v>3</v>
      </c>
      <c r="AD18" s="206">
        <v>3</v>
      </c>
      <c r="AE18" s="206">
        <v>1</v>
      </c>
      <c r="AF18" s="206" t="b">
        <v>1</v>
      </c>
      <c r="AG18" s="206">
        <f t="shared" si="3"/>
        <v>3</v>
      </c>
      <c r="AH18" s="206">
        <f t="shared" si="4"/>
        <v>2</v>
      </c>
      <c r="AI18" s="86">
        <f>IF(NOT(OR(Z18=1,Z18=2)),IF(AQ18&gt;0,$AR$44*AQ18/SUMIF($AQ$8:$AQ$39,"&gt;0"),IF(AU18&gt;0,$AV$44*AU18/SUMIF($AU$8:$AU$39,"&gt;0"),IF(AS18&gt;0,$AT$44*AS18/SUMIF($AS$8:$AS$39,"&gt;0"),""))),IF(SUMIF(AJ19:$AJ$39,"=" &amp; AJ18,AI19:$AI$39)=0,"",SUMIF(AJ19:$AJ$39,"=" &amp; AJ18,AI19:$AI$39)))</f>
        <v>8.8372093023255813E-2</v>
      </c>
      <c r="AJ18" s="87">
        <f t="shared" si="34"/>
        <v>2</v>
      </c>
      <c r="AK18" s="206">
        <f t="shared" si="27"/>
        <v>3</v>
      </c>
      <c r="AL18" s="160" t="str">
        <f t="shared" si="28"/>
        <v/>
      </c>
      <c r="AM18" s="160" t="str">
        <f t="shared" si="35"/>
        <v/>
      </c>
      <c r="AN18" s="160" t="str">
        <f t="shared" si="5"/>
        <v/>
      </c>
      <c r="AO18" s="160" t="str">
        <f t="shared" si="6"/>
        <v/>
      </c>
      <c r="AP18" s="206" t="b">
        <f t="shared" si="7"/>
        <v>1</v>
      </c>
      <c r="AQ18" s="157">
        <f t="shared" si="29"/>
        <v>8</v>
      </c>
      <c r="AR18" s="88">
        <f t="shared" si="8"/>
        <v>0</v>
      </c>
      <c r="AS18" s="89">
        <f t="shared" si="30"/>
        <v>0</v>
      </c>
      <c r="AT18" s="88">
        <f t="shared" si="9"/>
        <v>0.3</v>
      </c>
      <c r="AU18" s="158">
        <f t="shared" si="10"/>
        <v>0</v>
      </c>
      <c r="AV18" s="90">
        <f t="shared" si="11"/>
        <v>0</v>
      </c>
      <c r="AW18" s="158" t="b">
        <f t="shared" si="12"/>
        <v>0</v>
      </c>
      <c r="AX18" s="159" t="b">
        <f t="shared" si="13"/>
        <v>1</v>
      </c>
      <c r="AY18" s="158" t="b">
        <f t="shared" si="14"/>
        <v>0</v>
      </c>
      <c r="AZ18" s="159" t="b">
        <f t="shared" si="15"/>
        <v>0</v>
      </c>
      <c r="BA18" s="206" t="b">
        <f t="shared" si="16"/>
        <v>0</v>
      </c>
      <c r="BB18" s="206" t="b">
        <f t="shared" si="17"/>
        <v>0</v>
      </c>
      <c r="BC18" s="158" t="b">
        <f t="shared" si="18"/>
        <v>0</v>
      </c>
      <c r="BD18" s="160" t="b">
        <f t="shared" si="31"/>
        <v>0</v>
      </c>
      <c r="BE18" s="159" t="b">
        <f t="shared" si="19"/>
        <v>0</v>
      </c>
      <c r="BF18" s="161" t="b">
        <f t="shared" si="20"/>
        <v>0</v>
      </c>
      <c r="BG18" s="206" t="b">
        <f t="shared" si="21"/>
        <v>1</v>
      </c>
      <c r="BH18" s="206">
        <f t="shared" si="32"/>
        <v>1</v>
      </c>
      <c r="BI18" s="206">
        <f t="shared" si="22"/>
        <v>3</v>
      </c>
      <c r="BJ18" s="206" t="str">
        <f t="shared" si="23"/>
        <v>3*</v>
      </c>
      <c r="BK18" s="206">
        <f t="shared" si="24"/>
        <v>3</v>
      </c>
      <c r="BL18" s="162">
        <f t="shared" si="33"/>
        <v>1</v>
      </c>
      <c r="BM18" s="206">
        <f t="shared" si="25"/>
        <v>3</v>
      </c>
      <c r="BN18" s="206">
        <f t="shared" si="26"/>
        <v>3</v>
      </c>
      <c r="BO18" s="104"/>
      <c r="BP18" s="174" t="s">
        <v>223</v>
      </c>
      <c r="BQ18" s="175"/>
      <c r="BR18" s="175"/>
      <c r="BS18" s="175"/>
      <c r="BT18" s="175"/>
      <c r="BU18" s="175"/>
    </row>
    <row r="19" spans="2:73" s="105" customFormat="1" ht="12.95" customHeight="1" x14ac:dyDescent="0.2">
      <c r="B19" s="165">
        <f>IF(ISNA(Z19),"",IF(OR(Z19=1,Z19=2),"    ",MAX($B$8:B18)+1))</f>
        <v>9</v>
      </c>
      <c r="C19" s="1375" t="str">
        <f t="shared" si="0"/>
        <v xml:space="preserve">      - Data Collection (8.8%)</v>
      </c>
      <c r="D19" s="1375"/>
      <c r="E19" s="1375"/>
      <c r="F19" s="1376"/>
      <c r="G19" s="152">
        <f t="shared" si="1"/>
        <v>1</v>
      </c>
      <c r="H19" s="153" t="str">
        <f t="shared" si="2"/>
        <v>2*</v>
      </c>
      <c r="I19" s="166">
        <f t="shared" si="2"/>
        <v>3</v>
      </c>
      <c r="J19" s="171"/>
      <c r="K19" s="168"/>
      <c r="L19" s="1075"/>
      <c r="M19" s="1076"/>
      <c r="N19" s="1076"/>
      <c r="O19" s="1076"/>
      <c r="P19" s="1076"/>
      <c r="Q19" s="1076"/>
      <c r="R19" s="1077"/>
      <c r="T19" s="119">
        <v>12</v>
      </c>
      <c r="U19" s="110" t="s">
        <v>279</v>
      </c>
      <c r="V19" s="206">
        <v>1</v>
      </c>
      <c r="W19" s="206">
        <v>8</v>
      </c>
      <c r="X19" s="206" t="s">
        <v>212</v>
      </c>
      <c r="Y19" s="206" t="s">
        <v>212</v>
      </c>
      <c r="Z19" s="160" t="s">
        <v>212</v>
      </c>
      <c r="AA19" s="160">
        <v>2</v>
      </c>
      <c r="AB19" s="160">
        <v>1</v>
      </c>
      <c r="AC19" s="206">
        <v>3</v>
      </c>
      <c r="AD19" s="206">
        <v>2</v>
      </c>
      <c r="AE19" s="206">
        <v>1</v>
      </c>
      <c r="AF19" s="206" t="b">
        <v>1</v>
      </c>
      <c r="AG19" s="206">
        <f t="shared" si="3"/>
        <v>2</v>
      </c>
      <c r="AH19" s="206">
        <f t="shared" si="4"/>
        <v>1</v>
      </c>
      <c r="AI19" s="86">
        <f>IF(NOT(OR(Z19=1,Z19=2)),IF(AQ19&gt;0,$AR$44*AQ19/SUMIF($AQ$8:$AQ$39,"&gt;0"),IF(AU19&gt;0,$AV$44*AU19/SUMIF($AU$8:$AU$39,"&gt;0"),IF(AS19&gt;0,$AT$44*AS19/SUMIF($AS$8:$AS$39,"&gt;0"),""))),IF(SUMIF(AJ20:$AJ$39,"=" &amp; AJ19,AI20:$AI$39)=0,"",SUMIF(AJ20:$AJ$39,"=" &amp; AJ19,AI20:$AI$39)))</f>
        <v>8.8372093023255813E-2</v>
      </c>
      <c r="AJ19" s="87">
        <f t="shared" si="34"/>
        <v>2</v>
      </c>
      <c r="AK19" s="206">
        <f t="shared" si="27"/>
        <v>2</v>
      </c>
      <c r="AL19" s="160" t="str">
        <f t="shared" si="28"/>
        <v/>
      </c>
      <c r="AM19" s="160" t="str">
        <f t="shared" si="35"/>
        <v/>
      </c>
      <c r="AN19" s="160" t="str">
        <f t="shared" si="5"/>
        <v/>
      </c>
      <c r="AO19" s="160" t="str">
        <f t="shared" si="6"/>
        <v/>
      </c>
      <c r="AP19" s="206" t="b">
        <f t="shared" si="7"/>
        <v>1</v>
      </c>
      <c r="AQ19" s="157">
        <f t="shared" si="29"/>
        <v>8</v>
      </c>
      <c r="AR19" s="88">
        <f t="shared" si="8"/>
        <v>0.3</v>
      </c>
      <c r="AS19" s="89">
        <f t="shared" si="30"/>
        <v>0</v>
      </c>
      <c r="AT19" s="88">
        <f t="shared" si="9"/>
        <v>0.6</v>
      </c>
      <c r="AU19" s="158">
        <f t="shared" si="10"/>
        <v>0</v>
      </c>
      <c r="AV19" s="90">
        <f t="shared" si="11"/>
        <v>0.3</v>
      </c>
      <c r="AW19" s="158" t="b">
        <f t="shared" si="12"/>
        <v>0</v>
      </c>
      <c r="AX19" s="159" t="b">
        <f t="shared" si="13"/>
        <v>1</v>
      </c>
      <c r="AY19" s="158" t="b">
        <f t="shared" si="14"/>
        <v>0</v>
      </c>
      <c r="AZ19" s="159" t="b">
        <f t="shared" si="15"/>
        <v>0</v>
      </c>
      <c r="BA19" s="206" t="b">
        <f t="shared" si="16"/>
        <v>0</v>
      </c>
      <c r="BB19" s="206" t="b">
        <f t="shared" si="17"/>
        <v>0</v>
      </c>
      <c r="BC19" s="158" t="b">
        <f t="shared" si="18"/>
        <v>0</v>
      </c>
      <c r="BD19" s="160" t="b">
        <f t="shared" si="31"/>
        <v>0</v>
      </c>
      <c r="BE19" s="159" t="b">
        <f t="shared" si="19"/>
        <v>0</v>
      </c>
      <c r="BF19" s="161" t="b">
        <f t="shared" si="20"/>
        <v>0</v>
      </c>
      <c r="BG19" s="206" t="b">
        <f t="shared" si="21"/>
        <v>1</v>
      </c>
      <c r="BH19" s="206">
        <f t="shared" si="32"/>
        <v>1</v>
      </c>
      <c r="BI19" s="206">
        <f t="shared" si="22"/>
        <v>2</v>
      </c>
      <c r="BJ19" s="206" t="str">
        <f t="shared" si="23"/>
        <v>2*</v>
      </c>
      <c r="BK19" s="206">
        <f t="shared" si="24"/>
        <v>3</v>
      </c>
      <c r="BL19" s="162">
        <f t="shared" si="33"/>
        <v>1</v>
      </c>
      <c r="BM19" s="206">
        <f t="shared" si="25"/>
        <v>2</v>
      </c>
      <c r="BN19" s="206">
        <f t="shared" si="26"/>
        <v>3</v>
      </c>
      <c r="BO19" s="104"/>
      <c r="BP19" s="164"/>
      <c r="BQ19" s="1386" t="s">
        <v>224</v>
      </c>
      <c r="BR19" s="1386"/>
      <c r="BS19" s="1386"/>
      <c r="BT19" s="1386"/>
      <c r="BU19" s="1386"/>
    </row>
    <row r="20" spans="2:73" s="105" customFormat="1" ht="12.95" customHeight="1" x14ac:dyDescent="0.2">
      <c r="B20" s="165">
        <f>IF(ISNA(Z20),"",IF(OR(Z20=1,Z20=2),"    ",MAX($B$8:B19)+1))</f>
        <v>10</v>
      </c>
      <c r="C20" s="1375" t="str">
        <f t="shared" si="0"/>
        <v xml:space="preserve">      - Flight Debrief (11.0%)</v>
      </c>
      <c r="D20" s="1375"/>
      <c r="E20" s="1375"/>
      <c r="F20" s="1376"/>
      <c r="G20" s="152">
        <f t="shared" si="1"/>
        <v>1</v>
      </c>
      <c r="H20" s="153" t="str">
        <f t="shared" si="2"/>
        <v>2*</v>
      </c>
      <c r="I20" s="166">
        <f t="shared" si="2"/>
        <v>3</v>
      </c>
      <c r="J20" s="171"/>
      <c r="K20" s="168"/>
      <c r="L20" s="1075"/>
      <c r="M20" s="1076"/>
      <c r="N20" s="1076"/>
      <c r="O20" s="1076"/>
      <c r="P20" s="1076"/>
      <c r="Q20" s="1076"/>
      <c r="R20" s="1077"/>
      <c r="T20" s="119">
        <v>13</v>
      </c>
      <c r="U20" s="110" t="s">
        <v>500</v>
      </c>
      <c r="V20" s="206">
        <v>1</v>
      </c>
      <c r="W20" s="206">
        <v>10</v>
      </c>
      <c r="X20" s="206" t="s">
        <v>212</v>
      </c>
      <c r="Y20" s="206" t="s">
        <v>212</v>
      </c>
      <c r="Z20" s="160" t="s">
        <v>212</v>
      </c>
      <c r="AA20" s="160">
        <v>2</v>
      </c>
      <c r="AB20" s="160">
        <v>1</v>
      </c>
      <c r="AC20" s="206">
        <v>3</v>
      </c>
      <c r="AD20" s="206">
        <v>2</v>
      </c>
      <c r="AE20" s="206">
        <v>1</v>
      </c>
      <c r="AF20" s="206" t="b">
        <v>1</v>
      </c>
      <c r="AG20" s="206">
        <f t="shared" si="3"/>
        <v>2</v>
      </c>
      <c r="AH20" s="206">
        <f t="shared" si="4"/>
        <v>1</v>
      </c>
      <c r="AI20" s="86">
        <f>IF(NOT(OR(Z20=1,Z20=2)),IF(AQ20&gt;0,$AR$44*AQ20/SUMIF($AQ$8:$AQ$39,"&gt;0"),IF(AU20&gt;0,$AV$44*AU20/SUMIF($AU$8:$AU$39,"&gt;0"),IF(AS20&gt;0,$AT$44*AS20/SUMIF($AS$8:$AS$39,"&gt;0"),""))),IF(SUMIF(AJ21:$AJ$39,"=" &amp; AJ20,AI21:$AI$39)=0,"",SUMIF(AJ21:$AJ$39,"=" &amp; AJ20,AI21:$AI$39)))</f>
        <v>0.11046511627906977</v>
      </c>
      <c r="AJ20" s="87">
        <f t="shared" si="34"/>
        <v>2</v>
      </c>
      <c r="AK20" s="206">
        <f t="shared" si="27"/>
        <v>2</v>
      </c>
      <c r="AL20" s="160" t="str">
        <f t="shared" si="28"/>
        <v/>
      </c>
      <c r="AM20" s="160" t="str">
        <f t="shared" si="35"/>
        <v/>
      </c>
      <c r="AN20" s="160" t="str">
        <f t="shared" si="5"/>
        <v/>
      </c>
      <c r="AO20" s="160" t="str">
        <f t="shared" si="6"/>
        <v/>
      </c>
      <c r="AP20" s="206" t="b">
        <f t="shared" si="7"/>
        <v>1</v>
      </c>
      <c r="AQ20" s="157">
        <f t="shared" si="29"/>
        <v>10</v>
      </c>
      <c r="AR20" s="88">
        <f t="shared" si="8"/>
        <v>0.3</v>
      </c>
      <c r="AS20" s="89">
        <f t="shared" si="30"/>
        <v>0</v>
      </c>
      <c r="AT20" s="88">
        <f t="shared" si="9"/>
        <v>0.6</v>
      </c>
      <c r="AU20" s="158">
        <f t="shared" si="10"/>
        <v>0</v>
      </c>
      <c r="AV20" s="90">
        <f t="shared" si="11"/>
        <v>0.3</v>
      </c>
      <c r="AW20" s="158" t="b">
        <f t="shared" si="12"/>
        <v>0</v>
      </c>
      <c r="AX20" s="159" t="b">
        <f t="shared" si="13"/>
        <v>1</v>
      </c>
      <c r="AY20" s="158" t="b">
        <f t="shared" si="14"/>
        <v>0</v>
      </c>
      <c r="AZ20" s="159" t="b">
        <f t="shared" si="15"/>
        <v>0</v>
      </c>
      <c r="BA20" s="206" t="b">
        <f t="shared" si="16"/>
        <v>0</v>
      </c>
      <c r="BB20" s="206" t="b">
        <f t="shared" si="17"/>
        <v>0</v>
      </c>
      <c r="BC20" s="158" t="b">
        <f t="shared" si="18"/>
        <v>0</v>
      </c>
      <c r="BD20" s="160" t="b">
        <f t="shared" si="31"/>
        <v>0</v>
      </c>
      <c r="BE20" s="159" t="b">
        <f t="shared" si="19"/>
        <v>0</v>
      </c>
      <c r="BF20" s="161" t="b">
        <f t="shared" si="20"/>
        <v>0</v>
      </c>
      <c r="BG20" s="206" t="b">
        <f t="shared" si="21"/>
        <v>1</v>
      </c>
      <c r="BH20" s="206">
        <f t="shared" si="32"/>
        <v>1</v>
      </c>
      <c r="BI20" s="206">
        <f t="shared" si="22"/>
        <v>2</v>
      </c>
      <c r="BJ20" s="206" t="str">
        <f t="shared" si="23"/>
        <v>2*</v>
      </c>
      <c r="BK20" s="206">
        <f t="shared" si="24"/>
        <v>3</v>
      </c>
      <c r="BL20" s="162">
        <f t="shared" si="33"/>
        <v>1</v>
      </c>
      <c r="BM20" s="206">
        <f t="shared" si="25"/>
        <v>2</v>
      </c>
      <c r="BN20" s="206">
        <f t="shared" si="26"/>
        <v>3</v>
      </c>
      <c r="BO20" s="104"/>
      <c r="BP20" s="104"/>
      <c r="BQ20" s="104">
        <v>0</v>
      </c>
      <c r="BR20" s="104">
        <v>1</v>
      </c>
      <c r="BS20" s="104">
        <v>2</v>
      </c>
      <c r="BT20" s="104">
        <v>3</v>
      </c>
      <c r="BU20" s="104">
        <v>4</v>
      </c>
    </row>
    <row r="21" spans="2:73" s="105" customFormat="1" ht="12.95" customHeight="1" x14ac:dyDescent="0.2">
      <c r="B21" s="165" t="str">
        <f>IF(ISNA(Z21),"",IF(OR(Z21=1,Z21=2),"    ",MAX($B$8:B20)+1))</f>
        <v xml:space="preserve">    </v>
      </c>
      <c r="C21" s="1375" t="str">
        <f t="shared" si="0"/>
        <v>Specific Learning Objective Items (15.5%)</v>
      </c>
      <c r="D21" s="1375"/>
      <c r="E21" s="1375"/>
      <c r="F21" s="1376"/>
      <c r="G21" s="152" t="str">
        <f t="shared" si="1"/>
        <v/>
      </c>
      <c r="H21" s="153" t="str">
        <f t="shared" si="2"/>
        <v/>
      </c>
      <c r="I21" s="166" t="str">
        <f t="shared" si="2"/>
        <v/>
      </c>
      <c r="J21" s="172"/>
      <c r="K21" s="173"/>
      <c r="L21" s="1075"/>
      <c r="M21" s="1076"/>
      <c r="N21" s="1076"/>
      <c r="O21" s="1076"/>
      <c r="P21" s="1076"/>
      <c r="Q21" s="1076"/>
      <c r="R21" s="1077"/>
      <c r="T21" s="119">
        <v>14</v>
      </c>
      <c r="U21" s="110" t="s">
        <v>281</v>
      </c>
      <c r="V21" s="206" t="s">
        <v>212</v>
      </c>
      <c r="W21" s="206" t="s">
        <v>212</v>
      </c>
      <c r="X21" s="206" t="s">
        <v>212</v>
      </c>
      <c r="Y21" s="206" t="s">
        <v>212</v>
      </c>
      <c r="Z21" s="160">
        <v>2</v>
      </c>
      <c r="AA21" s="160">
        <v>1</v>
      </c>
      <c r="AB21" s="160">
        <v>1</v>
      </c>
      <c r="AC21" s="206" t="s">
        <v>212</v>
      </c>
      <c r="AD21" s="206" t="s">
        <v>212</v>
      </c>
      <c r="AE21" s="206" t="s">
        <v>212</v>
      </c>
      <c r="AF21" s="206" t="s">
        <v>212</v>
      </c>
      <c r="AG21" s="206" t="str">
        <f t="shared" si="3"/>
        <v/>
      </c>
      <c r="AH21" s="206" t="str">
        <f t="shared" si="4"/>
        <v/>
      </c>
      <c r="AI21" s="86">
        <f>IF(NOT(OR(Z21=1,Z21=2)),IF(AQ21&gt;0,$AR$44*AQ21/SUMIF($AQ$8:$AQ$39,"&gt;0"),IF(AU21&gt;0,$AV$44*AU21/SUMIF($AU$8:$AU$39,"&gt;0"),IF(AS21&gt;0,$AT$44*AS21/SUMIF($AS$8:$AS$39,"&gt;0"),""))),IF(SUMIF(AJ22:$AJ$39,"=" &amp; AJ21,AI22:$AI$39)=0,"",SUMIF(AJ22:$AJ$39,"=" &amp; AJ21,AI22:$AI$39)))</f>
        <v>0.15465116279069768</v>
      </c>
      <c r="AJ21" s="87">
        <f t="shared" si="34"/>
        <v>3</v>
      </c>
      <c r="AK21" s="206" t="str">
        <f t="shared" si="27"/>
        <v/>
      </c>
      <c r="AL21" s="160" t="str">
        <f t="shared" si="28"/>
        <v/>
      </c>
      <c r="AM21" s="160" t="str">
        <f t="shared" si="35"/>
        <v/>
      </c>
      <c r="AN21" s="160" t="str">
        <f t="shared" si="5"/>
        <v/>
      </c>
      <c r="AO21" s="160" t="str">
        <f t="shared" si="6"/>
        <v/>
      </c>
      <c r="AP21" s="206" t="str">
        <f t="shared" si="7"/>
        <v/>
      </c>
      <c r="AQ21" s="157">
        <f t="shared" si="29"/>
        <v>0</v>
      </c>
      <c r="AR21" s="88" t="str">
        <f t="shared" si="8"/>
        <v/>
      </c>
      <c r="AS21" s="89">
        <f t="shared" si="30"/>
        <v>0</v>
      </c>
      <c r="AT21" s="88" t="str">
        <f t="shared" si="9"/>
        <v/>
      </c>
      <c r="AU21" s="158">
        <f t="shared" si="10"/>
        <v>0</v>
      </c>
      <c r="AV21" s="90" t="str">
        <f t="shared" si="11"/>
        <v/>
      </c>
      <c r="AW21" s="158" t="b">
        <f t="shared" si="12"/>
        <v>0</v>
      </c>
      <c r="AX21" s="159" t="b">
        <f t="shared" si="13"/>
        <v>0</v>
      </c>
      <c r="AY21" s="158" t="b">
        <f t="shared" si="14"/>
        <v>0</v>
      </c>
      <c r="AZ21" s="159" t="b">
        <f t="shared" si="15"/>
        <v>0</v>
      </c>
      <c r="BA21" s="206" t="b">
        <f t="shared" si="16"/>
        <v>0</v>
      </c>
      <c r="BB21" s="206" t="b">
        <f t="shared" si="17"/>
        <v>0</v>
      </c>
      <c r="BC21" s="158" t="b">
        <f t="shared" si="18"/>
        <v>0</v>
      </c>
      <c r="BD21" s="160" t="b">
        <f t="shared" si="31"/>
        <v>0</v>
      </c>
      <c r="BE21" s="159" t="b">
        <f t="shared" si="19"/>
        <v>0</v>
      </c>
      <c r="BF21" s="161" t="b">
        <f t="shared" si="20"/>
        <v>0</v>
      </c>
      <c r="BG21" s="206" t="b">
        <f t="shared" si="21"/>
        <v>0</v>
      </c>
      <c r="BH21" s="206" t="str">
        <f t="shared" si="32"/>
        <v/>
      </c>
      <c r="BI21" s="206" t="str">
        <f t="shared" si="22"/>
        <v/>
      </c>
      <c r="BJ21" s="206" t="str">
        <f t="shared" si="23"/>
        <v/>
      </c>
      <c r="BK21" s="206" t="str">
        <f t="shared" si="24"/>
        <v/>
      </c>
      <c r="BL21" s="162" t="str">
        <f t="shared" si="33"/>
        <v/>
      </c>
      <c r="BM21" s="206" t="str">
        <f t="shared" si="25"/>
        <v/>
      </c>
      <c r="BN21" s="206" t="str">
        <f t="shared" si="26"/>
        <v/>
      </c>
      <c r="BO21" s="1387" t="s">
        <v>226</v>
      </c>
      <c r="BP21" s="104" t="s">
        <v>227</v>
      </c>
      <c r="BQ21" s="91">
        <f t="shared" ref="BQ21:BU29" si="36">AR50</f>
        <v>0.7</v>
      </c>
      <c r="BR21" s="92">
        <f t="shared" si="36"/>
        <v>0.9</v>
      </c>
      <c r="BS21" s="92">
        <f t="shared" si="36"/>
        <v>0.93330000000000002</v>
      </c>
      <c r="BT21" s="92">
        <f t="shared" si="36"/>
        <v>0.9667</v>
      </c>
      <c r="BU21" s="93">
        <f t="shared" si="36"/>
        <v>1</v>
      </c>
    </row>
    <row r="22" spans="2:73" s="105" customFormat="1" ht="12.95" customHeight="1" x14ac:dyDescent="0.2">
      <c r="B22" s="165">
        <f>IF(ISNA(Z22),"",IF(OR(Z22=1,Z22=2),"    ",MAX($B$8:B21)+1))</f>
        <v>11</v>
      </c>
      <c r="C22" s="1375" t="str">
        <f t="shared" si="0"/>
        <v xml:space="preserve">      - Radar Functionality (2.2%)</v>
      </c>
      <c r="D22" s="1375"/>
      <c r="E22" s="1375"/>
      <c r="F22" s="1376"/>
      <c r="G22" s="152">
        <f t="shared" si="1"/>
        <v>1</v>
      </c>
      <c r="H22" s="153" t="str">
        <f t="shared" si="2"/>
        <v>2</v>
      </c>
      <c r="I22" s="166">
        <f t="shared" si="2"/>
        <v>3</v>
      </c>
      <c r="J22" s="171"/>
      <c r="K22" s="168"/>
      <c r="L22" s="1075"/>
      <c r="M22" s="1076"/>
      <c r="N22" s="1076"/>
      <c r="O22" s="1076"/>
      <c r="P22" s="1076"/>
      <c r="Q22" s="1076"/>
      <c r="R22" s="1077"/>
      <c r="T22" s="119">
        <v>15</v>
      </c>
      <c r="U22" s="110" t="s">
        <v>511</v>
      </c>
      <c r="V22" s="206">
        <v>1</v>
      </c>
      <c r="W22" s="206">
        <v>2</v>
      </c>
      <c r="X22" s="206" t="s">
        <v>212</v>
      </c>
      <c r="Y22" s="206" t="s">
        <v>212</v>
      </c>
      <c r="Z22" s="160" t="s">
        <v>212</v>
      </c>
      <c r="AA22" s="160">
        <v>2</v>
      </c>
      <c r="AB22" s="160">
        <v>1</v>
      </c>
      <c r="AC22" s="206">
        <v>3</v>
      </c>
      <c r="AD22" s="206">
        <v>2</v>
      </c>
      <c r="AE22" s="206">
        <v>0</v>
      </c>
      <c r="AF22" s="206" t="b">
        <v>1</v>
      </c>
      <c r="AG22" s="206">
        <f t="shared" si="3"/>
        <v>2</v>
      </c>
      <c r="AH22" s="206">
        <f t="shared" si="4"/>
        <v>1</v>
      </c>
      <c r="AI22" s="86">
        <f>IF(NOT(OR(Z22=1,Z22=2)),IF(AQ22&gt;0,$AR$44*AQ22/SUMIF($AQ$8:$AQ$39,"&gt;0"),IF(AU22&gt;0,$AV$44*AU22/SUMIF($AU$8:$AU$39,"&gt;0"),IF(AS22&gt;0,$AT$44*AS22/SUMIF($AS$8:$AS$39,"&gt;0"),""))),IF(SUMIF(AJ23:$AJ$39,"=" &amp; AJ22,AI23:$AI$39)=0,"",SUMIF(AJ23:$AJ$39,"=" &amp; AJ22,AI23:$AI$39)))</f>
        <v>2.2093023255813953E-2</v>
      </c>
      <c r="AJ22" s="87">
        <f t="shared" si="34"/>
        <v>3</v>
      </c>
      <c r="AK22" s="206">
        <f t="shared" si="27"/>
        <v>2</v>
      </c>
      <c r="AL22" s="160" t="str">
        <f t="shared" si="28"/>
        <v/>
      </c>
      <c r="AM22" s="160" t="str">
        <f t="shared" si="35"/>
        <v/>
      </c>
      <c r="AN22" s="160" t="str">
        <f t="shared" si="5"/>
        <v/>
      </c>
      <c r="AO22" s="160" t="str">
        <f t="shared" si="6"/>
        <v/>
      </c>
      <c r="AP22" s="206" t="b">
        <f t="shared" si="7"/>
        <v>1</v>
      </c>
      <c r="AQ22" s="157">
        <f t="shared" si="29"/>
        <v>2</v>
      </c>
      <c r="AR22" s="88">
        <f t="shared" si="8"/>
        <v>0.3</v>
      </c>
      <c r="AS22" s="89">
        <f t="shared" si="30"/>
        <v>0</v>
      </c>
      <c r="AT22" s="88">
        <f t="shared" si="9"/>
        <v>0.6</v>
      </c>
      <c r="AU22" s="158">
        <f t="shared" si="10"/>
        <v>0</v>
      </c>
      <c r="AV22" s="90">
        <f t="shared" si="11"/>
        <v>0.3</v>
      </c>
      <c r="AW22" s="158" t="b">
        <f t="shared" si="12"/>
        <v>0</v>
      </c>
      <c r="AX22" s="159" t="b">
        <f t="shared" si="13"/>
        <v>1</v>
      </c>
      <c r="AY22" s="158" t="b">
        <f t="shared" si="14"/>
        <v>0</v>
      </c>
      <c r="AZ22" s="159" t="b">
        <f t="shared" si="15"/>
        <v>0</v>
      </c>
      <c r="BA22" s="206" t="b">
        <f t="shared" si="16"/>
        <v>0</v>
      </c>
      <c r="BB22" s="206" t="b">
        <f t="shared" si="17"/>
        <v>0</v>
      </c>
      <c r="BC22" s="158" t="b">
        <f t="shared" si="18"/>
        <v>0</v>
      </c>
      <c r="BD22" s="160" t="b">
        <f t="shared" si="31"/>
        <v>0</v>
      </c>
      <c r="BE22" s="159" t="b">
        <f>IF(OR(ISNA($Z22),K22&lt;&gt;"D"),FALSE,IF(OR(AND(H22="NG",J22=0),AND(H22&lt;&gt;"NG",NOT(OR(J22="NA",J22=0)))),TRUE,FALSE))</f>
        <v>0</v>
      </c>
      <c r="BF22" s="161" t="b">
        <f t="shared" si="20"/>
        <v>0</v>
      </c>
      <c r="BG22" s="206" t="b">
        <f>IF(ISNA($Z22),"NA",IF(OR(AZ22,AY22,AX22,AW22,AP22,BA22,BB22),TRUE,FALSE))</f>
        <v>1</v>
      </c>
      <c r="BH22" s="206">
        <f t="shared" si="32"/>
        <v>1</v>
      </c>
      <c r="BI22" s="206">
        <f t="shared" si="22"/>
        <v>2</v>
      </c>
      <c r="BJ22" s="206" t="str">
        <f t="shared" si="23"/>
        <v>2</v>
      </c>
      <c r="BK22" s="206">
        <f t="shared" si="24"/>
        <v>3</v>
      </c>
      <c r="BL22" s="162">
        <f t="shared" si="33"/>
        <v>1</v>
      </c>
      <c r="BM22" s="206">
        <f t="shared" si="25"/>
        <v>2</v>
      </c>
      <c r="BN22" s="206">
        <f t="shared" si="26"/>
        <v>3</v>
      </c>
      <c r="BO22" s="1387"/>
      <c r="BP22" s="104" t="s">
        <v>228</v>
      </c>
      <c r="BQ22" s="94">
        <f t="shared" si="36"/>
        <v>0.7</v>
      </c>
      <c r="BR22" s="95">
        <f t="shared" si="36"/>
        <v>0.8</v>
      </c>
      <c r="BS22" s="95">
        <f t="shared" si="36"/>
        <v>0.9</v>
      </c>
      <c r="BT22" s="95">
        <f t="shared" si="36"/>
        <v>0.95</v>
      </c>
      <c r="BU22" s="96">
        <f t="shared" si="36"/>
        <v>1</v>
      </c>
    </row>
    <row r="23" spans="2:73" s="105" customFormat="1" ht="12.95" customHeight="1" x14ac:dyDescent="0.2">
      <c r="B23" s="165">
        <f>IF(ISNA(Z23),"",IF(OR(Z23=1,Z23=2),"    ",MAX($B$8:B22)+1))</f>
        <v>12</v>
      </c>
      <c r="C23" s="1375" t="str">
        <f t="shared" si="0"/>
        <v xml:space="preserve">      - Ground Map Test (3.3%)</v>
      </c>
      <c r="D23" s="1375"/>
      <c r="E23" s="1375"/>
      <c r="F23" s="1376"/>
      <c r="G23" s="152">
        <f t="shared" si="1"/>
        <v>1</v>
      </c>
      <c r="H23" s="153" t="str">
        <f t="shared" si="2"/>
        <v>2</v>
      </c>
      <c r="I23" s="166">
        <f t="shared" si="2"/>
        <v>3</v>
      </c>
      <c r="J23" s="171"/>
      <c r="K23" s="168"/>
      <c r="L23" s="1075"/>
      <c r="M23" s="1076"/>
      <c r="N23" s="1076"/>
      <c r="O23" s="1076"/>
      <c r="P23" s="1076"/>
      <c r="Q23" s="1076"/>
      <c r="R23" s="1077"/>
      <c r="T23" s="119">
        <v>16</v>
      </c>
      <c r="U23" s="110" t="s">
        <v>512</v>
      </c>
      <c r="V23" s="206">
        <v>1</v>
      </c>
      <c r="W23" s="206">
        <v>3</v>
      </c>
      <c r="X23" s="206" t="s">
        <v>212</v>
      </c>
      <c r="Y23" s="206" t="s">
        <v>212</v>
      </c>
      <c r="Z23" s="160" t="s">
        <v>212</v>
      </c>
      <c r="AA23" s="160">
        <v>2</v>
      </c>
      <c r="AB23" s="160">
        <v>1</v>
      </c>
      <c r="AC23" s="206">
        <v>3</v>
      </c>
      <c r="AD23" s="206">
        <v>2</v>
      </c>
      <c r="AE23" s="206">
        <v>0</v>
      </c>
      <c r="AF23" s="206" t="b">
        <v>1</v>
      </c>
      <c r="AG23" s="206">
        <f t="shared" si="3"/>
        <v>2</v>
      </c>
      <c r="AH23" s="206">
        <f t="shared" si="4"/>
        <v>1</v>
      </c>
      <c r="AI23" s="86">
        <f>IF(NOT(OR(Z23=1,Z23=2)),IF(AQ23&gt;0,$AR$44*AQ23/SUMIF($AQ$8:$AQ$39,"&gt;0"),IF(AU23&gt;0,$AV$44*AU23/SUMIF($AU$8:$AU$39,"&gt;0"),IF(AS23&gt;0,$AT$44*AS23/SUMIF($AS$8:$AS$39,"&gt;0"),""))),IF(SUMIF(AJ24:$AJ$39,"=" &amp; AJ23,AI24:$AI$39)=0,"",SUMIF(AJ24:$AJ$39,"=" &amp; AJ23,AI24:$AI$39)))</f>
        <v>3.3139534883720928E-2</v>
      </c>
      <c r="AJ23" s="87">
        <f t="shared" si="34"/>
        <v>3</v>
      </c>
      <c r="AK23" s="206">
        <f t="shared" si="27"/>
        <v>2</v>
      </c>
      <c r="AL23" s="160" t="str">
        <f t="shared" si="28"/>
        <v/>
      </c>
      <c r="AM23" s="160" t="str">
        <f t="shared" si="35"/>
        <v/>
      </c>
      <c r="AN23" s="160" t="str">
        <f t="shared" si="5"/>
        <v/>
      </c>
      <c r="AO23" s="160" t="str">
        <f t="shared" si="6"/>
        <v/>
      </c>
      <c r="AP23" s="206" t="b">
        <f t="shared" si="7"/>
        <v>1</v>
      </c>
      <c r="AQ23" s="157">
        <f t="shared" si="29"/>
        <v>3</v>
      </c>
      <c r="AR23" s="88">
        <f t="shared" si="8"/>
        <v>0.3</v>
      </c>
      <c r="AS23" s="89">
        <f t="shared" si="30"/>
        <v>0</v>
      </c>
      <c r="AT23" s="88">
        <f t="shared" si="9"/>
        <v>0.6</v>
      </c>
      <c r="AU23" s="158">
        <f t="shared" si="10"/>
        <v>0</v>
      </c>
      <c r="AV23" s="90">
        <f t="shared" si="11"/>
        <v>0.3</v>
      </c>
      <c r="AW23" s="158" t="b">
        <f t="shared" si="12"/>
        <v>0</v>
      </c>
      <c r="AX23" s="159" t="b">
        <f t="shared" si="13"/>
        <v>1</v>
      </c>
      <c r="AY23" s="158" t="b">
        <f t="shared" si="14"/>
        <v>0</v>
      </c>
      <c r="AZ23" s="159" t="b">
        <f t="shared" si="15"/>
        <v>0</v>
      </c>
      <c r="BA23" s="206" t="b">
        <f t="shared" si="16"/>
        <v>0</v>
      </c>
      <c r="BB23" s="206" t="b">
        <f t="shared" si="17"/>
        <v>0</v>
      </c>
      <c r="BC23" s="158" t="b">
        <f t="shared" si="18"/>
        <v>0</v>
      </c>
      <c r="BD23" s="160" t="b">
        <f t="shared" si="31"/>
        <v>0</v>
      </c>
      <c r="BE23" s="159" t="b">
        <f t="shared" ref="BE23:BE39" si="37">IF(OR(ISNA($Z23),K23&lt;&gt;"D"),FALSE,IF(OR(AND(H23="NG",J23=0),AND(H23&lt;&gt;"NG",NOT(OR(J23="NA",J23=0)))),TRUE,FALSE))</f>
        <v>0</v>
      </c>
      <c r="BF23" s="161" t="b">
        <f t="shared" si="20"/>
        <v>0</v>
      </c>
      <c r="BG23" s="206" t="b">
        <f t="shared" ref="BG23:BG39" si="38">IF(ISNA($Z23),"NA",IF(OR(AZ23,AY23,AX23,AW23,AP23,BA23,BB23),TRUE,FALSE))</f>
        <v>1</v>
      </c>
      <c r="BH23" s="206">
        <f t="shared" si="32"/>
        <v>1</v>
      </c>
      <c r="BI23" s="206">
        <f t="shared" si="22"/>
        <v>2</v>
      </c>
      <c r="BJ23" s="206" t="str">
        <f t="shared" si="23"/>
        <v>2</v>
      </c>
      <c r="BK23" s="206">
        <f t="shared" si="24"/>
        <v>3</v>
      </c>
      <c r="BL23" s="162">
        <f t="shared" si="33"/>
        <v>1</v>
      </c>
      <c r="BM23" s="206">
        <f t="shared" si="25"/>
        <v>2</v>
      </c>
      <c r="BN23" s="206">
        <f t="shared" si="26"/>
        <v>3</v>
      </c>
      <c r="BO23" s="1387"/>
      <c r="BP23" s="104" t="s">
        <v>229</v>
      </c>
      <c r="BQ23" s="94">
        <f t="shared" si="36"/>
        <v>0.7</v>
      </c>
      <c r="BR23" s="95">
        <f t="shared" si="36"/>
        <v>0.76670000000000005</v>
      </c>
      <c r="BS23" s="95">
        <f t="shared" si="36"/>
        <v>0.83330000000000004</v>
      </c>
      <c r="BT23" s="95">
        <f t="shared" si="36"/>
        <v>0.9</v>
      </c>
      <c r="BU23" s="96">
        <f t="shared" si="36"/>
        <v>1</v>
      </c>
    </row>
    <row r="24" spans="2:73" s="105" customFormat="1" ht="12.95" customHeight="1" x14ac:dyDescent="0.2">
      <c r="B24" s="165">
        <f>IF(ISNA(Z24),"",IF(OR(Z24=1,Z24=2),"    ",MAX($B$8:B23)+1))</f>
        <v>13</v>
      </c>
      <c r="C24" s="1375" t="str">
        <f t="shared" si="0"/>
        <v xml:space="preserve">      - Ground Moving Target (3.3%)</v>
      </c>
      <c r="D24" s="1375"/>
      <c r="E24" s="1375"/>
      <c r="F24" s="1376"/>
      <c r="G24" s="152">
        <f t="shared" si="1"/>
        <v>1</v>
      </c>
      <c r="H24" s="153" t="str">
        <f t="shared" si="2"/>
        <v>2</v>
      </c>
      <c r="I24" s="166">
        <f t="shared" si="2"/>
        <v>3</v>
      </c>
      <c r="J24" s="171"/>
      <c r="K24" s="168"/>
      <c r="L24" s="1075"/>
      <c r="M24" s="1076"/>
      <c r="N24" s="1076"/>
      <c r="O24" s="1076"/>
      <c r="P24" s="1076"/>
      <c r="Q24" s="1076"/>
      <c r="R24" s="1077"/>
      <c r="T24" s="119">
        <v>17</v>
      </c>
      <c r="U24" s="110" t="s">
        <v>513</v>
      </c>
      <c r="V24" s="206">
        <v>1</v>
      </c>
      <c r="W24" s="206">
        <v>3</v>
      </c>
      <c r="X24" s="206" t="s">
        <v>212</v>
      </c>
      <c r="Y24" s="206" t="s">
        <v>212</v>
      </c>
      <c r="Z24" s="160" t="s">
        <v>212</v>
      </c>
      <c r="AA24" s="160">
        <v>2</v>
      </c>
      <c r="AB24" s="160">
        <v>1</v>
      </c>
      <c r="AC24" s="206">
        <v>3</v>
      </c>
      <c r="AD24" s="206">
        <v>2</v>
      </c>
      <c r="AE24" s="206">
        <v>0</v>
      </c>
      <c r="AF24" s="206" t="b">
        <v>1</v>
      </c>
      <c r="AG24" s="206">
        <f t="shared" si="3"/>
        <v>2</v>
      </c>
      <c r="AH24" s="206">
        <f t="shared" si="4"/>
        <v>1</v>
      </c>
      <c r="AI24" s="86">
        <f>IF(NOT(OR(Z24=1,Z24=2)),IF(AQ24&gt;0,$AR$44*AQ24/SUMIF($AQ$8:$AQ$39,"&gt;0"),IF(AU24&gt;0,$AV$44*AU24/SUMIF($AU$8:$AU$39,"&gt;0"),IF(AS24&gt;0,$AT$44*AS24/SUMIF($AS$8:$AS$39,"&gt;0"),""))),IF(SUMIF(AJ25:$AJ$39,"=" &amp; AJ24,AI25:$AI$39)=0,"",SUMIF(AJ25:$AJ$39,"=" &amp; AJ24,AI25:$AI$39)))</f>
        <v>3.3139534883720928E-2</v>
      </c>
      <c r="AJ24" s="87">
        <f t="shared" si="34"/>
        <v>3</v>
      </c>
      <c r="AK24" s="206">
        <f t="shared" si="27"/>
        <v>2</v>
      </c>
      <c r="AL24" s="160" t="str">
        <f t="shared" si="28"/>
        <v/>
      </c>
      <c r="AM24" s="160" t="str">
        <f t="shared" si="35"/>
        <v/>
      </c>
      <c r="AN24" s="160" t="str">
        <f t="shared" si="5"/>
        <v/>
      </c>
      <c r="AO24" s="160" t="str">
        <f t="shared" si="6"/>
        <v/>
      </c>
      <c r="AP24" s="206" t="b">
        <f t="shared" si="7"/>
        <v>1</v>
      </c>
      <c r="AQ24" s="157">
        <f t="shared" si="29"/>
        <v>3</v>
      </c>
      <c r="AR24" s="88">
        <f t="shared" si="8"/>
        <v>0.3</v>
      </c>
      <c r="AS24" s="89">
        <f t="shared" si="30"/>
        <v>0</v>
      </c>
      <c r="AT24" s="88">
        <f t="shared" si="9"/>
        <v>0.6</v>
      </c>
      <c r="AU24" s="158">
        <f t="shared" si="10"/>
        <v>0</v>
      </c>
      <c r="AV24" s="90">
        <f t="shared" si="11"/>
        <v>0.3</v>
      </c>
      <c r="AW24" s="158" t="b">
        <f t="shared" si="12"/>
        <v>0</v>
      </c>
      <c r="AX24" s="159" t="b">
        <f t="shared" si="13"/>
        <v>1</v>
      </c>
      <c r="AY24" s="158" t="b">
        <f t="shared" si="14"/>
        <v>0</v>
      </c>
      <c r="AZ24" s="159" t="b">
        <f t="shared" si="15"/>
        <v>0</v>
      </c>
      <c r="BA24" s="206" t="b">
        <f t="shared" si="16"/>
        <v>0</v>
      </c>
      <c r="BB24" s="206" t="b">
        <f t="shared" si="17"/>
        <v>0</v>
      </c>
      <c r="BC24" s="158" t="b">
        <f t="shared" si="18"/>
        <v>0</v>
      </c>
      <c r="BD24" s="160" t="b">
        <f t="shared" si="31"/>
        <v>0</v>
      </c>
      <c r="BE24" s="159" t="b">
        <f t="shared" si="37"/>
        <v>0</v>
      </c>
      <c r="BF24" s="161" t="b">
        <f t="shared" si="20"/>
        <v>0</v>
      </c>
      <c r="BG24" s="206" t="b">
        <f t="shared" si="38"/>
        <v>1</v>
      </c>
      <c r="BH24" s="206">
        <f t="shared" si="32"/>
        <v>1</v>
      </c>
      <c r="BI24" s="206">
        <f t="shared" si="22"/>
        <v>2</v>
      </c>
      <c r="BJ24" s="206" t="str">
        <f t="shared" si="23"/>
        <v>2</v>
      </c>
      <c r="BK24" s="206">
        <f t="shared" si="24"/>
        <v>3</v>
      </c>
      <c r="BL24" s="162">
        <f t="shared" si="33"/>
        <v>1</v>
      </c>
      <c r="BM24" s="206">
        <f t="shared" si="25"/>
        <v>2</v>
      </c>
      <c r="BN24" s="206">
        <f t="shared" si="26"/>
        <v>3</v>
      </c>
      <c r="BO24" s="1387"/>
      <c r="BP24" s="104" t="s">
        <v>230</v>
      </c>
      <c r="BQ24" s="94">
        <f t="shared" si="36"/>
        <v>0.6</v>
      </c>
      <c r="BR24" s="95">
        <f t="shared" si="36"/>
        <v>0.9</v>
      </c>
      <c r="BS24" s="95">
        <f t="shared" si="36"/>
        <v>0.93330000000000002</v>
      </c>
      <c r="BT24" s="95">
        <f t="shared" si="36"/>
        <v>0.9667</v>
      </c>
      <c r="BU24" s="96">
        <f t="shared" si="36"/>
        <v>1</v>
      </c>
    </row>
    <row r="25" spans="2:73" s="105" customFormat="1" ht="12.95" customHeight="1" x14ac:dyDescent="0.2">
      <c r="B25" s="165">
        <f>IF(ISNA(Z25),"",IF(OR(Z25=1,Z25=2),"    ",MAX($B$8:B24)+1))</f>
        <v>14</v>
      </c>
      <c r="C25" s="1375" t="str">
        <f t="shared" si="0"/>
        <v xml:space="preserve">      - Operational Evaluation (3.3%)</v>
      </c>
      <c r="D25" s="1375"/>
      <c r="E25" s="1375"/>
      <c r="F25" s="1376"/>
      <c r="G25" s="152">
        <f t="shared" si="1"/>
        <v>1</v>
      </c>
      <c r="H25" s="153" t="str">
        <f t="shared" si="2"/>
        <v>2</v>
      </c>
      <c r="I25" s="166">
        <f t="shared" si="2"/>
        <v>3</v>
      </c>
      <c r="J25" s="171"/>
      <c r="K25" s="168"/>
      <c r="L25" s="1075"/>
      <c r="M25" s="1076"/>
      <c r="N25" s="1076"/>
      <c r="O25" s="1076"/>
      <c r="P25" s="1076"/>
      <c r="Q25" s="1076"/>
      <c r="R25" s="1077"/>
      <c r="T25" s="119">
        <v>18</v>
      </c>
      <c r="U25" s="110" t="s">
        <v>514</v>
      </c>
      <c r="V25" s="206">
        <v>1</v>
      </c>
      <c r="W25" s="206">
        <v>3</v>
      </c>
      <c r="X25" s="206" t="s">
        <v>212</v>
      </c>
      <c r="Y25" s="206" t="s">
        <v>212</v>
      </c>
      <c r="Z25" s="160" t="s">
        <v>212</v>
      </c>
      <c r="AA25" s="160">
        <v>2</v>
      </c>
      <c r="AB25" s="160">
        <v>1</v>
      </c>
      <c r="AC25" s="206">
        <v>3</v>
      </c>
      <c r="AD25" s="206">
        <v>2</v>
      </c>
      <c r="AE25" s="206">
        <v>0</v>
      </c>
      <c r="AF25" s="206" t="b">
        <v>1</v>
      </c>
      <c r="AG25" s="206">
        <f t="shared" si="3"/>
        <v>2</v>
      </c>
      <c r="AH25" s="206">
        <f t="shared" si="4"/>
        <v>1</v>
      </c>
      <c r="AI25" s="86">
        <f>IF(NOT(OR(Z25=1,Z25=2)),IF(AQ25&gt;0,$AR$44*AQ25/SUMIF($AQ$8:$AQ$39,"&gt;0"),IF(AU25&gt;0,$AV$44*AU25/SUMIF($AU$8:$AU$39,"&gt;0"),IF(AS25&gt;0,$AT$44*AS25/SUMIF($AS$8:$AS$39,"&gt;0"),""))),IF(SUMIF(AJ26:$AJ$39,"=" &amp; AJ25,AI26:$AI$39)=0,"",SUMIF(AJ26:$AJ$39,"=" &amp; AJ25,AI26:$AI$39)))</f>
        <v>3.3139534883720928E-2</v>
      </c>
      <c r="AJ25" s="87">
        <f t="shared" si="34"/>
        <v>3</v>
      </c>
      <c r="AK25" s="206">
        <f t="shared" si="27"/>
        <v>2</v>
      </c>
      <c r="AL25" s="160" t="str">
        <f t="shared" si="28"/>
        <v/>
      </c>
      <c r="AM25" s="160" t="str">
        <f t="shared" si="35"/>
        <v/>
      </c>
      <c r="AN25" s="160" t="str">
        <f t="shared" si="5"/>
        <v/>
      </c>
      <c r="AO25" s="160" t="str">
        <f t="shared" si="6"/>
        <v/>
      </c>
      <c r="AP25" s="206" t="b">
        <f t="shared" si="7"/>
        <v>1</v>
      </c>
      <c r="AQ25" s="157">
        <f t="shared" si="29"/>
        <v>3</v>
      </c>
      <c r="AR25" s="88">
        <f t="shared" si="8"/>
        <v>0.3</v>
      </c>
      <c r="AS25" s="89">
        <f t="shared" si="30"/>
        <v>0</v>
      </c>
      <c r="AT25" s="88">
        <f t="shared" si="9"/>
        <v>0.6</v>
      </c>
      <c r="AU25" s="158">
        <f t="shared" si="10"/>
        <v>0</v>
      </c>
      <c r="AV25" s="90">
        <f t="shared" si="11"/>
        <v>0.3</v>
      </c>
      <c r="AW25" s="158" t="b">
        <f t="shared" si="12"/>
        <v>0</v>
      </c>
      <c r="AX25" s="159" t="b">
        <f t="shared" si="13"/>
        <v>1</v>
      </c>
      <c r="AY25" s="158" t="b">
        <f t="shared" si="14"/>
        <v>0</v>
      </c>
      <c r="AZ25" s="159" t="b">
        <f t="shared" si="15"/>
        <v>0</v>
      </c>
      <c r="BA25" s="206" t="b">
        <f t="shared" si="16"/>
        <v>0</v>
      </c>
      <c r="BB25" s="206" t="b">
        <f t="shared" si="17"/>
        <v>0</v>
      </c>
      <c r="BC25" s="158" t="b">
        <f t="shared" si="18"/>
        <v>0</v>
      </c>
      <c r="BD25" s="160" t="b">
        <f t="shared" si="31"/>
        <v>0</v>
      </c>
      <c r="BE25" s="159" t="b">
        <f t="shared" si="37"/>
        <v>0</v>
      </c>
      <c r="BF25" s="161" t="b">
        <f t="shared" si="20"/>
        <v>0</v>
      </c>
      <c r="BG25" s="206" t="b">
        <f t="shared" si="38"/>
        <v>1</v>
      </c>
      <c r="BH25" s="206">
        <f t="shared" si="32"/>
        <v>1</v>
      </c>
      <c r="BI25" s="206">
        <f t="shared" si="22"/>
        <v>2</v>
      </c>
      <c r="BJ25" s="206" t="str">
        <f t="shared" si="23"/>
        <v>2</v>
      </c>
      <c r="BK25" s="206">
        <f t="shared" si="24"/>
        <v>3</v>
      </c>
      <c r="BL25" s="162">
        <f t="shared" si="33"/>
        <v>1</v>
      </c>
      <c r="BM25" s="206">
        <f t="shared" si="25"/>
        <v>2</v>
      </c>
      <c r="BN25" s="206">
        <f t="shared" si="26"/>
        <v>3</v>
      </c>
      <c r="BO25" s="1387"/>
      <c r="BP25" s="104" t="s">
        <v>231</v>
      </c>
      <c r="BQ25" s="94">
        <f t="shared" si="36"/>
        <v>0.6</v>
      </c>
      <c r="BR25" s="95">
        <f t="shared" si="36"/>
        <v>0.7</v>
      </c>
      <c r="BS25" s="95">
        <f t="shared" si="36"/>
        <v>0.9</v>
      </c>
      <c r="BT25" s="95">
        <f t="shared" si="36"/>
        <v>0.95</v>
      </c>
      <c r="BU25" s="96">
        <f t="shared" si="36"/>
        <v>1</v>
      </c>
    </row>
    <row r="26" spans="2:73" s="105" customFormat="1" ht="12.95" customHeight="1" x14ac:dyDescent="0.2">
      <c r="B26" s="165">
        <f>IF(ISNA(Z26),"",IF(OR(Z26=1,Z26=2),"    ",MAX($B$8:B25)+1))</f>
        <v>15</v>
      </c>
      <c r="C26" s="1375" t="str">
        <f t="shared" si="0"/>
        <v xml:space="preserve">      - Regression (3.3%)</v>
      </c>
      <c r="D26" s="1375"/>
      <c r="E26" s="1375"/>
      <c r="F26" s="1376"/>
      <c r="G26" s="152">
        <f t="shared" si="1"/>
        <v>1</v>
      </c>
      <c r="H26" s="153" t="str">
        <f t="shared" si="2"/>
        <v>2</v>
      </c>
      <c r="I26" s="166">
        <f t="shared" si="2"/>
        <v>3</v>
      </c>
      <c r="J26" s="171"/>
      <c r="K26" s="168"/>
      <c r="L26" s="1075"/>
      <c r="M26" s="1076"/>
      <c r="N26" s="1076"/>
      <c r="O26" s="1076"/>
      <c r="P26" s="1076"/>
      <c r="Q26" s="1076"/>
      <c r="R26" s="1077"/>
      <c r="T26" s="119">
        <v>19</v>
      </c>
      <c r="U26" s="110" t="s">
        <v>504</v>
      </c>
      <c r="V26" s="206">
        <v>1</v>
      </c>
      <c r="W26" s="206">
        <v>3</v>
      </c>
      <c r="X26" s="206" t="s">
        <v>212</v>
      </c>
      <c r="Y26" s="206" t="s">
        <v>212</v>
      </c>
      <c r="Z26" s="160" t="s">
        <v>212</v>
      </c>
      <c r="AA26" s="160">
        <v>2</v>
      </c>
      <c r="AB26" s="160">
        <v>1</v>
      </c>
      <c r="AC26" s="206">
        <v>3</v>
      </c>
      <c r="AD26" s="206">
        <v>2</v>
      </c>
      <c r="AE26" s="206">
        <v>0</v>
      </c>
      <c r="AF26" s="206" t="b">
        <v>1</v>
      </c>
      <c r="AG26" s="206">
        <f t="shared" si="3"/>
        <v>2</v>
      </c>
      <c r="AH26" s="206">
        <f t="shared" si="4"/>
        <v>1</v>
      </c>
      <c r="AI26" s="86">
        <f>IF(NOT(OR(Z26=1,Z26=2)),IF(AQ26&gt;0,$AR$44*AQ26/SUMIF($AQ$8:$AQ$39,"&gt;0"),IF(AU26&gt;0,$AV$44*AU26/SUMIF($AU$8:$AU$39,"&gt;0"),IF(AS26&gt;0,$AT$44*AS26/SUMIF($AS$8:$AS$39,"&gt;0"),""))),IF(SUMIF(AJ27:$AJ$39,"=" &amp; AJ26,AI27:$AI$39)=0,"",SUMIF(AJ27:$AJ$39,"=" &amp; AJ26,AI27:$AI$39)))</f>
        <v>3.3139534883720928E-2</v>
      </c>
      <c r="AJ26" s="87">
        <f t="shared" si="34"/>
        <v>3</v>
      </c>
      <c r="AK26" s="206">
        <f t="shared" si="27"/>
        <v>2</v>
      </c>
      <c r="AL26" s="160" t="str">
        <f t="shared" si="28"/>
        <v/>
      </c>
      <c r="AM26" s="160" t="str">
        <f t="shared" si="35"/>
        <v/>
      </c>
      <c r="AN26" s="160" t="str">
        <f t="shared" si="5"/>
        <v/>
      </c>
      <c r="AO26" s="160" t="str">
        <f t="shared" si="6"/>
        <v/>
      </c>
      <c r="AP26" s="206" t="b">
        <f t="shared" si="7"/>
        <v>1</v>
      </c>
      <c r="AQ26" s="157">
        <f t="shared" si="29"/>
        <v>3</v>
      </c>
      <c r="AR26" s="88">
        <f t="shared" si="8"/>
        <v>0.3</v>
      </c>
      <c r="AS26" s="89">
        <f t="shared" si="30"/>
        <v>0</v>
      </c>
      <c r="AT26" s="88">
        <f t="shared" si="9"/>
        <v>0.6</v>
      </c>
      <c r="AU26" s="158">
        <f t="shared" si="10"/>
        <v>0</v>
      </c>
      <c r="AV26" s="90">
        <f t="shared" si="11"/>
        <v>0.3</v>
      </c>
      <c r="AW26" s="158" t="b">
        <f t="shared" si="12"/>
        <v>0</v>
      </c>
      <c r="AX26" s="159" t="b">
        <f t="shared" si="13"/>
        <v>1</v>
      </c>
      <c r="AY26" s="158" t="b">
        <f t="shared" si="14"/>
        <v>0</v>
      </c>
      <c r="AZ26" s="159" t="b">
        <f t="shared" si="15"/>
        <v>0</v>
      </c>
      <c r="BA26" s="206" t="b">
        <f t="shared" si="16"/>
        <v>0</v>
      </c>
      <c r="BB26" s="206" t="b">
        <f t="shared" si="17"/>
        <v>0</v>
      </c>
      <c r="BC26" s="158" t="b">
        <f t="shared" si="18"/>
        <v>0</v>
      </c>
      <c r="BD26" s="160" t="b">
        <f t="shared" si="31"/>
        <v>0</v>
      </c>
      <c r="BE26" s="159" t="b">
        <f t="shared" si="37"/>
        <v>0</v>
      </c>
      <c r="BF26" s="161" t="b">
        <f t="shared" si="20"/>
        <v>0</v>
      </c>
      <c r="BG26" s="206" t="b">
        <f t="shared" si="38"/>
        <v>1</v>
      </c>
      <c r="BH26" s="206">
        <f t="shared" si="32"/>
        <v>1</v>
      </c>
      <c r="BI26" s="206">
        <f t="shared" si="22"/>
        <v>2</v>
      </c>
      <c r="BJ26" s="206" t="str">
        <f t="shared" si="23"/>
        <v>2</v>
      </c>
      <c r="BK26" s="206">
        <f t="shared" si="24"/>
        <v>3</v>
      </c>
      <c r="BL26" s="162">
        <f t="shared" si="33"/>
        <v>1</v>
      </c>
      <c r="BM26" s="206">
        <f t="shared" si="25"/>
        <v>2</v>
      </c>
      <c r="BN26" s="206">
        <f t="shared" si="26"/>
        <v>3</v>
      </c>
      <c r="BO26" s="1387"/>
      <c r="BP26" s="104" t="s">
        <v>232</v>
      </c>
      <c r="BQ26" s="94">
        <f t="shared" si="36"/>
        <v>0.6</v>
      </c>
      <c r="BR26" s="95">
        <f t="shared" si="36"/>
        <v>0.7</v>
      </c>
      <c r="BS26" s="95">
        <f t="shared" si="36"/>
        <v>0.8</v>
      </c>
      <c r="BT26" s="95">
        <f t="shared" si="36"/>
        <v>0.9</v>
      </c>
      <c r="BU26" s="96">
        <f t="shared" si="36"/>
        <v>1</v>
      </c>
    </row>
    <row r="27" spans="2:73" s="105" customFormat="1" ht="12.95" customHeight="1" x14ac:dyDescent="0.2">
      <c r="B27" s="165" t="str">
        <f>IF(ISNA(Z27),"",IF(OR(Z27=1,Z27=2),"    ",MAX($B$8:B26)+1))</f>
        <v xml:space="preserve">    </v>
      </c>
      <c r="C27" s="1375" t="str">
        <f t="shared" si="0"/>
        <v>Reporting (11.0%)</v>
      </c>
      <c r="D27" s="1375"/>
      <c r="E27" s="1375"/>
      <c r="F27" s="1376"/>
      <c r="G27" s="152" t="str">
        <f t="shared" si="1"/>
        <v/>
      </c>
      <c r="H27" s="153" t="str">
        <f t="shared" si="2"/>
        <v/>
      </c>
      <c r="I27" s="166" t="str">
        <f t="shared" si="2"/>
        <v/>
      </c>
      <c r="J27" s="172"/>
      <c r="K27" s="173"/>
      <c r="L27" s="1075"/>
      <c r="M27" s="1076"/>
      <c r="N27" s="1076"/>
      <c r="O27" s="1076"/>
      <c r="P27" s="1076"/>
      <c r="Q27" s="1076"/>
      <c r="R27" s="1077"/>
      <c r="T27" s="119">
        <v>20</v>
      </c>
      <c r="U27" s="110" t="s">
        <v>506</v>
      </c>
      <c r="V27" s="206" t="s">
        <v>212</v>
      </c>
      <c r="W27" s="206" t="s">
        <v>212</v>
      </c>
      <c r="X27" s="206" t="s">
        <v>212</v>
      </c>
      <c r="Y27" s="206" t="s">
        <v>212</v>
      </c>
      <c r="Z27" s="160">
        <v>2</v>
      </c>
      <c r="AA27" s="160">
        <v>1</v>
      </c>
      <c r="AB27" s="160">
        <v>1</v>
      </c>
      <c r="AC27" s="206" t="s">
        <v>212</v>
      </c>
      <c r="AD27" s="206" t="s">
        <v>212</v>
      </c>
      <c r="AE27" s="206" t="s">
        <v>212</v>
      </c>
      <c r="AF27" s="206" t="s">
        <v>212</v>
      </c>
      <c r="AG27" s="206" t="str">
        <f t="shared" si="3"/>
        <v/>
      </c>
      <c r="AH27" s="206" t="str">
        <f t="shared" si="4"/>
        <v/>
      </c>
      <c r="AI27" s="86">
        <f>IF(NOT(OR(Z27=1,Z27=2)),IF(AQ27&gt;0,$AR$44*AQ27/SUMIF($AQ$8:$AQ$39,"&gt;0"),IF(AU27&gt;0,$AV$44*AU27/SUMIF($AU$8:$AU$39,"&gt;0"),IF(AS27&gt;0,$AT$44*AS27/SUMIF($AS$8:$AS$39,"&gt;0"),""))),IF(SUMIF(AJ28:$AJ$39,"=" &amp; AJ27,AI28:$AI$39)=0,"",SUMIF(AJ28:$AJ$39,"=" &amp; AJ27,AI28:$AI$39)))</f>
        <v>0.11046511627906977</v>
      </c>
      <c r="AJ27" s="87">
        <f t="shared" si="34"/>
        <v>4</v>
      </c>
      <c r="AK27" s="206" t="str">
        <f t="shared" si="27"/>
        <v/>
      </c>
      <c r="AL27" s="160" t="str">
        <f t="shared" si="28"/>
        <v/>
      </c>
      <c r="AM27" s="160" t="str">
        <f t="shared" si="35"/>
        <v/>
      </c>
      <c r="AN27" s="160" t="str">
        <f t="shared" si="5"/>
        <v/>
      </c>
      <c r="AO27" s="160" t="str">
        <f t="shared" si="6"/>
        <v/>
      </c>
      <c r="AP27" s="206" t="str">
        <f t="shared" si="7"/>
        <v/>
      </c>
      <c r="AQ27" s="157">
        <f t="shared" si="29"/>
        <v>0</v>
      </c>
      <c r="AR27" s="88" t="str">
        <f t="shared" si="8"/>
        <v/>
      </c>
      <c r="AS27" s="89">
        <f t="shared" si="30"/>
        <v>0</v>
      </c>
      <c r="AT27" s="88" t="str">
        <f t="shared" si="9"/>
        <v/>
      </c>
      <c r="AU27" s="158">
        <f t="shared" si="10"/>
        <v>0</v>
      </c>
      <c r="AV27" s="90" t="str">
        <f t="shared" si="11"/>
        <v/>
      </c>
      <c r="AW27" s="158" t="b">
        <f t="shared" si="12"/>
        <v>0</v>
      </c>
      <c r="AX27" s="159" t="b">
        <f t="shared" si="13"/>
        <v>0</v>
      </c>
      <c r="AY27" s="158" t="b">
        <f t="shared" si="14"/>
        <v>0</v>
      </c>
      <c r="AZ27" s="159" t="b">
        <f t="shared" si="15"/>
        <v>0</v>
      </c>
      <c r="BA27" s="206" t="b">
        <f t="shared" si="16"/>
        <v>0</v>
      </c>
      <c r="BB27" s="206" t="b">
        <f t="shared" si="17"/>
        <v>0</v>
      </c>
      <c r="BC27" s="158" t="b">
        <f t="shared" si="18"/>
        <v>0</v>
      </c>
      <c r="BD27" s="160" t="b">
        <f t="shared" si="31"/>
        <v>0</v>
      </c>
      <c r="BE27" s="159" t="b">
        <f t="shared" si="37"/>
        <v>0</v>
      </c>
      <c r="BF27" s="161" t="b">
        <f t="shared" si="20"/>
        <v>0</v>
      </c>
      <c r="BG27" s="206" t="b">
        <f t="shared" si="38"/>
        <v>0</v>
      </c>
      <c r="BH27" s="206" t="str">
        <f t="shared" si="32"/>
        <v/>
      </c>
      <c r="BI27" s="206" t="str">
        <f t="shared" si="22"/>
        <v/>
      </c>
      <c r="BJ27" s="206" t="str">
        <f t="shared" si="23"/>
        <v/>
      </c>
      <c r="BK27" s="206" t="str">
        <f t="shared" si="24"/>
        <v/>
      </c>
      <c r="BL27" s="162" t="str">
        <f t="shared" si="33"/>
        <v/>
      </c>
      <c r="BM27" s="206" t="str">
        <f t="shared" si="25"/>
        <v/>
      </c>
      <c r="BN27" s="206" t="str">
        <f t="shared" si="26"/>
        <v/>
      </c>
      <c r="BO27" s="1387"/>
      <c r="BP27" s="104" t="s">
        <v>233</v>
      </c>
      <c r="BQ27" s="94">
        <f t="shared" si="36"/>
        <v>0.3</v>
      </c>
      <c r="BR27" s="95">
        <f t="shared" si="36"/>
        <v>0.6</v>
      </c>
      <c r="BS27" s="95">
        <f t="shared" si="36"/>
        <v>0.9</v>
      </c>
      <c r="BT27" s="95">
        <f t="shared" si="36"/>
        <v>0.95</v>
      </c>
      <c r="BU27" s="96">
        <f t="shared" si="36"/>
        <v>1</v>
      </c>
    </row>
    <row r="28" spans="2:73" s="105" customFormat="1" ht="12.95" customHeight="1" x14ac:dyDescent="0.2">
      <c r="B28" s="165">
        <f>IF(ISNA(Z28),"",IF(OR(Z28=1,Z28=2),"    ",MAX($B$8:B27)+1))</f>
        <v>16</v>
      </c>
      <c r="C28" s="1375" t="str">
        <f t="shared" si="0"/>
        <v xml:space="preserve">      - SPO Debrief (11.0%)</v>
      </c>
      <c r="D28" s="1375"/>
      <c r="E28" s="1375"/>
      <c r="F28" s="1376"/>
      <c r="G28" s="152">
        <f t="shared" si="1"/>
        <v>1</v>
      </c>
      <c r="H28" s="153" t="str">
        <f t="shared" si="2"/>
        <v>2*</v>
      </c>
      <c r="I28" s="166">
        <f t="shared" si="2"/>
        <v>3</v>
      </c>
      <c r="J28" s="171"/>
      <c r="K28" s="168"/>
      <c r="L28" s="1075"/>
      <c r="M28" s="1076"/>
      <c r="N28" s="1076"/>
      <c r="O28" s="1076"/>
      <c r="P28" s="1076"/>
      <c r="Q28" s="1076"/>
      <c r="R28" s="1077"/>
      <c r="T28" s="119">
        <v>21</v>
      </c>
      <c r="U28" s="110" t="s">
        <v>515</v>
      </c>
      <c r="V28" s="206">
        <v>1</v>
      </c>
      <c r="W28" s="206">
        <v>10</v>
      </c>
      <c r="X28" s="206" t="s">
        <v>212</v>
      </c>
      <c r="Y28" s="206" t="s">
        <v>212</v>
      </c>
      <c r="Z28" s="160" t="s">
        <v>212</v>
      </c>
      <c r="AA28" s="160">
        <v>2</v>
      </c>
      <c r="AB28" s="160">
        <v>1</v>
      </c>
      <c r="AC28" s="206">
        <v>3</v>
      </c>
      <c r="AD28" s="206">
        <v>2</v>
      </c>
      <c r="AE28" s="206">
        <v>1</v>
      </c>
      <c r="AF28" s="206" t="b">
        <v>1</v>
      </c>
      <c r="AG28" s="206">
        <f t="shared" si="3"/>
        <v>2</v>
      </c>
      <c r="AH28" s="206">
        <f t="shared" si="4"/>
        <v>1</v>
      </c>
      <c r="AI28" s="86">
        <f>IF(NOT(OR(Z28=1,Z28=2)),IF(AQ28&gt;0,$AR$44*AQ28/SUMIF($AQ$8:$AQ$39,"&gt;0"),IF(AU28&gt;0,$AV$44*AU28/SUMIF($AU$8:$AU$39,"&gt;0"),IF(AS28&gt;0,$AT$44*AS28/SUMIF($AS$8:$AS$39,"&gt;0"),""))),IF(SUMIF(AJ29:$AJ$39,"=" &amp; AJ28,AI29:$AI$39)=0,"",SUMIF(AJ29:$AJ$39,"=" &amp; AJ28,AI29:$AI$39)))</f>
        <v>0.11046511627906977</v>
      </c>
      <c r="AJ28" s="87">
        <f t="shared" si="34"/>
        <v>4</v>
      </c>
      <c r="AK28" s="206">
        <f t="shared" si="27"/>
        <v>2</v>
      </c>
      <c r="AL28" s="160" t="str">
        <f t="shared" si="28"/>
        <v/>
      </c>
      <c r="AM28" s="160" t="str">
        <f t="shared" si="35"/>
        <v/>
      </c>
      <c r="AN28" s="160" t="str">
        <f t="shared" si="5"/>
        <v/>
      </c>
      <c r="AO28" s="160" t="str">
        <f t="shared" si="6"/>
        <v/>
      </c>
      <c r="AP28" s="206" t="b">
        <f t="shared" si="7"/>
        <v>1</v>
      </c>
      <c r="AQ28" s="157">
        <f t="shared" si="29"/>
        <v>10</v>
      </c>
      <c r="AR28" s="88">
        <f t="shared" si="8"/>
        <v>0.3</v>
      </c>
      <c r="AS28" s="89">
        <f t="shared" si="30"/>
        <v>0</v>
      </c>
      <c r="AT28" s="88">
        <f t="shared" si="9"/>
        <v>0.6</v>
      </c>
      <c r="AU28" s="158">
        <f t="shared" si="10"/>
        <v>0</v>
      </c>
      <c r="AV28" s="90">
        <f t="shared" si="11"/>
        <v>0.3</v>
      </c>
      <c r="AW28" s="158" t="b">
        <f t="shared" si="12"/>
        <v>0</v>
      </c>
      <c r="AX28" s="159" t="b">
        <f t="shared" si="13"/>
        <v>1</v>
      </c>
      <c r="AY28" s="158" t="b">
        <f t="shared" si="14"/>
        <v>0</v>
      </c>
      <c r="AZ28" s="159" t="b">
        <f t="shared" si="15"/>
        <v>0</v>
      </c>
      <c r="BA28" s="206" t="b">
        <f t="shared" si="16"/>
        <v>0</v>
      </c>
      <c r="BB28" s="206" t="b">
        <f t="shared" si="17"/>
        <v>0</v>
      </c>
      <c r="BC28" s="158" t="b">
        <f t="shared" si="18"/>
        <v>0</v>
      </c>
      <c r="BD28" s="160" t="b">
        <f t="shared" si="31"/>
        <v>0</v>
      </c>
      <c r="BE28" s="159" t="b">
        <f t="shared" si="37"/>
        <v>0</v>
      </c>
      <c r="BF28" s="161" t="b">
        <f t="shared" si="20"/>
        <v>0</v>
      </c>
      <c r="BG28" s="206" t="b">
        <f t="shared" si="38"/>
        <v>1</v>
      </c>
      <c r="BH28" s="206">
        <f t="shared" si="32"/>
        <v>1</v>
      </c>
      <c r="BI28" s="206">
        <f t="shared" si="22"/>
        <v>2</v>
      </c>
      <c r="BJ28" s="206" t="str">
        <f t="shared" si="23"/>
        <v>2*</v>
      </c>
      <c r="BK28" s="206">
        <f t="shared" si="24"/>
        <v>3</v>
      </c>
      <c r="BL28" s="162">
        <f t="shared" si="33"/>
        <v>1</v>
      </c>
      <c r="BM28" s="206">
        <f t="shared" si="25"/>
        <v>2</v>
      </c>
      <c r="BN28" s="206">
        <f t="shared" si="26"/>
        <v>3</v>
      </c>
      <c r="BO28" s="1387"/>
      <c r="BP28" s="104" t="s">
        <v>234</v>
      </c>
      <c r="BQ28" s="94">
        <f t="shared" si="36"/>
        <v>0.3</v>
      </c>
      <c r="BR28" s="95">
        <f t="shared" si="36"/>
        <v>0.6</v>
      </c>
      <c r="BS28" s="95">
        <f t="shared" si="36"/>
        <v>0.7</v>
      </c>
      <c r="BT28" s="95">
        <f t="shared" si="36"/>
        <v>0.9</v>
      </c>
      <c r="BU28" s="96">
        <f t="shared" si="36"/>
        <v>1</v>
      </c>
    </row>
    <row r="29" spans="2:73" s="105" customFormat="1" ht="12.95" customHeight="1" x14ac:dyDescent="0.2">
      <c r="B29" s="165" t="str">
        <f>IF(ISNA(Z29),"",IF(OR(Z29=1,Z29=2),"    ",MAX($B$8:B28)+1))</f>
        <v/>
      </c>
      <c r="C29" s="1375" t="str">
        <f t="shared" si="0"/>
        <v/>
      </c>
      <c r="D29" s="1375"/>
      <c r="E29" s="1375"/>
      <c r="F29" s="1376"/>
      <c r="G29" s="152" t="str">
        <f t="shared" si="1"/>
        <v/>
      </c>
      <c r="H29" s="153" t="str">
        <f t="shared" si="2"/>
        <v/>
      </c>
      <c r="I29" s="166" t="str">
        <f t="shared" si="2"/>
        <v/>
      </c>
      <c r="J29" s="172"/>
      <c r="K29" s="173"/>
      <c r="L29" s="1075"/>
      <c r="M29" s="1076"/>
      <c r="N29" s="1076"/>
      <c r="O29" s="1076"/>
      <c r="P29" s="1076"/>
      <c r="Q29" s="1076"/>
      <c r="R29" s="1077"/>
      <c r="T29" s="119">
        <v>22</v>
      </c>
      <c r="U29" s="110" t="e">
        <v>#N/A</v>
      </c>
      <c r="V29" s="206" t="e">
        <v>#N/A</v>
      </c>
      <c r="W29" s="206" t="e">
        <v>#N/A</v>
      </c>
      <c r="X29" s="206" t="e">
        <v>#N/A</v>
      </c>
      <c r="Y29" s="206" t="e">
        <v>#N/A</v>
      </c>
      <c r="Z29" s="160" t="e">
        <v>#N/A</v>
      </c>
      <c r="AA29" s="160" t="e">
        <v>#N/A</v>
      </c>
      <c r="AB29" s="160" t="e">
        <v>#N/A</v>
      </c>
      <c r="AC29" s="206" t="e">
        <v>#N/A</v>
      </c>
      <c r="AD29" s="206" t="e">
        <v>#N/A</v>
      </c>
      <c r="AE29" s="206" t="e">
        <v>#N/A</v>
      </c>
      <c r="AF29" s="206" t="e">
        <v>#N/A</v>
      </c>
      <c r="AG29" s="206" t="e">
        <f t="shared" si="3"/>
        <v>#N/A</v>
      </c>
      <c r="AH29" s="206" t="str">
        <f t="shared" si="4"/>
        <v/>
      </c>
      <c r="AI29" s="86" t="e">
        <f>IF(NOT(OR(Z29=1,Z29=2)),IF(AQ29&gt;0,$AR$44*AQ29/SUMIF($AQ$8:$AQ$39,"&gt;0"),IF(AU29&gt;0,$AV$44*AU29/SUMIF($AU$8:$AU$39,"&gt;0"),IF(AS29&gt;0,$AT$44*AS29/SUMIF($AS$8:$AS$39,"&gt;0"),""))),IF(SUMIF(AJ30:$AJ$39,"=" &amp; AJ29,AI30:$AI$39)=0,"",SUMIF(AJ30:$AJ$39,"=" &amp; AJ29,AI30:$AI$39)))</f>
        <v>#N/A</v>
      </c>
      <c r="AJ29" s="87" t="e">
        <f t="shared" si="34"/>
        <v>#N/A</v>
      </c>
      <c r="AK29" s="206" t="str">
        <f t="shared" si="27"/>
        <v/>
      </c>
      <c r="AL29" s="160" t="str">
        <f t="shared" si="28"/>
        <v/>
      </c>
      <c r="AM29" s="160" t="str">
        <f t="shared" si="35"/>
        <v/>
      </c>
      <c r="AN29" s="160" t="str">
        <f t="shared" si="5"/>
        <v/>
      </c>
      <c r="AO29" s="160" t="e">
        <f t="shared" si="6"/>
        <v>#N/A</v>
      </c>
      <c r="AP29" s="206" t="str">
        <f t="shared" si="7"/>
        <v/>
      </c>
      <c r="AQ29" s="157">
        <f t="shared" si="29"/>
        <v>0</v>
      </c>
      <c r="AR29" s="88" t="str">
        <f t="shared" si="8"/>
        <v/>
      </c>
      <c r="AS29" s="89">
        <f t="shared" si="30"/>
        <v>0</v>
      </c>
      <c r="AT29" s="88" t="str">
        <f t="shared" si="9"/>
        <v/>
      </c>
      <c r="AU29" s="158">
        <f t="shared" si="10"/>
        <v>0</v>
      </c>
      <c r="AV29" s="90" t="str">
        <f t="shared" si="11"/>
        <v/>
      </c>
      <c r="AW29" s="158" t="b">
        <f t="shared" si="12"/>
        <v>0</v>
      </c>
      <c r="AX29" s="159" t="b">
        <f t="shared" si="13"/>
        <v>0</v>
      </c>
      <c r="AY29" s="158" t="b">
        <f t="shared" si="14"/>
        <v>0</v>
      </c>
      <c r="AZ29" s="159" t="b">
        <f t="shared" si="15"/>
        <v>0</v>
      </c>
      <c r="BA29" s="206" t="b">
        <f t="shared" si="16"/>
        <v>0</v>
      </c>
      <c r="BB29" s="206" t="b">
        <f t="shared" si="17"/>
        <v>0</v>
      </c>
      <c r="BC29" s="158" t="b">
        <f t="shared" si="18"/>
        <v>0</v>
      </c>
      <c r="BD29" s="160" t="b">
        <f t="shared" si="31"/>
        <v>0</v>
      </c>
      <c r="BE29" s="159" t="b">
        <f t="shared" si="37"/>
        <v>0</v>
      </c>
      <c r="BF29" s="161" t="b">
        <f t="shared" si="20"/>
        <v>0</v>
      </c>
      <c r="BG29" s="206" t="str">
        <f t="shared" si="38"/>
        <v>NA</v>
      </c>
      <c r="BH29" s="206" t="str">
        <f t="shared" si="32"/>
        <v/>
      </c>
      <c r="BI29" s="206" t="str">
        <f t="shared" si="22"/>
        <v/>
      </c>
      <c r="BJ29" s="206" t="str">
        <f t="shared" si="23"/>
        <v/>
      </c>
      <c r="BK29" s="206" t="str">
        <f t="shared" si="24"/>
        <v/>
      </c>
      <c r="BL29" s="162" t="str">
        <f t="shared" si="33"/>
        <v/>
      </c>
      <c r="BM29" s="206" t="str">
        <f t="shared" si="25"/>
        <v/>
      </c>
      <c r="BN29" s="206" t="str">
        <f t="shared" si="26"/>
        <v/>
      </c>
      <c r="BO29" s="1387"/>
      <c r="BP29" s="104" t="s">
        <v>235</v>
      </c>
      <c r="BQ29" s="97">
        <f t="shared" si="36"/>
        <v>0</v>
      </c>
      <c r="BR29" s="98">
        <f t="shared" si="36"/>
        <v>0.3</v>
      </c>
      <c r="BS29" s="98">
        <f t="shared" si="36"/>
        <v>0.6</v>
      </c>
      <c r="BT29" s="98">
        <f t="shared" si="36"/>
        <v>0.9</v>
      </c>
      <c r="BU29" s="99">
        <f t="shared" si="36"/>
        <v>1</v>
      </c>
    </row>
    <row r="30" spans="2:73" s="105" customFormat="1" ht="12.95" customHeight="1" x14ac:dyDescent="0.2">
      <c r="B30" s="165" t="str">
        <f>IF(ISNA(Z30),"",IF(OR(Z30=1,Z30=2),"    ",MAX($B$8:B29)+1))</f>
        <v/>
      </c>
      <c r="C30" s="1375" t="str">
        <f t="shared" si="0"/>
        <v/>
      </c>
      <c r="D30" s="1375"/>
      <c r="E30" s="1375"/>
      <c r="F30" s="1376"/>
      <c r="G30" s="152" t="str">
        <f t="shared" si="1"/>
        <v/>
      </c>
      <c r="H30" s="153" t="str">
        <f t="shared" si="2"/>
        <v/>
      </c>
      <c r="I30" s="166" t="str">
        <f t="shared" si="2"/>
        <v/>
      </c>
      <c r="J30" s="172"/>
      <c r="K30" s="173"/>
      <c r="L30" s="1075"/>
      <c r="M30" s="1076"/>
      <c r="N30" s="1076"/>
      <c r="O30" s="1076"/>
      <c r="P30" s="1076"/>
      <c r="Q30" s="1076"/>
      <c r="R30" s="1077"/>
      <c r="T30" s="119">
        <v>23</v>
      </c>
      <c r="U30" s="110" t="e">
        <v>#N/A</v>
      </c>
      <c r="V30" s="206" t="e">
        <v>#N/A</v>
      </c>
      <c r="W30" s="206" t="e">
        <v>#N/A</v>
      </c>
      <c r="X30" s="206" t="e">
        <v>#N/A</v>
      </c>
      <c r="Y30" s="206" t="e">
        <v>#N/A</v>
      </c>
      <c r="Z30" s="160" t="e">
        <v>#N/A</v>
      </c>
      <c r="AA30" s="160" t="e">
        <v>#N/A</v>
      </c>
      <c r="AB30" s="160" t="e">
        <v>#N/A</v>
      </c>
      <c r="AC30" s="206" t="e">
        <v>#N/A</v>
      </c>
      <c r="AD30" s="206" t="e">
        <v>#N/A</v>
      </c>
      <c r="AE30" s="206" t="e">
        <v>#N/A</v>
      </c>
      <c r="AF30" s="206" t="e">
        <v>#N/A</v>
      </c>
      <c r="AG30" s="206" t="e">
        <f t="shared" si="3"/>
        <v>#N/A</v>
      </c>
      <c r="AH30" s="206" t="str">
        <f t="shared" si="4"/>
        <v/>
      </c>
      <c r="AI30" s="86" t="e">
        <f>IF(NOT(OR(Z30=1,Z30=2)),IF(AQ30&gt;0,$AR$44*AQ30/SUMIF($AQ$8:$AQ$39,"&gt;0"),IF(AU30&gt;0,$AV$44*AU30/SUMIF($AU$8:$AU$39,"&gt;0"),IF(AS30&gt;0,$AT$44*AS30/SUMIF($AS$8:$AS$39,"&gt;0"),""))),IF(SUMIF(AJ31:$AJ$39,"=" &amp; AJ30,AI31:$AI$39)=0,"",SUMIF(AJ31:$AJ$39,"=" &amp; AJ30,AI31:$AI$39)))</f>
        <v>#N/A</v>
      </c>
      <c r="AJ30" s="87" t="e">
        <f t="shared" si="34"/>
        <v>#N/A</v>
      </c>
      <c r="AK30" s="206" t="str">
        <f t="shared" si="27"/>
        <v/>
      </c>
      <c r="AL30" s="160" t="str">
        <f t="shared" si="28"/>
        <v/>
      </c>
      <c r="AM30" s="160" t="str">
        <f t="shared" si="35"/>
        <v/>
      </c>
      <c r="AN30" s="160" t="str">
        <f t="shared" si="5"/>
        <v/>
      </c>
      <c r="AO30" s="160" t="e">
        <f t="shared" si="6"/>
        <v>#N/A</v>
      </c>
      <c r="AP30" s="206" t="str">
        <f t="shared" si="7"/>
        <v/>
      </c>
      <c r="AQ30" s="157">
        <f t="shared" si="29"/>
        <v>0</v>
      </c>
      <c r="AR30" s="88" t="str">
        <f t="shared" si="8"/>
        <v/>
      </c>
      <c r="AS30" s="89">
        <f t="shared" si="30"/>
        <v>0</v>
      </c>
      <c r="AT30" s="88" t="str">
        <f t="shared" si="9"/>
        <v/>
      </c>
      <c r="AU30" s="158">
        <f t="shared" si="10"/>
        <v>0</v>
      </c>
      <c r="AV30" s="90" t="str">
        <f t="shared" si="11"/>
        <v/>
      </c>
      <c r="AW30" s="158" t="b">
        <f t="shared" si="12"/>
        <v>0</v>
      </c>
      <c r="AX30" s="159" t="b">
        <f t="shared" si="13"/>
        <v>0</v>
      </c>
      <c r="AY30" s="158" t="b">
        <f t="shared" si="14"/>
        <v>0</v>
      </c>
      <c r="AZ30" s="159" t="b">
        <f t="shared" si="15"/>
        <v>0</v>
      </c>
      <c r="BA30" s="206" t="b">
        <f t="shared" si="16"/>
        <v>0</v>
      </c>
      <c r="BB30" s="206" t="b">
        <f t="shared" si="17"/>
        <v>0</v>
      </c>
      <c r="BC30" s="158" t="b">
        <f t="shared" si="18"/>
        <v>0</v>
      </c>
      <c r="BD30" s="160" t="b">
        <f t="shared" si="31"/>
        <v>0</v>
      </c>
      <c r="BE30" s="159" t="b">
        <f t="shared" si="37"/>
        <v>0</v>
      </c>
      <c r="BF30" s="161" t="b">
        <f t="shared" si="20"/>
        <v>0</v>
      </c>
      <c r="BG30" s="206" t="str">
        <f t="shared" si="38"/>
        <v>NA</v>
      </c>
      <c r="BH30" s="206" t="str">
        <f t="shared" si="32"/>
        <v/>
      </c>
      <c r="BI30" s="206" t="str">
        <f t="shared" si="22"/>
        <v/>
      </c>
      <c r="BJ30" s="206" t="str">
        <f t="shared" si="23"/>
        <v/>
      </c>
      <c r="BK30" s="206" t="str">
        <f t="shared" si="24"/>
        <v/>
      </c>
      <c r="BL30" s="162" t="str">
        <f t="shared" si="33"/>
        <v/>
      </c>
      <c r="BM30" s="206" t="str">
        <f t="shared" si="25"/>
        <v/>
      </c>
      <c r="BN30" s="206" t="str">
        <f t="shared" si="26"/>
        <v/>
      </c>
      <c r="BO30" s="106"/>
    </row>
    <row r="31" spans="2:73" s="105" customFormat="1" ht="12.95" customHeight="1" x14ac:dyDescent="0.2">
      <c r="B31" s="165" t="str">
        <f>IF(ISNA(Z31),"",IF(OR(Z31=1,Z31=2),"    ",MAX($B$8:B30)+1))</f>
        <v/>
      </c>
      <c r="C31" s="1375" t="str">
        <f t="shared" si="0"/>
        <v/>
      </c>
      <c r="D31" s="1375"/>
      <c r="E31" s="1375"/>
      <c r="F31" s="1376"/>
      <c r="G31" s="152" t="str">
        <f t="shared" si="1"/>
        <v/>
      </c>
      <c r="H31" s="153" t="str">
        <f t="shared" si="2"/>
        <v/>
      </c>
      <c r="I31" s="166" t="str">
        <f t="shared" si="2"/>
        <v/>
      </c>
      <c r="J31" s="172"/>
      <c r="K31" s="173"/>
      <c r="L31" s="1075"/>
      <c r="M31" s="1076"/>
      <c r="N31" s="1076"/>
      <c r="O31" s="1076"/>
      <c r="P31" s="1076"/>
      <c r="Q31" s="1076"/>
      <c r="R31" s="1077"/>
      <c r="T31" s="119">
        <v>24</v>
      </c>
      <c r="U31" s="110" t="e">
        <v>#N/A</v>
      </c>
      <c r="V31" s="206" t="e">
        <v>#N/A</v>
      </c>
      <c r="W31" s="206" t="e">
        <v>#N/A</v>
      </c>
      <c r="X31" s="206" t="e">
        <v>#N/A</v>
      </c>
      <c r="Y31" s="206" t="e">
        <v>#N/A</v>
      </c>
      <c r="Z31" s="160" t="e">
        <v>#N/A</v>
      </c>
      <c r="AA31" s="160" t="e">
        <v>#N/A</v>
      </c>
      <c r="AB31" s="160" t="e">
        <v>#N/A</v>
      </c>
      <c r="AC31" s="206" t="e">
        <v>#N/A</v>
      </c>
      <c r="AD31" s="206" t="e">
        <v>#N/A</v>
      </c>
      <c r="AE31" s="206" t="e">
        <v>#N/A</v>
      </c>
      <c r="AF31" s="206" t="e">
        <v>#N/A</v>
      </c>
      <c r="AG31" s="206" t="e">
        <f t="shared" si="3"/>
        <v>#N/A</v>
      </c>
      <c r="AH31" s="206" t="str">
        <f t="shared" si="4"/>
        <v/>
      </c>
      <c r="AI31" s="86" t="e">
        <f>IF(NOT(OR(Z31=1,Z31=2)),IF(AQ31&gt;0,$AR$44*AQ31/SUMIF($AQ$8:$AQ$39,"&gt;0"),IF(AU31&gt;0,$AV$44*AU31/SUMIF($AU$8:$AU$39,"&gt;0"),IF(AS31&gt;0,$AT$44*AS31/SUMIF($AS$8:$AS$39,"&gt;0"),""))),IF(SUMIF(AJ32:$AJ$39,"=" &amp; AJ31,AI32:$AI$39)=0,"",SUMIF(AJ32:$AJ$39,"=" &amp; AJ31,AI32:$AI$39)))</f>
        <v>#N/A</v>
      </c>
      <c r="AJ31" s="87" t="e">
        <f t="shared" si="34"/>
        <v>#N/A</v>
      </c>
      <c r="AK31" s="206" t="str">
        <f t="shared" si="27"/>
        <v/>
      </c>
      <c r="AL31" s="160" t="str">
        <f t="shared" si="28"/>
        <v/>
      </c>
      <c r="AM31" s="160" t="str">
        <f t="shared" si="35"/>
        <v/>
      </c>
      <c r="AN31" s="160" t="str">
        <f t="shared" si="5"/>
        <v/>
      </c>
      <c r="AO31" s="160" t="e">
        <f t="shared" si="6"/>
        <v>#N/A</v>
      </c>
      <c r="AP31" s="206" t="str">
        <f t="shared" si="7"/>
        <v/>
      </c>
      <c r="AQ31" s="157">
        <f t="shared" si="29"/>
        <v>0</v>
      </c>
      <c r="AR31" s="88" t="str">
        <f t="shared" si="8"/>
        <v/>
      </c>
      <c r="AS31" s="89">
        <f t="shared" si="30"/>
        <v>0</v>
      </c>
      <c r="AT31" s="88" t="str">
        <f t="shared" si="9"/>
        <v/>
      </c>
      <c r="AU31" s="158">
        <f t="shared" si="10"/>
        <v>0</v>
      </c>
      <c r="AV31" s="90" t="str">
        <f t="shared" si="11"/>
        <v/>
      </c>
      <c r="AW31" s="158" t="b">
        <f t="shared" si="12"/>
        <v>0</v>
      </c>
      <c r="AX31" s="159" t="b">
        <f t="shared" si="13"/>
        <v>0</v>
      </c>
      <c r="AY31" s="158" t="b">
        <f t="shared" si="14"/>
        <v>0</v>
      </c>
      <c r="AZ31" s="159" t="b">
        <f t="shared" si="15"/>
        <v>0</v>
      </c>
      <c r="BA31" s="206" t="b">
        <f t="shared" si="16"/>
        <v>0</v>
      </c>
      <c r="BB31" s="206" t="b">
        <f t="shared" si="17"/>
        <v>0</v>
      </c>
      <c r="BC31" s="158" t="b">
        <f t="shared" si="18"/>
        <v>0</v>
      </c>
      <c r="BD31" s="160" t="b">
        <f>IF(OR(ISNA($Z31),ISNUMBER($Z31),NOT(ISNUMBER(K31))),FALSE,OR(NOT(ISNUMBER(J31)),J31=0,AND(J31=0,K31&lt;&gt;0)))</f>
        <v>0</v>
      </c>
      <c r="BE31" s="159" t="b">
        <f t="shared" si="37"/>
        <v>0</v>
      </c>
      <c r="BF31" s="161" t="b">
        <f>IF(OR(ISNA($Z31),H31&lt;&gt;"NG"),FALSE,IF(AND(J31="NA",K31&lt;&gt;""),TRUE,FALSE))</f>
        <v>0</v>
      </c>
      <c r="BG31" s="206" t="str">
        <f t="shared" si="38"/>
        <v>NA</v>
      </c>
      <c r="BH31" s="206" t="str">
        <f t="shared" si="32"/>
        <v/>
      </c>
      <c r="BI31" s="206" t="str">
        <f t="shared" si="22"/>
        <v/>
      </c>
      <c r="BJ31" s="206" t="str">
        <f t="shared" si="23"/>
        <v/>
      </c>
      <c r="BK31" s="206" t="str">
        <f t="shared" si="24"/>
        <v/>
      </c>
      <c r="BL31" s="162" t="str">
        <f t="shared" si="33"/>
        <v/>
      </c>
      <c r="BM31" s="206" t="str">
        <f t="shared" si="25"/>
        <v/>
      </c>
      <c r="BN31" s="206" t="str">
        <f t="shared" si="26"/>
        <v/>
      </c>
      <c r="BO31" s="169" t="s">
        <v>236</v>
      </c>
      <c r="BP31" s="175" t="s">
        <v>237</v>
      </c>
    </row>
    <row r="32" spans="2:73" s="105" customFormat="1" ht="12.95" customHeight="1" x14ac:dyDescent="0.2">
      <c r="B32" s="165" t="str">
        <f>IF(ISNA(Z32),"",IF(OR(Z32=1,Z32=2),"    ",MAX($B$8:B31)+1))</f>
        <v/>
      </c>
      <c r="C32" s="1375" t="str">
        <f t="shared" si="0"/>
        <v/>
      </c>
      <c r="D32" s="1375"/>
      <c r="E32" s="1375"/>
      <c r="F32" s="1376"/>
      <c r="G32" s="152" t="str">
        <f t="shared" si="1"/>
        <v/>
      </c>
      <c r="H32" s="153" t="str">
        <f t="shared" si="2"/>
        <v/>
      </c>
      <c r="I32" s="166" t="str">
        <f t="shared" si="2"/>
        <v/>
      </c>
      <c r="J32" s="172"/>
      <c r="K32" s="173"/>
      <c r="L32" s="1075"/>
      <c r="M32" s="1076"/>
      <c r="N32" s="1076"/>
      <c r="O32" s="1076"/>
      <c r="P32" s="1076"/>
      <c r="Q32" s="1076"/>
      <c r="R32" s="1077"/>
      <c r="T32" s="119">
        <v>25</v>
      </c>
      <c r="U32" s="110" t="e">
        <v>#N/A</v>
      </c>
      <c r="V32" s="206" t="e">
        <v>#N/A</v>
      </c>
      <c r="W32" s="206" t="e">
        <v>#N/A</v>
      </c>
      <c r="X32" s="206" t="e">
        <v>#N/A</v>
      </c>
      <c r="Y32" s="206" t="e">
        <v>#N/A</v>
      </c>
      <c r="Z32" s="160" t="e">
        <v>#N/A</v>
      </c>
      <c r="AA32" s="160" t="e">
        <v>#N/A</v>
      </c>
      <c r="AB32" s="160" t="e">
        <v>#N/A</v>
      </c>
      <c r="AC32" s="206" t="e">
        <v>#N/A</v>
      </c>
      <c r="AD32" s="206" t="e">
        <v>#N/A</v>
      </c>
      <c r="AE32" s="206" t="e">
        <v>#N/A</v>
      </c>
      <c r="AF32" s="206" t="e">
        <v>#N/A</v>
      </c>
      <c r="AG32" s="206" t="e">
        <f t="shared" si="3"/>
        <v>#N/A</v>
      </c>
      <c r="AH32" s="206" t="str">
        <f t="shared" si="4"/>
        <v/>
      </c>
      <c r="AI32" s="86" t="e">
        <f>IF(NOT(OR(Z32=1,Z32=2)),IF(AQ32&gt;0,$AR$44*AQ32/SUMIF($AQ$8:$AQ$39,"&gt;0"),IF(AU32&gt;0,$AV$44*AU32/SUMIF($AU$8:$AU$39,"&gt;0"),IF(AS32&gt;0,$AT$44*AS32/SUMIF($AS$8:$AS$39,"&gt;0"),""))),IF(SUMIF(AJ33:$AJ$39,"=" &amp; AJ32,AI33:$AI$39)=0,"",SUMIF(AJ33:$AJ$39,"=" &amp; AJ32,AI33:$AI$39)))</f>
        <v>#N/A</v>
      </c>
      <c r="AJ32" s="87" t="e">
        <f t="shared" si="34"/>
        <v>#N/A</v>
      </c>
      <c r="AK32" s="206" t="str">
        <f t="shared" si="27"/>
        <v/>
      </c>
      <c r="AL32" s="160" t="str">
        <f t="shared" si="28"/>
        <v/>
      </c>
      <c r="AM32" s="160" t="str">
        <f t="shared" si="35"/>
        <v/>
      </c>
      <c r="AN32" s="160" t="str">
        <f t="shared" si="5"/>
        <v/>
      </c>
      <c r="AO32" s="160" t="e">
        <f t="shared" si="6"/>
        <v>#N/A</v>
      </c>
      <c r="AP32" s="206" t="str">
        <f t="shared" si="7"/>
        <v/>
      </c>
      <c r="AQ32" s="157">
        <f t="shared" si="29"/>
        <v>0</v>
      </c>
      <c r="AR32" s="88" t="str">
        <f t="shared" si="8"/>
        <v/>
      </c>
      <c r="AS32" s="89">
        <f t="shared" si="30"/>
        <v>0</v>
      </c>
      <c r="AT32" s="88" t="str">
        <f t="shared" si="9"/>
        <v/>
      </c>
      <c r="AU32" s="158">
        <f t="shared" si="10"/>
        <v>0</v>
      </c>
      <c r="AV32" s="90" t="str">
        <f t="shared" si="11"/>
        <v/>
      </c>
      <c r="AW32" s="158" t="b">
        <f t="shared" si="12"/>
        <v>0</v>
      </c>
      <c r="AX32" s="159" t="b">
        <f t="shared" si="13"/>
        <v>0</v>
      </c>
      <c r="AY32" s="158" t="b">
        <f t="shared" si="14"/>
        <v>0</v>
      </c>
      <c r="AZ32" s="159" t="b">
        <f t="shared" si="15"/>
        <v>0</v>
      </c>
      <c r="BA32" s="206" t="b">
        <f t="shared" si="16"/>
        <v>0</v>
      </c>
      <c r="BB32" s="206" t="b">
        <f t="shared" si="17"/>
        <v>0</v>
      </c>
      <c r="BC32" s="158" t="b">
        <f t="shared" si="18"/>
        <v>0</v>
      </c>
      <c r="BD32" s="160" t="b">
        <f t="shared" si="31"/>
        <v>0</v>
      </c>
      <c r="BE32" s="159" t="b">
        <f t="shared" si="37"/>
        <v>0</v>
      </c>
      <c r="BF32" s="161" t="b">
        <f t="shared" ref="BF32:BF39" si="39">IF(OR(ISNA($Z32),H32&lt;&gt;"NG"),FALSE,IF(AND(J32="NA",K32&lt;&gt;""),TRUE,FALSE))</f>
        <v>0</v>
      </c>
      <c r="BG32" s="206" t="str">
        <f t="shared" si="38"/>
        <v>NA</v>
      </c>
      <c r="BH32" s="206" t="str">
        <f t="shared" si="32"/>
        <v/>
      </c>
      <c r="BI32" s="206" t="str">
        <f t="shared" si="22"/>
        <v/>
      </c>
      <c r="BJ32" s="206" t="str">
        <f t="shared" si="23"/>
        <v/>
      </c>
      <c r="BK32" s="206" t="str">
        <f t="shared" si="24"/>
        <v/>
      </c>
      <c r="BL32" s="162" t="str">
        <f t="shared" si="33"/>
        <v/>
      </c>
      <c r="BM32" s="206" t="str">
        <f t="shared" si="25"/>
        <v/>
      </c>
      <c r="BN32" s="206" t="str">
        <f t="shared" si="26"/>
        <v/>
      </c>
      <c r="BO32" s="169" t="s">
        <v>238</v>
      </c>
      <c r="BP32" s="175" t="s">
        <v>239</v>
      </c>
    </row>
    <row r="33" spans="2:73" s="105" customFormat="1" ht="12.95" customHeight="1" x14ac:dyDescent="0.2">
      <c r="B33" s="165" t="str">
        <f>IF(ISNA(Z33),"",IF(OR(Z33=1,Z33=2),"    ",MAX($B$8:B32)+1))</f>
        <v/>
      </c>
      <c r="C33" s="1375" t="str">
        <f t="shared" si="0"/>
        <v/>
      </c>
      <c r="D33" s="1375"/>
      <c r="E33" s="1375"/>
      <c r="F33" s="1376"/>
      <c r="G33" s="152" t="str">
        <f t="shared" si="1"/>
        <v/>
      </c>
      <c r="H33" s="153" t="str">
        <f t="shared" si="2"/>
        <v/>
      </c>
      <c r="I33" s="166" t="str">
        <f t="shared" si="2"/>
        <v/>
      </c>
      <c r="J33" s="172"/>
      <c r="K33" s="173"/>
      <c r="L33" s="1075"/>
      <c r="M33" s="1076"/>
      <c r="N33" s="1076"/>
      <c r="O33" s="1076"/>
      <c r="P33" s="1076"/>
      <c r="Q33" s="1076"/>
      <c r="R33" s="1077"/>
      <c r="T33" s="119">
        <v>26</v>
      </c>
      <c r="U33" s="110" t="e">
        <v>#N/A</v>
      </c>
      <c r="V33" s="206" t="e">
        <v>#N/A</v>
      </c>
      <c r="W33" s="206" t="e">
        <v>#N/A</v>
      </c>
      <c r="X33" s="206" t="e">
        <v>#N/A</v>
      </c>
      <c r="Y33" s="206" t="e">
        <v>#N/A</v>
      </c>
      <c r="Z33" s="160" t="e">
        <v>#N/A</v>
      </c>
      <c r="AA33" s="160" t="e">
        <v>#N/A</v>
      </c>
      <c r="AB33" s="160" t="e">
        <v>#N/A</v>
      </c>
      <c r="AC33" s="206" t="e">
        <v>#N/A</v>
      </c>
      <c r="AD33" s="206" t="e">
        <v>#N/A</v>
      </c>
      <c r="AE33" s="206" t="e">
        <v>#N/A</v>
      </c>
      <c r="AF33" s="206" t="e">
        <v>#N/A</v>
      </c>
      <c r="AG33" s="206" t="e">
        <f t="shared" si="3"/>
        <v>#N/A</v>
      </c>
      <c r="AH33" s="206" t="str">
        <f t="shared" si="4"/>
        <v/>
      </c>
      <c r="AI33" s="86" t="e">
        <f>IF(NOT(OR(Z33=1,Z33=2)),IF(AQ33&gt;0,$AR$44*AQ33/SUMIF($AQ$8:$AQ$39,"&gt;0"),IF(AU33&gt;0,$AV$44*AU33/SUMIF($AU$8:$AU$39,"&gt;0"),IF(AS33&gt;0,$AT$44*AS33/SUMIF($AS$8:$AS$39,"&gt;0"),""))),IF(SUMIF(AJ34:$AJ$39,"=" &amp; AJ33,AI34:$AI$39)=0,"",SUMIF(AJ34:$AJ$39,"=" &amp; AJ33,AI34:$AI$39)))</f>
        <v>#N/A</v>
      </c>
      <c r="AJ33" s="87" t="e">
        <f t="shared" si="34"/>
        <v>#N/A</v>
      </c>
      <c r="AK33" s="206" t="str">
        <f t="shared" si="27"/>
        <v/>
      </c>
      <c r="AL33" s="160" t="str">
        <f t="shared" si="28"/>
        <v/>
      </c>
      <c r="AM33" s="160" t="str">
        <f t="shared" si="35"/>
        <v/>
      </c>
      <c r="AN33" s="160" t="str">
        <f t="shared" si="5"/>
        <v/>
      </c>
      <c r="AO33" s="160" t="e">
        <f t="shared" si="6"/>
        <v>#N/A</v>
      </c>
      <c r="AP33" s="206" t="str">
        <f t="shared" si="7"/>
        <v/>
      </c>
      <c r="AQ33" s="157">
        <f t="shared" si="29"/>
        <v>0</v>
      </c>
      <c r="AR33" s="88" t="str">
        <f t="shared" si="8"/>
        <v/>
      </c>
      <c r="AS33" s="89">
        <f t="shared" si="30"/>
        <v>0</v>
      </c>
      <c r="AT33" s="88" t="str">
        <f t="shared" si="9"/>
        <v/>
      </c>
      <c r="AU33" s="158">
        <f t="shared" si="10"/>
        <v>0</v>
      </c>
      <c r="AV33" s="90" t="str">
        <f t="shared" si="11"/>
        <v/>
      </c>
      <c r="AW33" s="158" t="b">
        <f t="shared" si="12"/>
        <v>0</v>
      </c>
      <c r="AX33" s="159" t="b">
        <f t="shared" si="13"/>
        <v>0</v>
      </c>
      <c r="AY33" s="158" t="b">
        <f t="shared" si="14"/>
        <v>0</v>
      </c>
      <c r="AZ33" s="159" t="b">
        <f t="shared" si="15"/>
        <v>0</v>
      </c>
      <c r="BA33" s="206" t="b">
        <f t="shared" si="16"/>
        <v>0</v>
      </c>
      <c r="BB33" s="206" t="b">
        <f t="shared" si="17"/>
        <v>0</v>
      </c>
      <c r="BC33" s="158" t="b">
        <f t="shared" si="18"/>
        <v>0</v>
      </c>
      <c r="BD33" s="160" t="b">
        <f t="shared" si="31"/>
        <v>0</v>
      </c>
      <c r="BE33" s="159" t="b">
        <f t="shared" si="37"/>
        <v>0</v>
      </c>
      <c r="BF33" s="161" t="b">
        <f t="shared" si="39"/>
        <v>0</v>
      </c>
      <c r="BG33" s="206" t="str">
        <f t="shared" si="38"/>
        <v>NA</v>
      </c>
      <c r="BH33" s="206" t="str">
        <f t="shared" si="32"/>
        <v/>
      </c>
      <c r="BI33" s="206" t="str">
        <f t="shared" si="22"/>
        <v/>
      </c>
      <c r="BJ33" s="206" t="str">
        <f t="shared" si="23"/>
        <v/>
      </c>
      <c r="BK33" s="206" t="str">
        <f t="shared" si="24"/>
        <v/>
      </c>
      <c r="BL33" s="162" t="str">
        <f t="shared" si="33"/>
        <v/>
      </c>
      <c r="BM33" s="206" t="str">
        <f t="shared" si="25"/>
        <v/>
      </c>
      <c r="BN33" s="206" t="str">
        <f t="shared" si="26"/>
        <v/>
      </c>
      <c r="BO33" s="164" t="s">
        <v>240</v>
      </c>
      <c r="BP33" s="175"/>
      <c r="BQ33" s="175"/>
      <c r="BR33" s="175"/>
      <c r="BS33" s="175"/>
      <c r="BT33" s="175"/>
      <c r="BU33" s="175"/>
    </row>
    <row r="34" spans="2:73" s="105" customFormat="1" ht="12.95" customHeight="1" x14ac:dyDescent="0.2">
      <c r="B34" s="165" t="str">
        <f>IF(ISNA(Z34),"",IF(OR(Z34=1,Z34=2),"    ",MAX($B$8:B33)+1))</f>
        <v/>
      </c>
      <c r="C34" s="1375" t="str">
        <f t="shared" si="0"/>
        <v/>
      </c>
      <c r="D34" s="1375"/>
      <c r="E34" s="1375"/>
      <c r="F34" s="1376"/>
      <c r="G34" s="152" t="str">
        <f t="shared" si="1"/>
        <v/>
      </c>
      <c r="H34" s="153" t="str">
        <f t="shared" si="2"/>
        <v/>
      </c>
      <c r="I34" s="166" t="str">
        <f t="shared" si="2"/>
        <v/>
      </c>
      <c r="J34" s="172"/>
      <c r="K34" s="173"/>
      <c r="L34" s="1075"/>
      <c r="M34" s="1076"/>
      <c r="N34" s="1076"/>
      <c r="O34" s="1076"/>
      <c r="P34" s="1076"/>
      <c r="Q34" s="1076"/>
      <c r="R34" s="1077"/>
      <c r="T34" s="119">
        <v>27</v>
      </c>
      <c r="U34" s="110" t="e">
        <v>#N/A</v>
      </c>
      <c r="V34" s="206" t="e">
        <v>#N/A</v>
      </c>
      <c r="W34" s="206" t="e">
        <v>#N/A</v>
      </c>
      <c r="X34" s="206" t="e">
        <v>#N/A</v>
      </c>
      <c r="Y34" s="206" t="e">
        <v>#N/A</v>
      </c>
      <c r="Z34" s="160" t="e">
        <v>#N/A</v>
      </c>
      <c r="AA34" s="160" t="e">
        <v>#N/A</v>
      </c>
      <c r="AB34" s="160" t="e">
        <v>#N/A</v>
      </c>
      <c r="AC34" s="206" t="e">
        <v>#N/A</v>
      </c>
      <c r="AD34" s="206" t="e">
        <v>#N/A</v>
      </c>
      <c r="AE34" s="206" t="e">
        <v>#N/A</v>
      </c>
      <c r="AF34" s="206" t="e">
        <v>#N/A</v>
      </c>
      <c r="AG34" s="206" t="e">
        <f t="shared" si="3"/>
        <v>#N/A</v>
      </c>
      <c r="AH34" s="206" t="str">
        <f t="shared" si="4"/>
        <v/>
      </c>
      <c r="AI34" s="86" t="e">
        <f>IF(NOT(OR(Z34=1,Z34=2)),IF(AQ34&gt;0,$AR$44*AQ34/SUMIF($AQ$8:$AQ$39,"&gt;0"),IF(AU34&gt;0,$AV$44*AU34/SUMIF($AU$8:$AU$39,"&gt;0"),IF(AS34&gt;0,$AT$44*AS34/SUMIF($AS$8:$AS$39,"&gt;0"),""))),IF(SUMIF(AJ35:$AJ$39,"=" &amp; AJ34,AI35:$AI$39)=0,"",SUMIF(AJ35:$AJ$39,"=" &amp; AJ34,AI35:$AI$39)))</f>
        <v>#N/A</v>
      </c>
      <c r="AJ34" s="87" t="e">
        <f t="shared" si="34"/>
        <v>#N/A</v>
      </c>
      <c r="AK34" s="206" t="str">
        <f t="shared" si="27"/>
        <v/>
      </c>
      <c r="AL34" s="160" t="str">
        <f t="shared" si="28"/>
        <v/>
      </c>
      <c r="AM34" s="160" t="str">
        <f t="shared" si="35"/>
        <v/>
      </c>
      <c r="AN34" s="160" t="str">
        <f t="shared" si="5"/>
        <v/>
      </c>
      <c r="AO34" s="160" t="e">
        <f t="shared" si="6"/>
        <v>#N/A</v>
      </c>
      <c r="AP34" s="206" t="str">
        <f t="shared" si="7"/>
        <v/>
      </c>
      <c r="AQ34" s="157">
        <f t="shared" si="29"/>
        <v>0</v>
      </c>
      <c r="AR34" s="88" t="str">
        <f t="shared" si="8"/>
        <v/>
      </c>
      <c r="AS34" s="89">
        <f t="shared" si="30"/>
        <v>0</v>
      </c>
      <c r="AT34" s="88" t="str">
        <f t="shared" si="9"/>
        <v/>
      </c>
      <c r="AU34" s="158">
        <f t="shared" si="10"/>
        <v>0</v>
      </c>
      <c r="AV34" s="90" t="str">
        <f t="shared" si="11"/>
        <v/>
      </c>
      <c r="AW34" s="158" t="b">
        <f t="shared" si="12"/>
        <v>0</v>
      </c>
      <c r="AX34" s="159" t="b">
        <f t="shared" si="13"/>
        <v>0</v>
      </c>
      <c r="AY34" s="158" t="b">
        <f t="shared" si="14"/>
        <v>0</v>
      </c>
      <c r="AZ34" s="159" t="b">
        <f t="shared" si="15"/>
        <v>0</v>
      </c>
      <c r="BA34" s="206" t="b">
        <f t="shared" si="16"/>
        <v>0</v>
      </c>
      <c r="BB34" s="206" t="b">
        <f t="shared" si="17"/>
        <v>0</v>
      </c>
      <c r="BC34" s="158" t="b">
        <f t="shared" si="18"/>
        <v>0</v>
      </c>
      <c r="BD34" s="160" t="b">
        <f t="shared" si="31"/>
        <v>0</v>
      </c>
      <c r="BE34" s="159" t="b">
        <f t="shared" si="37"/>
        <v>0</v>
      </c>
      <c r="BF34" s="161" t="b">
        <f t="shared" si="39"/>
        <v>0</v>
      </c>
      <c r="BG34" s="206" t="str">
        <f t="shared" si="38"/>
        <v>NA</v>
      </c>
      <c r="BH34" s="206" t="str">
        <f t="shared" si="32"/>
        <v/>
      </c>
      <c r="BI34" s="206" t="str">
        <f t="shared" si="22"/>
        <v/>
      </c>
      <c r="BJ34" s="206" t="str">
        <f t="shared" si="23"/>
        <v/>
      </c>
      <c r="BK34" s="206" t="str">
        <f t="shared" si="24"/>
        <v/>
      </c>
      <c r="BL34" s="162" t="str">
        <f t="shared" si="33"/>
        <v/>
      </c>
      <c r="BM34" s="206" t="str">
        <f t="shared" si="25"/>
        <v/>
      </c>
      <c r="BN34" s="206" t="str">
        <f t="shared" si="26"/>
        <v/>
      </c>
      <c r="BO34" s="1346"/>
      <c r="BP34" s="1347"/>
      <c r="BQ34" s="1347"/>
      <c r="BR34" s="1347"/>
      <c r="BS34" s="1347"/>
      <c r="BT34" s="1347"/>
      <c r="BU34" s="1348"/>
    </row>
    <row r="35" spans="2:73" s="105" customFormat="1" ht="12.95" customHeight="1" x14ac:dyDescent="0.2">
      <c r="B35" s="165" t="str">
        <f>IF(ISNA(Z35),"",IF(OR(Z35=1,Z35=2),"    ",MAX($B$8:B34)+1))</f>
        <v/>
      </c>
      <c r="C35" s="1375" t="str">
        <f t="shared" si="0"/>
        <v/>
      </c>
      <c r="D35" s="1375"/>
      <c r="E35" s="1375"/>
      <c r="F35" s="1376"/>
      <c r="G35" s="152" t="str">
        <f t="shared" si="1"/>
        <v/>
      </c>
      <c r="H35" s="153" t="str">
        <f t="shared" si="2"/>
        <v/>
      </c>
      <c r="I35" s="166" t="str">
        <f t="shared" si="2"/>
        <v/>
      </c>
      <c r="J35" s="172"/>
      <c r="K35" s="173"/>
      <c r="L35" s="1075"/>
      <c r="M35" s="1076"/>
      <c r="N35" s="1076"/>
      <c r="O35" s="1076"/>
      <c r="P35" s="1076"/>
      <c r="Q35" s="1076"/>
      <c r="R35" s="1077"/>
      <c r="T35" s="119">
        <v>28</v>
      </c>
      <c r="U35" s="110" t="e">
        <v>#N/A</v>
      </c>
      <c r="V35" s="206" t="e">
        <v>#N/A</v>
      </c>
      <c r="W35" s="206" t="e">
        <v>#N/A</v>
      </c>
      <c r="X35" s="206" t="e">
        <v>#N/A</v>
      </c>
      <c r="Y35" s="206" t="e">
        <v>#N/A</v>
      </c>
      <c r="Z35" s="160" t="e">
        <v>#N/A</v>
      </c>
      <c r="AA35" s="160" t="e">
        <v>#N/A</v>
      </c>
      <c r="AB35" s="160" t="e">
        <v>#N/A</v>
      </c>
      <c r="AC35" s="206" t="e">
        <v>#N/A</v>
      </c>
      <c r="AD35" s="206" t="e">
        <v>#N/A</v>
      </c>
      <c r="AE35" s="206" t="e">
        <v>#N/A</v>
      </c>
      <c r="AF35" s="206" t="e">
        <v>#N/A</v>
      </c>
      <c r="AG35" s="206" t="e">
        <f t="shared" si="3"/>
        <v>#N/A</v>
      </c>
      <c r="AH35" s="206" t="str">
        <f t="shared" si="4"/>
        <v/>
      </c>
      <c r="AI35" s="86" t="e">
        <f>IF(NOT(OR(Z35=1,Z35=2)),IF(AQ35&gt;0,$AR$44*AQ35/SUMIF($AQ$8:$AQ$39,"&gt;0"),IF(AU35&gt;0,$AV$44*AU35/SUMIF($AU$8:$AU$39,"&gt;0"),IF(AS35&gt;0,$AT$44*AS35/SUMIF($AS$8:$AS$39,"&gt;0"),""))),IF(SUMIF(AJ36:$AJ$39,"=" &amp; AJ35,AI36:$AI$39)=0,"",SUMIF(AJ36:$AJ$39,"=" &amp; AJ35,AI36:$AI$39)))</f>
        <v>#N/A</v>
      </c>
      <c r="AJ35" s="87" t="e">
        <f t="shared" si="34"/>
        <v>#N/A</v>
      </c>
      <c r="AK35" s="206" t="str">
        <f t="shared" si="27"/>
        <v/>
      </c>
      <c r="AL35" s="160" t="str">
        <f t="shared" si="28"/>
        <v/>
      </c>
      <c r="AM35" s="160" t="str">
        <f t="shared" si="35"/>
        <v/>
      </c>
      <c r="AN35" s="160" t="str">
        <f t="shared" si="5"/>
        <v/>
      </c>
      <c r="AO35" s="160" t="e">
        <f t="shared" si="6"/>
        <v>#N/A</v>
      </c>
      <c r="AP35" s="206" t="str">
        <f t="shared" si="7"/>
        <v/>
      </c>
      <c r="AQ35" s="157">
        <f t="shared" si="29"/>
        <v>0</v>
      </c>
      <c r="AR35" s="88" t="str">
        <f t="shared" si="8"/>
        <v/>
      </c>
      <c r="AS35" s="89">
        <f t="shared" si="30"/>
        <v>0</v>
      </c>
      <c r="AT35" s="88" t="str">
        <f t="shared" si="9"/>
        <v/>
      </c>
      <c r="AU35" s="158">
        <f t="shared" si="10"/>
        <v>0</v>
      </c>
      <c r="AV35" s="90" t="str">
        <f t="shared" si="11"/>
        <v/>
      </c>
      <c r="AW35" s="158" t="b">
        <f t="shared" si="12"/>
        <v>0</v>
      </c>
      <c r="AX35" s="159" t="b">
        <f t="shared" si="13"/>
        <v>0</v>
      </c>
      <c r="AY35" s="158" t="b">
        <f t="shared" si="14"/>
        <v>0</v>
      </c>
      <c r="AZ35" s="159" t="b">
        <f t="shared" si="15"/>
        <v>0</v>
      </c>
      <c r="BA35" s="206" t="b">
        <f t="shared" si="16"/>
        <v>0</v>
      </c>
      <c r="BB35" s="206" t="b">
        <f t="shared" si="17"/>
        <v>0</v>
      </c>
      <c r="BC35" s="158" t="b">
        <f t="shared" si="18"/>
        <v>0</v>
      </c>
      <c r="BD35" s="160" t="b">
        <f t="shared" si="31"/>
        <v>0</v>
      </c>
      <c r="BE35" s="159" t="b">
        <f t="shared" si="37"/>
        <v>0</v>
      </c>
      <c r="BF35" s="161" t="b">
        <f t="shared" si="39"/>
        <v>0</v>
      </c>
      <c r="BG35" s="206" t="str">
        <f t="shared" si="38"/>
        <v>NA</v>
      </c>
      <c r="BH35" s="206" t="str">
        <f t="shared" si="32"/>
        <v/>
      </c>
      <c r="BI35" s="206" t="str">
        <f t="shared" si="22"/>
        <v/>
      </c>
      <c r="BJ35" s="206" t="str">
        <f t="shared" si="23"/>
        <v/>
      </c>
      <c r="BK35" s="206" t="str">
        <f t="shared" si="24"/>
        <v/>
      </c>
      <c r="BL35" s="162" t="str">
        <f t="shared" si="33"/>
        <v/>
      </c>
      <c r="BM35" s="206" t="str">
        <f t="shared" si="25"/>
        <v/>
      </c>
      <c r="BN35" s="206" t="str">
        <f t="shared" si="26"/>
        <v/>
      </c>
      <c r="BO35" s="1349"/>
      <c r="BP35" s="1350"/>
      <c r="BQ35" s="1350"/>
      <c r="BR35" s="1350"/>
      <c r="BS35" s="1350"/>
      <c r="BT35" s="1350"/>
      <c r="BU35" s="1351"/>
    </row>
    <row r="36" spans="2:73" s="105" customFormat="1" ht="12.95" customHeight="1" x14ac:dyDescent="0.2">
      <c r="B36" s="165" t="str">
        <f>IF(ISNA(Z36),"",IF(OR(Z36=1,Z36=2),"    ",MAX($B$8:B35)+1))</f>
        <v/>
      </c>
      <c r="C36" s="1375" t="str">
        <f t="shared" si="0"/>
        <v/>
      </c>
      <c r="D36" s="1375"/>
      <c r="E36" s="1375"/>
      <c r="F36" s="1376"/>
      <c r="G36" s="152" t="str">
        <f t="shared" si="1"/>
        <v/>
      </c>
      <c r="H36" s="153" t="str">
        <f t="shared" si="2"/>
        <v/>
      </c>
      <c r="I36" s="166" t="str">
        <f t="shared" si="2"/>
        <v/>
      </c>
      <c r="J36" s="172"/>
      <c r="K36" s="173"/>
      <c r="L36" s="1075"/>
      <c r="M36" s="1076"/>
      <c r="N36" s="1076"/>
      <c r="O36" s="1076"/>
      <c r="P36" s="1076"/>
      <c r="Q36" s="1076"/>
      <c r="R36" s="1077"/>
      <c r="T36" s="119">
        <v>29</v>
      </c>
      <c r="U36" s="110" t="e">
        <v>#N/A</v>
      </c>
      <c r="V36" s="206" t="e">
        <v>#N/A</v>
      </c>
      <c r="W36" s="206" t="e">
        <v>#N/A</v>
      </c>
      <c r="X36" s="206" t="e">
        <v>#N/A</v>
      </c>
      <c r="Y36" s="206" t="e">
        <v>#N/A</v>
      </c>
      <c r="Z36" s="160" t="e">
        <v>#N/A</v>
      </c>
      <c r="AA36" s="160" t="e">
        <v>#N/A</v>
      </c>
      <c r="AB36" s="160" t="e">
        <v>#N/A</v>
      </c>
      <c r="AC36" s="206" t="e">
        <v>#N/A</v>
      </c>
      <c r="AD36" s="206" t="e">
        <v>#N/A</v>
      </c>
      <c r="AE36" s="206" t="e">
        <v>#N/A</v>
      </c>
      <c r="AF36" s="206" t="e">
        <v>#N/A</v>
      </c>
      <c r="AG36" s="206" t="e">
        <f t="shared" si="3"/>
        <v>#N/A</v>
      </c>
      <c r="AH36" s="206" t="str">
        <f t="shared" si="4"/>
        <v/>
      </c>
      <c r="AI36" s="86" t="e">
        <f>IF(NOT(OR(Z36=1,Z36=2)),IF(AQ36&gt;0,$AR$44*AQ36/SUMIF($AQ$8:$AQ$39,"&gt;0"),IF(AU36&gt;0,$AV$44*AU36/SUMIF($AU$8:$AU$39,"&gt;0"),IF(AS36&gt;0,$AT$44*AS36/SUMIF($AS$8:$AS$39,"&gt;0"),""))),IF(SUMIF(AJ37:$AJ$39,"=" &amp; AJ36,AI37:$AI$39)=0,"",SUMIF(AJ37:$AJ$39,"=" &amp; AJ36,AI37:$AI$39)))</f>
        <v>#N/A</v>
      </c>
      <c r="AJ36" s="87" t="e">
        <f t="shared" si="34"/>
        <v>#N/A</v>
      </c>
      <c r="AK36" s="206" t="str">
        <f t="shared" si="27"/>
        <v/>
      </c>
      <c r="AL36" s="160" t="str">
        <f t="shared" si="28"/>
        <v/>
      </c>
      <c r="AM36" s="160" t="str">
        <f t="shared" si="35"/>
        <v/>
      </c>
      <c r="AN36" s="160" t="str">
        <f t="shared" si="5"/>
        <v/>
      </c>
      <c r="AO36" s="160" t="e">
        <f t="shared" si="6"/>
        <v>#N/A</v>
      </c>
      <c r="AP36" s="206" t="str">
        <f t="shared" si="7"/>
        <v/>
      </c>
      <c r="AQ36" s="157">
        <f t="shared" si="29"/>
        <v>0</v>
      </c>
      <c r="AR36" s="88" t="str">
        <f t="shared" si="8"/>
        <v/>
      </c>
      <c r="AS36" s="89">
        <f t="shared" si="30"/>
        <v>0</v>
      </c>
      <c r="AT36" s="88" t="str">
        <f t="shared" si="9"/>
        <v/>
      </c>
      <c r="AU36" s="158">
        <f t="shared" si="10"/>
        <v>0</v>
      </c>
      <c r="AV36" s="90" t="str">
        <f t="shared" si="11"/>
        <v/>
      </c>
      <c r="AW36" s="158" t="b">
        <f t="shared" si="12"/>
        <v>0</v>
      </c>
      <c r="AX36" s="159" t="b">
        <f t="shared" si="13"/>
        <v>0</v>
      </c>
      <c r="AY36" s="158" t="b">
        <f t="shared" si="14"/>
        <v>0</v>
      </c>
      <c r="AZ36" s="159" t="b">
        <f t="shared" si="15"/>
        <v>0</v>
      </c>
      <c r="BA36" s="206" t="b">
        <f t="shared" si="16"/>
        <v>0</v>
      </c>
      <c r="BB36" s="206" t="b">
        <f t="shared" si="17"/>
        <v>0</v>
      </c>
      <c r="BC36" s="158" t="b">
        <f t="shared" si="18"/>
        <v>0</v>
      </c>
      <c r="BD36" s="160" t="b">
        <f t="shared" si="31"/>
        <v>0</v>
      </c>
      <c r="BE36" s="159" t="b">
        <f t="shared" si="37"/>
        <v>0</v>
      </c>
      <c r="BF36" s="161" t="b">
        <f t="shared" si="39"/>
        <v>0</v>
      </c>
      <c r="BG36" s="206" t="str">
        <f t="shared" si="38"/>
        <v>NA</v>
      </c>
      <c r="BH36" s="206" t="str">
        <f t="shared" si="32"/>
        <v/>
      </c>
      <c r="BI36" s="206" t="str">
        <f t="shared" si="22"/>
        <v/>
      </c>
      <c r="BJ36" s="206" t="str">
        <f t="shared" si="23"/>
        <v/>
      </c>
      <c r="BK36" s="206" t="str">
        <f t="shared" si="24"/>
        <v/>
      </c>
      <c r="BL36" s="162" t="str">
        <f t="shared" si="33"/>
        <v/>
      </c>
      <c r="BM36" s="206" t="str">
        <f t="shared" si="25"/>
        <v/>
      </c>
      <c r="BN36" s="206" t="str">
        <f t="shared" si="26"/>
        <v/>
      </c>
      <c r="BO36" s="1349"/>
      <c r="BP36" s="1350"/>
      <c r="BQ36" s="1350"/>
      <c r="BR36" s="1350"/>
      <c r="BS36" s="1350"/>
      <c r="BT36" s="1350"/>
      <c r="BU36" s="1351"/>
    </row>
    <row r="37" spans="2:73" s="105" customFormat="1" ht="12.95" customHeight="1" x14ac:dyDescent="0.2">
      <c r="B37" s="165" t="str">
        <f>IF(ISNA(Z37),"",IF(OR(Z37=1,Z37=2),"    ",MAX($B$8:B36)+1))</f>
        <v/>
      </c>
      <c r="C37" s="1375" t="str">
        <f>IF(ISNA(Z37),"",CONCATENATE($U37,IF(ISNUMBER(AI37),TEXT(ROUND($AI37,3)," (0.0%)"),""),IF(AU37&gt;0," Bonus","")))</f>
        <v/>
      </c>
      <c r="D37" s="1375"/>
      <c r="E37" s="1375"/>
      <c r="F37" s="1376"/>
      <c r="G37" s="152" t="str">
        <f t="shared" si="1"/>
        <v/>
      </c>
      <c r="H37" s="153" t="str">
        <f t="shared" si="2"/>
        <v/>
      </c>
      <c r="I37" s="166" t="str">
        <f t="shared" si="2"/>
        <v/>
      </c>
      <c r="J37" s="172"/>
      <c r="K37" s="173"/>
      <c r="L37" s="1075"/>
      <c r="M37" s="1076"/>
      <c r="N37" s="1076"/>
      <c r="O37" s="1076"/>
      <c r="P37" s="1076"/>
      <c r="Q37" s="1076"/>
      <c r="R37" s="1077"/>
      <c r="T37" s="119">
        <v>30</v>
      </c>
      <c r="U37" s="110" t="e">
        <v>#N/A</v>
      </c>
      <c r="V37" s="206" t="e">
        <v>#N/A</v>
      </c>
      <c r="W37" s="206" t="e">
        <v>#N/A</v>
      </c>
      <c r="X37" s="206" t="e">
        <v>#N/A</v>
      </c>
      <c r="Y37" s="206" t="e">
        <v>#N/A</v>
      </c>
      <c r="Z37" s="160" t="e">
        <v>#N/A</v>
      </c>
      <c r="AA37" s="160" t="e">
        <v>#N/A</v>
      </c>
      <c r="AB37" s="160" t="e">
        <v>#N/A</v>
      </c>
      <c r="AC37" s="206" t="e">
        <v>#N/A</v>
      </c>
      <c r="AD37" s="206" t="e">
        <v>#N/A</v>
      </c>
      <c r="AE37" s="206" t="e">
        <v>#N/A</v>
      </c>
      <c r="AF37" s="206" t="e">
        <v>#N/A</v>
      </c>
      <c r="AG37" s="206" t="e">
        <f t="shared" si="3"/>
        <v>#N/A</v>
      </c>
      <c r="AH37" s="206" t="str">
        <f t="shared" si="4"/>
        <v/>
      </c>
      <c r="AI37" s="86" t="e">
        <f>IF(NOT(OR(Z37=1,Z37=2)),IF(AQ37&gt;0,$AR$44*AQ37/SUMIF($AQ$8:$AQ$39,"&gt;0"),IF(AU37&gt;0,$AV$44*AU37/SUMIF($AU$8:$AU$39,"&gt;0"),IF(AS37&gt;0,$AT$44*AS37/SUMIF($AS$8:$AS$39,"&gt;0"),""))),IF(SUMIF(AJ38:$AJ$39,"=" &amp; AJ37,AI38:$AI$39)=0,"",SUMIF(AJ38:$AJ$39,"=" &amp; AJ37,AI38:$AI$39)))</f>
        <v>#N/A</v>
      </c>
      <c r="AJ37" s="87" t="e">
        <f t="shared" si="34"/>
        <v>#N/A</v>
      </c>
      <c r="AK37" s="206" t="str">
        <f t="shared" si="27"/>
        <v/>
      </c>
      <c r="AL37" s="160" t="str">
        <f t="shared" si="28"/>
        <v/>
      </c>
      <c r="AM37" s="160" t="str">
        <f t="shared" si="35"/>
        <v/>
      </c>
      <c r="AN37" s="160" t="str">
        <f>IF(ISNUMBER(AH37),IF(AND(AB37=0,ISNUMBER(AC37),ISNUMBER(AL37)),1,""),"")</f>
        <v/>
      </c>
      <c r="AO37" s="160" t="e">
        <f t="shared" si="6"/>
        <v>#N/A</v>
      </c>
      <c r="AP37" s="206" t="str">
        <f t="shared" si="7"/>
        <v/>
      </c>
      <c r="AQ37" s="157">
        <f t="shared" si="29"/>
        <v>0</v>
      </c>
      <c r="AR37" s="88" t="str">
        <f t="shared" si="8"/>
        <v/>
      </c>
      <c r="AS37" s="89">
        <f t="shared" si="30"/>
        <v>0</v>
      </c>
      <c r="AT37" s="88" t="str">
        <f t="shared" si="9"/>
        <v/>
      </c>
      <c r="AU37" s="158">
        <f t="shared" si="10"/>
        <v>0</v>
      </c>
      <c r="AV37" s="90" t="str">
        <f t="shared" si="11"/>
        <v/>
      </c>
      <c r="AW37" s="158" t="b">
        <f t="shared" si="12"/>
        <v>0</v>
      </c>
      <c r="AX37" s="159" t="b">
        <f t="shared" si="13"/>
        <v>0</v>
      </c>
      <c r="AY37" s="158" t="b">
        <f t="shared" si="14"/>
        <v>0</v>
      </c>
      <c r="AZ37" s="159" t="b">
        <f t="shared" si="15"/>
        <v>0</v>
      </c>
      <c r="BA37" s="206" t="b">
        <f t="shared" si="16"/>
        <v>0</v>
      </c>
      <c r="BB37" s="206" t="b">
        <f t="shared" si="17"/>
        <v>0</v>
      </c>
      <c r="BC37" s="158" t="b">
        <f t="shared" si="18"/>
        <v>0</v>
      </c>
      <c r="BD37" s="160" t="b">
        <f t="shared" si="31"/>
        <v>0</v>
      </c>
      <c r="BE37" s="159" t="b">
        <f t="shared" si="37"/>
        <v>0</v>
      </c>
      <c r="BF37" s="161" t="b">
        <f t="shared" si="39"/>
        <v>0</v>
      </c>
      <c r="BG37" s="206" t="str">
        <f t="shared" si="38"/>
        <v>NA</v>
      </c>
      <c r="BH37" s="206" t="str">
        <f t="shared" si="32"/>
        <v/>
      </c>
      <c r="BI37" s="206" t="str">
        <f t="shared" si="22"/>
        <v/>
      </c>
      <c r="BJ37" s="206" t="str">
        <f t="shared" si="23"/>
        <v/>
      </c>
      <c r="BK37" s="206" t="str">
        <f t="shared" si="24"/>
        <v/>
      </c>
      <c r="BL37" s="162" t="str">
        <f t="shared" si="33"/>
        <v/>
      </c>
      <c r="BM37" s="206" t="str">
        <f t="shared" si="25"/>
        <v/>
      </c>
      <c r="BN37" s="206" t="str">
        <f t="shared" si="26"/>
        <v/>
      </c>
      <c r="BO37" s="1352"/>
      <c r="BP37" s="1353"/>
      <c r="BQ37" s="1353"/>
      <c r="BR37" s="1353"/>
      <c r="BS37" s="1353"/>
      <c r="BT37" s="1353"/>
      <c r="BU37" s="1354"/>
    </row>
    <row r="38" spans="2:73" s="105" customFormat="1" ht="12.95" customHeight="1" x14ac:dyDescent="0.2">
      <c r="B38" s="165" t="str">
        <f>IF(ISNA(Z38),"",IF(OR(Z38=1,Z38=2),"    ",MAX($B$8:B37)+1))</f>
        <v/>
      </c>
      <c r="C38" s="1375" t="str">
        <f t="shared" ref="C38:C39" si="40">IF(ISNA(Z38),"",CONCATENATE($U38,IF(ISNUMBER(AI38),TEXT(ROUND($AI38,3)," (0.0%)"),""),IF(AU38&gt;0," Bonus","")))</f>
        <v/>
      </c>
      <c r="D38" s="1375"/>
      <c r="E38" s="1375"/>
      <c r="F38" s="1376"/>
      <c r="G38" s="152" t="str">
        <f t="shared" si="1"/>
        <v/>
      </c>
      <c r="H38" s="153" t="str">
        <f t="shared" si="2"/>
        <v/>
      </c>
      <c r="I38" s="166" t="str">
        <f t="shared" si="2"/>
        <v/>
      </c>
      <c r="J38" s="172"/>
      <c r="K38" s="173"/>
      <c r="L38" s="1075"/>
      <c r="M38" s="1076"/>
      <c r="N38" s="1076"/>
      <c r="O38" s="1076"/>
      <c r="P38" s="1076"/>
      <c r="Q38" s="1076"/>
      <c r="R38" s="1077"/>
      <c r="T38" s="119">
        <v>31</v>
      </c>
      <c r="U38" s="110" t="e">
        <v>#N/A</v>
      </c>
      <c r="V38" s="206" t="e">
        <v>#N/A</v>
      </c>
      <c r="W38" s="206" t="e">
        <v>#N/A</v>
      </c>
      <c r="X38" s="206" t="e">
        <v>#N/A</v>
      </c>
      <c r="Y38" s="206" t="e">
        <v>#N/A</v>
      </c>
      <c r="Z38" s="160" t="e">
        <v>#N/A</v>
      </c>
      <c r="AA38" s="160" t="e">
        <v>#N/A</v>
      </c>
      <c r="AB38" s="160" t="e">
        <v>#N/A</v>
      </c>
      <c r="AC38" s="206" t="e">
        <v>#N/A</v>
      </c>
      <c r="AD38" s="206" t="e">
        <v>#N/A</v>
      </c>
      <c r="AE38" s="206" t="e">
        <v>#N/A</v>
      </c>
      <c r="AF38" s="206" t="e">
        <v>#N/A</v>
      </c>
      <c r="AG38" s="206" t="e">
        <f t="shared" si="3"/>
        <v>#N/A</v>
      </c>
      <c r="AH38" s="206" t="str">
        <f t="shared" si="4"/>
        <v/>
      </c>
      <c r="AI38" s="86" t="e">
        <f>IF(NOT(OR(Z38=1,Z38=2)),IF(AQ38&gt;0,$AR$44*AQ38/SUMIF($AQ$8:$AQ$39,"&gt;0"),IF(AU38&gt;0,$AV$44*AU38/SUMIF($AU$8:$AU$39,"&gt;0"),IF(AS38&gt;0,$AT$44*AS38/SUMIF($AS$8:$AS$39,"&gt;0"),""))),IF(SUMIF(AJ39:$AJ$39,"=" &amp; AJ38,AI39:$AI$39)=0,"",SUMIF(AJ39:$AJ$39,"=" &amp; AJ38,AI39:$AI$39)))</f>
        <v>#N/A</v>
      </c>
      <c r="AJ38" s="87" t="e">
        <f t="shared" si="34"/>
        <v>#N/A</v>
      </c>
      <c r="AK38" s="206" t="str">
        <f t="shared" si="27"/>
        <v/>
      </c>
      <c r="AL38" s="160" t="str">
        <f t="shared" si="28"/>
        <v/>
      </c>
      <c r="AM38" s="160" t="str">
        <f t="shared" si="35"/>
        <v/>
      </c>
      <c r="AN38" s="160" t="str">
        <f>IF(ISNUMBER(AH38),IF(AND(AB38=0,ISNUMBER(AC38),ISNUMBER(AL38)),1,""),"")</f>
        <v/>
      </c>
      <c r="AO38" s="160" t="e">
        <f t="shared" si="6"/>
        <v>#N/A</v>
      </c>
      <c r="AP38" s="206" t="str">
        <f t="shared" si="7"/>
        <v/>
      </c>
      <c r="AQ38" s="157">
        <f t="shared" si="29"/>
        <v>0</v>
      </c>
      <c r="AR38" s="88" t="str">
        <f t="shared" si="8"/>
        <v/>
      </c>
      <c r="AS38" s="89">
        <f t="shared" si="30"/>
        <v>0</v>
      </c>
      <c r="AT38" s="88" t="str">
        <f t="shared" si="9"/>
        <v/>
      </c>
      <c r="AU38" s="158">
        <f t="shared" si="10"/>
        <v>0</v>
      </c>
      <c r="AV38" s="90" t="str">
        <f t="shared" si="11"/>
        <v/>
      </c>
      <c r="AW38" s="158" t="b">
        <f t="shared" si="12"/>
        <v>0</v>
      </c>
      <c r="AX38" s="159" t="b">
        <f t="shared" si="13"/>
        <v>0</v>
      </c>
      <c r="AY38" s="158" t="b">
        <f t="shared" si="14"/>
        <v>0</v>
      </c>
      <c r="AZ38" s="159" t="b">
        <f t="shared" si="15"/>
        <v>0</v>
      </c>
      <c r="BA38" s="206" t="b">
        <f t="shared" si="16"/>
        <v>0</v>
      </c>
      <c r="BB38" s="206" t="b">
        <f t="shared" si="17"/>
        <v>0</v>
      </c>
      <c r="BC38" s="158" t="b">
        <f t="shared" si="18"/>
        <v>0</v>
      </c>
      <c r="BD38" s="160" t="b">
        <f t="shared" si="31"/>
        <v>0</v>
      </c>
      <c r="BE38" s="159" t="b">
        <f t="shared" si="37"/>
        <v>0</v>
      </c>
      <c r="BF38" s="161" t="b">
        <f t="shared" si="39"/>
        <v>0</v>
      </c>
      <c r="BG38" s="206" t="str">
        <f t="shared" si="38"/>
        <v>NA</v>
      </c>
      <c r="BH38" s="206" t="str">
        <f t="shared" si="32"/>
        <v/>
      </c>
      <c r="BI38" s="206" t="str">
        <f t="shared" si="22"/>
        <v/>
      </c>
      <c r="BJ38" s="206" t="str">
        <f t="shared" si="23"/>
        <v/>
      </c>
      <c r="BK38" s="206" t="str">
        <f t="shared" si="24"/>
        <v/>
      </c>
      <c r="BL38" s="162" t="str">
        <f t="shared" si="33"/>
        <v/>
      </c>
      <c r="BM38" s="206" t="str">
        <f t="shared" si="25"/>
        <v/>
      </c>
      <c r="BN38" s="206" t="str">
        <f t="shared" si="26"/>
        <v/>
      </c>
      <c r="BO38" s="164" t="s">
        <v>241</v>
      </c>
      <c r="BP38" s="164"/>
      <c r="BQ38" s="164"/>
      <c r="BR38" s="164"/>
      <c r="BS38" s="164"/>
      <c r="BT38" s="164"/>
      <c r="BU38" s="164"/>
    </row>
    <row r="39" spans="2:73" s="105" customFormat="1" ht="12.95" customHeight="1" thickBot="1" x14ac:dyDescent="0.25">
      <c r="B39" s="165" t="str">
        <f>IF(ISNA(Z39),"",IF(OR(Z39=1,Z39=2),"    ",MAX($B$8:B38)+1))</f>
        <v/>
      </c>
      <c r="C39" s="1375" t="str">
        <f t="shared" si="40"/>
        <v/>
      </c>
      <c r="D39" s="1375"/>
      <c r="E39" s="1375"/>
      <c r="F39" s="1376"/>
      <c r="G39" s="176" t="str">
        <f t="shared" si="1"/>
        <v/>
      </c>
      <c r="H39" s="153" t="str">
        <f t="shared" si="2"/>
        <v/>
      </c>
      <c r="I39" s="177" t="str">
        <f t="shared" si="2"/>
        <v/>
      </c>
      <c r="J39" s="178"/>
      <c r="K39" s="179"/>
      <c r="L39" s="1078"/>
      <c r="M39" s="1079"/>
      <c r="N39" s="1079"/>
      <c r="O39" s="1079"/>
      <c r="P39" s="1079"/>
      <c r="Q39" s="1079"/>
      <c r="R39" s="1080"/>
      <c r="T39" s="119">
        <v>32</v>
      </c>
      <c r="U39" s="110" t="e">
        <v>#N/A</v>
      </c>
      <c r="V39" s="206" t="e">
        <v>#N/A</v>
      </c>
      <c r="W39" s="206" t="e">
        <v>#N/A</v>
      </c>
      <c r="X39" s="206" t="e">
        <v>#N/A</v>
      </c>
      <c r="Y39" s="206" t="e">
        <v>#N/A</v>
      </c>
      <c r="Z39" s="160" t="e">
        <v>#N/A</v>
      </c>
      <c r="AA39" s="160" t="e">
        <v>#N/A</v>
      </c>
      <c r="AB39" s="160" t="e">
        <v>#N/A</v>
      </c>
      <c r="AC39" s="206" t="e">
        <v>#N/A</v>
      </c>
      <c r="AD39" s="206" t="e">
        <v>#N/A</v>
      </c>
      <c r="AE39" s="206" t="e">
        <v>#N/A</v>
      </c>
      <c r="AF39" s="206" t="e">
        <v>#N/A</v>
      </c>
      <c r="AG39" s="206" t="e">
        <f t="shared" si="3"/>
        <v>#N/A</v>
      </c>
      <c r="AH39" s="206" t="str">
        <f t="shared" si="4"/>
        <v/>
      </c>
      <c r="AI39" s="86" t="e">
        <f>IF(NOT(OR(Z39=1,Z39=2)),IF(AQ39&gt;0,$AR$44*AQ39/SUMIF($AQ$8:$AQ$39,"&gt;0"),IF(AU39&gt;0,$AV$44*AU39/SUMIF($AU$8:$AU$39,"&gt;0"),IF(AS39&gt;0,$AT$44*AS39/SUMIF($AS$8:$AS$39,"&gt;0"),""))),IF(SUMIF(AJ$39:$AJ40,"=" &amp; AJ39,AI$39:$AI40)=0,"",SUMIF(AJ$39:$AJ40,"=" &amp; AJ39,AI$39:$AI40)))</f>
        <v>#N/A</v>
      </c>
      <c r="AJ39" s="87" t="e">
        <f t="shared" si="34"/>
        <v>#N/A</v>
      </c>
      <c r="AK39" s="206" t="str">
        <f t="shared" si="27"/>
        <v/>
      </c>
      <c r="AL39" s="160" t="str">
        <f t="shared" si="28"/>
        <v/>
      </c>
      <c r="AM39" s="160" t="str">
        <f t="shared" si="35"/>
        <v/>
      </c>
      <c r="AN39" s="160" t="str">
        <f>IF(ISNUMBER(AH39),IF(AND(AB39=0,ISNUMBER(AC39),ISNUMBER(AL39)),1,""),"")</f>
        <v/>
      </c>
      <c r="AO39" s="160" t="e">
        <f t="shared" si="6"/>
        <v>#N/A</v>
      </c>
      <c r="AP39" s="206" t="str">
        <f t="shared" si="7"/>
        <v/>
      </c>
      <c r="AQ39" s="157">
        <f t="shared" si="29"/>
        <v>0</v>
      </c>
      <c r="AR39" s="88" t="str">
        <f t="shared" si="8"/>
        <v/>
      </c>
      <c r="AS39" s="89">
        <f t="shared" si="30"/>
        <v>0</v>
      </c>
      <c r="AT39" s="88" t="str">
        <f t="shared" si="9"/>
        <v/>
      </c>
      <c r="AU39" s="158">
        <f t="shared" si="10"/>
        <v>0</v>
      </c>
      <c r="AV39" s="90" t="str">
        <f t="shared" si="11"/>
        <v/>
      </c>
      <c r="AW39" s="158" t="b">
        <f t="shared" si="12"/>
        <v>0</v>
      </c>
      <c r="AX39" s="159" t="b">
        <f t="shared" si="13"/>
        <v>0</v>
      </c>
      <c r="AY39" s="158" t="b">
        <f t="shared" si="14"/>
        <v>0</v>
      </c>
      <c r="AZ39" s="159" t="b">
        <f t="shared" si="15"/>
        <v>0</v>
      </c>
      <c r="BA39" s="206" t="b">
        <f t="shared" si="16"/>
        <v>0</v>
      </c>
      <c r="BB39" s="206" t="b">
        <f t="shared" si="17"/>
        <v>0</v>
      </c>
      <c r="BC39" s="158" t="b">
        <f t="shared" si="18"/>
        <v>0</v>
      </c>
      <c r="BD39" s="160" t="b">
        <f t="shared" si="31"/>
        <v>0</v>
      </c>
      <c r="BE39" s="159" t="b">
        <f t="shared" si="37"/>
        <v>0</v>
      </c>
      <c r="BF39" s="161" t="b">
        <f t="shared" si="39"/>
        <v>0</v>
      </c>
      <c r="BG39" s="206" t="str">
        <f t="shared" si="38"/>
        <v>NA</v>
      </c>
      <c r="BH39" s="206" t="str">
        <f t="shared" si="32"/>
        <v/>
      </c>
      <c r="BI39" s="206" t="str">
        <f t="shared" si="22"/>
        <v/>
      </c>
      <c r="BJ39" s="206" t="str">
        <f t="shared" si="23"/>
        <v/>
      </c>
      <c r="BK39" s="206" t="str">
        <f t="shared" si="24"/>
        <v/>
      </c>
      <c r="BL39" s="206" t="str">
        <f t="shared" si="33"/>
        <v/>
      </c>
      <c r="BM39" s="206" t="str">
        <f t="shared" si="25"/>
        <v/>
      </c>
      <c r="BN39" s="206" t="str">
        <f t="shared" si="26"/>
        <v/>
      </c>
      <c r="BO39" s="1346"/>
      <c r="BP39" s="1347"/>
      <c r="BQ39" s="1347"/>
      <c r="BR39" s="1347"/>
      <c r="BS39" s="1347"/>
      <c r="BT39" s="1347"/>
      <c r="BU39" s="1348"/>
    </row>
    <row r="40" spans="2:73" s="112" customFormat="1" ht="8.25" customHeight="1" x14ac:dyDescent="0.2">
      <c r="B40" s="1355" t="s">
        <v>242</v>
      </c>
      <c r="C40" s="1356"/>
      <c r="D40" s="1357"/>
      <c r="E40" s="205" t="s">
        <v>243</v>
      </c>
      <c r="F40" s="1358" t="s">
        <v>244</v>
      </c>
      <c r="G40" s="1359"/>
      <c r="H40" s="1359" t="s">
        <v>245</v>
      </c>
      <c r="I40" s="1359"/>
      <c r="J40" s="1360" t="s">
        <v>246</v>
      </c>
      <c r="K40" s="1361"/>
      <c r="L40" s="180" t="s">
        <v>247</v>
      </c>
      <c r="M40" s="1362" t="s">
        <v>248</v>
      </c>
      <c r="N40" s="1362"/>
      <c r="O40" s="1363" t="str">
        <f>IF(U44,"DO REVIEW","DO REV N/A")</f>
        <v>DO REVIEW</v>
      </c>
      <c r="P40" s="1364"/>
      <c r="Q40" s="181" t="str">
        <f>IF(U45,"ED REVIEW","ED REV N/A")</f>
        <v>ED REVIEW</v>
      </c>
      <c r="R40" s="182"/>
      <c r="S40" s="183">
        <v>0</v>
      </c>
      <c r="AI40" s="184"/>
      <c r="AJ40" s="113"/>
      <c r="AK40" s="113"/>
      <c r="AL40" s="113"/>
      <c r="AM40" s="113"/>
      <c r="AN40" s="113"/>
      <c r="AO40" s="110"/>
      <c r="AP40" s="113"/>
      <c r="AQ40" s="185"/>
      <c r="AR40" s="113"/>
      <c r="AS40" s="185"/>
      <c r="AT40" s="113"/>
      <c r="AU40" s="185"/>
      <c r="AV40" s="186"/>
      <c r="AW40" s="113"/>
      <c r="AX40" s="113"/>
      <c r="AY40" s="113"/>
      <c r="AZ40" s="113"/>
      <c r="BA40" s="113"/>
      <c r="BB40" s="113"/>
      <c r="BC40" s="113"/>
      <c r="BD40" s="113"/>
      <c r="BE40" s="113"/>
      <c r="BF40" s="113"/>
      <c r="BG40" s="113"/>
      <c r="BH40" s="110"/>
      <c r="BI40" s="110"/>
      <c r="BJ40" s="110"/>
      <c r="BK40" s="110"/>
      <c r="BL40" s="110"/>
      <c r="BM40" s="110"/>
      <c r="BN40" s="110"/>
      <c r="BO40" s="1349"/>
      <c r="BP40" s="1350"/>
      <c r="BQ40" s="1350"/>
      <c r="BR40" s="1350"/>
      <c r="BS40" s="1350"/>
      <c r="BT40" s="1350"/>
      <c r="BU40" s="1351"/>
    </row>
    <row r="41" spans="2:73" ht="18.75" customHeight="1" thickBot="1" x14ac:dyDescent="0.25">
      <c r="B41" s="1365" t="str">
        <f>IF(ISERROR(AR46),"",TEXT(AR45,"0.0%"))</f>
        <v>22.0%</v>
      </c>
      <c r="C41" s="1366"/>
      <c r="D41" s="1367"/>
      <c r="E41" s="187" t="str">
        <f>IF(AU41=0,"N/A",CONCATENATE(TEXT(AV45,"0.0%")," of ",TEXT(AV44,"0.0%")))</f>
        <v>N/A</v>
      </c>
      <c r="F41" s="1369" t="str">
        <f>IF((graded_aca_events+graded_amn_events)&lt;1,"---",IF(AND(AW4,AX4),"INCOMPLETE",IF(AND(NOT(AW4),AX4),"ACA INC",IF(AND(AW4,NOT(AX4)),"AMN INC","COMPLETE"))))</f>
        <v>---</v>
      </c>
      <c r="G41" s="1369"/>
      <c r="H41" s="1369" t="str">
        <f>IF(AU4,IF(OR(AY4="UNK",NOT(AN6)),"---",IF(AY4,"UNSAT",IF(AVERAGEIFS(AT8:AT39,AS8:AS39,"&gt;0")&lt;0.9,"MARG","SAT"))),"N/A")</f>
        <v>---</v>
      </c>
      <c r="I41" s="1369"/>
      <c r="J41" s="1370" t="str">
        <f>IF(OR(AZ4="UNK",NOT(AM6)),"---",IF(OR(AZ4,AR45&lt;0.7),"FAIL","PASS"))</f>
        <v>---</v>
      </c>
      <c r="K41" s="1371"/>
      <c r="L41" s="188"/>
      <c r="M41" s="1372"/>
      <c r="N41" s="1372"/>
      <c r="O41" s="1373" t="s">
        <v>139</v>
      </c>
      <c r="P41" s="1373"/>
      <c r="Q41" s="1373" t="s">
        <v>139</v>
      </c>
      <c r="R41" s="1374"/>
      <c r="S41" s="189"/>
      <c r="T41" s="119" t="s">
        <v>249</v>
      </c>
      <c r="U41" s="160" t="s">
        <v>250</v>
      </c>
      <c r="V41" s="190"/>
      <c r="W41" s="190"/>
      <c r="X41" s="190"/>
      <c r="Y41" s="190"/>
      <c r="Z41" s="190"/>
      <c r="AA41" s="190"/>
      <c r="AB41" s="190"/>
      <c r="AC41" s="190"/>
      <c r="AD41" s="190"/>
      <c r="AE41" s="190"/>
      <c r="AF41" s="190"/>
      <c r="AG41" s="190"/>
      <c r="AH41" s="190"/>
      <c r="AI41" s="109"/>
      <c r="AJ41" s="108"/>
      <c r="AK41" s="190"/>
      <c r="AL41" s="190"/>
      <c r="AM41" s="190">
        <f>SUM(AM8:AM39)</f>
        <v>0</v>
      </c>
      <c r="AN41" s="190">
        <f>SUM(AN8:AN39)</f>
        <v>0</v>
      </c>
      <c r="AO41" s="119"/>
      <c r="AP41" s="108"/>
      <c r="AQ41" s="191">
        <f>SUMIF(AQ8:AQ39,"&gt;0")</f>
        <v>86</v>
      </c>
      <c r="AR41" s="192">
        <f>IF(AQ41=0,0,SUMPRODUCT($AQ$8:$AQ$39,AR8:AR39)/SUM($AQ$8:$AQ$39))</f>
        <v>0.21627906976744188</v>
      </c>
      <c r="AS41" s="193">
        <f>SUMIF(AS8:AS39,"&gt;0")</f>
        <v>5.0999999999999996</v>
      </c>
      <c r="AT41" s="192">
        <f>IF(AS41=0,0,SUMPRODUCT($AS$8:$AS$39,AT8:AT39)/SUM($AS$8:$AS$39))</f>
        <v>0.30000000000000004</v>
      </c>
      <c r="AU41" s="193">
        <f>SUM(AU9:AU39)</f>
        <v>0</v>
      </c>
      <c r="AV41" s="192">
        <f>IF(AU41=0,0,SUMPRODUCT($AU$8:$AU$39,AV8:AV39)/SUM($AU$8:$AU$39))</f>
        <v>0</v>
      </c>
      <c r="AW41" s="194"/>
      <c r="AX41" s="194"/>
      <c r="AY41" s="194"/>
      <c r="AZ41" s="194"/>
      <c r="BA41" s="194"/>
      <c r="BB41" s="194"/>
      <c r="BC41" s="110" t="s">
        <v>251</v>
      </c>
      <c r="BD41" s="110" t="s">
        <v>252</v>
      </c>
      <c r="BE41" s="110" t="s">
        <v>253</v>
      </c>
      <c r="BO41" s="1349"/>
      <c r="BP41" s="1350"/>
      <c r="BQ41" s="1350"/>
      <c r="BR41" s="1350"/>
      <c r="BS41" s="1350"/>
      <c r="BT41" s="1350"/>
      <c r="BU41" s="1351"/>
    </row>
    <row r="42" spans="2:73" ht="7.5" customHeight="1" thickTop="1" x14ac:dyDescent="0.2">
      <c r="L42" s="1368" t="s">
        <v>282</v>
      </c>
      <c r="M42" s="1368"/>
      <c r="N42" s="1368"/>
      <c r="O42" s="1368"/>
      <c r="P42" s="1368"/>
      <c r="Q42" s="1368"/>
      <c r="R42" s="1368"/>
      <c r="AP42" s="190"/>
      <c r="AQ42" s="108"/>
      <c r="AR42" s="108"/>
      <c r="AT42" s="192"/>
      <c r="AU42" s="192"/>
      <c r="AV42" s="192"/>
      <c r="AW42" s="108"/>
      <c r="AX42" s="192"/>
      <c r="BO42" s="1352"/>
      <c r="BP42" s="1353"/>
      <c r="BQ42" s="1353"/>
      <c r="BR42" s="1353"/>
      <c r="BS42" s="1353"/>
      <c r="BT42" s="1353"/>
      <c r="BU42" s="1354"/>
    </row>
    <row r="43" spans="2:73" ht="30.75" customHeight="1" x14ac:dyDescent="0.2">
      <c r="T43" s="195" t="s">
        <v>254</v>
      </c>
      <c r="U43" s="160" t="b">
        <v>1</v>
      </c>
      <c r="AI43" s="111">
        <f ca="1">SUMIF(AJ8:$AJ$39,"=" &amp; AJ8,AI9:$AI$39)</f>
        <v>0.05</v>
      </c>
      <c r="AO43" s="196"/>
      <c r="AS43" s="137" t="s">
        <v>255</v>
      </c>
      <c r="AT43" s="197">
        <f>SUMIF(X8:X39,"&gt;0")/SUMIF(W8:W39,"&gt;0")</f>
        <v>5.9302325581395345E-2</v>
      </c>
      <c r="AU43" s="137" t="s">
        <v>256</v>
      </c>
      <c r="AV43" s="100">
        <f>SUMIF(AU8:AU39,"&gt;0")/SUMIF(AQ8:AQ39,"&gt;0")</f>
        <v>0</v>
      </c>
      <c r="AW43" s="198"/>
      <c r="BE43" s="110" t="b">
        <f>AND(ISBLANK($K30),J30&gt;0)</f>
        <v>0</v>
      </c>
      <c r="BO43" s="110"/>
      <c r="BP43" s="110"/>
      <c r="BQ43" s="106"/>
    </row>
    <row r="44" spans="2:73" ht="30.75" customHeight="1" x14ac:dyDescent="0.2">
      <c r="J44" s="199"/>
      <c r="T44" s="200" t="s">
        <v>257</v>
      </c>
      <c r="U44" s="110" t="b">
        <f>IF(AND(Flight?,OR(AW4,AY4,BA4,AZ4,AR45&lt;0.7,H41="MARG")),TRUE,FALSE)</f>
        <v>1</v>
      </c>
      <c r="AO44" s="201"/>
      <c r="AQ44" s="137" t="s">
        <v>258</v>
      </c>
      <c r="AR44" s="197">
        <f>1-AT44</f>
        <v>0.95</v>
      </c>
      <c r="AS44" s="137" t="s">
        <v>259</v>
      </c>
      <c r="AT44" s="197">
        <f>MIN(AT43,AT6)</f>
        <v>0.05</v>
      </c>
      <c r="AU44" s="137" t="s">
        <v>260</v>
      </c>
      <c r="AV44" s="111">
        <f>MIN(AV43,AV6)</f>
        <v>0</v>
      </c>
      <c r="BO44" s="110"/>
      <c r="BP44" s="110"/>
      <c r="BQ44" s="106"/>
    </row>
    <row r="45" spans="2:73" ht="25.5" x14ac:dyDescent="0.2">
      <c r="T45" s="200" t="s">
        <v>261</v>
      </c>
      <c r="U45" s="110" t="b">
        <f>IF(OR(AX4,AY4,AZ4,BB4,AR45&lt;0.7),TRUE,FALSE)</f>
        <v>1</v>
      </c>
      <c r="AO45" s="202"/>
      <c r="AQ45" s="137" t="s">
        <v>262</v>
      </c>
      <c r="AR45" s="111">
        <f>AR41*(1-AT44)+(AT41*AT44)</f>
        <v>0.22046511627906978</v>
      </c>
      <c r="AU45" s="110" t="s">
        <v>196</v>
      </c>
      <c r="AV45" s="111">
        <f>AV41*AV44</f>
        <v>0</v>
      </c>
      <c r="BO45" s="110"/>
      <c r="BP45" s="110"/>
      <c r="BQ45" s="106"/>
    </row>
    <row r="46" spans="2:73" ht="25.5" x14ac:dyDescent="0.2">
      <c r="T46" s="200" t="s">
        <v>263</v>
      </c>
      <c r="U46" s="110" t="b">
        <v>0</v>
      </c>
      <c r="AO46" s="202"/>
      <c r="AQ46" s="137" t="s">
        <v>264</v>
      </c>
      <c r="AR46" s="111">
        <f>MIN(1,IF(NOT(OR(AY4,AZ4)),AR45+AV45,MIN(0.69,AR45+AV45)))</f>
        <v>0.22046511627906978</v>
      </c>
      <c r="BO46" s="110"/>
      <c r="BP46" s="110"/>
      <c r="BQ46" s="106"/>
    </row>
    <row r="47" spans="2:73" x14ac:dyDescent="0.2">
      <c r="T47" s="200" t="s">
        <v>265</v>
      </c>
      <c r="U47" s="110" t="b">
        <f>IF(NOT(Flight?),TRUE,NOT(OR(ISBLANK(comments),ISBLANK(hdr_class),ISBLANK(hdr_date),ISBLANK(hdr_stud),ISBLANK(hdr_instr),ISBLANK(hdr_acft),ISBLANK(hdr_time),F41="---")))</f>
        <v>0</v>
      </c>
      <c r="AO47" s="202"/>
      <c r="AR47" s="137"/>
      <c r="AS47" s="111"/>
    </row>
    <row r="48" spans="2:73" x14ac:dyDescent="0.2">
      <c r="T48" s="200" t="s">
        <v>266</v>
      </c>
      <c r="U48" s="110" t="b">
        <f>IF(Flight?,TRUE,NOT(OR(ISBLANK(comments),ISBLANK(hdr_class),ISBLANK(hdr_date),ISBLANK(hdr_stud),ISBLANK(hdr_instr),F41="---")))</f>
        <v>1</v>
      </c>
      <c r="AO48" s="201"/>
      <c r="AP48" s="108" t="s">
        <v>267</v>
      </c>
      <c r="AQ48" s="108"/>
      <c r="AR48" s="108"/>
      <c r="AS48" s="108"/>
      <c r="AT48" s="108"/>
    </row>
    <row r="49" spans="20:56" x14ac:dyDescent="0.2">
      <c r="T49" s="200" t="s">
        <v>268</v>
      </c>
      <c r="U49" s="110" t="b">
        <f>AND(U47:U48)</f>
        <v>0</v>
      </c>
      <c r="AO49" s="201"/>
      <c r="AP49" s="108"/>
      <c r="AQ49" s="108"/>
      <c r="AR49" s="108">
        <v>0</v>
      </c>
      <c r="AS49" s="108">
        <v>1</v>
      </c>
      <c r="AT49" s="108">
        <v>2</v>
      </c>
      <c r="AU49" s="108">
        <v>3</v>
      </c>
      <c r="AV49" s="108">
        <v>4</v>
      </c>
    </row>
    <row r="50" spans="20:56" x14ac:dyDescent="0.2">
      <c r="AO50" s="201"/>
      <c r="AP50" s="108" t="s">
        <v>227</v>
      </c>
      <c r="AQ50" s="108">
        <v>1</v>
      </c>
      <c r="AR50" s="203">
        <v>0.7</v>
      </c>
      <c r="AS50" s="203">
        <v>0.9</v>
      </c>
      <c r="AT50" s="203">
        <v>0.93330000000000002</v>
      </c>
      <c r="AU50" s="203">
        <v>0.9667</v>
      </c>
      <c r="AV50" s="203">
        <v>1</v>
      </c>
    </row>
    <row r="51" spans="20:56" x14ac:dyDescent="0.2">
      <c r="AO51" s="201"/>
      <c r="AP51" s="108" t="s">
        <v>228</v>
      </c>
      <c r="AQ51" s="108">
        <v>2</v>
      </c>
      <c r="AR51" s="203">
        <v>0.7</v>
      </c>
      <c r="AS51" s="203">
        <v>0.8</v>
      </c>
      <c r="AT51" s="203">
        <v>0.9</v>
      </c>
      <c r="AU51" s="203">
        <v>0.95</v>
      </c>
      <c r="AV51" s="203">
        <v>1</v>
      </c>
    </row>
    <row r="52" spans="20:56" x14ac:dyDescent="0.2">
      <c r="AO52" s="201"/>
      <c r="AP52" s="108" t="s">
        <v>229</v>
      </c>
      <c r="AQ52" s="108">
        <v>3</v>
      </c>
      <c r="AR52" s="203">
        <v>0.7</v>
      </c>
      <c r="AS52" s="203">
        <v>0.76670000000000005</v>
      </c>
      <c r="AT52" s="203">
        <v>0.83330000000000004</v>
      </c>
      <c r="AU52" s="203">
        <v>0.9</v>
      </c>
      <c r="AV52" s="203">
        <v>1</v>
      </c>
    </row>
    <row r="53" spans="20:56" x14ac:dyDescent="0.2">
      <c r="AP53" s="204" t="s">
        <v>230</v>
      </c>
      <c r="AQ53" s="108">
        <v>11</v>
      </c>
      <c r="AR53" s="203">
        <v>0.6</v>
      </c>
      <c r="AS53" s="203">
        <v>0.9</v>
      </c>
      <c r="AT53" s="203">
        <v>0.93330000000000002</v>
      </c>
      <c r="AU53" s="203">
        <v>0.9667</v>
      </c>
      <c r="AV53" s="203">
        <v>1</v>
      </c>
    </row>
    <row r="54" spans="20:56" x14ac:dyDescent="0.2">
      <c r="AP54" s="204" t="s">
        <v>231</v>
      </c>
      <c r="AQ54" s="108">
        <v>12</v>
      </c>
      <c r="AR54" s="203">
        <v>0.6</v>
      </c>
      <c r="AS54" s="203">
        <v>0.7</v>
      </c>
      <c r="AT54" s="203">
        <v>0.9</v>
      </c>
      <c r="AU54" s="203">
        <v>0.95</v>
      </c>
      <c r="AV54" s="203">
        <v>1</v>
      </c>
    </row>
    <row r="55" spans="20:56" x14ac:dyDescent="0.2">
      <c r="AP55" s="204" t="s">
        <v>232</v>
      </c>
      <c r="AQ55" s="108">
        <v>13</v>
      </c>
      <c r="AR55" s="203">
        <v>0.6</v>
      </c>
      <c r="AS55" s="203">
        <v>0.7</v>
      </c>
      <c r="AT55" s="203">
        <v>0.8</v>
      </c>
      <c r="AU55" s="203">
        <v>0.9</v>
      </c>
      <c r="AV55" s="203">
        <v>1</v>
      </c>
    </row>
    <row r="56" spans="20:56" x14ac:dyDescent="0.2">
      <c r="AP56" s="204" t="s">
        <v>233</v>
      </c>
      <c r="AQ56" s="108">
        <v>22</v>
      </c>
      <c r="AR56" s="203">
        <v>0.3</v>
      </c>
      <c r="AS56" s="203">
        <v>0.6</v>
      </c>
      <c r="AT56" s="203">
        <v>0.9</v>
      </c>
      <c r="AU56" s="203">
        <v>0.95</v>
      </c>
      <c r="AV56" s="203">
        <v>1</v>
      </c>
    </row>
    <row r="57" spans="20:56" x14ac:dyDescent="0.2">
      <c r="AP57" s="204" t="s">
        <v>234</v>
      </c>
      <c r="AQ57" s="108">
        <v>23</v>
      </c>
      <c r="AR57" s="203">
        <v>0.3</v>
      </c>
      <c r="AS57" s="203">
        <v>0.6</v>
      </c>
      <c r="AT57" s="203">
        <v>0.7</v>
      </c>
      <c r="AU57" s="203">
        <v>0.9</v>
      </c>
      <c r="AV57" s="203">
        <v>1</v>
      </c>
    </row>
    <row r="58" spans="20:56" x14ac:dyDescent="0.2">
      <c r="AP58" s="204" t="s">
        <v>235</v>
      </c>
      <c r="AQ58" s="108">
        <v>33</v>
      </c>
      <c r="AR58" s="203">
        <v>0</v>
      </c>
      <c r="AS58" s="203">
        <v>0.3</v>
      </c>
      <c r="AT58" s="203">
        <v>0.6</v>
      </c>
      <c r="AU58" s="203">
        <v>0.9</v>
      </c>
      <c r="AV58" s="203">
        <v>1</v>
      </c>
      <c r="AW58" s="83"/>
      <c r="AX58" s="84"/>
      <c r="BC58" s="84"/>
      <c r="BD58" s="84"/>
    </row>
    <row r="59" spans="20:56" x14ac:dyDescent="0.2">
      <c r="AW59" s="84"/>
      <c r="AX59" s="84"/>
      <c r="BC59" s="84"/>
      <c r="BD59" s="84"/>
    </row>
    <row r="60" spans="20:56" x14ac:dyDescent="0.2">
      <c r="AP60" s="84"/>
      <c r="AQ60" s="83"/>
      <c r="AR60" s="84"/>
      <c r="AS60" s="84"/>
      <c r="AT60" s="84"/>
      <c r="AU60" s="84"/>
      <c r="AV60" s="84"/>
      <c r="AW60" s="83"/>
      <c r="AX60" s="83"/>
      <c r="BC60" s="84"/>
      <c r="BD60" s="84"/>
    </row>
    <row r="61" spans="20:56" x14ac:dyDescent="0.2">
      <c r="AP61" s="101"/>
      <c r="AQ61" s="83"/>
      <c r="AR61" s="84"/>
      <c r="AS61" s="84"/>
      <c r="AT61" s="84"/>
      <c r="AU61" s="84"/>
      <c r="AV61" s="84"/>
      <c r="AW61" s="83"/>
      <c r="AX61" s="83"/>
      <c r="BC61" s="84"/>
      <c r="BD61" s="84"/>
    </row>
    <row r="62" spans="20:56" x14ac:dyDescent="0.2">
      <c r="AP62" s="83"/>
      <c r="AQ62" s="83"/>
      <c r="AR62" s="84"/>
      <c r="AS62" s="84"/>
      <c r="AT62" s="84"/>
      <c r="AU62" s="84"/>
      <c r="AV62" s="84"/>
      <c r="AW62" s="83"/>
      <c r="AX62" s="83"/>
      <c r="BC62" s="84"/>
      <c r="BD62" s="84"/>
    </row>
    <row r="63" spans="20:56" x14ac:dyDescent="0.2">
      <c r="AP63" s="83"/>
      <c r="AQ63" s="83"/>
      <c r="AR63" s="84"/>
      <c r="AS63" s="84"/>
      <c r="AT63" s="84"/>
      <c r="AU63" s="84"/>
      <c r="AV63" s="84"/>
      <c r="AW63" s="83"/>
      <c r="AX63" s="84"/>
      <c r="BC63" s="84"/>
      <c r="BD63" s="84"/>
    </row>
    <row r="64" spans="20:56" x14ac:dyDescent="0.2">
      <c r="AP64" s="83"/>
      <c r="AQ64" s="83"/>
      <c r="AR64" s="84"/>
      <c r="AS64" s="84"/>
      <c r="AT64" s="84"/>
      <c r="AU64" s="84"/>
      <c r="AV64" s="84"/>
      <c r="AW64" s="83"/>
      <c r="AX64" s="84"/>
      <c r="BC64" s="84"/>
      <c r="BD64" s="84"/>
    </row>
    <row r="65" spans="42:48" x14ac:dyDescent="0.2">
      <c r="AP65" s="83"/>
      <c r="AQ65" s="83"/>
      <c r="AR65" s="84"/>
      <c r="AS65" s="84"/>
      <c r="AT65" s="84"/>
      <c r="AU65" s="84"/>
      <c r="AV65" s="84"/>
    </row>
    <row r="66" spans="42:48" x14ac:dyDescent="0.2">
      <c r="AP66" s="83"/>
      <c r="AQ66" s="83"/>
      <c r="AR66" s="84"/>
      <c r="AS66" s="84"/>
      <c r="AT66" s="84"/>
      <c r="AU66" s="84"/>
      <c r="AV66" s="84"/>
    </row>
  </sheetData>
  <sheetProtection algorithmName="SHA-512" hashValue="QVG/tL9p5mD7MBvxnUp3UT7Vg0Qb6NN4uT2kIEJLb2jbHo6FtnxcvApPTbcy9UXihaBnV5dNo6r9yVw0Rvtb9w==" saltValue="KLBzzPHyS/wy9HfiGQaIdg==" spinCount="100000" sheet="1" selectLockedCell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89" priority="8" stopIfTrue="1">
      <formula>IF($Z8=1,TRUE,FALSE)</formula>
    </cfRule>
    <cfRule type="expression" dxfId="188" priority="9">
      <formula>IF($Z8=2,TRUE,FALSE)</formula>
    </cfRule>
  </conditionalFormatting>
  <conditionalFormatting sqref="C8:F39">
    <cfRule type="expression" dxfId="187" priority="1" stopIfTrue="1">
      <formula>IF($AF8=FALSE,TRUE,FALSE)</formula>
    </cfRule>
  </conditionalFormatting>
  <conditionalFormatting sqref="F5:G6 M5:P6">
    <cfRule type="expression" dxfId="186" priority="4" stopIfTrue="1">
      <formula>NOT($AU$4)</formula>
    </cfRule>
  </conditionalFormatting>
  <conditionalFormatting sqref="F6:G6">
    <cfRule type="cellIs" dxfId="185" priority="3" operator="equal">
      <formula>""</formula>
    </cfRule>
  </conditionalFormatting>
  <conditionalFormatting sqref="G8:K39">
    <cfRule type="expression" dxfId="184" priority="6" stopIfTrue="1">
      <formula>IF($Z8=1,TRUE,FALSE)</formula>
    </cfRule>
    <cfRule type="expression" dxfId="183" priority="7" stopIfTrue="1">
      <formula>IF($Z8=2,TRUE,FALSE)</formula>
    </cfRule>
  </conditionalFormatting>
  <conditionalFormatting sqref="H8:H39">
    <cfRule type="expression" dxfId="182" priority="10" stopIfTrue="1">
      <formula>IF($AB8=0,TRUE,FALSE)</formula>
    </cfRule>
  </conditionalFormatting>
  <conditionalFormatting sqref="H40:I41">
    <cfRule type="expression" dxfId="181" priority="2" stopIfTrue="1">
      <formula>IF($H$41="N/A",TRUE,FALSE)</formula>
    </cfRule>
  </conditionalFormatting>
  <conditionalFormatting sqref="H6:P6 O4:R4 B6 L8 L41 O41 Q41">
    <cfRule type="containsBlanks" dxfId="180" priority="5">
      <formula>LEN(TRIM(B4))=0</formula>
    </cfRule>
  </conditionalFormatting>
  <conditionalFormatting sqref="J8:J39">
    <cfRule type="expression" dxfId="179" priority="14">
      <formula>IF($Z8=1,FALSE,OR($BE8,$BD8))</formula>
    </cfRule>
  </conditionalFormatting>
  <conditionalFormatting sqref="J8:K39 C8:F39">
    <cfRule type="expression" dxfId="178" priority="13">
      <formula>IF($Z8=1,FALSE,OR($AW8,$AX8,$AY8,$AZ8))</formula>
    </cfRule>
  </conditionalFormatting>
  <conditionalFormatting sqref="J8:K39">
    <cfRule type="expression" dxfId="177" priority="11" stopIfTrue="1">
      <formula>IF(ISNA($Z8),TRUE,FALSE)</formula>
    </cfRule>
  </conditionalFormatting>
  <conditionalFormatting sqref="K8:K39">
    <cfRule type="expression" dxfId="176" priority="12">
      <formula>IF(OR($Z8=1,$Z8=2),FALSE,OR($BC8,$BE8,$BF8))</formula>
    </cfRule>
  </conditionalFormatting>
  <dataValidations count="6">
    <dataValidation type="list" allowBlank="1" showInputMessage="1" showErrorMessage="1" sqref="F6:G6" xr:uid="{982BAB11-A784-444B-BD69-43F771190B91}">
      <formula1>"No,Yes"</formula1>
    </dataValidation>
    <dataValidation type="list" allowBlank="1" showInputMessage="1" showErrorMessage="1" sqref="J8:J39" xr:uid="{02CBCE70-74BC-4D39-B5C2-5CF75A7B61D6}">
      <formula1>"NA,0,1,2,3,4,5,6,7,8,9,10,11,12,13,14,15"</formula1>
    </dataValidation>
    <dataValidation type="list" allowBlank="1" showInputMessage="1" showErrorMessage="1" sqref="K8:K39" xr:uid="{EA1007A3-4854-459C-81CB-EC6CECC46E4E}">
      <formula1>"D,0,1,2,3,4"</formula1>
    </dataValidation>
    <dataValidation showInputMessage="1" showErrorMessage="1" sqref="O41:R41" xr:uid="{A00171A3-DC1C-4257-B9B0-DC2C0C80AD51}"/>
    <dataValidation type="decimal" allowBlank="1" showInputMessage="1" showErrorMessage="1" sqref="O6:P6" xr:uid="{62699C1F-C931-4D58-B0A8-8E6F1D98ACD0}">
      <formula1>0</formula1>
      <formula2>10</formula2>
    </dataValidation>
    <dataValidation type="date" allowBlank="1" showInputMessage="1" showErrorMessage="1" sqref="Q4:R4" xr:uid="{5309AF97-4037-4648-8DBF-E73BFE2C74EE}">
      <formula1>41151</formula1>
      <formula2>77433</formula2>
    </dataValidation>
  </dataValidations>
  <hyperlinks>
    <hyperlink ref="BP3:BU4" location="SY!A1" display="SY Summary Page" xr:uid="{6C3888BD-4ECE-49FE-BD05-30BCC70C3346}"/>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889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890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890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890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890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EA6C9-E9D7-40A0-8910-D6238487B7F8}">
  <sheetPr codeName="Sheet22">
    <tabColor rgb="FFFF0000"/>
  </sheetPr>
  <dimension ref="A1:S54"/>
  <sheetViews>
    <sheetView topLeftCell="A15" workbookViewId="0">
      <selection activeCell="E31" sqref="E31"/>
    </sheetView>
  </sheetViews>
  <sheetFormatPr defaultRowHeight="15" x14ac:dyDescent="0.25"/>
  <cols>
    <col min="1" max="2" width="2.7109375" style="505" customWidth="1"/>
    <col min="3" max="3" width="9.7109375" style="505" customWidth="1"/>
    <col min="4" max="4" width="4.7109375" style="505" customWidth="1"/>
    <col min="5" max="10" width="9.7109375" style="505" customWidth="1"/>
    <col min="11" max="11" width="67.85546875" style="505" bestFit="1" customWidth="1"/>
    <col min="12" max="12" width="2.7109375" style="505" customWidth="1"/>
    <col min="13" max="16384" width="9.140625" style="505"/>
  </cols>
  <sheetData>
    <row r="1" spans="1:19" x14ac:dyDescent="0.25">
      <c r="A1" s="278"/>
      <c r="B1" s="278"/>
      <c r="C1" s="278"/>
      <c r="D1" s="278"/>
      <c r="E1" s="278"/>
      <c r="F1" s="278"/>
      <c r="G1" s="278"/>
      <c r="H1" s="278"/>
      <c r="I1" s="278"/>
      <c r="J1" s="278"/>
      <c r="K1" s="278"/>
      <c r="L1" s="278"/>
    </row>
    <row r="2" spans="1:19" ht="20.25" customHeight="1" x14ac:dyDescent="0.25">
      <c r="A2" s="281"/>
      <c r="B2" s="1666" t="s">
        <v>680</v>
      </c>
      <c r="C2" s="1666"/>
      <c r="D2" s="1666"/>
      <c r="E2" s="1666"/>
      <c r="F2" s="1666"/>
      <c r="G2" s="1666"/>
      <c r="H2" s="1666"/>
      <c r="I2" s="1666"/>
      <c r="J2" s="1666"/>
      <c r="K2" s="1666"/>
      <c r="L2" s="345"/>
    </row>
    <row r="3" spans="1:19" ht="20.25" x14ac:dyDescent="0.25">
      <c r="A3" s="278"/>
      <c r="B3" s="292"/>
      <c r="C3" s="292"/>
      <c r="D3" s="292"/>
      <c r="E3" s="346"/>
      <c r="F3" s="311"/>
      <c r="G3" s="293"/>
      <c r="H3" s="293"/>
      <c r="I3" s="293"/>
      <c r="J3" s="293"/>
      <c r="K3" s="293"/>
      <c r="L3" s="347"/>
      <c r="M3" s="286"/>
      <c r="N3" s="1667" t="s">
        <v>499</v>
      </c>
      <c r="O3" s="1667"/>
      <c r="P3" s="1667"/>
      <c r="Q3" s="1667"/>
      <c r="R3" s="1667"/>
      <c r="S3" s="1667"/>
    </row>
    <row r="4" spans="1:19" ht="18" x14ac:dyDescent="0.25">
      <c r="A4" s="348"/>
      <c r="B4" s="322"/>
      <c r="C4" s="1544" t="s">
        <v>462</v>
      </c>
      <c r="D4" s="1545"/>
      <c r="E4" s="1546"/>
      <c r="F4" s="1547"/>
      <c r="G4" s="1547"/>
      <c r="H4" s="1548"/>
      <c r="I4" s="287"/>
      <c r="K4" s="293"/>
      <c r="L4" s="347"/>
      <c r="N4" s="1667"/>
      <c r="O4" s="1667"/>
      <c r="P4" s="1667"/>
      <c r="Q4" s="1667"/>
      <c r="R4" s="1667"/>
      <c r="S4" s="1667"/>
    </row>
    <row r="5" spans="1:19" ht="18" x14ac:dyDescent="0.25">
      <c r="A5" s="348"/>
      <c r="B5" s="322"/>
      <c r="C5" s="287"/>
      <c r="D5" s="287"/>
      <c r="E5" s="287"/>
      <c r="F5" s="289"/>
      <c r="G5" s="287"/>
      <c r="H5" s="287"/>
      <c r="I5" s="287"/>
      <c r="J5" s="287"/>
      <c r="K5" s="293"/>
      <c r="L5" s="347"/>
    </row>
    <row r="6" spans="1:19" ht="18" x14ac:dyDescent="0.25">
      <c r="A6" s="348"/>
      <c r="B6" s="322"/>
      <c r="C6" s="290" t="s">
        <v>464</v>
      </c>
      <c r="D6" s="291"/>
      <c r="E6" s="287"/>
      <c r="F6" s="1546"/>
      <c r="G6" s="1547"/>
      <c r="H6" s="1548"/>
      <c r="J6" s="287"/>
      <c r="K6" s="293"/>
      <c r="L6" s="347"/>
    </row>
    <row r="7" spans="1:19" x14ac:dyDescent="0.25">
      <c r="A7" s="278"/>
      <c r="B7" s="292"/>
      <c r="C7" s="292"/>
      <c r="D7" s="292"/>
      <c r="E7" s="349"/>
      <c r="F7" s="350"/>
      <c r="G7" s="292"/>
      <c r="H7" s="292"/>
      <c r="I7" s="292"/>
      <c r="J7" s="292"/>
      <c r="K7" s="292"/>
      <c r="L7" s="278"/>
    </row>
    <row r="8" spans="1:19" ht="15.75" x14ac:dyDescent="0.25">
      <c r="A8" s="278"/>
      <c r="B8" s="292"/>
      <c r="C8" s="296" t="s">
        <v>465</v>
      </c>
      <c r="D8" s="296"/>
      <c r="E8" s="296" t="s">
        <v>466</v>
      </c>
      <c r="F8" s="311"/>
      <c r="G8" s="288" t="s">
        <v>463</v>
      </c>
      <c r="H8" s="1549"/>
      <c r="I8" s="1550"/>
      <c r="J8" s="292"/>
      <c r="K8" s="292"/>
      <c r="L8" s="278"/>
    </row>
    <row r="9" spans="1:19" ht="15.75" thickBot="1" x14ac:dyDescent="0.3">
      <c r="A9" s="278"/>
      <c r="B9" s="292"/>
      <c r="C9" s="292"/>
      <c r="D9" s="292"/>
      <c r="E9" s="292"/>
      <c r="F9" s="292"/>
      <c r="G9" s="292"/>
      <c r="H9" s="292"/>
      <c r="I9" s="292"/>
      <c r="J9" s="292"/>
      <c r="K9" s="292"/>
      <c r="L9" s="278"/>
    </row>
    <row r="10" spans="1:19" ht="16.5" thickBot="1" x14ac:dyDescent="0.3">
      <c r="A10" s="278"/>
      <c r="B10" s="292"/>
      <c r="C10" s="351">
        <f>SUM(C11:C14)</f>
        <v>0.6</v>
      </c>
      <c r="D10" s="292"/>
      <c r="E10" s="308">
        <f>SUM($C11*E11,$C12*E12,$C13*E13,$C14*E14)/$C10</f>
        <v>0</v>
      </c>
      <c r="F10" s="310" t="s">
        <v>517</v>
      </c>
      <c r="G10" s="292"/>
      <c r="H10" s="292"/>
      <c r="I10" s="292"/>
      <c r="J10" s="292"/>
      <c r="K10" s="292"/>
      <c r="L10" s="278"/>
    </row>
    <row r="11" spans="1:19" x14ac:dyDescent="0.25">
      <c r="A11" s="278"/>
      <c r="B11" s="292"/>
      <c r="C11" s="352">
        <v>0.2</v>
      </c>
      <c r="D11" s="292"/>
      <c r="E11" s="506"/>
      <c r="F11" s="315" t="s">
        <v>518</v>
      </c>
      <c r="G11" s="292"/>
      <c r="H11" s="292"/>
      <c r="I11" s="292"/>
      <c r="J11" s="292"/>
      <c r="K11" s="292"/>
      <c r="L11" s="278"/>
    </row>
    <row r="12" spans="1:19" x14ac:dyDescent="0.25">
      <c r="A12" s="278"/>
      <c r="B12" s="292"/>
      <c r="C12" s="354">
        <v>0.15</v>
      </c>
      <c r="D12" s="292"/>
      <c r="E12" s="507"/>
      <c r="F12" s="315" t="s">
        <v>519</v>
      </c>
      <c r="G12" s="292"/>
      <c r="H12" s="301"/>
      <c r="I12" s="298"/>
      <c r="J12" s="292"/>
      <c r="K12" s="292"/>
      <c r="L12" s="278"/>
    </row>
    <row r="13" spans="1:19" x14ac:dyDescent="0.25">
      <c r="A13" s="278"/>
      <c r="B13" s="292"/>
      <c r="C13" s="354">
        <v>0.15</v>
      </c>
      <c r="D13" s="292"/>
      <c r="E13" s="507"/>
      <c r="F13" s="315" t="s">
        <v>520</v>
      </c>
      <c r="G13" s="292"/>
      <c r="H13" s="301"/>
      <c r="I13" s="298"/>
      <c r="J13" s="292"/>
      <c r="K13" s="292"/>
      <c r="L13" s="278"/>
    </row>
    <row r="14" spans="1:19" x14ac:dyDescent="0.25">
      <c r="A14" s="278"/>
      <c r="B14" s="292"/>
      <c r="C14" s="354">
        <v>0.1</v>
      </c>
      <c r="D14" s="292"/>
      <c r="E14" s="507"/>
      <c r="F14" s="315" t="s">
        <v>521</v>
      </c>
      <c r="G14" s="292"/>
      <c r="H14" s="301"/>
      <c r="I14" s="298"/>
      <c r="J14" s="292"/>
      <c r="K14" s="292"/>
      <c r="L14" s="278"/>
    </row>
    <row r="15" spans="1:19" ht="15.75" thickBot="1" x14ac:dyDescent="0.3">
      <c r="A15" s="278"/>
      <c r="B15" s="292"/>
      <c r="C15" s="292"/>
      <c r="D15" s="292"/>
      <c r="E15" s="508"/>
      <c r="F15" s="320"/>
      <c r="G15" s="292"/>
      <c r="H15" s="292"/>
      <c r="I15" s="292"/>
      <c r="J15" s="292"/>
      <c r="K15" s="292"/>
      <c r="L15" s="278"/>
    </row>
    <row r="16" spans="1:19" ht="16.5" thickBot="1" x14ac:dyDescent="0.3">
      <c r="A16" s="278"/>
      <c r="B16" s="292"/>
      <c r="C16" s="351">
        <f>SUM(C17:C18)</f>
        <v>0.1</v>
      </c>
      <c r="D16" s="292"/>
      <c r="E16" s="509">
        <f>SUM($C17*E17,$C18*E18)/$C16</f>
        <v>0</v>
      </c>
      <c r="F16" s="310" t="s">
        <v>522</v>
      </c>
      <c r="G16" s="292"/>
      <c r="H16" s="292"/>
      <c r="I16" s="292"/>
      <c r="J16" s="292"/>
      <c r="K16" s="292"/>
      <c r="L16" s="278"/>
    </row>
    <row r="17" spans="1:12" x14ac:dyDescent="0.25">
      <c r="A17" s="278"/>
      <c r="B17" s="292"/>
      <c r="C17" s="352">
        <v>0.05</v>
      </c>
      <c r="D17" s="292"/>
      <c r="E17" s="506"/>
      <c r="F17" s="315" t="s">
        <v>523</v>
      </c>
      <c r="G17" s="292"/>
      <c r="H17" s="292"/>
      <c r="I17" s="292"/>
      <c r="J17" s="292"/>
      <c r="K17" s="292"/>
      <c r="L17" s="278"/>
    </row>
    <row r="18" spans="1:12" x14ac:dyDescent="0.25">
      <c r="A18" s="278"/>
      <c r="B18" s="292"/>
      <c r="C18" s="354">
        <v>0.05</v>
      </c>
      <c r="D18" s="292"/>
      <c r="E18" s="507"/>
      <c r="F18" s="315" t="s">
        <v>524</v>
      </c>
      <c r="G18" s="292"/>
      <c r="H18" s="292"/>
      <c r="I18" s="292"/>
      <c r="J18" s="292"/>
      <c r="K18" s="292"/>
      <c r="L18" s="278"/>
    </row>
    <row r="19" spans="1:12" ht="15.75" thickBot="1" x14ac:dyDescent="0.3">
      <c r="A19" s="278"/>
      <c r="B19" s="292"/>
      <c r="C19" s="292"/>
      <c r="D19" s="292"/>
      <c r="E19" s="508"/>
      <c r="F19" s="320"/>
      <c r="G19" s="292"/>
      <c r="H19" s="292"/>
      <c r="I19" s="292"/>
      <c r="J19" s="292"/>
      <c r="K19" s="292"/>
      <c r="L19" s="278"/>
    </row>
    <row r="20" spans="1:12" ht="16.5" thickBot="1" x14ac:dyDescent="0.3">
      <c r="A20" s="278"/>
      <c r="B20" s="292"/>
      <c r="C20" s="351">
        <f>SUM(C21:C24)</f>
        <v>0.15000000000000002</v>
      </c>
      <c r="D20" s="292"/>
      <c r="E20" s="509">
        <f>SUM($C21*E21,$C22*E22,$C23*E23,$C24*E24)/$C20</f>
        <v>0</v>
      </c>
      <c r="F20" s="310" t="s">
        <v>525</v>
      </c>
      <c r="G20" s="292"/>
      <c r="H20" s="292"/>
      <c r="I20" s="292"/>
      <c r="J20" s="292"/>
      <c r="K20" s="292"/>
      <c r="L20" s="278"/>
    </row>
    <row r="21" spans="1:12" x14ac:dyDescent="0.25">
      <c r="A21" s="278"/>
      <c r="B21" s="292"/>
      <c r="C21" s="352">
        <v>0.03</v>
      </c>
      <c r="D21" s="292"/>
      <c r="E21" s="506"/>
      <c r="F21" s="315" t="s">
        <v>526</v>
      </c>
      <c r="G21" s="292"/>
      <c r="H21" s="292"/>
      <c r="I21" s="292"/>
      <c r="J21" s="292"/>
      <c r="K21" s="292"/>
      <c r="L21" s="278"/>
    </row>
    <row r="22" spans="1:12" x14ac:dyDescent="0.25">
      <c r="A22" s="278"/>
      <c r="B22" s="292"/>
      <c r="C22" s="354">
        <v>0.04</v>
      </c>
      <c r="D22" s="292"/>
      <c r="E22" s="507"/>
      <c r="F22" s="315" t="s">
        <v>527</v>
      </c>
      <c r="G22" s="292"/>
      <c r="H22" s="292"/>
      <c r="I22" s="292"/>
      <c r="J22" s="292"/>
      <c r="K22" s="292"/>
      <c r="L22" s="278"/>
    </row>
    <row r="23" spans="1:12" x14ac:dyDescent="0.25">
      <c r="A23" s="278"/>
      <c r="B23" s="292"/>
      <c r="C23" s="354">
        <v>0.04</v>
      </c>
      <c r="D23" s="292"/>
      <c r="E23" s="507"/>
      <c r="F23" s="315" t="s">
        <v>528</v>
      </c>
      <c r="G23" s="292"/>
      <c r="H23" s="292"/>
      <c r="I23" s="292"/>
      <c r="J23" s="292"/>
      <c r="K23" s="292"/>
      <c r="L23" s="278"/>
    </row>
    <row r="24" spans="1:12" x14ac:dyDescent="0.25">
      <c r="A24" s="278"/>
      <c r="B24" s="292"/>
      <c r="C24" s="354">
        <v>0.04</v>
      </c>
      <c r="D24" s="292"/>
      <c r="E24" s="506"/>
      <c r="F24" s="315" t="s">
        <v>529</v>
      </c>
      <c r="G24" s="292"/>
      <c r="H24" s="292"/>
      <c r="I24" s="292"/>
      <c r="J24" s="292"/>
      <c r="K24" s="292"/>
      <c r="L24" s="278"/>
    </row>
    <row r="25" spans="1:12" ht="15.75" thickBot="1" x14ac:dyDescent="0.3">
      <c r="A25" s="278"/>
      <c r="B25" s="292"/>
      <c r="C25" s="292"/>
      <c r="D25" s="292"/>
      <c r="E25" s="508"/>
      <c r="F25" s="320"/>
      <c r="G25" s="292"/>
      <c r="H25" s="292"/>
      <c r="I25" s="292"/>
      <c r="J25" s="292"/>
      <c r="K25" s="292"/>
      <c r="L25" s="278"/>
    </row>
    <row r="26" spans="1:12" ht="16.5" thickBot="1" x14ac:dyDescent="0.3">
      <c r="A26" s="278"/>
      <c r="B26" s="292"/>
      <c r="C26" s="351">
        <f>SUM(C27:C29)</f>
        <v>0.15000000000000002</v>
      </c>
      <c r="D26" s="292"/>
      <c r="E26" s="510">
        <f>SUM($C$27*E$27,$C$28*$E$28,$C$29*$E$29)/$C$26</f>
        <v>0</v>
      </c>
      <c r="F26" s="359"/>
      <c r="G26" s="359"/>
      <c r="H26" s="359"/>
      <c r="I26" s="359"/>
      <c r="J26" s="359"/>
      <c r="K26" s="343" t="s">
        <v>530</v>
      </c>
      <c r="L26" s="278"/>
    </row>
    <row r="27" spans="1:12" x14ac:dyDescent="0.25">
      <c r="A27" s="278"/>
      <c r="B27" s="292"/>
      <c r="C27" s="354">
        <v>0.05</v>
      </c>
      <c r="D27" s="292"/>
      <c r="E27" s="507"/>
      <c r="F27" s="360"/>
      <c r="G27" s="360"/>
      <c r="H27" s="360"/>
      <c r="I27" s="360"/>
      <c r="J27" s="360"/>
      <c r="K27" s="361" t="s">
        <v>531</v>
      </c>
      <c r="L27" s="278"/>
    </row>
    <row r="28" spans="1:12" x14ac:dyDescent="0.25">
      <c r="A28" s="278"/>
      <c r="B28" s="292"/>
      <c r="C28" s="354">
        <v>0.05</v>
      </c>
      <c r="D28" s="292"/>
      <c r="E28" s="507"/>
      <c r="F28" s="360"/>
      <c r="G28" s="360"/>
      <c r="H28" s="360"/>
      <c r="I28" s="360"/>
      <c r="J28" s="360"/>
      <c r="K28" s="361" t="s">
        <v>532</v>
      </c>
      <c r="L28" s="278"/>
    </row>
    <row r="29" spans="1:12" x14ac:dyDescent="0.25">
      <c r="A29" s="278"/>
      <c r="B29" s="292"/>
      <c r="C29" s="354">
        <v>0.05</v>
      </c>
      <c r="D29" s="292"/>
      <c r="E29" s="507"/>
      <c r="F29" s="360"/>
      <c r="G29" s="360"/>
      <c r="H29" s="360"/>
      <c r="I29" s="360"/>
      <c r="J29" s="360"/>
      <c r="K29" s="361" t="s">
        <v>533</v>
      </c>
      <c r="L29" s="278"/>
    </row>
    <row r="30" spans="1:12" ht="15.75" thickBot="1" x14ac:dyDescent="0.3">
      <c r="A30" s="278"/>
      <c r="B30" s="292"/>
      <c r="C30" s="292"/>
      <c r="D30" s="292"/>
      <c r="E30" s="292"/>
      <c r="F30" s="292"/>
      <c r="G30" s="292"/>
      <c r="H30" s="292"/>
      <c r="I30" s="292"/>
      <c r="J30" s="292"/>
      <c r="K30" s="292"/>
      <c r="L30" s="278"/>
    </row>
    <row r="31" spans="1:12" ht="17.25" thickTop="1" thickBot="1" x14ac:dyDescent="0.3">
      <c r="A31" s="278"/>
      <c r="B31" s="292"/>
      <c r="C31" s="351">
        <f>C10+C20+C16+C26</f>
        <v>1</v>
      </c>
      <c r="D31" s="305"/>
      <c r="E31" s="362">
        <f>SUM($C10*E10,$C20*E20,$C16*E16,C26*E26)/100</f>
        <v>0</v>
      </c>
      <c r="F31" s="363"/>
      <c r="G31" s="363"/>
      <c r="H31" s="363"/>
      <c r="I31" s="363"/>
      <c r="J31" s="363"/>
      <c r="K31" s="310" t="s">
        <v>534</v>
      </c>
      <c r="L31" s="278"/>
    </row>
    <row r="32" spans="1:12" x14ac:dyDescent="0.25">
      <c r="A32" s="278"/>
      <c r="B32" s="292"/>
      <c r="C32" s="292"/>
      <c r="D32" s="292"/>
      <c r="E32" s="364" t="s">
        <v>535</v>
      </c>
      <c r="F32" s="364" t="s">
        <v>536</v>
      </c>
      <c r="G32" s="364" t="s">
        <v>537</v>
      </c>
      <c r="H32" s="364" t="s">
        <v>538</v>
      </c>
      <c r="I32" s="364" t="s">
        <v>539</v>
      </c>
      <c r="J32" s="364" t="s">
        <v>540</v>
      </c>
      <c r="K32" s="292"/>
      <c r="L32" s="278"/>
    </row>
    <row r="33" spans="1:12" x14ac:dyDescent="0.25">
      <c r="A33" s="278"/>
      <c r="B33" s="292"/>
      <c r="C33" s="292"/>
      <c r="D33" s="292"/>
      <c r="E33" s="317"/>
      <c r="F33" s="317"/>
      <c r="G33" s="317"/>
      <c r="H33" s="317"/>
      <c r="I33" s="317"/>
      <c r="J33" s="317"/>
      <c r="K33" s="361" t="s">
        <v>541</v>
      </c>
      <c r="L33" s="278"/>
    </row>
    <row r="34" spans="1:12" x14ac:dyDescent="0.25">
      <c r="A34" s="278"/>
      <c r="B34" s="292"/>
      <c r="C34" s="292"/>
      <c r="D34" s="292"/>
      <c r="E34" s="292"/>
      <c r="F34" s="292"/>
      <c r="G34" s="292"/>
      <c r="H34" s="292"/>
      <c r="I34" s="292"/>
      <c r="J34" s="292"/>
      <c r="K34" s="292"/>
      <c r="L34" s="278"/>
    </row>
    <row r="35" spans="1:12" ht="15.75" x14ac:dyDescent="0.25">
      <c r="A35" s="278"/>
      <c r="B35" s="292"/>
      <c r="C35" s="339" t="s">
        <v>494</v>
      </c>
      <c r="D35" s="340"/>
      <c r="E35" s="1656"/>
      <c r="F35" s="1657"/>
      <c r="G35" s="1657"/>
      <c r="H35" s="1657"/>
      <c r="I35" s="1658"/>
      <c r="K35" s="292"/>
      <c r="L35" s="278"/>
    </row>
    <row r="36" spans="1:12" ht="15.75" x14ac:dyDescent="0.25">
      <c r="A36" s="278"/>
      <c r="B36" s="292"/>
      <c r="C36" s="341"/>
      <c r="D36" s="340"/>
      <c r="E36" s="1659"/>
      <c r="F36" s="1660"/>
      <c r="G36" s="1660"/>
      <c r="H36" s="1660"/>
      <c r="I36" s="1661"/>
      <c r="K36" s="292"/>
      <c r="L36" s="278"/>
    </row>
    <row r="37" spans="1:12" ht="15.75" x14ac:dyDescent="0.25">
      <c r="A37" s="278"/>
      <c r="B37" s="292"/>
      <c r="C37" s="341"/>
      <c r="D37" s="340"/>
      <c r="E37" s="1659"/>
      <c r="F37" s="1660"/>
      <c r="G37" s="1660"/>
      <c r="H37" s="1660"/>
      <c r="I37" s="1661"/>
      <c r="K37" s="292"/>
      <c r="L37" s="278"/>
    </row>
    <row r="38" spans="1:12" ht="15.75" x14ac:dyDescent="0.25">
      <c r="A38" s="304"/>
      <c r="B38" s="305"/>
      <c r="C38" s="341"/>
      <c r="D38" s="340"/>
      <c r="E38" s="1659"/>
      <c r="F38" s="1660"/>
      <c r="G38" s="1660"/>
      <c r="H38" s="1660"/>
      <c r="I38" s="1661"/>
      <c r="J38" s="342"/>
      <c r="K38" s="292"/>
      <c r="L38" s="278"/>
    </row>
    <row r="39" spans="1:12" ht="15.75" x14ac:dyDescent="0.25">
      <c r="A39" s="278"/>
      <c r="B39" s="292"/>
      <c r="C39" s="341"/>
      <c r="D39" s="340"/>
      <c r="E39" s="1659"/>
      <c r="F39" s="1660"/>
      <c r="G39" s="1660"/>
      <c r="H39" s="1660"/>
      <c r="I39" s="1661"/>
      <c r="J39" s="342"/>
      <c r="K39" s="292"/>
      <c r="L39" s="278"/>
    </row>
    <row r="40" spans="1:12" x14ac:dyDescent="0.25">
      <c r="A40" s="278"/>
      <c r="B40" s="292"/>
      <c r="C40" s="103"/>
      <c r="D40" s="103"/>
      <c r="E40" s="1659"/>
      <c r="F40" s="1660"/>
      <c r="G40" s="1660"/>
      <c r="H40" s="1660"/>
      <c r="I40" s="1661"/>
      <c r="J40" s="103"/>
      <c r="K40" s="292"/>
      <c r="L40" s="278"/>
    </row>
    <row r="41" spans="1:12" x14ac:dyDescent="0.25">
      <c r="A41" s="278"/>
      <c r="B41" s="292"/>
      <c r="C41" s="103"/>
      <c r="D41" s="103"/>
      <c r="E41" s="1659"/>
      <c r="F41" s="1660"/>
      <c r="G41" s="1660"/>
      <c r="H41" s="1660"/>
      <c r="I41" s="1661"/>
      <c r="J41" s="103"/>
      <c r="K41" s="292"/>
      <c r="L41" s="278"/>
    </row>
    <row r="42" spans="1:12" x14ac:dyDescent="0.25">
      <c r="A42" s="278"/>
      <c r="B42" s="292"/>
      <c r="C42" s="103"/>
      <c r="D42" s="103"/>
      <c r="E42" s="1659"/>
      <c r="F42" s="1660"/>
      <c r="G42" s="1660"/>
      <c r="H42" s="1660"/>
      <c r="I42" s="1661"/>
      <c r="J42" s="103"/>
      <c r="K42" s="292"/>
      <c r="L42" s="278"/>
    </row>
    <row r="43" spans="1:12" x14ac:dyDescent="0.25">
      <c r="A43" s="278"/>
      <c r="B43" s="292"/>
      <c r="C43" s="103"/>
      <c r="D43" s="103"/>
      <c r="E43" s="1662"/>
      <c r="F43" s="1663"/>
      <c r="G43" s="1663"/>
      <c r="H43" s="1663"/>
      <c r="I43" s="1664"/>
      <c r="J43" s="103"/>
      <c r="K43" s="292"/>
      <c r="L43" s="278"/>
    </row>
    <row r="44" spans="1:12" x14ac:dyDescent="0.25">
      <c r="A44" s="278"/>
      <c r="B44" s="292"/>
      <c r="C44" s="292"/>
      <c r="D44" s="292"/>
      <c r="E44" s="292"/>
      <c r="F44" s="292"/>
      <c r="G44" s="292"/>
      <c r="H44" s="292"/>
      <c r="I44" s="292"/>
      <c r="J44" s="292"/>
      <c r="K44" s="292"/>
      <c r="L44" s="278"/>
    </row>
    <row r="45" spans="1:12" x14ac:dyDescent="0.25">
      <c r="A45" s="278"/>
      <c r="B45" s="292"/>
      <c r="C45" s="292"/>
      <c r="D45" s="292"/>
      <c r="E45" s="1538" t="s">
        <v>269</v>
      </c>
      <c r="F45" s="1538"/>
      <c r="G45" s="1538"/>
      <c r="H45" s="292"/>
      <c r="I45" s="292"/>
      <c r="J45" s="292"/>
      <c r="K45" s="292"/>
      <c r="L45" s="278"/>
    </row>
    <row r="46" spans="1:12" x14ac:dyDescent="0.25">
      <c r="A46" s="278"/>
      <c r="B46" s="292"/>
      <c r="C46" s="292"/>
      <c r="D46" s="292"/>
      <c r="E46" s="1665"/>
      <c r="F46" s="1665"/>
      <c r="G46" s="1665"/>
      <c r="H46" s="292"/>
      <c r="I46" s="292"/>
      <c r="J46" s="292"/>
      <c r="K46" s="292"/>
      <c r="L46" s="278"/>
    </row>
    <row r="47" spans="1:12" x14ac:dyDescent="0.25">
      <c r="A47" s="278"/>
      <c r="B47" s="292"/>
      <c r="C47" s="292"/>
      <c r="D47" s="292"/>
      <c r="E47" s="1665"/>
      <c r="F47" s="1665"/>
      <c r="G47" s="1665"/>
      <c r="H47" s="292"/>
      <c r="I47" s="292"/>
      <c r="J47" s="292"/>
      <c r="K47" s="292"/>
      <c r="L47" s="278"/>
    </row>
    <row r="48" spans="1:12" x14ac:dyDescent="0.25">
      <c r="A48" s="278"/>
      <c r="B48" s="292"/>
      <c r="C48" s="292"/>
      <c r="D48" s="292"/>
      <c r="E48" s="292"/>
      <c r="F48" s="292"/>
      <c r="G48" s="292"/>
      <c r="H48" s="292"/>
      <c r="I48" s="292"/>
      <c r="J48" s="292"/>
      <c r="K48" s="292"/>
      <c r="L48" s="278"/>
    </row>
    <row r="49" spans="1:12" x14ac:dyDescent="0.25">
      <c r="A49" s="278"/>
      <c r="B49" s="292"/>
      <c r="C49" s="292"/>
      <c r="D49" s="292"/>
      <c r="E49" s="292"/>
      <c r="F49" s="292"/>
      <c r="G49" s="292"/>
      <c r="H49" s="292"/>
      <c r="I49" s="292"/>
      <c r="J49" s="292"/>
      <c r="K49" s="292"/>
      <c r="L49" s="278"/>
    </row>
    <row r="50" spans="1:12" x14ac:dyDescent="0.25">
      <c r="A50" s="278"/>
      <c r="B50" s="292"/>
      <c r="C50" s="292"/>
      <c r="D50" s="292"/>
      <c r="E50" s="292"/>
      <c r="F50" s="292"/>
      <c r="G50" s="292"/>
      <c r="H50" s="292"/>
      <c r="I50" s="292"/>
      <c r="J50" s="292"/>
      <c r="K50" s="292"/>
      <c r="L50" s="278"/>
    </row>
    <row r="51" spans="1:12" x14ac:dyDescent="0.25">
      <c r="A51" s="278"/>
      <c r="B51" s="292"/>
      <c r="C51" s="292"/>
      <c r="D51" s="292"/>
      <c r="E51" s="292"/>
      <c r="F51" s="292"/>
      <c r="G51" s="292"/>
      <c r="H51" s="292"/>
      <c r="I51" s="292"/>
      <c r="J51" s="292"/>
      <c r="K51" s="292"/>
      <c r="L51" s="278"/>
    </row>
    <row r="52" spans="1:12" x14ac:dyDescent="0.25">
      <c r="A52" s="278"/>
      <c r="B52" s="292"/>
      <c r="C52" s="292"/>
      <c r="D52" s="292"/>
      <c r="E52" s="292"/>
      <c r="F52" s="292"/>
      <c r="G52" s="292"/>
      <c r="H52" s="292"/>
      <c r="I52" s="292"/>
      <c r="J52" s="292"/>
      <c r="K52" s="292"/>
      <c r="L52" s="278"/>
    </row>
    <row r="53" spans="1:12" ht="15.75" x14ac:dyDescent="0.25">
      <c r="A53" s="278"/>
      <c r="B53" s="343" t="s">
        <v>495</v>
      </c>
      <c r="C53" s="292"/>
      <c r="D53" s="292"/>
      <c r="E53" s="292"/>
      <c r="F53" s="292"/>
      <c r="G53" s="292"/>
      <c r="H53" s="292"/>
      <c r="I53" s="292"/>
      <c r="J53" s="292"/>
      <c r="K53" s="292"/>
      <c r="L53" s="278"/>
    </row>
    <row r="54" spans="1:12" x14ac:dyDescent="0.25">
      <c r="A54" s="278"/>
      <c r="B54" s="278"/>
      <c r="C54" s="278"/>
      <c r="D54" s="278"/>
      <c r="E54" s="278"/>
      <c r="F54" s="278"/>
      <c r="G54" s="278"/>
      <c r="H54" s="278"/>
      <c r="I54" s="278"/>
      <c r="J54" s="278"/>
      <c r="K54" s="278"/>
      <c r="L54" s="278"/>
    </row>
  </sheetData>
  <sheetProtection algorithmName="SHA-512" hashValue="6OuSA69JvekW1MIQ5PVG1Z41hU6eS1Mczw65d6m+lM5vnurMNgOHvSOJtQeBa411hvGMjUPx424PwNrQIQsdUQ==" saltValue="YDqbU9Z17VC9SwbiSHlM5Q==" spinCount="100000" sheet="1"/>
  <mergeCells count="9">
    <mergeCell ref="E35:I43"/>
    <mergeCell ref="E45:G45"/>
    <mergeCell ref="E46:G47"/>
    <mergeCell ref="B2:K2"/>
    <mergeCell ref="N3:S4"/>
    <mergeCell ref="C4:D4"/>
    <mergeCell ref="E4:H4"/>
    <mergeCell ref="F6:H6"/>
    <mergeCell ref="H8:I8"/>
  </mergeCells>
  <conditionalFormatting sqref="E4 H8 F6">
    <cfRule type="containsBlanks" dxfId="175" priority="3">
      <formula>LEN(TRIM(E4))=0</formula>
    </cfRule>
  </conditionalFormatting>
  <conditionalFormatting sqref="E35">
    <cfRule type="containsBlanks" dxfId="174" priority="2">
      <formula>LEN(TRIM(E35))=0</formula>
    </cfRule>
  </conditionalFormatting>
  <conditionalFormatting sqref="E46">
    <cfRule type="containsBlanks" dxfId="173" priority="1">
      <formula>LEN(TRIM(E46))=0</formula>
    </cfRule>
  </conditionalFormatting>
  <hyperlinks>
    <hyperlink ref="N3:S4" location="SY!A1" display="SY Summary Page" xr:uid="{C7CAB7C1-FE1F-4738-B2C0-E35E5D27D77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4497" r:id="rId3" name="IP_Signature">
              <controlPr defaultSize="0" print="0" autoFill="0" autoPict="0" macro="[2]!IP_signature">
                <anchor moveWithCells="1" sizeWithCells="1">
                  <from>
                    <xdr:col>4</xdr:col>
                    <xdr:colOff>0</xdr:colOff>
                    <xdr:row>45</xdr:row>
                    <xdr:rowOff>0</xdr:rowOff>
                  </from>
                  <to>
                    <xdr:col>7</xdr:col>
                    <xdr:colOff>0</xdr:colOff>
                    <xdr:row>47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B7A7F-431D-4461-93C6-39BEF1C621B2}">
  <sheetPr codeName="Sheet19">
    <tabColor rgb="FFFFFF00"/>
  </sheetPr>
  <dimension ref="A1:S54"/>
  <sheetViews>
    <sheetView workbookViewId="0">
      <selection activeCell="K9" sqref="K9"/>
    </sheetView>
  </sheetViews>
  <sheetFormatPr defaultRowHeight="15" x14ac:dyDescent="0.25"/>
  <cols>
    <col min="1" max="2" width="2.7109375" style="280" customWidth="1"/>
    <col min="3" max="3" width="9.7109375" style="280" customWidth="1"/>
    <col min="4" max="4" width="4.7109375" style="280" customWidth="1"/>
    <col min="5" max="10" width="9.7109375" style="280" customWidth="1"/>
    <col min="11" max="11" width="67.85546875" style="280" bestFit="1" customWidth="1"/>
    <col min="12" max="12" width="2.7109375" style="280" customWidth="1"/>
    <col min="13" max="16384" width="9.140625" style="280"/>
  </cols>
  <sheetData>
    <row r="1" spans="1:19" x14ac:dyDescent="0.25">
      <c r="A1" s="278"/>
      <c r="B1" s="278"/>
      <c r="C1" s="278"/>
      <c r="D1" s="278"/>
      <c r="E1" s="278"/>
      <c r="F1" s="278"/>
      <c r="G1" s="278"/>
      <c r="H1" s="278"/>
      <c r="I1" s="278"/>
      <c r="J1" s="278"/>
      <c r="K1" s="278"/>
      <c r="L1" s="278"/>
    </row>
    <row r="2" spans="1:19" ht="20.25" customHeight="1" x14ac:dyDescent="0.25">
      <c r="A2" s="281"/>
      <c r="B2" s="1666" t="s">
        <v>516</v>
      </c>
      <c r="C2" s="1666"/>
      <c r="D2" s="1666"/>
      <c r="E2" s="1666"/>
      <c r="F2" s="1666"/>
      <c r="G2" s="1666"/>
      <c r="H2" s="1666"/>
      <c r="I2" s="1666"/>
      <c r="J2" s="1666"/>
      <c r="K2" s="1666"/>
      <c r="L2" s="345"/>
    </row>
    <row r="3" spans="1:19" ht="20.25" x14ac:dyDescent="0.25">
      <c r="A3" s="278"/>
      <c r="B3" s="292"/>
      <c r="C3" s="292"/>
      <c r="D3" s="292"/>
      <c r="E3" s="346"/>
      <c r="F3" s="311"/>
      <c r="G3" s="293"/>
      <c r="H3" s="293"/>
      <c r="I3" s="293"/>
      <c r="J3" s="293"/>
      <c r="K3" s="293"/>
      <c r="L3" s="347"/>
      <c r="M3" s="286"/>
      <c r="N3" s="1543" t="s">
        <v>313</v>
      </c>
      <c r="O3" s="1543"/>
      <c r="P3" s="1543"/>
      <c r="Q3" s="1543"/>
      <c r="R3" s="1543"/>
      <c r="S3" s="1543"/>
    </row>
    <row r="4" spans="1:19" ht="18" x14ac:dyDescent="0.25">
      <c r="A4" s="348"/>
      <c r="B4" s="322"/>
      <c r="C4" s="1544" t="s">
        <v>462</v>
      </c>
      <c r="D4" s="1545"/>
      <c r="E4" s="1546"/>
      <c r="F4" s="1547"/>
      <c r="G4" s="1547"/>
      <c r="H4" s="1548"/>
      <c r="I4" s="287"/>
      <c r="K4" s="293"/>
      <c r="L4" s="347"/>
      <c r="N4" s="1543"/>
      <c r="O4" s="1543"/>
      <c r="P4" s="1543"/>
      <c r="Q4" s="1543"/>
      <c r="R4" s="1543"/>
      <c r="S4" s="1543"/>
    </row>
    <row r="5" spans="1:19" ht="18" x14ac:dyDescent="0.25">
      <c r="A5" s="348"/>
      <c r="B5" s="322"/>
      <c r="C5" s="287"/>
      <c r="D5" s="287"/>
      <c r="E5" s="287"/>
      <c r="F5" s="289"/>
      <c r="G5" s="287"/>
      <c r="H5" s="287"/>
      <c r="I5" s="287"/>
      <c r="J5" s="287"/>
      <c r="K5" s="293"/>
      <c r="L5" s="347"/>
    </row>
    <row r="6" spans="1:19" ht="18" x14ac:dyDescent="0.25">
      <c r="A6" s="348"/>
      <c r="B6" s="322"/>
      <c r="C6" s="290" t="s">
        <v>464</v>
      </c>
      <c r="D6" s="291"/>
      <c r="E6" s="287"/>
      <c r="F6" s="1546"/>
      <c r="G6" s="1547"/>
      <c r="H6" s="1548"/>
      <c r="J6" s="287"/>
      <c r="K6" s="293"/>
      <c r="L6" s="347"/>
    </row>
    <row r="7" spans="1:19" x14ac:dyDescent="0.25">
      <c r="A7" s="278"/>
      <c r="B7" s="292"/>
      <c r="C7" s="292"/>
      <c r="D7" s="292"/>
      <c r="E7" s="349"/>
      <c r="F7" s="350"/>
      <c r="G7" s="292"/>
      <c r="H7" s="292"/>
      <c r="I7" s="292"/>
      <c r="J7" s="292"/>
      <c r="K7" s="292"/>
      <c r="L7" s="278"/>
    </row>
    <row r="8" spans="1:19" ht="15.75" x14ac:dyDescent="0.25">
      <c r="A8" s="278"/>
      <c r="B8" s="292"/>
      <c r="C8" s="296" t="s">
        <v>465</v>
      </c>
      <c r="D8" s="296"/>
      <c r="E8" s="296" t="s">
        <v>466</v>
      </c>
      <c r="F8" s="311"/>
      <c r="G8" s="288" t="s">
        <v>463</v>
      </c>
      <c r="H8" s="1549"/>
      <c r="I8" s="1550"/>
      <c r="J8" s="292"/>
      <c r="K8" s="292"/>
      <c r="L8" s="278"/>
    </row>
    <row r="9" spans="1:19" ht="15.75" thickBot="1" x14ac:dyDescent="0.3">
      <c r="A9" s="278"/>
      <c r="B9" s="292"/>
      <c r="C9" s="292"/>
      <c r="D9" s="292"/>
      <c r="E9" s="292"/>
      <c r="F9" s="292"/>
      <c r="G9" s="292"/>
      <c r="H9" s="292"/>
      <c r="I9" s="292"/>
      <c r="J9" s="292"/>
      <c r="K9" s="292"/>
      <c r="L9" s="278"/>
    </row>
    <row r="10" spans="1:19" ht="16.5" thickBot="1" x14ac:dyDescent="0.3">
      <c r="A10" s="278"/>
      <c r="B10" s="292"/>
      <c r="C10" s="351">
        <f>SUM(C11:C14)</f>
        <v>0.6</v>
      </c>
      <c r="D10" s="292"/>
      <c r="E10" s="308">
        <f>SUM($C11*E11,$C12*E12,$C13*E13,$C14*E14)/$C10</f>
        <v>0</v>
      </c>
      <c r="F10" s="310" t="s">
        <v>517</v>
      </c>
      <c r="G10" s="292"/>
      <c r="H10" s="292"/>
      <c r="I10" s="292"/>
      <c r="J10" s="292"/>
      <c r="K10" s="292"/>
      <c r="L10" s="278"/>
    </row>
    <row r="11" spans="1:19" x14ac:dyDescent="0.25">
      <c r="A11" s="278"/>
      <c r="B11" s="292"/>
      <c r="C11" s="352">
        <v>0.2</v>
      </c>
      <c r="D11" s="292"/>
      <c r="E11" s="353"/>
      <c r="F11" s="315" t="s">
        <v>518</v>
      </c>
      <c r="G11" s="292"/>
      <c r="H11" s="292"/>
      <c r="I11" s="292"/>
      <c r="J11" s="292"/>
      <c r="K11" s="292"/>
      <c r="L11" s="278"/>
    </row>
    <row r="12" spans="1:19" x14ac:dyDescent="0.25">
      <c r="A12" s="278"/>
      <c r="B12" s="292"/>
      <c r="C12" s="354">
        <v>0.15</v>
      </c>
      <c r="D12" s="292"/>
      <c r="E12" s="355"/>
      <c r="F12" s="315" t="s">
        <v>519</v>
      </c>
      <c r="G12" s="292"/>
      <c r="H12" s="301"/>
      <c r="I12" s="298"/>
      <c r="J12" s="292"/>
      <c r="K12" s="292"/>
      <c r="L12" s="278"/>
    </row>
    <row r="13" spans="1:19" x14ac:dyDescent="0.25">
      <c r="A13" s="278"/>
      <c r="B13" s="292"/>
      <c r="C13" s="354">
        <v>0.15</v>
      </c>
      <c r="D13" s="292"/>
      <c r="E13" s="355"/>
      <c r="F13" s="315" t="s">
        <v>520</v>
      </c>
      <c r="G13" s="292"/>
      <c r="H13" s="301"/>
      <c r="I13" s="298"/>
      <c r="J13" s="292"/>
      <c r="K13" s="292"/>
      <c r="L13" s="278"/>
    </row>
    <row r="14" spans="1:19" x14ac:dyDescent="0.25">
      <c r="A14" s="278"/>
      <c r="B14" s="292"/>
      <c r="C14" s="354">
        <v>0.1</v>
      </c>
      <c r="D14" s="292"/>
      <c r="E14" s="355"/>
      <c r="F14" s="315" t="s">
        <v>521</v>
      </c>
      <c r="G14" s="292"/>
      <c r="H14" s="301"/>
      <c r="I14" s="298"/>
      <c r="J14" s="292"/>
      <c r="K14" s="292"/>
      <c r="L14" s="278"/>
    </row>
    <row r="15" spans="1:19" ht="15.75" thickBot="1" x14ac:dyDescent="0.3">
      <c r="A15" s="278"/>
      <c r="B15" s="292"/>
      <c r="C15" s="292"/>
      <c r="D15" s="292"/>
      <c r="E15" s="356"/>
      <c r="F15" s="320"/>
      <c r="G15" s="292"/>
      <c r="H15" s="292"/>
      <c r="I15" s="292"/>
      <c r="J15" s="292"/>
      <c r="K15" s="292"/>
      <c r="L15" s="278"/>
    </row>
    <row r="16" spans="1:19" ht="16.5" thickBot="1" x14ac:dyDescent="0.3">
      <c r="A16" s="278"/>
      <c r="B16" s="292"/>
      <c r="C16" s="351">
        <f>SUM(C17:C18)</f>
        <v>0.1</v>
      </c>
      <c r="D16" s="292"/>
      <c r="E16" s="357">
        <f>SUM($C17*E17,$C18*E18)/$C16</f>
        <v>0</v>
      </c>
      <c r="F16" s="310" t="s">
        <v>522</v>
      </c>
      <c r="G16" s="292"/>
      <c r="H16" s="292"/>
      <c r="I16" s="292"/>
      <c r="J16" s="292"/>
      <c r="K16" s="292"/>
      <c r="L16" s="278"/>
    </row>
    <row r="17" spans="1:12" x14ac:dyDescent="0.25">
      <c r="A17" s="278"/>
      <c r="B17" s="292"/>
      <c r="C17" s="352">
        <v>0.05</v>
      </c>
      <c r="D17" s="292"/>
      <c r="E17" s="353"/>
      <c r="F17" s="315" t="s">
        <v>523</v>
      </c>
      <c r="G17" s="292"/>
      <c r="H17" s="292"/>
      <c r="I17" s="292"/>
      <c r="J17" s="292"/>
      <c r="K17" s="292"/>
      <c r="L17" s="278"/>
    </row>
    <row r="18" spans="1:12" x14ac:dyDescent="0.25">
      <c r="A18" s="278"/>
      <c r="B18" s="292"/>
      <c r="C18" s="354">
        <v>0.05</v>
      </c>
      <c r="D18" s="292"/>
      <c r="E18" s="355"/>
      <c r="F18" s="315" t="s">
        <v>524</v>
      </c>
      <c r="G18" s="292"/>
      <c r="H18" s="292"/>
      <c r="I18" s="292"/>
      <c r="J18" s="292"/>
      <c r="K18" s="292"/>
      <c r="L18" s="278"/>
    </row>
    <row r="19" spans="1:12" ht="15.75" thickBot="1" x14ac:dyDescent="0.3">
      <c r="A19" s="278"/>
      <c r="B19" s="292"/>
      <c r="C19" s="292"/>
      <c r="D19" s="292"/>
      <c r="E19" s="356"/>
      <c r="F19" s="320"/>
      <c r="G19" s="292"/>
      <c r="H19" s="292"/>
      <c r="I19" s="292"/>
      <c r="J19" s="292"/>
      <c r="K19" s="292"/>
      <c r="L19" s="278"/>
    </row>
    <row r="20" spans="1:12" ht="16.5" thickBot="1" x14ac:dyDescent="0.3">
      <c r="A20" s="278"/>
      <c r="B20" s="292"/>
      <c r="C20" s="351">
        <f>SUM(C21:C24)</f>
        <v>0.15000000000000002</v>
      </c>
      <c r="D20" s="292"/>
      <c r="E20" s="357">
        <f>SUM($C21*E21,$C22*E22,$C23*E23,$C24*E24)/$C20</f>
        <v>0</v>
      </c>
      <c r="F20" s="310" t="s">
        <v>525</v>
      </c>
      <c r="G20" s="292"/>
      <c r="H20" s="292"/>
      <c r="I20" s="292"/>
      <c r="J20" s="292"/>
      <c r="K20" s="292"/>
      <c r="L20" s="278"/>
    </row>
    <row r="21" spans="1:12" x14ac:dyDescent="0.25">
      <c r="A21" s="278"/>
      <c r="B21" s="292"/>
      <c r="C21" s="352">
        <v>0.03</v>
      </c>
      <c r="D21" s="292"/>
      <c r="E21" s="353"/>
      <c r="F21" s="315" t="s">
        <v>526</v>
      </c>
      <c r="G21" s="292"/>
      <c r="H21" s="292"/>
      <c r="I21" s="292"/>
      <c r="J21" s="292"/>
      <c r="K21" s="292"/>
      <c r="L21" s="278"/>
    </row>
    <row r="22" spans="1:12" x14ac:dyDescent="0.25">
      <c r="A22" s="278"/>
      <c r="B22" s="292"/>
      <c r="C22" s="354">
        <v>0.04</v>
      </c>
      <c r="D22" s="292"/>
      <c r="E22" s="355"/>
      <c r="F22" s="315" t="s">
        <v>527</v>
      </c>
      <c r="G22" s="292"/>
      <c r="H22" s="292"/>
      <c r="I22" s="292"/>
      <c r="J22" s="292"/>
      <c r="K22" s="292"/>
      <c r="L22" s="278"/>
    </row>
    <row r="23" spans="1:12" x14ac:dyDescent="0.25">
      <c r="A23" s="278"/>
      <c r="B23" s="292"/>
      <c r="C23" s="354">
        <v>0.04</v>
      </c>
      <c r="D23" s="292"/>
      <c r="E23" s="355"/>
      <c r="F23" s="315" t="s">
        <v>528</v>
      </c>
      <c r="G23" s="292"/>
      <c r="H23" s="292"/>
      <c r="I23" s="292"/>
      <c r="J23" s="292"/>
      <c r="K23" s="292"/>
      <c r="L23" s="278"/>
    </row>
    <row r="24" spans="1:12" x14ac:dyDescent="0.25">
      <c r="A24" s="278"/>
      <c r="B24" s="292"/>
      <c r="C24" s="354">
        <v>0.04</v>
      </c>
      <c r="D24" s="292"/>
      <c r="E24" s="353"/>
      <c r="F24" s="315" t="s">
        <v>529</v>
      </c>
      <c r="G24" s="292"/>
      <c r="H24" s="292"/>
      <c r="I24" s="292"/>
      <c r="J24" s="292"/>
      <c r="K24" s="292"/>
      <c r="L24" s="278"/>
    </row>
    <row r="25" spans="1:12" ht="15.75" thickBot="1" x14ac:dyDescent="0.3">
      <c r="A25" s="278"/>
      <c r="B25" s="292"/>
      <c r="C25" s="292"/>
      <c r="D25" s="292"/>
      <c r="E25" s="356"/>
      <c r="F25" s="320"/>
      <c r="G25" s="292"/>
      <c r="H25" s="292"/>
      <c r="I25" s="292"/>
      <c r="J25" s="292"/>
      <c r="K25" s="292"/>
      <c r="L25" s="278"/>
    </row>
    <row r="26" spans="1:12" ht="16.5" thickBot="1" x14ac:dyDescent="0.3">
      <c r="A26" s="278"/>
      <c r="B26" s="292"/>
      <c r="C26" s="351">
        <f>SUM(C27:C29)</f>
        <v>0.15000000000000002</v>
      </c>
      <c r="D26" s="292"/>
      <c r="E26" s="358">
        <f>SUM($C$27*E$27,$C$28*$E$28,$C$29*$E$29)/$C$26</f>
        <v>0</v>
      </c>
      <c r="F26" s="359"/>
      <c r="G26" s="359"/>
      <c r="H26" s="359"/>
      <c r="I26" s="359"/>
      <c r="J26" s="359"/>
      <c r="K26" s="343" t="s">
        <v>530</v>
      </c>
      <c r="L26" s="278"/>
    </row>
    <row r="27" spans="1:12" x14ac:dyDescent="0.25">
      <c r="A27" s="278"/>
      <c r="B27" s="292"/>
      <c r="C27" s="354">
        <v>0.05</v>
      </c>
      <c r="D27" s="292"/>
      <c r="E27" s="355"/>
      <c r="F27" s="360"/>
      <c r="G27" s="360"/>
      <c r="H27" s="360"/>
      <c r="I27" s="360"/>
      <c r="J27" s="360"/>
      <c r="K27" s="361" t="s">
        <v>531</v>
      </c>
      <c r="L27" s="278"/>
    </row>
    <row r="28" spans="1:12" x14ac:dyDescent="0.25">
      <c r="A28" s="278"/>
      <c r="B28" s="292"/>
      <c r="C28" s="354">
        <v>0.05</v>
      </c>
      <c r="D28" s="292"/>
      <c r="E28" s="355"/>
      <c r="F28" s="360"/>
      <c r="G28" s="360"/>
      <c r="H28" s="360"/>
      <c r="I28" s="360"/>
      <c r="J28" s="360"/>
      <c r="K28" s="361" t="s">
        <v>532</v>
      </c>
      <c r="L28" s="278"/>
    </row>
    <row r="29" spans="1:12" x14ac:dyDescent="0.25">
      <c r="A29" s="278"/>
      <c r="B29" s="292"/>
      <c r="C29" s="354">
        <v>0.05</v>
      </c>
      <c r="D29" s="292"/>
      <c r="E29" s="355"/>
      <c r="F29" s="360"/>
      <c r="G29" s="360"/>
      <c r="H29" s="360"/>
      <c r="I29" s="360"/>
      <c r="J29" s="360"/>
      <c r="K29" s="361" t="s">
        <v>533</v>
      </c>
      <c r="L29" s="278"/>
    </row>
    <row r="30" spans="1:12" ht="15.75" thickBot="1" x14ac:dyDescent="0.3">
      <c r="A30" s="278"/>
      <c r="B30" s="292"/>
      <c r="C30" s="292"/>
      <c r="D30" s="292"/>
      <c r="E30" s="292"/>
      <c r="F30" s="292"/>
      <c r="G30" s="292"/>
      <c r="H30" s="292"/>
      <c r="I30" s="292"/>
      <c r="J30" s="292"/>
      <c r="K30" s="292"/>
      <c r="L30" s="278"/>
    </row>
    <row r="31" spans="1:12" ht="17.25" thickTop="1" thickBot="1" x14ac:dyDescent="0.3">
      <c r="A31" s="278"/>
      <c r="B31" s="292"/>
      <c r="C31" s="351">
        <f>C10+C20+C16+C26</f>
        <v>1</v>
      </c>
      <c r="D31" s="305"/>
      <c r="E31" s="362">
        <f>SUM($C10*E10,$C20*E20,$C16*E16,C26*E26)/100</f>
        <v>0</v>
      </c>
      <c r="F31" s="363"/>
      <c r="G31" s="363"/>
      <c r="H31" s="363"/>
      <c r="I31" s="363"/>
      <c r="J31" s="363"/>
      <c r="K31" s="310" t="s">
        <v>534</v>
      </c>
      <c r="L31" s="278"/>
    </row>
    <row r="32" spans="1:12" x14ac:dyDescent="0.25">
      <c r="A32" s="278"/>
      <c r="B32" s="292"/>
      <c r="C32" s="292"/>
      <c r="D32" s="292"/>
      <c r="E32" s="364" t="s">
        <v>535</v>
      </c>
      <c r="F32" s="364" t="s">
        <v>536</v>
      </c>
      <c r="G32" s="364" t="s">
        <v>537</v>
      </c>
      <c r="H32" s="364" t="s">
        <v>538</v>
      </c>
      <c r="I32" s="364" t="s">
        <v>539</v>
      </c>
      <c r="J32" s="364" t="s">
        <v>540</v>
      </c>
      <c r="K32" s="292"/>
      <c r="L32" s="278"/>
    </row>
    <row r="33" spans="1:12" x14ac:dyDescent="0.25">
      <c r="A33" s="278"/>
      <c r="B33" s="292"/>
      <c r="C33" s="292"/>
      <c r="D33" s="292"/>
      <c r="E33" s="317"/>
      <c r="F33" s="317"/>
      <c r="G33" s="317"/>
      <c r="H33" s="317"/>
      <c r="I33" s="317"/>
      <c r="J33" s="317"/>
      <c r="K33" s="361" t="s">
        <v>541</v>
      </c>
      <c r="L33" s="278"/>
    </row>
    <row r="34" spans="1:12" x14ac:dyDescent="0.25">
      <c r="A34" s="278"/>
      <c r="B34" s="292"/>
      <c r="C34" s="292"/>
      <c r="D34" s="292"/>
      <c r="E34" s="292"/>
      <c r="F34" s="292"/>
      <c r="G34" s="292"/>
      <c r="H34" s="292"/>
      <c r="I34" s="292"/>
      <c r="J34" s="292"/>
      <c r="K34" s="292"/>
      <c r="L34" s="278"/>
    </row>
    <row r="35" spans="1:12" ht="15.75" x14ac:dyDescent="0.25">
      <c r="A35" s="278"/>
      <c r="B35" s="292"/>
      <c r="C35" s="339" t="s">
        <v>494</v>
      </c>
      <c r="D35" s="340"/>
      <c r="E35" s="1656"/>
      <c r="F35" s="1657"/>
      <c r="G35" s="1657"/>
      <c r="H35" s="1657"/>
      <c r="I35" s="1658"/>
      <c r="K35" s="292"/>
      <c r="L35" s="278"/>
    </row>
    <row r="36" spans="1:12" ht="15.75" x14ac:dyDescent="0.25">
      <c r="A36" s="278"/>
      <c r="B36" s="292"/>
      <c r="C36" s="341"/>
      <c r="D36" s="340"/>
      <c r="E36" s="1659"/>
      <c r="F36" s="1660"/>
      <c r="G36" s="1660"/>
      <c r="H36" s="1660"/>
      <c r="I36" s="1661"/>
      <c r="K36" s="292"/>
      <c r="L36" s="278"/>
    </row>
    <row r="37" spans="1:12" ht="15.75" x14ac:dyDescent="0.25">
      <c r="A37" s="278"/>
      <c r="B37" s="292"/>
      <c r="C37" s="341"/>
      <c r="D37" s="340"/>
      <c r="E37" s="1659"/>
      <c r="F37" s="1660"/>
      <c r="G37" s="1660"/>
      <c r="H37" s="1660"/>
      <c r="I37" s="1661"/>
      <c r="K37" s="292"/>
      <c r="L37" s="278"/>
    </row>
    <row r="38" spans="1:12" ht="15.75" x14ac:dyDescent="0.25">
      <c r="A38" s="304"/>
      <c r="B38" s="305"/>
      <c r="C38" s="341"/>
      <c r="D38" s="340"/>
      <c r="E38" s="1659"/>
      <c r="F38" s="1660"/>
      <c r="G38" s="1660"/>
      <c r="H38" s="1660"/>
      <c r="I38" s="1661"/>
      <c r="J38" s="342"/>
      <c r="K38" s="292"/>
      <c r="L38" s="278"/>
    </row>
    <row r="39" spans="1:12" ht="15.75" x14ac:dyDescent="0.25">
      <c r="A39" s="278"/>
      <c r="B39" s="292"/>
      <c r="C39" s="341"/>
      <c r="D39" s="340"/>
      <c r="E39" s="1659"/>
      <c r="F39" s="1660"/>
      <c r="G39" s="1660"/>
      <c r="H39" s="1660"/>
      <c r="I39" s="1661"/>
      <c r="J39" s="342"/>
      <c r="K39" s="292"/>
      <c r="L39" s="278"/>
    </row>
    <row r="40" spans="1:12" x14ac:dyDescent="0.25">
      <c r="A40" s="278"/>
      <c r="B40" s="292"/>
      <c r="C40" s="103"/>
      <c r="D40" s="103"/>
      <c r="E40" s="1659"/>
      <c r="F40" s="1660"/>
      <c r="G40" s="1660"/>
      <c r="H40" s="1660"/>
      <c r="I40" s="1661"/>
      <c r="J40" s="103"/>
      <c r="K40" s="292"/>
      <c r="L40" s="278"/>
    </row>
    <row r="41" spans="1:12" x14ac:dyDescent="0.25">
      <c r="A41" s="278"/>
      <c r="B41" s="292"/>
      <c r="C41" s="103"/>
      <c r="D41" s="103"/>
      <c r="E41" s="1659"/>
      <c r="F41" s="1660"/>
      <c r="G41" s="1660"/>
      <c r="H41" s="1660"/>
      <c r="I41" s="1661"/>
      <c r="J41" s="103"/>
      <c r="K41" s="292"/>
      <c r="L41" s="278"/>
    </row>
    <row r="42" spans="1:12" x14ac:dyDescent="0.25">
      <c r="A42" s="278"/>
      <c r="B42" s="292"/>
      <c r="C42" s="103"/>
      <c r="D42" s="103"/>
      <c r="E42" s="1659"/>
      <c r="F42" s="1660"/>
      <c r="G42" s="1660"/>
      <c r="H42" s="1660"/>
      <c r="I42" s="1661"/>
      <c r="J42" s="103"/>
      <c r="K42" s="292"/>
      <c r="L42" s="278"/>
    </row>
    <row r="43" spans="1:12" x14ac:dyDescent="0.25">
      <c r="A43" s="278"/>
      <c r="B43" s="292"/>
      <c r="C43" s="103"/>
      <c r="D43" s="103"/>
      <c r="E43" s="1662"/>
      <c r="F43" s="1663"/>
      <c r="G43" s="1663"/>
      <c r="H43" s="1663"/>
      <c r="I43" s="1664"/>
      <c r="J43" s="103"/>
      <c r="K43" s="292"/>
      <c r="L43" s="278"/>
    </row>
    <row r="44" spans="1:12" x14ac:dyDescent="0.25">
      <c r="A44" s="278"/>
      <c r="B44" s="292"/>
      <c r="C44" s="292"/>
      <c r="D44" s="292"/>
      <c r="E44" s="292"/>
      <c r="F44" s="292"/>
      <c r="G44" s="292"/>
      <c r="H44" s="292"/>
      <c r="I44" s="292"/>
      <c r="J44" s="292"/>
      <c r="K44" s="292"/>
      <c r="L44" s="278"/>
    </row>
    <row r="45" spans="1:12" x14ac:dyDescent="0.25">
      <c r="A45" s="278"/>
      <c r="B45" s="292"/>
      <c r="C45" s="292"/>
      <c r="D45" s="292"/>
      <c r="E45" s="1538" t="s">
        <v>269</v>
      </c>
      <c r="F45" s="1538"/>
      <c r="G45" s="1538"/>
      <c r="H45" s="292"/>
      <c r="I45" s="292"/>
      <c r="J45" s="292"/>
      <c r="K45" s="292"/>
      <c r="L45" s="278"/>
    </row>
    <row r="46" spans="1:12" x14ac:dyDescent="0.25">
      <c r="A46" s="278"/>
      <c r="B46" s="292"/>
      <c r="C46" s="292"/>
      <c r="D46" s="292"/>
      <c r="E46" s="1665"/>
      <c r="F46" s="1665"/>
      <c r="G46" s="1665"/>
      <c r="H46" s="292"/>
      <c r="I46" s="292"/>
      <c r="J46" s="292"/>
      <c r="K46" s="292"/>
      <c r="L46" s="278"/>
    </row>
    <row r="47" spans="1:12" x14ac:dyDescent="0.25">
      <c r="A47" s="278"/>
      <c r="B47" s="292"/>
      <c r="C47" s="292"/>
      <c r="D47" s="292"/>
      <c r="E47" s="1665"/>
      <c r="F47" s="1665"/>
      <c r="G47" s="1665"/>
      <c r="H47" s="292"/>
      <c r="I47" s="292"/>
      <c r="J47" s="292"/>
      <c r="K47" s="292"/>
      <c r="L47" s="278"/>
    </row>
    <row r="48" spans="1:12" x14ac:dyDescent="0.25">
      <c r="A48" s="278"/>
      <c r="B48" s="292"/>
      <c r="C48" s="292"/>
      <c r="D48" s="292"/>
      <c r="E48" s="292"/>
      <c r="F48" s="292"/>
      <c r="G48" s="292"/>
      <c r="H48" s="292"/>
      <c r="I48" s="292"/>
      <c r="J48" s="292"/>
      <c r="K48" s="292"/>
      <c r="L48" s="278"/>
    </row>
    <row r="49" spans="1:12" x14ac:dyDescent="0.25">
      <c r="A49" s="278"/>
      <c r="B49" s="292"/>
      <c r="C49" s="292"/>
      <c r="D49" s="292"/>
      <c r="E49" s="292"/>
      <c r="F49" s="292"/>
      <c r="G49" s="292"/>
      <c r="H49" s="292"/>
      <c r="I49" s="292"/>
      <c r="J49" s="292"/>
      <c r="K49" s="292"/>
      <c r="L49" s="278"/>
    </row>
    <row r="50" spans="1:12" x14ac:dyDescent="0.25">
      <c r="A50" s="278"/>
      <c r="B50" s="292"/>
      <c r="C50" s="292"/>
      <c r="D50" s="292"/>
      <c r="E50" s="292"/>
      <c r="F50" s="292"/>
      <c r="G50" s="292"/>
      <c r="H50" s="292"/>
      <c r="I50" s="292"/>
      <c r="J50" s="292"/>
      <c r="K50" s="292"/>
      <c r="L50" s="278"/>
    </row>
    <row r="51" spans="1:12" x14ac:dyDescent="0.25">
      <c r="A51" s="278"/>
      <c r="B51" s="292"/>
      <c r="C51" s="292"/>
      <c r="D51" s="292"/>
      <c r="E51" s="292"/>
      <c r="F51" s="292"/>
      <c r="G51" s="292"/>
      <c r="H51" s="292"/>
      <c r="I51" s="292"/>
      <c r="J51" s="292"/>
      <c r="K51" s="292"/>
      <c r="L51" s="278"/>
    </row>
    <row r="52" spans="1:12" x14ac:dyDescent="0.25">
      <c r="A52" s="278"/>
      <c r="B52" s="292"/>
      <c r="C52" s="292"/>
      <c r="D52" s="292"/>
      <c r="E52" s="292"/>
      <c r="F52" s="292"/>
      <c r="G52" s="292"/>
      <c r="H52" s="292"/>
      <c r="I52" s="292"/>
      <c r="J52" s="292"/>
      <c r="K52" s="292"/>
      <c r="L52" s="278"/>
    </row>
    <row r="53" spans="1:12" ht="15.75" x14ac:dyDescent="0.25">
      <c r="A53" s="278"/>
      <c r="B53" s="343" t="s">
        <v>495</v>
      </c>
      <c r="C53" s="292"/>
      <c r="D53" s="292"/>
      <c r="E53" s="292"/>
      <c r="F53" s="292"/>
      <c r="G53" s="292"/>
      <c r="H53" s="292"/>
      <c r="I53" s="292"/>
      <c r="J53" s="292"/>
      <c r="K53" s="292"/>
      <c r="L53" s="278"/>
    </row>
    <row r="54" spans="1:12" x14ac:dyDescent="0.25">
      <c r="A54" s="278"/>
      <c r="B54" s="278"/>
      <c r="C54" s="278"/>
      <c r="D54" s="278"/>
      <c r="E54" s="278"/>
      <c r="F54" s="278"/>
      <c r="G54" s="278"/>
      <c r="H54" s="278"/>
      <c r="I54" s="278"/>
      <c r="J54" s="278"/>
      <c r="K54" s="278"/>
      <c r="L54" s="278"/>
    </row>
  </sheetData>
  <sheetProtection algorithmName="SHA-512" hashValue="+el+kZyRExwnFW2MeUMNEDuHDRTuRrAVVSH3qxBAZSSzT+60BQKUJAs88jC4YqJzRzu9mVvcdq/WjZLfV4oblg==" saltValue="GaEbWyU3ChtIo5WiqwOFMQ==" spinCount="100000" sheet="1"/>
  <mergeCells count="9">
    <mergeCell ref="E35:I43"/>
    <mergeCell ref="E45:G45"/>
    <mergeCell ref="E46:G47"/>
    <mergeCell ref="B2:K2"/>
    <mergeCell ref="N3:S4"/>
    <mergeCell ref="C4:D4"/>
    <mergeCell ref="E4:H4"/>
    <mergeCell ref="F6:H6"/>
    <mergeCell ref="H8:I8"/>
  </mergeCells>
  <conditionalFormatting sqref="E4 H8 F6">
    <cfRule type="containsBlanks" dxfId="172" priority="3">
      <formula>LEN(TRIM(E4))=0</formula>
    </cfRule>
  </conditionalFormatting>
  <conditionalFormatting sqref="E35">
    <cfRule type="containsBlanks" dxfId="171" priority="2">
      <formula>LEN(TRIM(E35))=0</formula>
    </cfRule>
  </conditionalFormatting>
  <conditionalFormatting sqref="E46">
    <cfRule type="containsBlanks" dxfId="170" priority="1">
      <formula>LEN(TRIM(E46))=0</formula>
    </cfRule>
  </conditionalFormatting>
  <hyperlinks>
    <hyperlink ref="N3:S4" location="TF!A1" display="TF Summary Page" xr:uid="{CF37DFA6-9882-496F-991E-FA733A01A68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9921" r:id="rId3" name="IP_Signature">
              <controlPr defaultSize="0" print="0" autoFill="0" autoPict="0" macro="[0]!IP_signature">
                <anchor moveWithCells="1" sizeWithCells="1">
                  <from>
                    <xdr:col>4</xdr:col>
                    <xdr:colOff>0</xdr:colOff>
                    <xdr:row>45</xdr:row>
                    <xdr:rowOff>0</xdr:rowOff>
                  </from>
                  <to>
                    <xdr:col>7</xdr:col>
                    <xdr:colOff>0</xdr:colOff>
                    <xdr:row>47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96F4D-50C7-4D55-9C1B-080CEA09CB51}">
  <sheetPr codeName="Sheet3">
    <tabColor rgb="FFFFFF00"/>
    <pageSetUpPr autoPageBreaks="0"/>
  </sheetPr>
  <dimension ref="B1:BU66"/>
  <sheetViews>
    <sheetView showGridLines="0" showRowColHeaders="0" topLeftCell="A2" zoomScaleNormal="100" zoomScaleSheetLayoutView="100" workbookViewId="0">
      <selection activeCell="CC17" sqref="CC17"/>
    </sheetView>
  </sheetViews>
  <sheetFormatPr defaultColWidth="9.140625" defaultRowHeight="12.75" x14ac:dyDescent="0.2"/>
  <cols>
    <col min="1" max="1" width="1.5703125" style="103" customWidth="1"/>
    <col min="2" max="2" width="3.5703125" style="103" customWidth="1"/>
    <col min="3" max="3" width="5.5703125" style="103" customWidth="1"/>
    <col min="4" max="4" width="9.140625" style="103" customWidth="1"/>
    <col min="5" max="5" width="14" style="103" customWidth="1"/>
    <col min="6" max="6" width="7.85546875" style="103" customWidth="1"/>
    <col min="7" max="11" width="5.140625" style="103" customWidth="1"/>
    <col min="12" max="12" width="21.5703125" style="103" customWidth="1"/>
    <col min="13" max="13" width="6.5703125" style="103" customWidth="1"/>
    <col min="14" max="14" width="12.5703125" style="103" customWidth="1"/>
    <col min="15" max="15" width="7.85546875" style="103" customWidth="1"/>
    <col min="16" max="16" width="2.7109375" style="103" customWidth="1"/>
    <col min="17" max="17" width="4.85546875" style="103" customWidth="1"/>
    <col min="18" max="18" width="7.28515625" style="103" customWidth="1"/>
    <col min="19" max="19" width="1.7109375" style="103" customWidth="1"/>
    <col min="20" max="20" width="19.140625" style="110" hidden="1" customWidth="1"/>
    <col min="21" max="21" width="31.140625" style="110" hidden="1" customWidth="1"/>
    <col min="22" max="22" width="5.140625" style="110" hidden="1" customWidth="1"/>
    <col min="23" max="24" width="6.28515625" style="110" hidden="1" customWidth="1"/>
    <col min="25" max="25" width="8.42578125" style="110" hidden="1" customWidth="1"/>
    <col min="26" max="26" width="7.85546875" style="110" hidden="1" customWidth="1"/>
    <col min="27" max="27" width="10.7109375" style="110" hidden="1" customWidth="1"/>
    <col min="28" max="28" width="8" style="110" hidden="1" customWidth="1"/>
    <col min="29" max="31" width="5.140625" style="110" hidden="1" customWidth="1"/>
    <col min="32" max="34" width="5.85546875" style="110" hidden="1" customWidth="1"/>
    <col min="35" max="35" width="8.5703125" style="111" hidden="1" customWidth="1"/>
    <col min="36" max="36" width="7" style="110" hidden="1" customWidth="1"/>
    <col min="37" max="38" width="5.28515625" style="110" hidden="1" customWidth="1"/>
    <col min="39" max="40" width="7" style="110" hidden="1" customWidth="1"/>
    <col min="41" max="41" width="5.140625" style="110" hidden="1" customWidth="1"/>
    <col min="42" max="42" width="11.28515625" style="110" hidden="1" customWidth="1"/>
    <col min="43" max="43" width="6.42578125" style="110" hidden="1" customWidth="1"/>
    <col min="44" max="44" width="8.28515625" style="110" hidden="1" customWidth="1"/>
    <col min="45" max="45" width="8.85546875" style="110" hidden="1" customWidth="1"/>
    <col min="46" max="46" width="10.7109375" style="110" hidden="1" customWidth="1"/>
    <col min="47" max="47" width="8.85546875" style="110" hidden="1" customWidth="1"/>
    <col min="48" max="48" width="6.28515625" style="110" hidden="1" customWidth="1"/>
    <col min="49" max="49" width="10" style="110" hidden="1" customWidth="1"/>
    <col min="50" max="50" width="7.5703125" style="110" hidden="1" customWidth="1"/>
    <col min="51" max="51" width="7" style="110" hidden="1" customWidth="1"/>
    <col min="52" max="52" width="8.140625" style="110" hidden="1" customWidth="1"/>
    <col min="53" max="53" width="12.5703125" style="110" hidden="1" customWidth="1"/>
    <col min="54" max="54" width="7.7109375" style="110" hidden="1" customWidth="1"/>
    <col min="55" max="55" width="12.7109375" style="110" hidden="1" customWidth="1"/>
    <col min="56" max="56" width="7" style="110" hidden="1" customWidth="1"/>
    <col min="57" max="57" width="15.5703125" style="110" hidden="1" customWidth="1"/>
    <col min="58" max="58" width="9.140625" style="110" hidden="1" customWidth="1"/>
    <col min="59" max="59" width="10" style="110" hidden="1" customWidth="1"/>
    <col min="60" max="60" width="5.28515625" style="110" hidden="1" customWidth="1"/>
    <col min="61" max="61" width="4" style="110" hidden="1" customWidth="1"/>
    <col min="62" max="62" width="4.7109375" style="110" hidden="1" customWidth="1"/>
    <col min="63" max="63" width="5.5703125" style="110" hidden="1" customWidth="1"/>
    <col min="64" max="64" width="5.28515625" style="110" hidden="1" customWidth="1"/>
    <col min="65" max="65" width="4" style="110" hidden="1" customWidth="1"/>
    <col min="66" max="66" width="5.5703125" style="110" hidden="1" customWidth="1"/>
    <col min="67" max="67" width="5.140625" style="106" customWidth="1"/>
    <col min="68" max="73" width="5.140625" style="103" customWidth="1"/>
    <col min="74" max="16384" width="9.140625" style="103"/>
  </cols>
  <sheetData>
    <row r="1" spans="2:73" s="107" customFormat="1" ht="12" hidden="1" x14ac:dyDescent="0.2">
      <c r="T1" s="108"/>
      <c r="U1" s="108"/>
      <c r="V1" s="108"/>
      <c r="W1" s="108"/>
      <c r="X1" s="108"/>
      <c r="Y1" s="108"/>
      <c r="Z1" s="108"/>
      <c r="AA1" s="108"/>
      <c r="AB1" s="108"/>
      <c r="AC1" s="108"/>
      <c r="AD1" s="108"/>
      <c r="AE1" s="108"/>
      <c r="AF1" s="108"/>
      <c r="AG1" s="108"/>
      <c r="AH1" s="108"/>
      <c r="AI1" s="109"/>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row>
    <row r="2" spans="2:73" ht="13.5" thickBot="1" x14ac:dyDescent="0.25"/>
    <row r="3" spans="2:73" ht="13.5" customHeight="1" thickTop="1" x14ac:dyDescent="0.2">
      <c r="B3" s="1421" t="s">
        <v>141</v>
      </c>
      <c r="C3" s="1422"/>
      <c r="D3" s="1422"/>
      <c r="E3" s="1422"/>
      <c r="F3" s="1422"/>
      <c r="G3" s="1423"/>
      <c r="H3" s="1424" t="s">
        <v>295</v>
      </c>
      <c r="I3" s="1425"/>
      <c r="J3" s="1425"/>
      <c r="K3" s="1425"/>
      <c r="L3" s="1425"/>
      <c r="M3" s="1425"/>
      <c r="N3" s="1426"/>
      <c r="O3" s="1427" t="s">
        <v>142</v>
      </c>
      <c r="P3" s="1428"/>
      <c r="Q3" s="1427" t="s">
        <v>143</v>
      </c>
      <c r="R3" s="1429"/>
      <c r="S3" s="112"/>
      <c r="T3" s="113"/>
      <c r="U3" s="113"/>
      <c r="V3" s="113"/>
      <c r="W3" s="113"/>
      <c r="X3" s="113"/>
      <c r="Y3" s="113"/>
      <c r="Z3" s="113"/>
      <c r="AA3" s="113"/>
      <c r="AB3" s="113"/>
      <c r="AC3" s="113"/>
      <c r="AD3" s="113"/>
      <c r="AE3" s="113"/>
      <c r="AF3" s="113"/>
      <c r="AG3" s="113"/>
      <c r="AH3" s="113"/>
      <c r="AI3" s="114"/>
      <c r="AJ3" s="113"/>
      <c r="AK3" s="113"/>
      <c r="AL3" s="113"/>
      <c r="AM3" s="113"/>
      <c r="AN3" s="113"/>
      <c r="AO3" s="113"/>
      <c r="AP3" s="113"/>
      <c r="AQ3" s="108"/>
      <c r="AR3" s="108"/>
      <c r="AW3" s="110" t="s">
        <v>144</v>
      </c>
      <c r="AX3" s="110" t="s">
        <v>145</v>
      </c>
      <c r="AY3" s="110" t="s">
        <v>146</v>
      </c>
      <c r="AZ3" s="110" t="s">
        <v>147</v>
      </c>
      <c r="BA3" s="110" t="s">
        <v>148</v>
      </c>
      <c r="BB3" s="110" t="s">
        <v>149</v>
      </c>
      <c r="BP3" s="1668" t="s">
        <v>313</v>
      </c>
      <c r="BQ3" s="1668"/>
      <c r="BR3" s="1668"/>
      <c r="BS3" s="1668"/>
      <c r="BT3" s="1668"/>
      <c r="BU3" s="1668"/>
    </row>
    <row r="4" spans="2:73" s="105" customFormat="1" ht="15.75" customHeight="1" x14ac:dyDescent="0.2">
      <c r="B4" s="1431" t="s">
        <v>283</v>
      </c>
      <c r="C4" s="1432"/>
      <c r="D4" s="1432"/>
      <c r="E4" s="1432"/>
      <c r="F4" s="1432"/>
      <c r="G4" s="1433"/>
      <c r="H4" s="1434" t="s">
        <v>316</v>
      </c>
      <c r="I4" s="1435"/>
      <c r="J4" s="1435"/>
      <c r="K4" s="1435"/>
      <c r="L4" s="1435"/>
      <c r="M4" s="1435"/>
      <c r="N4" s="1436"/>
      <c r="O4" s="1669" t="s">
        <v>668</v>
      </c>
      <c r="P4" s="1670"/>
      <c r="Q4" s="1671">
        <v>46085</v>
      </c>
      <c r="R4" s="1672"/>
      <c r="S4" s="115"/>
      <c r="T4" s="116"/>
      <c r="U4" s="116"/>
      <c r="V4" s="116"/>
      <c r="W4" s="116"/>
      <c r="X4" s="116"/>
      <c r="Y4" s="116"/>
      <c r="Z4" s="116"/>
      <c r="AA4" s="116"/>
      <c r="AB4" s="116"/>
      <c r="AC4" s="116"/>
      <c r="AD4" s="116"/>
      <c r="AE4" s="116"/>
      <c r="AF4" s="116"/>
      <c r="AG4" s="116"/>
      <c r="AH4" s="116"/>
      <c r="AI4" s="117"/>
      <c r="AJ4" s="116"/>
      <c r="AK4" s="116"/>
      <c r="AL4" s="116"/>
      <c r="AM4" s="116"/>
      <c r="AN4" s="116"/>
      <c r="AO4" s="116"/>
      <c r="AP4" s="116"/>
      <c r="AQ4" s="118"/>
      <c r="AR4" s="118"/>
      <c r="AS4" s="119"/>
      <c r="AT4" s="120" t="s">
        <v>151</v>
      </c>
      <c r="AU4" s="121" t="b">
        <v>1</v>
      </c>
      <c r="AV4" s="119">
        <v>5</v>
      </c>
      <c r="AW4" s="119" t="b">
        <f>IF(ISERR(OR(AW8:AW39)),"UNK",IF(AND(graded_aca_events&gt;=1,input_test),FALSE,OR(AW8:AW39)))</f>
        <v>0</v>
      </c>
      <c r="AX4" s="119" t="b">
        <f>IF(ISERR(OR(AX8:AX39)),"UNK",IF(AND(graded_aca_events&gt;=1,input_test),FALSE,OR(AX8:AX39)))</f>
        <v>0</v>
      </c>
      <c r="AY4" s="119" t="b">
        <f>IF(ISERR(OR(AY8:AY39)),"UNK",OR(AY8:AY39))</f>
        <v>0</v>
      </c>
      <c r="AZ4" s="119" t="b">
        <f>IF(ISERR(OR(AZ8:AZ39)),"UNK",OR(AZ8:AZ39))</f>
        <v>0</v>
      </c>
      <c r="BA4" s="119" t="b">
        <f>IF(ISERR(OR(BA8:BA39)),"UNK",OR(BA8:BA39))</f>
        <v>0</v>
      </c>
      <c r="BB4" s="119" t="b">
        <f>IF(ISERR(OR(BB8:BB39)),"UNK",OR(BB8:BB39))</f>
        <v>0</v>
      </c>
      <c r="BC4" s="122" t="b">
        <f>OR(BC8:BC39)</f>
        <v>0</v>
      </c>
      <c r="BD4" s="122" t="b">
        <f>OR(BD8:BD39)</f>
        <v>0</v>
      </c>
      <c r="BE4" s="122" t="b">
        <f>OR(BE8:BE39)</f>
        <v>0</v>
      </c>
      <c r="BF4" s="122"/>
      <c r="BG4" s="119"/>
      <c r="BH4" s="1441" t="s">
        <v>152</v>
      </c>
      <c r="BI4" s="1441"/>
      <c r="BJ4" s="1441"/>
      <c r="BK4" s="1441"/>
      <c r="BL4" s="1393" t="s">
        <v>153</v>
      </c>
      <c r="BM4" s="1393"/>
      <c r="BN4" s="1393"/>
      <c r="BO4" s="106"/>
      <c r="BP4" s="1668"/>
      <c r="BQ4" s="1668"/>
      <c r="BR4" s="1668"/>
      <c r="BS4" s="1668"/>
      <c r="BT4" s="1668"/>
      <c r="BU4" s="1668"/>
    </row>
    <row r="5" spans="2:73" s="112" customFormat="1" ht="7.5" customHeight="1" x14ac:dyDescent="0.25">
      <c r="B5" s="1394" t="s">
        <v>154</v>
      </c>
      <c r="C5" s="1395"/>
      <c r="D5" s="1395"/>
      <c r="E5" s="1396"/>
      <c r="F5" s="1397" t="s">
        <v>155</v>
      </c>
      <c r="G5" s="1396"/>
      <c r="H5" s="1397" t="s">
        <v>156</v>
      </c>
      <c r="I5" s="1395"/>
      <c r="J5" s="1395"/>
      <c r="K5" s="1395"/>
      <c r="L5" s="1396"/>
      <c r="M5" s="1398" t="s">
        <v>157</v>
      </c>
      <c r="N5" s="1399"/>
      <c r="O5" s="1400" t="s">
        <v>158</v>
      </c>
      <c r="P5" s="1401"/>
      <c r="Q5" s="1397" t="str">
        <f>IF(AU41=0,"GRADE","GRADE (inc. bonus)")</f>
        <v>GRADE</v>
      </c>
      <c r="R5" s="1402"/>
      <c r="T5" s="113"/>
      <c r="U5" s="113"/>
      <c r="V5" s="113"/>
      <c r="W5" s="113"/>
      <c r="X5" s="113"/>
      <c r="Y5" s="113"/>
      <c r="Z5" s="113"/>
      <c r="AA5" s="113"/>
      <c r="AB5" s="113"/>
      <c r="AC5" s="113"/>
      <c r="AD5" s="113"/>
      <c r="AE5" s="113"/>
      <c r="AF5" s="113"/>
      <c r="AG5" s="113"/>
      <c r="AH5" s="113"/>
      <c r="AI5" s="114"/>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441"/>
      <c r="BI5" s="1441"/>
      <c r="BJ5" s="1441"/>
      <c r="BK5" s="1441"/>
      <c r="BL5" s="1393"/>
      <c r="BM5" s="1393"/>
      <c r="BN5" s="1393"/>
      <c r="BO5" s="123"/>
    </row>
    <row r="6" spans="2:73" s="105" customFormat="1" ht="15.75" customHeight="1" thickBot="1" x14ac:dyDescent="0.25">
      <c r="B6" s="1673" t="s">
        <v>682</v>
      </c>
      <c r="C6" s="1674"/>
      <c r="D6" s="1674"/>
      <c r="E6" s="1675"/>
      <c r="F6" s="1552" t="s">
        <v>270</v>
      </c>
      <c r="G6" s="1553"/>
      <c r="H6" s="1676" t="s">
        <v>681</v>
      </c>
      <c r="I6" s="1677"/>
      <c r="J6" s="1677"/>
      <c r="K6" s="1677"/>
      <c r="L6" s="1553"/>
      <c r="M6" s="1554" t="s">
        <v>284</v>
      </c>
      <c r="N6" s="1555"/>
      <c r="O6" s="1556">
        <v>1</v>
      </c>
      <c r="P6" s="1557"/>
      <c r="Q6" s="1414">
        <f>IF((graded_aca_events+graded_amn_events)&lt;1,"0",IF(ISERROR(AR46),"",IF(F41&lt;&gt;"COMPLETE","INCOMPLETE",AR46)))</f>
        <v>0.93173076923076925</v>
      </c>
      <c r="R6" s="1415"/>
      <c r="S6" s="103"/>
      <c r="T6" s="119"/>
      <c r="U6" s="119">
        <v>2</v>
      </c>
      <c r="V6" s="119">
        <v>3</v>
      </c>
      <c r="W6" s="119">
        <v>6</v>
      </c>
      <c r="X6" s="119">
        <v>7</v>
      </c>
      <c r="Y6" s="119">
        <v>11</v>
      </c>
      <c r="Z6" s="119">
        <v>8</v>
      </c>
      <c r="AA6" s="119">
        <v>9</v>
      </c>
      <c r="AB6" s="119">
        <v>10</v>
      </c>
      <c r="AC6" s="119">
        <v>5</v>
      </c>
      <c r="AD6" s="119">
        <v>4</v>
      </c>
      <c r="AE6" s="119">
        <v>12</v>
      </c>
      <c r="AF6" s="119">
        <v>13</v>
      </c>
      <c r="AG6" s="119"/>
      <c r="AH6" s="119"/>
      <c r="AI6" s="124"/>
      <c r="AJ6" s="125"/>
      <c r="AK6" s="125"/>
      <c r="AL6" s="125"/>
      <c r="AM6" s="125" t="b">
        <f>IF(COUNT(AM8:AM39)&gt;0,TRUE,FALSE)</f>
        <v>1</v>
      </c>
      <c r="AN6" s="125" t="b">
        <f>IF(COUNT(AN8:AN39)&gt;0,TRUE,FALSE)</f>
        <v>1</v>
      </c>
      <c r="AO6" s="119"/>
      <c r="AP6" s="119"/>
      <c r="AQ6" s="118"/>
      <c r="AR6" s="118"/>
      <c r="AS6" s="119"/>
      <c r="AT6" s="85">
        <v>0.05</v>
      </c>
      <c r="AU6" s="119"/>
      <c r="AV6" s="126">
        <f>0.01*input_maxb</f>
        <v>0.05</v>
      </c>
      <c r="AW6" s="127" t="s">
        <v>159</v>
      </c>
      <c r="AX6" s="128"/>
      <c r="AY6" s="127" t="s">
        <v>160</v>
      </c>
      <c r="AZ6" s="128"/>
      <c r="BA6" s="129" t="s">
        <v>161</v>
      </c>
      <c r="BB6" s="129"/>
      <c r="BC6" s="127" t="s">
        <v>162</v>
      </c>
      <c r="BD6" s="129"/>
      <c r="BE6" s="130"/>
      <c r="BF6" s="131"/>
      <c r="BG6" s="119" t="s">
        <v>163</v>
      </c>
      <c r="BH6" s="1441"/>
      <c r="BI6" s="1441"/>
      <c r="BJ6" s="1441"/>
      <c r="BK6" s="1441"/>
      <c r="BL6" s="1393"/>
      <c r="BM6" s="1393"/>
      <c r="BN6" s="1393"/>
      <c r="BO6" s="106"/>
    </row>
    <row r="7" spans="2:73" ht="27" customHeight="1" thickBot="1" x14ac:dyDescent="0.25">
      <c r="B7" s="1416" t="s">
        <v>164</v>
      </c>
      <c r="C7" s="1417"/>
      <c r="D7" s="1417"/>
      <c r="E7" s="1417"/>
      <c r="F7" s="1418"/>
      <c r="G7" s="132" t="s">
        <v>165</v>
      </c>
      <c r="H7" s="133" t="s">
        <v>166</v>
      </c>
      <c r="I7" s="134" t="s">
        <v>167</v>
      </c>
      <c r="J7" s="135" t="s">
        <v>168</v>
      </c>
      <c r="K7" s="136" t="s">
        <v>169</v>
      </c>
      <c r="L7" s="1419" t="s">
        <v>170</v>
      </c>
      <c r="M7" s="1417"/>
      <c r="N7" s="1417"/>
      <c r="O7" s="1417"/>
      <c r="P7" s="1417"/>
      <c r="Q7" s="1417"/>
      <c r="R7" s="1420"/>
      <c r="T7" s="137" t="s">
        <v>171</v>
      </c>
      <c r="U7" s="137"/>
      <c r="V7" s="137" t="s">
        <v>172</v>
      </c>
      <c r="W7" s="137" t="s">
        <v>173</v>
      </c>
      <c r="X7" s="137" t="s">
        <v>174</v>
      </c>
      <c r="Y7" s="137" t="s">
        <v>175</v>
      </c>
      <c r="Z7" s="137" t="s">
        <v>176</v>
      </c>
      <c r="AA7" s="137" t="s">
        <v>177</v>
      </c>
      <c r="AB7" s="137" t="s">
        <v>178</v>
      </c>
      <c r="AC7" s="137" t="s">
        <v>179</v>
      </c>
      <c r="AD7" s="137" t="s">
        <v>180</v>
      </c>
      <c r="AE7" s="137" t="s">
        <v>181</v>
      </c>
      <c r="AF7" s="137" t="s">
        <v>182</v>
      </c>
      <c r="AG7" s="137" t="s">
        <v>183</v>
      </c>
      <c r="AH7" s="137" t="s">
        <v>184</v>
      </c>
      <c r="AI7" s="138" t="s">
        <v>185</v>
      </c>
      <c r="AJ7" s="139" t="s">
        <v>186</v>
      </c>
      <c r="AK7" s="140" t="s">
        <v>187</v>
      </c>
      <c r="AL7" s="140" t="s">
        <v>188</v>
      </c>
      <c r="AM7" s="140" t="s">
        <v>189</v>
      </c>
      <c r="AN7" s="140" t="s">
        <v>190</v>
      </c>
      <c r="AO7" s="139" t="s">
        <v>191</v>
      </c>
      <c r="AP7" s="139" t="s">
        <v>192</v>
      </c>
      <c r="AQ7" s="141" t="s">
        <v>193</v>
      </c>
      <c r="AR7" s="142" t="s">
        <v>1</v>
      </c>
      <c r="AS7" s="141" t="s">
        <v>194</v>
      </c>
      <c r="AT7" s="142" t="s">
        <v>1</v>
      </c>
      <c r="AU7" s="141" t="s">
        <v>195</v>
      </c>
      <c r="AV7" s="143" t="s">
        <v>196</v>
      </c>
      <c r="AW7" s="144" t="s">
        <v>197</v>
      </c>
      <c r="AX7" s="145" t="s">
        <v>198</v>
      </c>
      <c r="AY7" s="144" t="s">
        <v>199</v>
      </c>
      <c r="AZ7" s="145" t="s">
        <v>200</v>
      </c>
      <c r="BA7" s="146" t="s">
        <v>201</v>
      </c>
      <c r="BB7" s="146" t="s">
        <v>202</v>
      </c>
      <c r="BC7" s="147" t="s">
        <v>203</v>
      </c>
      <c r="BD7" s="148" t="s">
        <v>204</v>
      </c>
      <c r="BE7" s="149" t="s">
        <v>205</v>
      </c>
      <c r="BF7" s="150" t="s">
        <v>206</v>
      </c>
      <c r="BH7" s="110" t="s">
        <v>207</v>
      </c>
      <c r="BI7" s="110" t="s">
        <v>208</v>
      </c>
      <c r="BJ7" s="137" t="s">
        <v>209</v>
      </c>
      <c r="BK7" s="110" t="s">
        <v>210</v>
      </c>
      <c r="BL7" s="110" t="s">
        <v>207</v>
      </c>
      <c r="BM7" s="110" t="s">
        <v>208</v>
      </c>
      <c r="BN7" s="110" t="s">
        <v>210</v>
      </c>
    </row>
    <row r="8" spans="2:73" ht="12.95" customHeight="1" x14ac:dyDescent="0.2">
      <c r="B8" s="151" t="str">
        <f>IF(ISNA(Z8),"",IF(OR(Z8=1,Z8=2),"",1))</f>
        <v/>
      </c>
      <c r="C8" s="1391" t="str">
        <f t="shared" ref="C8:C36" si="0">IF(ISNA(Z8),"",CONCATENATE($U8,IF(ISNUMBER(AI8),TEXT(ROUND($AI8,3)," (0.0%)"),""),IF(AU8&gt;0," Bonus","")))</f>
        <v>Airmanship Tasks (5.0%)</v>
      </c>
      <c r="D8" s="1391"/>
      <c r="E8" s="1391"/>
      <c r="F8" s="1392"/>
      <c r="G8" s="152" t="str">
        <f t="shared" ref="G8:G39" si="1">BH8</f>
        <v/>
      </c>
      <c r="H8" s="153" t="str">
        <f t="shared" ref="H8:I39" si="2">BJ8</f>
        <v/>
      </c>
      <c r="I8" s="154" t="str">
        <f t="shared" si="2"/>
        <v/>
      </c>
      <c r="J8" s="155"/>
      <c r="K8" s="156"/>
      <c r="L8" s="1678" t="s">
        <v>683</v>
      </c>
      <c r="M8" s="1679"/>
      <c r="N8" s="1679"/>
      <c r="O8" s="1679"/>
      <c r="P8" s="1679"/>
      <c r="Q8" s="1679"/>
      <c r="R8" s="1680"/>
      <c r="T8" s="110">
        <v>1</v>
      </c>
      <c r="U8" s="110" t="s">
        <v>211</v>
      </c>
      <c r="V8" s="206" t="s">
        <v>212</v>
      </c>
      <c r="W8" s="206" t="s">
        <v>212</v>
      </c>
      <c r="X8" s="206" t="s">
        <v>212</v>
      </c>
      <c r="Y8" s="206" t="s">
        <v>212</v>
      </c>
      <c r="Z8" s="206">
        <v>1</v>
      </c>
      <c r="AA8" s="206">
        <v>0</v>
      </c>
      <c r="AB8" s="206">
        <v>1</v>
      </c>
      <c r="AC8" s="206" t="s">
        <v>212</v>
      </c>
      <c r="AD8" s="206" t="s">
        <v>212</v>
      </c>
      <c r="AE8" s="206">
        <v>0</v>
      </c>
      <c r="AF8" s="206" t="s">
        <v>212</v>
      </c>
      <c r="AG8" s="206" t="str">
        <f t="shared" ref="AG8:AG39" si="3">IF(CrewSoloQual="Yes",$AC8,$AD8)</f>
        <v/>
      </c>
      <c r="AH8" s="206" t="str">
        <f t="shared" ref="AH8:AH39" si="4">IF(ISNUMBER(AC8),IF(CrewSoloQual="Yes",$AC8-1,$AD8-1),"")</f>
        <v/>
      </c>
      <c r="AI8" s="86">
        <f>IF(NOT(OR(Z8=1,Z8=2)),IF(AQ8&gt;0,$AR$44*AQ8/SUMIF($AQ$8:$AQ$39,"&gt;0"),IF(AU8&gt;0,$AV$44*AU8/SUMIF($AU$8:$AU$39,"&gt;0"),IF(AS8&gt;0,$AT$44*AS8/SUMIF($AS$8:$AS$39,"&gt;0"),""))),IF(SUMIF(AJ9:$AJ$39,"=" &amp; AJ8,AI9:$AI$39)=0,"",SUMIF(AJ9:$AJ$39,"=" &amp; AJ8,AI9:$AI$39)))</f>
        <v>0.05</v>
      </c>
      <c r="AJ8" s="87">
        <f>0</f>
        <v>0</v>
      </c>
      <c r="AK8" s="206" t="str">
        <f>BI8</f>
        <v/>
      </c>
      <c r="AL8" s="206" t="str">
        <f>IF(ISBLANK(K8),"",K8)</f>
        <v/>
      </c>
      <c r="AM8" s="206" t="str">
        <f>IF(ISNUMBER(AK8),IF(ISNUMBER(AL8),1,""),"")</f>
        <v/>
      </c>
      <c r="AN8" s="206" t="str">
        <f t="shared" ref="AN8:AN36" si="5">IF(ISNUMBER(AH8),IF(AND(AB8=0,ISNUMBER(AC8),ISNUMBER(AL8)),1,""),"")</f>
        <v/>
      </c>
      <c r="AO8" s="206" t="str">
        <f t="shared" ref="AO8:AO39" si="6">IF(AB8=0,IF(CrewSoloQual="No",BI8,BK8),"")</f>
        <v/>
      </c>
      <c r="AP8" s="206" t="str">
        <f t="shared" ref="AP8:AP39" si="7">IF(ISNA(Z8),"",IF(AND(ISNUMBER(B8),G8&gt;=1,H8&lt;&gt;"NG"),IF(K8&lt;BK8,TRUE,FALSE),IF(AND(G8&gt;=1,J8="NA"),TRUE,IF(AND(AM8=1,G8=0,AL8&lt;BI8),TRUE,""))))</f>
        <v/>
      </c>
      <c r="AQ8" s="157">
        <f>IF(ISNA(Z8),0,IF(OR(J8="NA",W8="",AB8=0),0,W8))</f>
        <v>0</v>
      </c>
      <c r="AR8" s="88" t="str">
        <f t="shared" ref="AR8:AR39" si="8">IF(ISNA(Z8),"",IF(AND(NOT(OR(Z8=1,Z8=2,AK8="NG",AB8=0)),IF(ISNUMBER(AL8),AL8&gt;=0,FALSE)),VLOOKUP((10*AD8+AC8),$AQ$50:$AV$58,2+AL8,FALSE),IF(AND(input_test=TRUE,ISNUMBER(AD8),V8&lt;&gt;0),VLOOKUP((10*AD8+AC8),$AQ$50:$AV$58,2,FALSE),"")))</f>
        <v/>
      </c>
      <c r="AS8" s="89">
        <f>IF(ISNA(Z8),0,IF(OR(J8="NA",X8="",AB8=1),0,X8))</f>
        <v>0</v>
      </c>
      <c r="AT8" s="88" t="str">
        <f t="shared" ref="AT8:AT39" si="9">IF(ISNA(Z8),"",IF(AND(NOT(OR(Z8=1,Z8=2,AK8="NG",AB8=1)),IF(ISNUMBER(AL8),AL8&gt;=0,FALSE)),VLOOKUP((10*AH8+AG8),$AQ$50:$AV$58,2+AL8,FALSE),IF(AND(input_test=TRUE,ISNUMBER(AD8),V8&lt;&gt;0),VLOOKUP((10*AH8+AG8),$AQ$50:$AV$58,2,FALSE),"")))</f>
        <v/>
      </c>
      <c r="AU8" s="158">
        <f t="shared" ref="AU8:AU39" si="10">IF(ISNA(Z8),0,IF(OR(J8="NA",Y8=""),0,Y8))</f>
        <v>0</v>
      </c>
      <c r="AV8" s="90" t="str">
        <f t="shared" ref="AV8:AV39" si="11">AR8</f>
        <v/>
      </c>
      <c r="AW8" s="158" t="b">
        <f t="shared" ref="AW8:AW39" si="12">IF(ISNA(Z8),FALSE,IF(OR(AB8=1,G8=0,Z8=1,Z8=2),FALSE,IF(OR(J8="NA",J8&gt;=G8),FALSE,TRUE)))</f>
        <v>0</v>
      </c>
      <c r="AX8" s="159" t="b">
        <f t="shared" ref="AX8:AX39" si="13">IF(ISNA(Z8),FALSE,IF(OR(AB8=0,G8=0,Z8=1,Z8=2,J8="NA"),FALSE,IF(AK8="NG",IF(NOT(ISBLANK(K8)),FALSE,TRUE),IF(J8&gt;=G8,FALSE,TRUE))))</f>
        <v>0</v>
      </c>
      <c r="AY8" s="158" t="b">
        <f t="shared" ref="AY8:AY39" si="14">IF(ISNA(Z8),FALSE,IF(OR(AB8=1,G8&lt;1,Z8=1,Z8=2,AE8=0,ISBLANK(K8)),FALSE,IF(OR(J8="NA",K8&gt;=BI8),FALSE,TRUE)))</f>
        <v>0</v>
      </c>
      <c r="AZ8" s="159" t="b">
        <f t="shared" ref="AZ8:AZ39" si="15">IF(ISNA(Z8),FALSE,IF(OR(AB8=0,G8=0,Z8=1,Z8=2,AE8=0,BI8="NG",K8="",ISBLANK(K8)),FALSE,IF(OR(J8="NA",K8&gt;=AK8),FALSE,TRUE)))</f>
        <v>0</v>
      </c>
      <c r="BA8" s="206" t="b">
        <f t="shared" ref="BA8:BA39" si="16">IF(ISNA(Z8),FALSE,IF(OR(AB8=1,G8&lt;1,Z8=1,Z8=2,AE8=0),FALSE,IF(J8="NA",TRUE,FALSE)))</f>
        <v>0</v>
      </c>
      <c r="BB8" s="206" t="b">
        <f t="shared" ref="BB8:BB39" si="17">IF(ISNA(Z8),FALSE,IF(OR(AB8=0,G8=0,Z8=1,Z8=2),FALSE,IF(J8="NA",TRUE,FALSE)))</f>
        <v>0</v>
      </c>
      <c r="BC8" s="158" t="b">
        <f t="shared" ref="BC8:BC39" si="18">IF(OR(ISNA($Z8),ISNUMBER($Z8),NOT(ISNUMBER($J8)),K8="D"),FALSE,IF(AND(NOT(ISNUMBER($K8)),J8&gt;0),TRUE,FALSE))</f>
        <v>0</v>
      </c>
      <c r="BD8" s="160" t="b">
        <f>IF(OR(ISNA($Z8),ISNUMBER($Z8),NOT(ISNUMBER(K8))),FALSE,OR(NOT(ISNUMBER(J8)),J8=0,AND(J8=0,K8&lt;&gt;0)))</f>
        <v>0</v>
      </c>
      <c r="BE8" s="159" t="b">
        <f t="shared" ref="BE8:BE21" si="19">IF(OR(ISNA($Z8),K8&lt;&gt;"D"),FALSE,IF(OR(AND(H8="NG",J8=0),AND(H8&lt;&gt;"NG",NOT(OR(J8="NA",J8=0)))),TRUE,FALSE))</f>
        <v>0</v>
      </c>
      <c r="BF8" s="161" t="b">
        <f t="shared" ref="BF8:BF30" si="20">IF(OR(ISNA($Z8),H8&lt;&gt;"NG"),FALSE,IF(AND(J8="NA",K8&lt;&gt;""),TRUE,FALSE))</f>
        <v>0</v>
      </c>
      <c r="BG8" s="206" t="b">
        <f t="shared" ref="BG8:BG21" si="21">IF(ISNA($Z8),"NA",IF(OR(AZ8,AY8,AX8,AW8,AP8,BA8,BB8),TRUE,FALSE))</f>
        <v>0</v>
      </c>
      <c r="BH8" s="162" t="str">
        <f>IF(ISNA($Z8),"",IF(OR($Z8=1,$Z8=2),"",$V8))</f>
        <v/>
      </c>
      <c r="BI8" s="206" t="str">
        <f t="shared" ref="BI8:BI39" si="22">IF(ISNA($Z8),"",IF(OR($Z8=1,$Z8=2,$G8=""),"",IF(AB8=0,AH8,$AD8)))</f>
        <v/>
      </c>
      <c r="BJ8" s="206" t="str">
        <f t="shared" ref="BJ8:BJ39" si="23">IF(ISNA(AE8),"",IF(OR(Z8=1,Z8=2),"",IF(OR(AE8=0,AD8="NG"),TEXT(BI8,"0"),CONCATENATE(TEXT(BI8,"0"),"*"))))</f>
        <v/>
      </c>
      <c r="BK8" s="206" t="str">
        <f t="shared" ref="BK8:BK39" si="24">IF(ISNA($Z8),"",IF(OR($Z8=1,$Z8=2,$G8=""),"",IF(AB8=0,AG8,$AC8)))</f>
        <v/>
      </c>
      <c r="BL8" s="162" t="str">
        <f>IF(ISBLANK(BH8),"",IF(BH8=0,"",BH8))</f>
        <v/>
      </c>
      <c r="BM8" s="206" t="str">
        <f t="shared" ref="BM8:BM39" si="25">IF($BH8=0,"",IF($BI8="NG","D",$BI8))</f>
        <v/>
      </c>
      <c r="BN8" s="206" t="str">
        <f t="shared" ref="BN8:BN39" si="26">IF(ISNA(U8),"",IF($BH8=0,"",IF($BI8="NG","D",BK8)))</f>
        <v/>
      </c>
      <c r="BO8" s="163" t="s">
        <v>213</v>
      </c>
      <c r="BP8" s="164"/>
    </row>
    <row r="9" spans="2:73" s="105" customFormat="1" ht="12.95" customHeight="1" x14ac:dyDescent="0.2">
      <c r="B9" s="165">
        <f>IF(ISNA(Z9),"",IF(OR(Z9=1,Z9=2),"    ",MAX($B$8:B8)+1))</f>
        <v>1</v>
      </c>
      <c r="C9" s="1375" t="str">
        <f t="shared" si="0"/>
        <v>Basic CR Knowledge/Operations  (1.3%)</v>
      </c>
      <c r="D9" s="1375"/>
      <c r="E9" s="1375"/>
      <c r="F9" s="1376"/>
      <c r="G9" s="152">
        <f t="shared" si="1"/>
        <v>1</v>
      </c>
      <c r="H9" s="153" t="str">
        <f t="shared" si="2"/>
        <v>0*</v>
      </c>
      <c r="I9" s="166">
        <f t="shared" si="2"/>
        <v>1</v>
      </c>
      <c r="J9" s="511">
        <v>1</v>
      </c>
      <c r="K9" s="173">
        <v>2</v>
      </c>
      <c r="L9" s="1681"/>
      <c r="M9" s="1682"/>
      <c r="N9" s="1682"/>
      <c r="O9" s="1682"/>
      <c r="P9" s="1682"/>
      <c r="Q9" s="1682"/>
      <c r="R9" s="1683"/>
      <c r="T9" s="119">
        <v>2</v>
      </c>
      <c r="U9" s="110" t="s">
        <v>285</v>
      </c>
      <c r="V9" s="206">
        <v>1</v>
      </c>
      <c r="W9" s="206" t="s">
        <v>212</v>
      </c>
      <c r="X9" s="206">
        <v>1</v>
      </c>
      <c r="Y9" s="206" t="s">
        <v>212</v>
      </c>
      <c r="Z9" s="160" t="s">
        <v>212</v>
      </c>
      <c r="AA9" s="160">
        <v>1</v>
      </c>
      <c r="AB9" s="160">
        <v>0</v>
      </c>
      <c r="AC9" s="206">
        <v>2</v>
      </c>
      <c r="AD9" s="206">
        <v>1</v>
      </c>
      <c r="AE9" s="206">
        <v>1</v>
      </c>
      <c r="AF9" s="206" t="b">
        <v>1</v>
      </c>
      <c r="AG9" s="206">
        <f t="shared" si="3"/>
        <v>1</v>
      </c>
      <c r="AH9" s="206">
        <f t="shared" si="4"/>
        <v>0</v>
      </c>
      <c r="AI9" s="86">
        <f>IF(NOT(OR(Z9=1,Z9=2)),IF(AQ9&gt;0,$AR$44*AQ9/SUMIF($AQ$8:$AQ$39,"&gt;0"),IF(AU9&gt;0,$AV$44*AU9/SUMIF($AU$8:$AU$39,"&gt;0"),IF(AS9&gt;0,$AT$44*AS9/SUMIF($AS$8:$AS$39,"&gt;0"),""))),IF(SUMIF(AJ10:$AJ$39,"=" &amp; AJ9,AI10:$AI$39)=0,"",SUMIF(AJ10:$AJ$39,"=" &amp; AJ9,AI10:$AI$39)))</f>
        <v>1.2500000000000001E-2</v>
      </c>
      <c r="AJ9" s="87">
        <f>IF(OR(Z9=1,Z9=2,AA9&lt;AA8),AJ8+1,AJ8)</f>
        <v>0</v>
      </c>
      <c r="AK9" s="206">
        <f t="shared" ref="AK9:AK39" si="27">BI9</f>
        <v>0</v>
      </c>
      <c r="AL9" s="160">
        <f t="shared" ref="AL9:AL39" si="28">IF(ISBLANK(K9),"",K9)</f>
        <v>2</v>
      </c>
      <c r="AM9" s="160">
        <f>IF(ISNUMBER(AK9),IF(ISNUMBER(AL9),1,""),"")</f>
        <v>1</v>
      </c>
      <c r="AN9" s="160">
        <f t="shared" si="5"/>
        <v>1</v>
      </c>
      <c r="AO9" s="160">
        <f t="shared" si="6"/>
        <v>0</v>
      </c>
      <c r="AP9" s="206" t="b">
        <f>IF(ISNA(Z9),"",IF(AND(ISNUMBER(B9),G9&gt;=1,H9&lt;&gt;"NG"),IF(K9&lt;BK9,TRUE,FALSE),IF(AND(G9&gt;=1,J9="NA"),TRUE,IF(AND(AM9=1,G9=0,AL9&lt;BI9),TRUE,""))))</f>
        <v>0</v>
      </c>
      <c r="AQ9" s="157">
        <f t="shared" ref="AQ9:AQ39" si="29">IF(ISNA(Z9),0,IF(OR(J9="NA",W9="",AB9=0),0,W9))</f>
        <v>0</v>
      </c>
      <c r="AR9" s="88" t="str">
        <f>IF(ISNA(Z9),"",IF(AND(NOT(OR(Z9=1,Z9=2,AK9="NG",AB9=0)),IF(ISNUMBER(AL9),AL9&gt;=0,FALSE)),VLOOKUP((10*AD9+AC9),$AQ$50:$AV$58,2+AL9,FALSE),IF(AND(input_test=TRUE,ISNUMBER(AD9),V9&lt;&gt;0),VLOOKUP((10*AD9+AC9),$AQ$50:$AV$58,2,FALSE),"")))</f>
        <v/>
      </c>
      <c r="AS9" s="89">
        <f t="shared" ref="AS9:AS39" si="30">IF(ISNA(Z9),0,IF(OR(J9="NA",X9="",AB9=1),0,X9))</f>
        <v>1</v>
      </c>
      <c r="AT9" s="88">
        <f>IF(ISNA(Z9),"",IF(AND(NOT(OR(Z9=1,Z9=2,AK9="NG",AB9=1)),IF(ISNUMBER(AL9),AL9&gt;=0,FALSE)),VLOOKUP((10*AH9+AG9),$AQ$50:$AV$58,2+AL9,FALSE),IF(AND(input_test=TRUE,ISNUMBER(AD9),V9&lt;&gt;0),VLOOKUP((10*AH9+AG9),$AQ$50:$AV$58,2,FALSE),"")))</f>
        <v>0.93330000000000002</v>
      </c>
      <c r="AU9" s="158">
        <f t="shared" si="10"/>
        <v>0</v>
      </c>
      <c r="AV9" s="90" t="str">
        <f t="shared" si="11"/>
        <v/>
      </c>
      <c r="AW9" s="158" t="b">
        <f t="shared" si="12"/>
        <v>0</v>
      </c>
      <c r="AX9" s="159" t="b">
        <f t="shared" si="13"/>
        <v>0</v>
      </c>
      <c r="AY9" s="158" t="b">
        <f t="shared" si="14"/>
        <v>0</v>
      </c>
      <c r="AZ9" s="159" t="b">
        <f t="shared" si="15"/>
        <v>0</v>
      </c>
      <c r="BA9" s="206" t="b">
        <f t="shared" si="16"/>
        <v>0</v>
      </c>
      <c r="BB9" s="206" t="b">
        <f t="shared" si="17"/>
        <v>0</v>
      </c>
      <c r="BC9" s="158" t="b">
        <f t="shared" si="18"/>
        <v>0</v>
      </c>
      <c r="BD9" s="160" t="b">
        <f t="shared" ref="BD9:BD39" si="31">IF(OR(ISNA($Z9),ISNUMBER($Z9),NOT(ISNUMBER(K9))),FALSE,OR(NOT(ISNUMBER(J9)),J9=0,AND(J9=0,K9&lt;&gt;0)))</f>
        <v>0</v>
      </c>
      <c r="BE9" s="159" t="b">
        <f t="shared" si="19"/>
        <v>0</v>
      </c>
      <c r="BF9" s="161" t="b">
        <f t="shared" si="20"/>
        <v>0</v>
      </c>
      <c r="BG9" s="206" t="b">
        <f t="shared" si="21"/>
        <v>0</v>
      </c>
      <c r="BH9" s="206">
        <f t="shared" ref="BH9:BH39" si="32">IF(ISNA($Z9),"",IF(OR($Z9=1,$Z9=2),"",$V9))</f>
        <v>1</v>
      </c>
      <c r="BI9" s="206">
        <f t="shared" si="22"/>
        <v>0</v>
      </c>
      <c r="BJ9" s="206" t="str">
        <f t="shared" si="23"/>
        <v>0*</v>
      </c>
      <c r="BK9" s="206">
        <f t="shared" si="24"/>
        <v>1</v>
      </c>
      <c r="BL9" s="162">
        <f t="shared" ref="BL9:BL39" si="33">IF(ISBLANK(BH9),"",IF(BH9=0,"",BH9))</f>
        <v>1</v>
      </c>
      <c r="BM9" s="206">
        <f t="shared" si="25"/>
        <v>0</v>
      </c>
      <c r="BN9" s="206">
        <f t="shared" si="26"/>
        <v>1</v>
      </c>
      <c r="BO9" s="169" t="s">
        <v>214</v>
      </c>
      <c r="BP9" s="170" t="s">
        <v>215</v>
      </c>
    </row>
    <row r="10" spans="2:73" s="105" customFormat="1" ht="12.95" customHeight="1" x14ac:dyDescent="0.2">
      <c r="B10" s="165">
        <f>IF(ISNA(Z10),"",IF(OR(Z10=1,Z10=2),"    ",MAX($B$8:B9)+1))</f>
        <v>2</v>
      </c>
      <c r="C10" s="1375" t="str">
        <f t="shared" si="0"/>
        <v>Basic Comm/Airspace Mechanics (1.3%)</v>
      </c>
      <c r="D10" s="1375"/>
      <c r="E10" s="1375"/>
      <c r="F10" s="1376"/>
      <c r="G10" s="152">
        <f t="shared" si="1"/>
        <v>1</v>
      </c>
      <c r="H10" s="153" t="str">
        <f t="shared" si="2"/>
        <v>0*</v>
      </c>
      <c r="I10" s="166">
        <f t="shared" si="2"/>
        <v>1</v>
      </c>
      <c r="J10" s="172">
        <v>1</v>
      </c>
      <c r="K10" s="173">
        <v>3</v>
      </c>
      <c r="L10" s="1681"/>
      <c r="M10" s="1682"/>
      <c r="N10" s="1682"/>
      <c r="O10" s="1682"/>
      <c r="P10" s="1682"/>
      <c r="Q10" s="1682"/>
      <c r="R10" s="1683"/>
      <c r="T10" s="119">
        <v>3</v>
      </c>
      <c r="U10" s="110" t="s">
        <v>272</v>
      </c>
      <c r="V10" s="206">
        <v>1</v>
      </c>
      <c r="W10" s="206" t="s">
        <v>212</v>
      </c>
      <c r="X10" s="206">
        <v>1</v>
      </c>
      <c r="Y10" s="206" t="s">
        <v>212</v>
      </c>
      <c r="Z10" s="160" t="s">
        <v>212</v>
      </c>
      <c r="AA10" s="160">
        <v>1</v>
      </c>
      <c r="AB10" s="160">
        <v>0</v>
      </c>
      <c r="AC10" s="206">
        <v>2</v>
      </c>
      <c r="AD10" s="206">
        <v>1</v>
      </c>
      <c r="AE10" s="206">
        <v>1</v>
      </c>
      <c r="AF10" s="206" t="b">
        <v>1</v>
      </c>
      <c r="AG10" s="206">
        <f t="shared" si="3"/>
        <v>1</v>
      </c>
      <c r="AH10" s="206">
        <f t="shared" si="4"/>
        <v>0</v>
      </c>
      <c r="AI10" s="86">
        <f>IF(NOT(OR(Z10=1,Z10=2)),IF(AQ10&gt;0,$AR$44*AQ10/SUMIF($AQ$8:$AQ$39,"&gt;0"),IF(AU10&gt;0,$AV$44*AU10/SUMIF($AU$8:$AU$39,"&gt;0"),IF(AS10&gt;0,$AT$44*AS10/SUMIF($AS$8:$AS$39,"&gt;0"),""))),IF(SUMIF(AJ11:$AJ$39,"=" &amp; AJ10,AI11:$AI$39)=0,"",SUMIF(AJ11:$AJ$39,"=" &amp; AJ10,AI11:$AI$39)))</f>
        <v>1.2500000000000001E-2</v>
      </c>
      <c r="AJ10" s="87">
        <f t="shared" ref="AJ10:AJ39" si="34">IF(OR(Z10=1,Z10=2,AA10&lt;AA9),AJ9+1,AJ9)</f>
        <v>0</v>
      </c>
      <c r="AK10" s="206">
        <f t="shared" si="27"/>
        <v>0</v>
      </c>
      <c r="AL10" s="160">
        <f t="shared" si="28"/>
        <v>3</v>
      </c>
      <c r="AM10" s="160">
        <f t="shared" ref="AM10:AM39" si="35">IF(ISNUMBER(AK10),IF(ISNUMBER(AL10),1,""),"")</f>
        <v>1</v>
      </c>
      <c r="AN10" s="160">
        <f t="shared" si="5"/>
        <v>1</v>
      </c>
      <c r="AO10" s="160">
        <f t="shared" si="6"/>
        <v>0</v>
      </c>
      <c r="AP10" s="206" t="b">
        <f t="shared" si="7"/>
        <v>0</v>
      </c>
      <c r="AQ10" s="157">
        <f t="shared" si="29"/>
        <v>0</v>
      </c>
      <c r="AR10" s="88" t="str">
        <f t="shared" si="8"/>
        <v/>
      </c>
      <c r="AS10" s="89">
        <f t="shared" si="30"/>
        <v>1</v>
      </c>
      <c r="AT10" s="88">
        <f t="shared" si="9"/>
        <v>0.9667</v>
      </c>
      <c r="AU10" s="158">
        <f t="shared" si="10"/>
        <v>0</v>
      </c>
      <c r="AV10" s="90" t="str">
        <f t="shared" si="11"/>
        <v/>
      </c>
      <c r="AW10" s="158" t="b">
        <f t="shared" si="12"/>
        <v>0</v>
      </c>
      <c r="AX10" s="159" t="b">
        <f t="shared" si="13"/>
        <v>0</v>
      </c>
      <c r="AY10" s="158" t="b">
        <f t="shared" si="14"/>
        <v>0</v>
      </c>
      <c r="AZ10" s="159" t="b">
        <f t="shared" si="15"/>
        <v>0</v>
      </c>
      <c r="BA10" s="206" t="b">
        <f t="shared" si="16"/>
        <v>0</v>
      </c>
      <c r="BB10" s="206" t="b">
        <f t="shared" si="17"/>
        <v>0</v>
      </c>
      <c r="BC10" s="158" t="b">
        <f t="shared" si="18"/>
        <v>0</v>
      </c>
      <c r="BD10" s="160" t="b">
        <f t="shared" si="31"/>
        <v>0</v>
      </c>
      <c r="BE10" s="159" t="b">
        <f t="shared" si="19"/>
        <v>0</v>
      </c>
      <c r="BF10" s="161" t="b">
        <f t="shared" si="20"/>
        <v>0</v>
      </c>
      <c r="BG10" s="206" t="b">
        <f t="shared" si="21"/>
        <v>0</v>
      </c>
      <c r="BH10" s="206">
        <f t="shared" si="32"/>
        <v>1</v>
      </c>
      <c r="BI10" s="206">
        <f t="shared" si="22"/>
        <v>0</v>
      </c>
      <c r="BJ10" s="206" t="str">
        <f t="shared" si="23"/>
        <v>0*</v>
      </c>
      <c r="BK10" s="206">
        <f t="shared" si="24"/>
        <v>1</v>
      </c>
      <c r="BL10" s="162">
        <f t="shared" si="33"/>
        <v>1</v>
      </c>
      <c r="BM10" s="206">
        <f t="shared" si="25"/>
        <v>0</v>
      </c>
      <c r="BN10" s="206">
        <f t="shared" si="26"/>
        <v>1</v>
      </c>
      <c r="BO10" s="169">
        <v>0</v>
      </c>
      <c r="BP10" s="170" t="s">
        <v>216</v>
      </c>
    </row>
    <row r="11" spans="2:73" s="105" customFormat="1" ht="12.95" customHeight="1" x14ac:dyDescent="0.2">
      <c r="B11" s="165">
        <f>IF(ISNA(Z11),"",IF(OR(Z11=1,Z11=2),"    ",MAX($B$8:B10)+1))</f>
        <v>3</v>
      </c>
      <c r="C11" s="1375" t="str">
        <f t="shared" si="0"/>
        <v>Basic SA/Judgement (2.5%)</v>
      </c>
      <c r="D11" s="1375"/>
      <c r="E11" s="1375"/>
      <c r="F11" s="1376"/>
      <c r="G11" s="152">
        <f t="shared" si="1"/>
        <v>1</v>
      </c>
      <c r="H11" s="153" t="str">
        <f t="shared" si="2"/>
        <v>1*</v>
      </c>
      <c r="I11" s="166">
        <f t="shared" si="2"/>
        <v>2</v>
      </c>
      <c r="J11" s="172">
        <v>1</v>
      </c>
      <c r="K11" s="173">
        <v>3</v>
      </c>
      <c r="L11" s="1681"/>
      <c r="M11" s="1682"/>
      <c r="N11" s="1682"/>
      <c r="O11" s="1682"/>
      <c r="P11" s="1682"/>
      <c r="Q11" s="1682"/>
      <c r="R11" s="1683"/>
      <c r="T11" s="119">
        <v>4</v>
      </c>
      <c r="U11" s="110" t="s">
        <v>273</v>
      </c>
      <c r="V11" s="206">
        <v>1</v>
      </c>
      <c r="W11" s="206" t="s">
        <v>212</v>
      </c>
      <c r="X11" s="206">
        <v>2</v>
      </c>
      <c r="Y11" s="206" t="s">
        <v>212</v>
      </c>
      <c r="Z11" s="160" t="s">
        <v>212</v>
      </c>
      <c r="AA11" s="160">
        <v>1</v>
      </c>
      <c r="AB11" s="160">
        <v>0</v>
      </c>
      <c r="AC11" s="206">
        <v>2</v>
      </c>
      <c r="AD11" s="206">
        <v>2</v>
      </c>
      <c r="AE11" s="206">
        <v>1</v>
      </c>
      <c r="AF11" s="206" t="b">
        <v>1</v>
      </c>
      <c r="AG11" s="206">
        <f t="shared" si="3"/>
        <v>2</v>
      </c>
      <c r="AH11" s="206">
        <f t="shared" si="4"/>
        <v>1</v>
      </c>
      <c r="AI11" s="86">
        <f>IF(NOT(OR(Z11=1,Z11=2)),IF(AQ11&gt;0,$AR$44*AQ11/SUMIF($AQ$8:$AQ$39,"&gt;0"),IF(AU11&gt;0,$AV$44*AU11/SUMIF($AU$8:$AU$39,"&gt;0"),IF(AS11&gt;0,$AT$44*AS11/SUMIF($AS$8:$AS$39,"&gt;0"),""))),IF(SUMIF(AJ12:$AJ$39,"=" &amp; AJ11,AI12:$AI$39)=0,"",SUMIF(AJ12:$AJ$39,"=" &amp; AJ11,AI12:$AI$39)))</f>
        <v>2.5000000000000001E-2</v>
      </c>
      <c r="AJ11" s="87">
        <f t="shared" si="34"/>
        <v>0</v>
      </c>
      <c r="AK11" s="206">
        <f t="shared" si="27"/>
        <v>1</v>
      </c>
      <c r="AL11" s="160">
        <f t="shared" si="28"/>
        <v>3</v>
      </c>
      <c r="AM11" s="160">
        <f t="shared" si="35"/>
        <v>1</v>
      </c>
      <c r="AN11" s="160">
        <f t="shared" si="5"/>
        <v>1</v>
      </c>
      <c r="AO11" s="160">
        <f t="shared" si="6"/>
        <v>1</v>
      </c>
      <c r="AP11" s="206" t="b">
        <f t="shared" si="7"/>
        <v>0</v>
      </c>
      <c r="AQ11" s="157">
        <f t="shared" si="29"/>
        <v>0</v>
      </c>
      <c r="AR11" s="88" t="str">
        <f t="shared" si="8"/>
        <v/>
      </c>
      <c r="AS11" s="89">
        <f t="shared" si="30"/>
        <v>2</v>
      </c>
      <c r="AT11" s="88">
        <f t="shared" si="9"/>
        <v>0.95</v>
      </c>
      <c r="AU11" s="158">
        <f t="shared" si="10"/>
        <v>0</v>
      </c>
      <c r="AV11" s="90" t="str">
        <f t="shared" si="11"/>
        <v/>
      </c>
      <c r="AW11" s="158" t="b">
        <f t="shared" si="12"/>
        <v>0</v>
      </c>
      <c r="AX11" s="159" t="b">
        <f t="shared" si="13"/>
        <v>0</v>
      </c>
      <c r="AY11" s="158" t="b">
        <f t="shared" si="14"/>
        <v>0</v>
      </c>
      <c r="AZ11" s="159" t="b">
        <f t="shared" si="15"/>
        <v>0</v>
      </c>
      <c r="BA11" s="206" t="b">
        <f t="shared" si="16"/>
        <v>0</v>
      </c>
      <c r="BB11" s="206" t="b">
        <f t="shared" si="17"/>
        <v>0</v>
      </c>
      <c r="BC11" s="158" t="b">
        <f t="shared" si="18"/>
        <v>0</v>
      </c>
      <c r="BD11" s="160" t="b">
        <f t="shared" si="31"/>
        <v>0</v>
      </c>
      <c r="BE11" s="159" t="b">
        <f t="shared" si="19"/>
        <v>0</v>
      </c>
      <c r="BF11" s="161" t="b">
        <f t="shared" si="20"/>
        <v>0</v>
      </c>
      <c r="BG11" s="206" t="b">
        <f t="shared" si="21"/>
        <v>0</v>
      </c>
      <c r="BH11" s="206">
        <f t="shared" si="32"/>
        <v>1</v>
      </c>
      <c r="BI11" s="206">
        <f t="shared" si="22"/>
        <v>1</v>
      </c>
      <c r="BJ11" s="206" t="str">
        <f t="shared" si="23"/>
        <v>1*</v>
      </c>
      <c r="BK11" s="206">
        <f t="shared" si="24"/>
        <v>2</v>
      </c>
      <c r="BL11" s="162">
        <f t="shared" si="33"/>
        <v>1</v>
      </c>
      <c r="BM11" s="206">
        <f t="shared" si="25"/>
        <v>1</v>
      </c>
      <c r="BN11" s="206">
        <f t="shared" si="26"/>
        <v>2</v>
      </c>
      <c r="BO11" s="169">
        <v>1</v>
      </c>
      <c r="BP11" s="170" t="s">
        <v>217</v>
      </c>
    </row>
    <row r="12" spans="2:73" s="105" customFormat="1" ht="12.95" customHeight="1" x14ac:dyDescent="0.2">
      <c r="B12" s="165" t="str">
        <f>IF(ISNA(Z12),"",IF(OR(Z12=1,Z12=2),"    ",MAX($B$8:B11)+1))</f>
        <v xml:space="preserve">    </v>
      </c>
      <c r="C12" s="1375" t="str">
        <f t="shared" si="0"/>
        <v>Academic Tasks</v>
      </c>
      <c r="D12" s="1375"/>
      <c r="E12" s="1375"/>
      <c r="F12" s="1376"/>
      <c r="G12" s="152" t="str">
        <f t="shared" si="1"/>
        <v/>
      </c>
      <c r="H12" s="153" t="str">
        <f t="shared" si="2"/>
        <v/>
      </c>
      <c r="I12" s="166" t="str">
        <f t="shared" si="2"/>
        <v/>
      </c>
      <c r="J12" s="172"/>
      <c r="K12" s="173"/>
      <c r="L12" s="1681"/>
      <c r="M12" s="1682"/>
      <c r="N12" s="1682"/>
      <c r="O12" s="1682"/>
      <c r="P12" s="1682"/>
      <c r="Q12" s="1682"/>
      <c r="R12" s="1683"/>
      <c r="T12" s="119">
        <v>5</v>
      </c>
      <c r="U12" s="110" t="s">
        <v>219</v>
      </c>
      <c r="V12" s="206" t="s">
        <v>212</v>
      </c>
      <c r="W12" s="206" t="s">
        <v>212</v>
      </c>
      <c r="X12" s="206" t="s">
        <v>212</v>
      </c>
      <c r="Y12" s="206" t="s">
        <v>212</v>
      </c>
      <c r="Z12" s="160">
        <v>1</v>
      </c>
      <c r="AA12" s="160">
        <v>0</v>
      </c>
      <c r="AB12" s="160">
        <v>1</v>
      </c>
      <c r="AC12" s="206" t="s">
        <v>212</v>
      </c>
      <c r="AD12" s="206" t="s">
        <v>212</v>
      </c>
      <c r="AE12" s="206">
        <v>0</v>
      </c>
      <c r="AF12" s="206" t="s">
        <v>212</v>
      </c>
      <c r="AG12" s="206" t="str">
        <f t="shared" si="3"/>
        <v/>
      </c>
      <c r="AH12" s="206" t="str">
        <f t="shared" si="4"/>
        <v/>
      </c>
      <c r="AI12" s="86" t="str">
        <f>IF(NOT(OR(Z12=1,Z12=2)),IF(AQ12&gt;0,$AR$44*AQ12/SUMIF($AQ$8:$AQ$39,"&gt;0"),IF(AU12&gt;0,$AV$44*AU12/SUMIF($AU$8:$AU$39,"&gt;0"),IF(AS12&gt;0,$AT$44*AS12/SUMIF($AS$8:$AS$39,"&gt;0"),""))),IF(SUMIF(AJ13:$AJ$39,"=" &amp; AJ12,AI13:$AI$39)=0,"",SUMIF(AJ13:$AJ$39,"=" &amp; AJ12,AI13:$AI$39)))</f>
        <v/>
      </c>
      <c r="AJ12" s="87">
        <f t="shared" si="34"/>
        <v>1</v>
      </c>
      <c r="AK12" s="206" t="str">
        <f t="shared" si="27"/>
        <v/>
      </c>
      <c r="AL12" s="160" t="str">
        <f t="shared" si="28"/>
        <v/>
      </c>
      <c r="AM12" s="160" t="str">
        <f t="shared" si="35"/>
        <v/>
      </c>
      <c r="AN12" s="160" t="str">
        <f t="shared" si="5"/>
        <v/>
      </c>
      <c r="AO12" s="160" t="str">
        <f t="shared" si="6"/>
        <v/>
      </c>
      <c r="AP12" s="206" t="str">
        <f t="shared" si="7"/>
        <v/>
      </c>
      <c r="AQ12" s="157">
        <f t="shared" si="29"/>
        <v>0</v>
      </c>
      <c r="AR12" s="88" t="str">
        <f t="shared" si="8"/>
        <v/>
      </c>
      <c r="AS12" s="89">
        <f t="shared" si="30"/>
        <v>0</v>
      </c>
      <c r="AT12" s="88" t="str">
        <f t="shared" si="9"/>
        <v/>
      </c>
      <c r="AU12" s="158">
        <f t="shared" si="10"/>
        <v>0</v>
      </c>
      <c r="AV12" s="90" t="str">
        <f t="shared" si="11"/>
        <v/>
      </c>
      <c r="AW12" s="158" t="b">
        <f t="shared" si="12"/>
        <v>0</v>
      </c>
      <c r="AX12" s="159" t="b">
        <f t="shared" si="13"/>
        <v>0</v>
      </c>
      <c r="AY12" s="158" t="b">
        <f t="shared" si="14"/>
        <v>0</v>
      </c>
      <c r="AZ12" s="159" t="b">
        <f t="shared" si="15"/>
        <v>0</v>
      </c>
      <c r="BA12" s="206" t="b">
        <f t="shared" si="16"/>
        <v>0</v>
      </c>
      <c r="BB12" s="206" t="b">
        <f t="shared" si="17"/>
        <v>0</v>
      </c>
      <c r="BC12" s="158" t="b">
        <f t="shared" si="18"/>
        <v>0</v>
      </c>
      <c r="BD12" s="160" t="b">
        <f t="shared" si="31"/>
        <v>0</v>
      </c>
      <c r="BE12" s="159" t="b">
        <f t="shared" si="19"/>
        <v>0</v>
      </c>
      <c r="BF12" s="161" t="b">
        <f t="shared" si="20"/>
        <v>0</v>
      </c>
      <c r="BG12" s="206" t="b">
        <f t="shared" si="21"/>
        <v>0</v>
      </c>
      <c r="BH12" s="206" t="str">
        <f t="shared" si="32"/>
        <v/>
      </c>
      <c r="BI12" s="206" t="str">
        <f t="shared" si="22"/>
        <v/>
      </c>
      <c r="BJ12" s="206" t="str">
        <f t="shared" si="23"/>
        <v/>
      </c>
      <c r="BK12" s="206" t="str">
        <f t="shared" si="24"/>
        <v/>
      </c>
      <c r="BL12" s="162" t="str">
        <f t="shared" si="33"/>
        <v/>
      </c>
      <c r="BM12" s="206" t="str">
        <f t="shared" si="25"/>
        <v/>
      </c>
      <c r="BN12" s="206" t="str">
        <f t="shared" si="26"/>
        <v/>
      </c>
      <c r="BO12" s="169">
        <v>2</v>
      </c>
      <c r="BP12" s="170" t="s">
        <v>218</v>
      </c>
    </row>
    <row r="13" spans="2:73" s="105" customFormat="1" ht="12.95" customHeight="1" x14ac:dyDescent="0.2">
      <c r="B13" s="165" t="str">
        <f>IF(ISNA(Z13),"",IF(OR(Z13=1,Z13=2),"    ",MAX($B$8:B12)+1))</f>
        <v xml:space="preserve">    </v>
      </c>
      <c r="C13" s="1375" t="str">
        <f t="shared" si="0"/>
        <v>Test Conduct (95.0%)</v>
      </c>
      <c r="D13" s="1375"/>
      <c r="E13" s="1375"/>
      <c r="F13" s="1376"/>
      <c r="G13" s="152" t="str">
        <f t="shared" si="1"/>
        <v/>
      </c>
      <c r="H13" s="153" t="str">
        <f t="shared" si="2"/>
        <v/>
      </c>
      <c r="I13" s="166" t="str">
        <f t="shared" si="2"/>
        <v/>
      </c>
      <c r="J13" s="172"/>
      <c r="K13" s="173"/>
      <c r="L13" s="1681"/>
      <c r="M13" s="1682"/>
      <c r="N13" s="1682"/>
      <c r="O13" s="1682"/>
      <c r="P13" s="1682"/>
      <c r="Q13" s="1682"/>
      <c r="R13" s="1683"/>
      <c r="T13" s="119">
        <v>6</v>
      </c>
      <c r="U13" s="110" t="s">
        <v>221</v>
      </c>
      <c r="V13" s="206" t="s">
        <v>212</v>
      </c>
      <c r="W13" s="206" t="s">
        <v>212</v>
      </c>
      <c r="X13" s="206" t="s">
        <v>212</v>
      </c>
      <c r="Y13" s="206" t="s">
        <v>212</v>
      </c>
      <c r="Z13" s="160">
        <v>2</v>
      </c>
      <c r="AA13" s="160">
        <v>1</v>
      </c>
      <c r="AB13" s="160">
        <v>1</v>
      </c>
      <c r="AC13" s="206" t="s">
        <v>212</v>
      </c>
      <c r="AD13" s="206" t="s">
        <v>212</v>
      </c>
      <c r="AE13" s="206" t="s">
        <v>212</v>
      </c>
      <c r="AF13" s="206" t="s">
        <v>212</v>
      </c>
      <c r="AG13" s="206" t="str">
        <f t="shared" si="3"/>
        <v/>
      </c>
      <c r="AH13" s="206" t="str">
        <f t="shared" si="4"/>
        <v/>
      </c>
      <c r="AI13" s="86">
        <f>IF(NOT(OR(Z13=1,Z13=2)),IF(AQ13&gt;0,$AR$44*AQ13/SUMIF($AQ$8:$AQ$39,"&gt;0"),IF(AU13&gt;0,$AV$44*AU13/SUMIF($AU$8:$AU$39,"&gt;0"),IF(AS13&gt;0,$AT$44*AS13/SUMIF($AS$8:$AS$39,"&gt;0"),""))),IF(SUMIF(AJ14:$AJ$39,"=" &amp; AJ13,AI14:$AI$39)=0,"",SUMIF(AJ14:$AJ$39,"=" &amp; AJ13,AI14:$AI$39)))</f>
        <v>0.95</v>
      </c>
      <c r="AJ13" s="87">
        <f t="shared" si="34"/>
        <v>2</v>
      </c>
      <c r="AK13" s="206" t="str">
        <f t="shared" si="27"/>
        <v/>
      </c>
      <c r="AL13" s="160" t="str">
        <f t="shared" si="28"/>
        <v/>
      </c>
      <c r="AM13" s="160" t="str">
        <f t="shared" si="35"/>
        <v/>
      </c>
      <c r="AN13" s="160" t="str">
        <f t="shared" si="5"/>
        <v/>
      </c>
      <c r="AO13" s="160" t="str">
        <f t="shared" si="6"/>
        <v/>
      </c>
      <c r="AP13" s="206" t="str">
        <f t="shared" si="7"/>
        <v/>
      </c>
      <c r="AQ13" s="157">
        <f t="shared" si="29"/>
        <v>0</v>
      </c>
      <c r="AR13" s="88" t="str">
        <f t="shared" si="8"/>
        <v/>
      </c>
      <c r="AS13" s="89">
        <f t="shared" si="30"/>
        <v>0</v>
      </c>
      <c r="AT13" s="88" t="str">
        <f t="shared" si="9"/>
        <v/>
      </c>
      <c r="AU13" s="158">
        <f t="shared" si="10"/>
        <v>0</v>
      </c>
      <c r="AV13" s="90" t="str">
        <f t="shared" si="11"/>
        <v/>
      </c>
      <c r="AW13" s="158" t="b">
        <f t="shared" si="12"/>
        <v>0</v>
      </c>
      <c r="AX13" s="159" t="b">
        <f t="shared" si="13"/>
        <v>0</v>
      </c>
      <c r="AY13" s="158" t="b">
        <f t="shared" si="14"/>
        <v>0</v>
      </c>
      <c r="AZ13" s="159" t="b">
        <f t="shared" si="15"/>
        <v>0</v>
      </c>
      <c r="BA13" s="206" t="b">
        <f t="shared" si="16"/>
        <v>0</v>
      </c>
      <c r="BB13" s="206" t="b">
        <f t="shared" si="17"/>
        <v>0</v>
      </c>
      <c r="BC13" s="158" t="b">
        <f t="shared" si="18"/>
        <v>0</v>
      </c>
      <c r="BD13" s="160" t="b">
        <f t="shared" si="31"/>
        <v>0</v>
      </c>
      <c r="BE13" s="159" t="b">
        <f t="shared" si="19"/>
        <v>0</v>
      </c>
      <c r="BF13" s="161" t="b">
        <f t="shared" si="20"/>
        <v>0</v>
      </c>
      <c r="BG13" s="206" t="b">
        <f t="shared" si="21"/>
        <v>0</v>
      </c>
      <c r="BH13" s="206" t="str">
        <f t="shared" si="32"/>
        <v/>
      </c>
      <c r="BI13" s="206" t="str">
        <f t="shared" si="22"/>
        <v/>
      </c>
      <c r="BJ13" s="206" t="str">
        <f t="shared" si="23"/>
        <v/>
      </c>
      <c r="BK13" s="206" t="str">
        <f t="shared" si="24"/>
        <v/>
      </c>
      <c r="BL13" s="162" t="str">
        <f t="shared" si="33"/>
        <v/>
      </c>
      <c r="BM13" s="206" t="str">
        <f t="shared" si="25"/>
        <v/>
      </c>
      <c r="BN13" s="206" t="str">
        <f t="shared" si="26"/>
        <v/>
      </c>
      <c r="BO13" s="169">
        <v>3</v>
      </c>
      <c r="BP13" s="170" t="s">
        <v>220</v>
      </c>
    </row>
    <row r="14" spans="2:73" s="105" customFormat="1" ht="12.95" customHeight="1" x14ac:dyDescent="0.2">
      <c r="B14" s="165">
        <f>IF(ISNA(Z14),"",IF(OR(Z14=1,Z14=2),"    ",MAX($B$8:B13)+1))</f>
        <v>4</v>
      </c>
      <c r="C14" s="1375" t="str">
        <f t="shared" si="0"/>
        <v xml:space="preserve">      - Mission Materials/Briefing</v>
      </c>
      <c r="D14" s="1375"/>
      <c r="E14" s="1375"/>
      <c r="F14" s="1376"/>
      <c r="G14" s="152">
        <f t="shared" si="1"/>
        <v>1</v>
      </c>
      <c r="H14" s="153" t="str">
        <f t="shared" si="2"/>
        <v>NG</v>
      </c>
      <c r="I14" s="166" t="str">
        <f t="shared" si="2"/>
        <v/>
      </c>
      <c r="J14" s="172">
        <v>1</v>
      </c>
      <c r="K14" s="173" t="s">
        <v>214</v>
      </c>
      <c r="L14" s="1681"/>
      <c r="M14" s="1682"/>
      <c r="N14" s="1682"/>
      <c r="O14" s="1682"/>
      <c r="P14" s="1682"/>
      <c r="Q14" s="1682"/>
      <c r="R14" s="1683"/>
      <c r="T14" s="119">
        <v>7</v>
      </c>
      <c r="U14" s="110" t="s">
        <v>274</v>
      </c>
      <c r="V14" s="206">
        <v>1</v>
      </c>
      <c r="W14" s="206" t="s">
        <v>212</v>
      </c>
      <c r="X14" s="206" t="s">
        <v>212</v>
      </c>
      <c r="Y14" s="206" t="s">
        <v>212</v>
      </c>
      <c r="Z14" s="160" t="s">
        <v>212</v>
      </c>
      <c r="AA14" s="160">
        <v>2</v>
      </c>
      <c r="AB14" s="160">
        <v>1</v>
      </c>
      <c r="AC14" s="206" t="s">
        <v>212</v>
      </c>
      <c r="AD14" s="206" t="s">
        <v>225</v>
      </c>
      <c r="AE14" s="206" t="s">
        <v>212</v>
      </c>
      <c r="AF14" s="206" t="b">
        <v>1</v>
      </c>
      <c r="AG14" s="206" t="str">
        <f t="shared" si="3"/>
        <v>NG</v>
      </c>
      <c r="AH14" s="206" t="str">
        <f t="shared" si="4"/>
        <v/>
      </c>
      <c r="AI14" s="86" t="str">
        <f>IF(NOT(OR(Z14=1,Z14=2)),IF(AQ14&gt;0,$AR$44*AQ14/SUMIF($AQ$8:$AQ$39,"&gt;0"),IF(AU14&gt;0,$AV$44*AU14/SUMIF($AU$8:$AU$39,"&gt;0"),IF(AS14&gt;0,$AT$44*AS14/SUMIF($AS$8:$AS$39,"&gt;0"),""))),IF(SUMIF(AJ15:$AJ$39,"=" &amp; AJ14,AI15:$AI$39)=0,"",SUMIF(AJ15:$AJ$39,"=" &amp; AJ14,AI15:$AI$39)))</f>
        <v/>
      </c>
      <c r="AJ14" s="87">
        <f t="shared" si="34"/>
        <v>2</v>
      </c>
      <c r="AK14" s="206" t="str">
        <f t="shared" si="27"/>
        <v>NG</v>
      </c>
      <c r="AL14" s="160" t="str">
        <f t="shared" si="28"/>
        <v>D</v>
      </c>
      <c r="AM14" s="160" t="str">
        <f t="shared" si="35"/>
        <v/>
      </c>
      <c r="AN14" s="160" t="str">
        <f t="shared" si="5"/>
        <v/>
      </c>
      <c r="AO14" s="160" t="str">
        <f t="shared" si="6"/>
        <v/>
      </c>
      <c r="AP14" s="206" t="str">
        <f t="shared" si="7"/>
        <v/>
      </c>
      <c r="AQ14" s="157">
        <f t="shared" si="29"/>
        <v>0</v>
      </c>
      <c r="AR14" s="88" t="str">
        <f t="shared" si="8"/>
        <v/>
      </c>
      <c r="AS14" s="89">
        <f t="shared" si="30"/>
        <v>0</v>
      </c>
      <c r="AT14" s="88" t="str">
        <f t="shared" si="9"/>
        <v/>
      </c>
      <c r="AU14" s="158">
        <f t="shared" si="10"/>
        <v>0</v>
      </c>
      <c r="AV14" s="90" t="str">
        <f t="shared" si="11"/>
        <v/>
      </c>
      <c r="AW14" s="158" t="b">
        <f t="shared" si="12"/>
        <v>0</v>
      </c>
      <c r="AX14" s="159" t="b">
        <f t="shared" si="13"/>
        <v>0</v>
      </c>
      <c r="AY14" s="158" t="b">
        <f t="shared" si="14"/>
        <v>0</v>
      </c>
      <c r="AZ14" s="159" t="b">
        <f t="shared" si="15"/>
        <v>0</v>
      </c>
      <c r="BA14" s="206" t="b">
        <f t="shared" si="16"/>
        <v>0</v>
      </c>
      <c r="BB14" s="206" t="b">
        <f t="shared" si="17"/>
        <v>0</v>
      </c>
      <c r="BC14" s="158" t="b">
        <f t="shared" si="18"/>
        <v>0</v>
      </c>
      <c r="BD14" s="160" t="b">
        <f t="shared" si="31"/>
        <v>0</v>
      </c>
      <c r="BE14" s="159" t="b">
        <f t="shared" si="19"/>
        <v>0</v>
      </c>
      <c r="BF14" s="161" t="b">
        <f t="shared" si="20"/>
        <v>0</v>
      </c>
      <c r="BG14" s="206" t="b">
        <f t="shared" si="21"/>
        <v>0</v>
      </c>
      <c r="BH14" s="206">
        <f t="shared" si="32"/>
        <v>1</v>
      </c>
      <c r="BI14" s="206" t="str">
        <f t="shared" si="22"/>
        <v>NG</v>
      </c>
      <c r="BJ14" s="206" t="str">
        <f t="shared" si="23"/>
        <v>NG</v>
      </c>
      <c r="BK14" s="206" t="str">
        <f t="shared" si="24"/>
        <v/>
      </c>
      <c r="BL14" s="162">
        <f t="shared" si="33"/>
        <v>1</v>
      </c>
      <c r="BM14" s="206" t="str">
        <f t="shared" si="25"/>
        <v>D</v>
      </c>
      <c r="BN14" s="206" t="str">
        <f t="shared" si="26"/>
        <v>D</v>
      </c>
      <c r="BO14" s="169">
        <v>4</v>
      </c>
      <c r="BP14" s="170" t="s">
        <v>222</v>
      </c>
    </row>
    <row r="15" spans="2:73" s="105" customFormat="1" ht="12.95" customHeight="1" x14ac:dyDescent="0.2">
      <c r="B15" s="165">
        <f>IF(ISNA(Z15),"",IF(OR(Z15=1,Z15=2),"    ",MAX($B$8:B14)+1))</f>
        <v>5</v>
      </c>
      <c r="C15" s="1375" t="str">
        <f t="shared" si="0"/>
        <v xml:space="preserve">      - Mission Management/Adaptability (14.6%)</v>
      </c>
      <c r="D15" s="1375"/>
      <c r="E15" s="1375"/>
      <c r="F15" s="1376"/>
      <c r="G15" s="152">
        <f t="shared" si="1"/>
        <v>1</v>
      </c>
      <c r="H15" s="153" t="str">
        <f t="shared" si="2"/>
        <v>1</v>
      </c>
      <c r="I15" s="166">
        <f t="shared" si="2"/>
        <v>2</v>
      </c>
      <c r="J15" s="172">
        <v>1</v>
      </c>
      <c r="K15" s="173">
        <v>3</v>
      </c>
      <c r="L15" s="1681"/>
      <c r="M15" s="1682"/>
      <c r="N15" s="1682"/>
      <c r="O15" s="1682"/>
      <c r="P15" s="1682"/>
      <c r="Q15" s="1682"/>
      <c r="R15" s="1683"/>
      <c r="T15" s="119">
        <v>8</v>
      </c>
      <c r="U15" s="110" t="s">
        <v>275</v>
      </c>
      <c r="V15" s="206">
        <v>1</v>
      </c>
      <c r="W15" s="206">
        <v>1</v>
      </c>
      <c r="X15" s="206" t="s">
        <v>212</v>
      </c>
      <c r="Y15" s="206" t="s">
        <v>212</v>
      </c>
      <c r="Z15" s="160" t="s">
        <v>212</v>
      </c>
      <c r="AA15" s="160">
        <v>2</v>
      </c>
      <c r="AB15" s="160">
        <v>1</v>
      </c>
      <c r="AC15" s="206">
        <v>2</v>
      </c>
      <c r="AD15" s="206">
        <v>1</v>
      </c>
      <c r="AE15" s="206">
        <v>0</v>
      </c>
      <c r="AF15" s="206" t="b">
        <v>1</v>
      </c>
      <c r="AG15" s="206">
        <f t="shared" si="3"/>
        <v>1</v>
      </c>
      <c r="AH15" s="206">
        <f t="shared" si="4"/>
        <v>0</v>
      </c>
      <c r="AI15" s="86">
        <f>IF(NOT(OR(Z15=1,Z15=2)),IF(AQ15&gt;0,$AR$44*AQ15/SUMIF($AQ$8:$AQ$39,"&gt;0"),IF(AU15&gt;0,$AV$44*AU15/SUMIF($AU$8:$AU$39,"&gt;0"),IF(AS15&gt;0,$AT$44*AS15/SUMIF($AS$8:$AS$39,"&gt;0"),""))),IF(SUMIF(AJ16:$AJ$39,"=" &amp; AJ15,AI16:$AI$39)=0,"",SUMIF(AJ16:$AJ$39,"=" &amp; AJ15,AI16:$AI$39)))</f>
        <v>0.14615384615384613</v>
      </c>
      <c r="AJ15" s="87">
        <f t="shared" si="34"/>
        <v>2</v>
      </c>
      <c r="AK15" s="206">
        <f t="shared" si="27"/>
        <v>1</v>
      </c>
      <c r="AL15" s="160">
        <f t="shared" si="28"/>
        <v>3</v>
      </c>
      <c r="AM15" s="160">
        <f t="shared" si="35"/>
        <v>1</v>
      </c>
      <c r="AN15" s="160" t="str">
        <f t="shared" si="5"/>
        <v/>
      </c>
      <c r="AO15" s="160" t="str">
        <f t="shared" si="6"/>
        <v/>
      </c>
      <c r="AP15" s="206" t="b">
        <f t="shared" si="7"/>
        <v>0</v>
      </c>
      <c r="AQ15" s="157">
        <f t="shared" si="29"/>
        <v>1</v>
      </c>
      <c r="AR15" s="88">
        <f t="shared" si="8"/>
        <v>0.95</v>
      </c>
      <c r="AS15" s="89">
        <f t="shared" si="30"/>
        <v>0</v>
      </c>
      <c r="AT15" s="88" t="str">
        <f t="shared" si="9"/>
        <v/>
      </c>
      <c r="AU15" s="158">
        <f t="shared" si="10"/>
        <v>0</v>
      </c>
      <c r="AV15" s="90">
        <f t="shared" si="11"/>
        <v>0.95</v>
      </c>
      <c r="AW15" s="158" t="b">
        <f t="shared" si="12"/>
        <v>0</v>
      </c>
      <c r="AX15" s="159" t="b">
        <f t="shared" si="13"/>
        <v>0</v>
      </c>
      <c r="AY15" s="158" t="b">
        <f t="shared" si="14"/>
        <v>0</v>
      </c>
      <c r="AZ15" s="159" t="b">
        <f t="shared" si="15"/>
        <v>0</v>
      </c>
      <c r="BA15" s="206" t="b">
        <f t="shared" si="16"/>
        <v>0</v>
      </c>
      <c r="BB15" s="206" t="b">
        <f t="shared" si="17"/>
        <v>0</v>
      </c>
      <c r="BC15" s="158" t="b">
        <f t="shared" si="18"/>
        <v>0</v>
      </c>
      <c r="BD15" s="160" t="b">
        <f t="shared" si="31"/>
        <v>0</v>
      </c>
      <c r="BE15" s="159" t="b">
        <f t="shared" si="19"/>
        <v>0</v>
      </c>
      <c r="BF15" s="161" t="b">
        <f t="shared" si="20"/>
        <v>0</v>
      </c>
      <c r="BG15" s="206" t="b">
        <f t="shared" si="21"/>
        <v>0</v>
      </c>
      <c r="BH15" s="206">
        <f t="shared" si="32"/>
        <v>1</v>
      </c>
      <c r="BI15" s="206">
        <f t="shared" si="22"/>
        <v>1</v>
      </c>
      <c r="BJ15" s="206" t="str">
        <f t="shared" si="23"/>
        <v>1</v>
      </c>
      <c r="BK15" s="206">
        <f t="shared" si="24"/>
        <v>2</v>
      </c>
      <c r="BL15" s="162">
        <f t="shared" si="33"/>
        <v>1</v>
      </c>
      <c r="BM15" s="206">
        <f t="shared" si="25"/>
        <v>1</v>
      </c>
      <c r="BN15" s="206">
        <f t="shared" si="26"/>
        <v>2</v>
      </c>
      <c r="BO15" s="106"/>
    </row>
    <row r="16" spans="2:73" s="105" customFormat="1" ht="12.95" customHeight="1" x14ac:dyDescent="0.2">
      <c r="B16" s="165">
        <f>IF(ISNA(Z16),"",IF(OR(Z16=1,Z16=2),"    ",MAX($B$8:B15)+1))</f>
        <v>6</v>
      </c>
      <c r="C16" s="1375" t="str">
        <f t="shared" si="0"/>
        <v xml:space="preserve">      - Test Plan/Card Adherence (21.9%)</v>
      </c>
      <c r="D16" s="1375"/>
      <c r="E16" s="1375"/>
      <c r="F16" s="1376"/>
      <c r="G16" s="152">
        <f t="shared" si="1"/>
        <v>1</v>
      </c>
      <c r="H16" s="153" t="str">
        <f t="shared" si="2"/>
        <v>1</v>
      </c>
      <c r="I16" s="166">
        <f t="shared" si="2"/>
        <v>2</v>
      </c>
      <c r="J16" s="172">
        <v>1</v>
      </c>
      <c r="K16" s="173">
        <v>3</v>
      </c>
      <c r="L16" s="1681"/>
      <c r="M16" s="1682"/>
      <c r="N16" s="1682"/>
      <c r="O16" s="1682"/>
      <c r="P16" s="1682"/>
      <c r="Q16" s="1682"/>
      <c r="R16" s="1683"/>
      <c r="T16" s="119">
        <v>9</v>
      </c>
      <c r="U16" s="110" t="s">
        <v>276</v>
      </c>
      <c r="V16" s="206">
        <v>1</v>
      </c>
      <c r="W16" s="206">
        <v>1.5</v>
      </c>
      <c r="X16" s="206" t="s">
        <v>212</v>
      </c>
      <c r="Y16" s="206" t="s">
        <v>212</v>
      </c>
      <c r="Z16" s="160" t="s">
        <v>212</v>
      </c>
      <c r="AA16" s="160">
        <v>2</v>
      </c>
      <c r="AB16" s="160">
        <v>1</v>
      </c>
      <c r="AC16" s="206">
        <v>2</v>
      </c>
      <c r="AD16" s="206">
        <v>1</v>
      </c>
      <c r="AE16" s="206">
        <v>0</v>
      </c>
      <c r="AF16" s="206" t="b">
        <v>1</v>
      </c>
      <c r="AG16" s="206">
        <f t="shared" si="3"/>
        <v>1</v>
      </c>
      <c r="AH16" s="206">
        <f t="shared" si="4"/>
        <v>0</v>
      </c>
      <c r="AI16" s="86">
        <f>IF(NOT(OR(Z16=1,Z16=2)),IF(AQ16&gt;0,$AR$44*AQ16/SUMIF($AQ$8:$AQ$39,"&gt;0"),IF(AU16&gt;0,$AV$44*AU16/SUMIF($AU$8:$AU$39,"&gt;0"),IF(AS16&gt;0,$AT$44*AS16/SUMIF($AS$8:$AS$39,"&gt;0"),""))),IF(SUMIF(AJ17:$AJ$39,"=" &amp; AJ16,AI17:$AI$39)=0,"",SUMIF(AJ17:$AJ$39,"=" &amp; AJ16,AI17:$AI$39)))</f>
        <v>0.2192307692307692</v>
      </c>
      <c r="AJ16" s="87">
        <f t="shared" si="34"/>
        <v>2</v>
      </c>
      <c r="AK16" s="206">
        <f t="shared" si="27"/>
        <v>1</v>
      </c>
      <c r="AL16" s="160">
        <f t="shared" si="28"/>
        <v>3</v>
      </c>
      <c r="AM16" s="160">
        <f t="shared" si="35"/>
        <v>1</v>
      </c>
      <c r="AN16" s="160" t="str">
        <f t="shared" si="5"/>
        <v/>
      </c>
      <c r="AO16" s="160" t="str">
        <f t="shared" si="6"/>
        <v/>
      </c>
      <c r="AP16" s="206" t="b">
        <f t="shared" si="7"/>
        <v>0</v>
      </c>
      <c r="AQ16" s="157">
        <f t="shared" si="29"/>
        <v>1.5</v>
      </c>
      <c r="AR16" s="88">
        <f t="shared" si="8"/>
        <v>0.95</v>
      </c>
      <c r="AS16" s="89">
        <f t="shared" si="30"/>
        <v>0</v>
      </c>
      <c r="AT16" s="88" t="str">
        <f t="shared" si="9"/>
        <v/>
      </c>
      <c r="AU16" s="158">
        <f t="shared" si="10"/>
        <v>0</v>
      </c>
      <c r="AV16" s="90">
        <f t="shared" si="11"/>
        <v>0.95</v>
      </c>
      <c r="AW16" s="158" t="b">
        <f t="shared" si="12"/>
        <v>0</v>
      </c>
      <c r="AX16" s="159" t="b">
        <f t="shared" si="13"/>
        <v>0</v>
      </c>
      <c r="AY16" s="158" t="b">
        <f t="shared" si="14"/>
        <v>0</v>
      </c>
      <c r="AZ16" s="159" t="b">
        <f t="shared" si="15"/>
        <v>0</v>
      </c>
      <c r="BA16" s="206" t="b">
        <f t="shared" si="16"/>
        <v>0</v>
      </c>
      <c r="BB16" s="206" t="b">
        <f t="shared" si="17"/>
        <v>0</v>
      </c>
      <c r="BC16" s="158" t="b">
        <f t="shared" si="18"/>
        <v>0</v>
      </c>
      <c r="BD16" s="160" t="b">
        <f t="shared" si="31"/>
        <v>0</v>
      </c>
      <c r="BE16" s="159" t="b">
        <f t="shared" si="19"/>
        <v>0</v>
      </c>
      <c r="BF16" s="161" t="b">
        <f t="shared" si="20"/>
        <v>0</v>
      </c>
      <c r="BG16" s="206" t="b">
        <f t="shared" si="21"/>
        <v>0</v>
      </c>
      <c r="BH16" s="206">
        <f t="shared" si="32"/>
        <v>1</v>
      </c>
      <c r="BI16" s="206">
        <f t="shared" si="22"/>
        <v>1</v>
      </c>
      <c r="BJ16" s="206" t="str">
        <f t="shared" si="23"/>
        <v>1</v>
      </c>
      <c r="BK16" s="206">
        <f t="shared" si="24"/>
        <v>2</v>
      </c>
      <c r="BL16" s="162">
        <f t="shared" si="33"/>
        <v>1</v>
      </c>
      <c r="BM16" s="206">
        <f t="shared" si="25"/>
        <v>1</v>
      </c>
      <c r="BN16" s="206">
        <f t="shared" si="26"/>
        <v>2</v>
      </c>
      <c r="BO16" s="169"/>
      <c r="BP16" s="174"/>
    </row>
    <row r="17" spans="2:73" s="105" customFormat="1" ht="12.95" customHeight="1" x14ac:dyDescent="0.2">
      <c r="B17" s="165">
        <f>IF(ISNA(Z17),"",IF(OR(Z17=1,Z17=2),"    ",MAX($B$8:B16)+1))</f>
        <v>7</v>
      </c>
      <c r="C17" s="1375" t="str">
        <f t="shared" si="0"/>
        <v xml:space="preserve">      - Test Specific Comm/CRM (21.9%)</v>
      </c>
      <c r="D17" s="1375"/>
      <c r="E17" s="1375"/>
      <c r="F17" s="1376"/>
      <c r="G17" s="152">
        <f t="shared" si="1"/>
        <v>1</v>
      </c>
      <c r="H17" s="153" t="str">
        <f t="shared" si="2"/>
        <v>1</v>
      </c>
      <c r="I17" s="166">
        <f t="shared" si="2"/>
        <v>2</v>
      </c>
      <c r="J17" s="172">
        <v>1</v>
      </c>
      <c r="K17" s="173">
        <v>3</v>
      </c>
      <c r="L17" s="1681"/>
      <c r="M17" s="1682"/>
      <c r="N17" s="1682"/>
      <c r="O17" s="1682"/>
      <c r="P17" s="1682"/>
      <c r="Q17" s="1682"/>
      <c r="R17" s="1683"/>
      <c r="T17" s="119">
        <v>10</v>
      </c>
      <c r="U17" s="110" t="s">
        <v>277</v>
      </c>
      <c r="V17" s="206">
        <v>1</v>
      </c>
      <c r="W17" s="206">
        <v>1.5</v>
      </c>
      <c r="X17" s="206" t="s">
        <v>212</v>
      </c>
      <c r="Y17" s="206" t="s">
        <v>212</v>
      </c>
      <c r="Z17" s="160" t="s">
        <v>212</v>
      </c>
      <c r="AA17" s="160">
        <v>2</v>
      </c>
      <c r="AB17" s="160">
        <v>1</v>
      </c>
      <c r="AC17" s="206">
        <v>2</v>
      </c>
      <c r="AD17" s="206">
        <v>1</v>
      </c>
      <c r="AE17" s="206">
        <v>0</v>
      </c>
      <c r="AF17" s="206" t="b">
        <v>1</v>
      </c>
      <c r="AG17" s="206">
        <f t="shared" si="3"/>
        <v>1</v>
      </c>
      <c r="AH17" s="206">
        <f t="shared" si="4"/>
        <v>0</v>
      </c>
      <c r="AI17" s="86">
        <f>IF(NOT(OR(Z17=1,Z17=2)),IF(AQ17&gt;0,$AR$44*AQ17/SUMIF($AQ$8:$AQ$39,"&gt;0"),IF(AU17&gt;0,$AV$44*AU17/SUMIF($AU$8:$AU$39,"&gt;0"),IF(AS17&gt;0,$AT$44*AS17/SUMIF($AS$8:$AS$39,"&gt;0"),""))),IF(SUMIF(AJ18:$AJ$39,"=" &amp; AJ17,AI18:$AI$39)=0,"",SUMIF(AJ18:$AJ$39,"=" &amp; AJ17,AI18:$AI$39)))</f>
        <v>0.2192307692307692</v>
      </c>
      <c r="AJ17" s="87">
        <f t="shared" si="34"/>
        <v>2</v>
      </c>
      <c r="AK17" s="206">
        <f t="shared" si="27"/>
        <v>1</v>
      </c>
      <c r="AL17" s="160">
        <f t="shared" si="28"/>
        <v>3</v>
      </c>
      <c r="AM17" s="160">
        <f t="shared" si="35"/>
        <v>1</v>
      </c>
      <c r="AN17" s="160" t="str">
        <f t="shared" si="5"/>
        <v/>
      </c>
      <c r="AO17" s="160" t="str">
        <f t="shared" si="6"/>
        <v/>
      </c>
      <c r="AP17" s="206" t="b">
        <f t="shared" si="7"/>
        <v>0</v>
      </c>
      <c r="AQ17" s="157">
        <f t="shared" si="29"/>
        <v>1.5</v>
      </c>
      <c r="AR17" s="88">
        <f t="shared" si="8"/>
        <v>0.95</v>
      </c>
      <c r="AS17" s="89">
        <f t="shared" si="30"/>
        <v>0</v>
      </c>
      <c r="AT17" s="88" t="str">
        <f t="shared" si="9"/>
        <v/>
      </c>
      <c r="AU17" s="158">
        <f t="shared" si="10"/>
        <v>0</v>
      </c>
      <c r="AV17" s="90">
        <f t="shared" si="11"/>
        <v>0.95</v>
      </c>
      <c r="AW17" s="158" t="b">
        <f t="shared" si="12"/>
        <v>0</v>
      </c>
      <c r="AX17" s="159" t="b">
        <f t="shared" si="13"/>
        <v>0</v>
      </c>
      <c r="AY17" s="158" t="b">
        <f t="shared" si="14"/>
        <v>0</v>
      </c>
      <c r="AZ17" s="159" t="b">
        <f t="shared" si="15"/>
        <v>0</v>
      </c>
      <c r="BA17" s="206" t="b">
        <f t="shared" si="16"/>
        <v>0</v>
      </c>
      <c r="BB17" s="206" t="b">
        <f t="shared" si="17"/>
        <v>0</v>
      </c>
      <c r="BC17" s="158" t="b">
        <f t="shared" si="18"/>
        <v>0</v>
      </c>
      <c r="BD17" s="160" t="b">
        <f t="shared" si="31"/>
        <v>0</v>
      </c>
      <c r="BE17" s="159" t="b">
        <f t="shared" si="19"/>
        <v>0</v>
      </c>
      <c r="BF17" s="161" t="b">
        <f t="shared" si="20"/>
        <v>0</v>
      </c>
      <c r="BG17" s="206" t="b">
        <f t="shared" si="21"/>
        <v>0</v>
      </c>
      <c r="BH17" s="206">
        <f t="shared" si="32"/>
        <v>1</v>
      </c>
      <c r="BI17" s="206">
        <f t="shared" si="22"/>
        <v>1</v>
      </c>
      <c r="BJ17" s="206" t="str">
        <f t="shared" si="23"/>
        <v>1</v>
      </c>
      <c r="BK17" s="206">
        <f t="shared" si="24"/>
        <v>2</v>
      </c>
      <c r="BL17" s="162">
        <f t="shared" si="33"/>
        <v>1</v>
      </c>
      <c r="BM17" s="206">
        <f t="shared" si="25"/>
        <v>1</v>
      </c>
      <c r="BN17" s="206">
        <f t="shared" si="26"/>
        <v>2</v>
      </c>
      <c r="BO17" s="106"/>
    </row>
    <row r="18" spans="2:73" s="105" customFormat="1" ht="12.95" customHeight="1" x14ac:dyDescent="0.2">
      <c r="B18" s="165">
        <f>IF(ISNA(Z18),"",IF(OR(Z18=1,Z18=2),"    ",MAX($B$8:B17)+1))</f>
        <v>8</v>
      </c>
      <c r="C18" s="1375" t="str">
        <f t="shared" si="0"/>
        <v xml:space="preserve">      - Limit Adherence/Aborts (21.9%)</v>
      </c>
      <c r="D18" s="1375"/>
      <c r="E18" s="1375"/>
      <c r="F18" s="1376"/>
      <c r="G18" s="152">
        <f t="shared" si="1"/>
        <v>1</v>
      </c>
      <c r="H18" s="153" t="str">
        <f t="shared" si="2"/>
        <v>1</v>
      </c>
      <c r="I18" s="166">
        <f t="shared" si="2"/>
        <v>2</v>
      </c>
      <c r="J18" s="172">
        <v>1</v>
      </c>
      <c r="K18" s="173">
        <v>2</v>
      </c>
      <c r="L18" s="1681"/>
      <c r="M18" s="1682"/>
      <c r="N18" s="1682"/>
      <c r="O18" s="1682"/>
      <c r="P18" s="1682"/>
      <c r="Q18" s="1682"/>
      <c r="R18" s="1683"/>
      <c r="T18" s="119">
        <v>11</v>
      </c>
      <c r="U18" s="110" t="s">
        <v>278</v>
      </c>
      <c r="V18" s="206">
        <v>1</v>
      </c>
      <c r="W18" s="206">
        <v>1.5</v>
      </c>
      <c r="X18" s="206" t="s">
        <v>212</v>
      </c>
      <c r="Y18" s="206" t="s">
        <v>212</v>
      </c>
      <c r="Z18" s="160" t="s">
        <v>212</v>
      </c>
      <c r="AA18" s="160">
        <v>2</v>
      </c>
      <c r="AB18" s="160">
        <v>1</v>
      </c>
      <c r="AC18" s="206">
        <v>2</v>
      </c>
      <c r="AD18" s="206">
        <v>1</v>
      </c>
      <c r="AE18" s="206">
        <v>0</v>
      </c>
      <c r="AF18" s="206" t="b">
        <v>1</v>
      </c>
      <c r="AG18" s="206">
        <f t="shared" si="3"/>
        <v>1</v>
      </c>
      <c r="AH18" s="206">
        <f t="shared" si="4"/>
        <v>0</v>
      </c>
      <c r="AI18" s="86">
        <f>IF(NOT(OR(Z18=1,Z18=2)),IF(AQ18&gt;0,$AR$44*AQ18/SUMIF($AQ$8:$AQ$39,"&gt;0"),IF(AU18&gt;0,$AV$44*AU18/SUMIF($AU$8:$AU$39,"&gt;0"),IF(AS18&gt;0,$AT$44*AS18/SUMIF($AS$8:$AS$39,"&gt;0"),""))),IF(SUMIF(AJ19:$AJ$39,"=" &amp; AJ18,AI19:$AI$39)=0,"",SUMIF(AJ19:$AJ$39,"=" &amp; AJ18,AI19:$AI$39)))</f>
        <v>0.2192307692307692</v>
      </c>
      <c r="AJ18" s="87">
        <f t="shared" si="34"/>
        <v>2</v>
      </c>
      <c r="AK18" s="206">
        <f t="shared" si="27"/>
        <v>1</v>
      </c>
      <c r="AL18" s="160">
        <f t="shared" si="28"/>
        <v>2</v>
      </c>
      <c r="AM18" s="160">
        <f t="shared" si="35"/>
        <v>1</v>
      </c>
      <c r="AN18" s="160" t="str">
        <f t="shared" si="5"/>
        <v/>
      </c>
      <c r="AO18" s="160" t="str">
        <f t="shared" si="6"/>
        <v/>
      </c>
      <c r="AP18" s="206" t="b">
        <f t="shared" si="7"/>
        <v>0</v>
      </c>
      <c r="AQ18" s="157">
        <f t="shared" si="29"/>
        <v>1.5</v>
      </c>
      <c r="AR18" s="88">
        <f t="shared" si="8"/>
        <v>0.9</v>
      </c>
      <c r="AS18" s="89">
        <f t="shared" si="30"/>
        <v>0</v>
      </c>
      <c r="AT18" s="88" t="str">
        <f t="shared" si="9"/>
        <v/>
      </c>
      <c r="AU18" s="158">
        <f t="shared" si="10"/>
        <v>0</v>
      </c>
      <c r="AV18" s="90">
        <f t="shared" si="11"/>
        <v>0.9</v>
      </c>
      <c r="AW18" s="158" t="b">
        <f t="shared" si="12"/>
        <v>0</v>
      </c>
      <c r="AX18" s="159" t="b">
        <f t="shared" si="13"/>
        <v>0</v>
      </c>
      <c r="AY18" s="158" t="b">
        <f t="shared" si="14"/>
        <v>0</v>
      </c>
      <c r="AZ18" s="159" t="b">
        <f t="shared" si="15"/>
        <v>0</v>
      </c>
      <c r="BA18" s="206" t="b">
        <f t="shared" si="16"/>
        <v>0</v>
      </c>
      <c r="BB18" s="206" t="b">
        <f t="shared" si="17"/>
        <v>0</v>
      </c>
      <c r="BC18" s="158" t="b">
        <f t="shared" si="18"/>
        <v>0</v>
      </c>
      <c r="BD18" s="160" t="b">
        <f t="shared" si="31"/>
        <v>0</v>
      </c>
      <c r="BE18" s="159" t="b">
        <f t="shared" si="19"/>
        <v>0</v>
      </c>
      <c r="BF18" s="161" t="b">
        <f t="shared" si="20"/>
        <v>0</v>
      </c>
      <c r="BG18" s="206" t="b">
        <f t="shared" si="21"/>
        <v>0</v>
      </c>
      <c r="BH18" s="206">
        <f t="shared" si="32"/>
        <v>1</v>
      </c>
      <c r="BI18" s="206">
        <f t="shared" si="22"/>
        <v>1</v>
      </c>
      <c r="BJ18" s="206" t="str">
        <f t="shared" si="23"/>
        <v>1</v>
      </c>
      <c r="BK18" s="206">
        <f t="shared" si="24"/>
        <v>2</v>
      </c>
      <c r="BL18" s="162">
        <f t="shared" si="33"/>
        <v>1</v>
      </c>
      <c r="BM18" s="206">
        <f t="shared" si="25"/>
        <v>1</v>
      </c>
      <c r="BN18" s="206">
        <f t="shared" si="26"/>
        <v>2</v>
      </c>
      <c r="BO18" s="104"/>
      <c r="BP18" s="174" t="s">
        <v>223</v>
      </c>
      <c r="BQ18" s="175"/>
      <c r="BR18" s="175"/>
      <c r="BS18" s="175"/>
      <c r="BT18" s="175"/>
      <c r="BU18" s="175"/>
    </row>
    <row r="19" spans="2:73" s="105" customFormat="1" ht="12.95" customHeight="1" x14ac:dyDescent="0.2">
      <c r="B19" s="165">
        <f>IF(ISNA(Z19),"",IF(OR(Z19=1,Z19=2),"    ",MAX($B$8:B18)+1))</f>
        <v>9</v>
      </c>
      <c r="C19" s="1375" t="str">
        <f t="shared" si="0"/>
        <v xml:space="preserve">      - Data Collection (14.6%)</v>
      </c>
      <c r="D19" s="1375"/>
      <c r="E19" s="1375"/>
      <c r="F19" s="1376"/>
      <c r="G19" s="152">
        <f t="shared" si="1"/>
        <v>1</v>
      </c>
      <c r="H19" s="153" t="str">
        <f t="shared" si="2"/>
        <v>1</v>
      </c>
      <c r="I19" s="166">
        <f t="shared" si="2"/>
        <v>2</v>
      </c>
      <c r="J19" s="172">
        <v>1</v>
      </c>
      <c r="K19" s="173">
        <v>2</v>
      </c>
      <c r="L19" s="1681"/>
      <c r="M19" s="1682"/>
      <c r="N19" s="1682"/>
      <c r="O19" s="1682"/>
      <c r="P19" s="1682"/>
      <c r="Q19" s="1682"/>
      <c r="R19" s="1683"/>
      <c r="T19" s="119">
        <v>12</v>
      </c>
      <c r="U19" s="110" t="s">
        <v>279</v>
      </c>
      <c r="V19" s="206">
        <v>1</v>
      </c>
      <c r="W19" s="206">
        <v>1</v>
      </c>
      <c r="X19" s="206" t="s">
        <v>212</v>
      </c>
      <c r="Y19" s="206" t="s">
        <v>212</v>
      </c>
      <c r="Z19" s="160" t="s">
        <v>212</v>
      </c>
      <c r="AA19" s="160">
        <v>2</v>
      </c>
      <c r="AB19" s="160">
        <v>1</v>
      </c>
      <c r="AC19" s="206">
        <v>2</v>
      </c>
      <c r="AD19" s="206">
        <v>1</v>
      </c>
      <c r="AE19" s="206">
        <v>0</v>
      </c>
      <c r="AF19" s="206" t="b">
        <v>1</v>
      </c>
      <c r="AG19" s="206">
        <f t="shared" si="3"/>
        <v>1</v>
      </c>
      <c r="AH19" s="206">
        <f t="shared" si="4"/>
        <v>0</v>
      </c>
      <c r="AI19" s="86">
        <f>IF(NOT(OR(Z19=1,Z19=2)),IF(AQ19&gt;0,$AR$44*AQ19/SUMIF($AQ$8:$AQ$39,"&gt;0"),IF(AU19&gt;0,$AV$44*AU19/SUMIF($AU$8:$AU$39,"&gt;0"),IF(AS19&gt;0,$AT$44*AS19/SUMIF($AS$8:$AS$39,"&gt;0"),""))),IF(SUMIF(AJ20:$AJ$39,"=" &amp; AJ19,AI20:$AI$39)=0,"",SUMIF(AJ20:$AJ$39,"=" &amp; AJ19,AI20:$AI$39)))</f>
        <v>0.14615384615384613</v>
      </c>
      <c r="AJ19" s="87">
        <f t="shared" si="34"/>
        <v>2</v>
      </c>
      <c r="AK19" s="206">
        <f t="shared" si="27"/>
        <v>1</v>
      </c>
      <c r="AL19" s="160">
        <f t="shared" si="28"/>
        <v>2</v>
      </c>
      <c r="AM19" s="160">
        <f t="shared" si="35"/>
        <v>1</v>
      </c>
      <c r="AN19" s="160" t="str">
        <f t="shared" si="5"/>
        <v/>
      </c>
      <c r="AO19" s="160" t="str">
        <f t="shared" si="6"/>
        <v/>
      </c>
      <c r="AP19" s="206" t="b">
        <f t="shared" si="7"/>
        <v>0</v>
      </c>
      <c r="AQ19" s="157">
        <f t="shared" si="29"/>
        <v>1</v>
      </c>
      <c r="AR19" s="88">
        <f t="shared" si="8"/>
        <v>0.9</v>
      </c>
      <c r="AS19" s="89">
        <f t="shared" si="30"/>
        <v>0</v>
      </c>
      <c r="AT19" s="88" t="str">
        <f t="shared" si="9"/>
        <v/>
      </c>
      <c r="AU19" s="158">
        <f t="shared" si="10"/>
        <v>0</v>
      </c>
      <c r="AV19" s="90">
        <f t="shared" si="11"/>
        <v>0.9</v>
      </c>
      <c r="AW19" s="158" t="b">
        <f t="shared" si="12"/>
        <v>0</v>
      </c>
      <c r="AX19" s="159" t="b">
        <f t="shared" si="13"/>
        <v>0</v>
      </c>
      <c r="AY19" s="158" t="b">
        <f t="shared" si="14"/>
        <v>0</v>
      </c>
      <c r="AZ19" s="159" t="b">
        <f t="shared" si="15"/>
        <v>0</v>
      </c>
      <c r="BA19" s="206" t="b">
        <f t="shared" si="16"/>
        <v>0</v>
      </c>
      <c r="BB19" s="206" t="b">
        <f t="shared" si="17"/>
        <v>0</v>
      </c>
      <c r="BC19" s="158" t="b">
        <f t="shared" si="18"/>
        <v>0</v>
      </c>
      <c r="BD19" s="160" t="b">
        <f t="shared" si="31"/>
        <v>0</v>
      </c>
      <c r="BE19" s="159" t="b">
        <f t="shared" si="19"/>
        <v>0</v>
      </c>
      <c r="BF19" s="161" t="b">
        <f t="shared" si="20"/>
        <v>0</v>
      </c>
      <c r="BG19" s="206" t="b">
        <f t="shared" si="21"/>
        <v>0</v>
      </c>
      <c r="BH19" s="206">
        <f t="shared" si="32"/>
        <v>1</v>
      </c>
      <c r="BI19" s="206">
        <f t="shared" si="22"/>
        <v>1</v>
      </c>
      <c r="BJ19" s="206" t="str">
        <f t="shared" si="23"/>
        <v>1</v>
      </c>
      <c r="BK19" s="206">
        <f t="shared" si="24"/>
        <v>2</v>
      </c>
      <c r="BL19" s="162">
        <f t="shared" si="33"/>
        <v>1</v>
      </c>
      <c r="BM19" s="206">
        <f t="shared" si="25"/>
        <v>1</v>
      </c>
      <c r="BN19" s="206">
        <f t="shared" si="26"/>
        <v>2</v>
      </c>
      <c r="BO19" s="104"/>
      <c r="BP19" s="164"/>
      <c r="BQ19" s="1386" t="s">
        <v>224</v>
      </c>
      <c r="BR19" s="1386"/>
      <c r="BS19" s="1386"/>
      <c r="BT19" s="1386"/>
      <c r="BU19" s="1386"/>
    </row>
    <row r="20" spans="2:73" s="105" customFormat="1" ht="12.95" customHeight="1" x14ac:dyDescent="0.2">
      <c r="B20" s="165">
        <f>IF(ISNA(Z20),"",IF(OR(Z20=1,Z20=2),"    ",MAX($B$8:B19)+1))</f>
        <v>10</v>
      </c>
      <c r="C20" s="1375" t="str">
        <f t="shared" si="0"/>
        <v xml:space="preserve">      - Debrief</v>
      </c>
      <c r="D20" s="1375"/>
      <c r="E20" s="1375"/>
      <c r="F20" s="1376"/>
      <c r="G20" s="152">
        <f t="shared" si="1"/>
        <v>1</v>
      </c>
      <c r="H20" s="153" t="str">
        <f t="shared" si="2"/>
        <v>NG</v>
      </c>
      <c r="I20" s="166" t="str">
        <f t="shared" si="2"/>
        <v/>
      </c>
      <c r="J20" s="172">
        <v>1</v>
      </c>
      <c r="K20" s="173" t="s">
        <v>214</v>
      </c>
      <c r="L20" s="1681"/>
      <c r="M20" s="1682"/>
      <c r="N20" s="1682"/>
      <c r="O20" s="1682"/>
      <c r="P20" s="1682"/>
      <c r="Q20" s="1682"/>
      <c r="R20" s="1683"/>
      <c r="T20" s="119">
        <v>13</v>
      </c>
      <c r="U20" s="110" t="s">
        <v>280</v>
      </c>
      <c r="V20" s="206">
        <v>1</v>
      </c>
      <c r="W20" s="206" t="s">
        <v>212</v>
      </c>
      <c r="X20" s="206" t="s">
        <v>212</v>
      </c>
      <c r="Y20" s="206" t="s">
        <v>212</v>
      </c>
      <c r="Z20" s="160" t="s">
        <v>212</v>
      </c>
      <c r="AA20" s="160">
        <v>2</v>
      </c>
      <c r="AB20" s="160">
        <v>1</v>
      </c>
      <c r="AC20" s="206" t="s">
        <v>212</v>
      </c>
      <c r="AD20" s="206" t="s">
        <v>225</v>
      </c>
      <c r="AE20" s="206" t="s">
        <v>212</v>
      </c>
      <c r="AF20" s="206" t="b">
        <v>1</v>
      </c>
      <c r="AG20" s="206" t="str">
        <f t="shared" si="3"/>
        <v>NG</v>
      </c>
      <c r="AH20" s="206" t="str">
        <f t="shared" si="4"/>
        <v/>
      </c>
      <c r="AI20" s="86" t="str">
        <f>IF(NOT(OR(Z20=1,Z20=2)),IF(AQ20&gt;0,$AR$44*AQ20/SUMIF($AQ$8:$AQ$39,"&gt;0"),IF(AU20&gt;0,$AV$44*AU20/SUMIF($AU$8:$AU$39,"&gt;0"),IF(AS20&gt;0,$AT$44*AS20/SUMIF($AS$8:$AS$39,"&gt;0"),""))),IF(SUMIF(AJ21:$AJ$39,"=" &amp; AJ20,AI21:$AI$39)=0,"",SUMIF(AJ21:$AJ$39,"=" &amp; AJ20,AI21:$AI$39)))</f>
        <v/>
      </c>
      <c r="AJ20" s="87">
        <f t="shared" si="34"/>
        <v>2</v>
      </c>
      <c r="AK20" s="206" t="str">
        <f t="shared" si="27"/>
        <v>NG</v>
      </c>
      <c r="AL20" s="160" t="str">
        <f t="shared" si="28"/>
        <v>D</v>
      </c>
      <c r="AM20" s="160" t="str">
        <f t="shared" si="35"/>
        <v/>
      </c>
      <c r="AN20" s="160" t="str">
        <f t="shared" si="5"/>
        <v/>
      </c>
      <c r="AO20" s="160" t="str">
        <f t="shared" si="6"/>
        <v/>
      </c>
      <c r="AP20" s="206" t="str">
        <f t="shared" si="7"/>
        <v/>
      </c>
      <c r="AQ20" s="157">
        <f t="shared" si="29"/>
        <v>0</v>
      </c>
      <c r="AR20" s="88" t="str">
        <f t="shared" si="8"/>
        <v/>
      </c>
      <c r="AS20" s="89">
        <f t="shared" si="30"/>
        <v>0</v>
      </c>
      <c r="AT20" s="88" t="str">
        <f t="shared" si="9"/>
        <v/>
      </c>
      <c r="AU20" s="158">
        <f t="shared" si="10"/>
        <v>0</v>
      </c>
      <c r="AV20" s="90" t="str">
        <f t="shared" si="11"/>
        <v/>
      </c>
      <c r="AW20" s="158" t="b">
        <f t="shared" si="12"/>
        <v>0</v>
      </c>
      <c r="AX20" s="159" t="b">
        <f t="shared" si="13"/>
        <v>0</v>
      </c>
      <c r="AY20" s="158" t="b">
        <f t="shared" si="14"/>
        <v>0</v>
      </c>
      <c r="AZ20" s="159" t="b">
        <f t="shared" si="15"/>
        <v>0</v>
      </c>
      <c r="BA20" s="206" t="b">
        <f t="shared" si="16"/>
        <v>0</v>
      </c>
      <c r="BB20" s="206" t="b">
        <f t="shared" si="17"/>
        <v>0</v>
      </c>
      <c r="BC20" s="158" t="b">
        <f t="shared" si="18"/>
        <v>0</v>
      </c>
      <c r="BD20" s="160" t="b">
        <f t="shared" si="31"/>
        <v>0</v>
      </c>
      <c r="BE20" s="159" t="b">
        <f t="shared" si="19"/>
        <v>0</v>
      </c>
      <c r="BF20" s="161" t="b">
        <f t="shared" si="20"/>
        <v>0</v>
      </c>
      <c r="BG20" s="206" t="b">
        <f t="shared" si="21"/>
        <v>0</v>
      </c>
      <c r="BH20" s="206">
        <f t="shared" si="32"/>
        <v>1</v>
      </c>
      <c r="BI20" s="206" t="str">
        <f t="shared" si="22"/>
        <v>NG</v>
      </c>
      <c r="BJ20" s="206" t="str">
        <f t="shared" si="23"/>
        <v>NG</v>
      </c>
      <c r="BK20" s="206" t="str">
        <f t="shared" si="24"/>
        <v/>
      </c>
      <c r="BL20" s="162">
        <f t="shared" si="33"/>
        <v>1</v>
      </c>
      <c r="BM20" s="206" t="str">
        <f t="shared" si="25"/>
        <v>D</v>
      </c>
      <c r="BN20" s="206" t="str">
        <f t="shared" si="26"/>
        <v>D</v>
      </c>
      <c r="BO20" s="104"/>
      <c r="BP20" s="104"/>
      <c r="BQ20" s="104">
        <v>0</v>
      </c>
      <c r="BR20" s="104">
        <v>1</v>
      </c>
      <c r="BS20" s="104">
        <v>2</v>
      </c>
      <c r="BT20" s="104">
        <v>3</v>
      </c>
      <c r="BU20" s="104">
        <v>4</v>
      </c>
    </row>
    <row r="21" spans="2:73" s="105" customFormat="1" ht="12.95" customHeight="1" x14ac:dyDescent="0.2">
      <c r="B21" s="165" t="str">
        <f>IF(ISNA(Z21),"",IF(OR(Z21=1,Z21=2),"    ",MAX($B$8:B20)+1))</f>
        <v/>
      </c>
      <c r="C21" s="1375" t="str">
        <f t="shared" si="0"/>
        <v/>
      </c>
      <c r="D21" s="1375"/>
      <c r="E21" s="1375"/>
      <c r="F21" s="1376"/>
      <c r="G21" s="152" t="str">
        <f t="shared" si="1"/>
        <v/>
      </c>
      <c r="H21" s="153" t="str">
        <f t="shared" si="2"/>
        <v/>
      </c>
      <c r="I21" s="166" t="str">
        <f t="shared" si="2"/>
        <v/>
      </c>
      <c r="J21" s="172"/>
      <c r="K21" s="173"/>
      <c r="L21" s="1681"/>
      <c r="M21" s="1682"/>
      <c r="N21" s="1682"/>
      <c r="O21" s="1682"/>
      <c r="P21" s="1682"/>
      <c r="Q21" s="1682"/>
      <c r="R21" s="1683"/>
      <c r="T21" s="119">
        <v>14</v>
      </c>
      <c r="U21" s="110" t="e">
        <v>#N/A</v>
      </c>
      <c r="V21" s="206" t="e">
        <v>#N/A</v>
      </c>
      <c r="W21" s="206" t="e">
        <v>#N/A</v>
      </c>
      <c r="X21" s="206" t="e">
        <v>#N/A</v>
      </c>
      <c r="Y21" s="206" t="e">
        <v>#N/A</v>
      </c>
      <c r="Z21" s="160" t="e">
        <v>#N/A</v>
      </c>
      <c r="AA21" s="160" t="e">
        <v>#N/A</v>
      </c>
      <c r="AB21" s="160" t="e">
        <v>#N/A</v>
      </c>
      <c r="AC21" s="206" t="e">
        <v>#N/A</v>
      </c>
      <c r="AD21" s="206" t="e">
        <v>#N/A</v>
      </c>
      <c r="AE21" s="206" t="e">
        <v>#N/A</v>
      </c>
      <c r="AF21" s="206" t="e">
        <v>#N/A</v>
      </c>
      <c r="AG21" s="206" t="e">
        <f t="shared" si="3"/>
        <v>#N/A</v>
      </c>
      <c r="AH21" s="206" t="str">
        <f t="shared" si="4"/>
        <v/>
      </c>
      <c r="AI21" s="86" t="e">
        <f>IF(NOT(OR(Z21=1,Z21=2)),IF(AQ21&gt;0,$AR$44*AQ21/SUMIF($AQ$8:$AQ$39,"&gt;0"),IF(AU21&gt;0,$AV$44*AU21/SUMIF($AU$8:$AU$39,"&gt;0"),IF(AS21&gt;0,$AT$44*AS21/SUMIF($AS$8:$AS$39,"&gt;0"),""))),IF(SUMIF(AJ22:$AJ$39,"=" &amp; AJ21,AI22:$AI$39)=0,"",SUMIF(AJ22:$AJ$39,"=" &amp; AJ21,AI22:$AI$39)))</f>
        <v>#N/A</v>
      </c>
      <c r="AJ21" s="87" t="e">
        <f t="shared" si="34"/>
        <v>#N/A</v>
      </c>
      <c r="AK21" s="206" t="str">
        <f t="shared" si="27"/>
        <v/>
      </c>
      <c r="AL21" s="160" t="str">
        <f t="shared" si="28"/>
        <v/>
      </c>
      <c r="AM21" s="160" t="str">
        <f t="shared" si="35"/>
        <v/>
      </c>
      <c r="AN21" s="160" t="str">
        <f t="shared" si="5"/>
        <v/>
      </c>
      <c r="AO21" s="160" t="e">
        <f t="shared" si="6"/>
        <v>#N/A</v>
      </c>
      <c r="AP21" s="206" t="str">
        <f t="shared" si="7"/>
        <v/>
      </c>
      <c r="AQ21" s="157">
        <f t="shared" si="29"/>
        <v>0</v>
      </c>
      <c r="AR21" s="88" t="str">
        <f t="shared" si="8"/>
        <v/>
      </c>
      <c r="AS21" s="89">
        <f t="shared" si="30"/>
        <v>0</v>
      </c>
      <c r="AT21" s="88" t="str">
        <f t="shared" si="9"/>
        <v/>
      </c>
      <c r="AU21" s="158">
        <f t="shared" si="10"/>
        <v>0</v>
      </c>
      <c r="AV21" s="90" t="str">
        <f t="shared" si="11"/>
        <v/>
      </c>
      <c r="AW21" s="158" t="b">
        <f t="shared" si="12"/>
        <v>0</v>
      </c>
      <c r="AX21" s="159" t="b">
        <f t="shared" si="13"/>
        <v>0</v>
      </c>
      <c r="AY21" s="158" t="b">
        <f t="shared" si="14"/>
        <v>0</v>
      </c>
      <c r="AZ21" s="159" t="b">
        <f t="shared" si="15"/>
        <v>0</v>
      </c>
      <c r="BA21" s="206" t="b">
        <f t="shared" si="16"/>
        <v>0</v>
      </c>
      <c r="BB21" s="206" t="b">
        <f t="shared" si="17"/>
        <v>0</v>
      </c>
      <c r="BC21" s="158" t="b">
        <f t="shared" si="18"/>
        <v>0</v>
      </c>
      <c r="BD21" s="160" t="b">
        <f t="shared" si="31"/>
        <v>0</v>
      </c>
      <c r="BE21" s="159" t="b">
        <f t="shared" si="19"/>
        <v>0</v>
      </c>
      <c r="BF21" s="161" t="b">
        <f t="shared" si="20"/>
        <v>0</v>
      </c>
      <c r="BG21" s="206" t="str">
        <f t="shared" si="21"/>
        <v>NA</v>
      </c>
      <c r="BH21" s="206" t="str">
        <f t="shared" si="32"/>
        <v/>
      </c>
      <c r="BI21" s="206" t="str">
        <f t="shared" si="22"/>
        <v/>
      </c>
      <c r="BJ21" s="206" t="str">
        <f t="shared" si="23"/>
        <v/>
      </c>
      <c r="BK21" s="206" t="str">
        <f t="shared" si="24"/>
        <v/>
      </c>
      <c r="BL21" s="162" t="str">
        <f t="shared" si="33"/>
        <v/>
      </c>
      <c r="BM21" s="206" t="str">
        <f t="shared" si="25"/>
        <v/>
      </c>
      <c r="BN21" s="206" t="str">
        <f t="shared" si="26"/>
        <v/>
      </c>
      <c r="BO21" s="1387" t="s">
        <v>226</v>
      </c>
      <c r="BP21" s="104" t="s">
        <v>227</v>
      </c>
      <c r="BQ21" s="91">
        <f t="shared" ref="BQ21:BU29" si="36">AR50</f>
        <v>0.7</v>
      </c>
      <c r="BR21" s="92">
        <f t="shared" si="36"/>
        <v>0.9</v>
      </c>
      <c r="BS21" s="92">
        <f t="shared" si="36"/>
        <v>0.93330000000000002</v>
      </c>
      <c r="BT21" s="92">
        <f t="shared" si="36"/>
        <v>0.9667</v>
      </c>
      <c r="BU21" s="93">
        <f t="shared" si="36"/>
        <v>1</v>
      </c>
    </row>
    <row r="22" spans="2:73" s="105" customFormat="1" ht="12.95" customHeight="1" x14ac:dyDescent="0.2">
      <c r="B22" s="165" t="str">
        <f>IF(ISNA(Z22),"",IF(OR(Z22=1,Z22=2),"    ",MAX($B$8:B21)+1))</f>
        <v/>
      </c>
      <c r="C22" s="1375" t="str">
        <f t="shared" si="0"/>
        <v/>
      </c>
      <c r="D22" s="1375"/>
      <c r="E22" s="1375"/>
      <c r="F22" s="1376"/>
      <c r="G22" s="152" t="str">
        <f t="shared" si="1"/>
        <v/>
      </c>
      <c r="H22" s="153" t="str">
        <f t="shared" si="2"/>
        <v/>
      </c>
      <c r="I22" s="166" t="str">
        <f t="shared" si="2"/>
        <v/>
      </c>
      <c r="J22" s="172"/>
      <c r="K22" s="173"/>
      <c r="L22" s="1681"/>
      <c r="M22" s="1682"/>
      <c r="N22" s="1682"/>
      <c r="O22" s="1682"/>
      <c r="P22" s="1682"/>
      <c r="Q22" s="1682"/>
      <c r="R22" s="1683"/>
      <c r="T22" s="119">
        <v>15</v>
      </c>
      <c r="U22" s="110" t="e">
        <v>#N/A</v>
      </c>
      <c r="V22" s="206" t="e">
        <v>#N/A</v>
      </c>
      <c r="W22" s="206" t="e">
        <v>#N/A</v>
      </c>
      <c r="X22" s="206" t="e">
        <v>#N/A</v>
      </c>
      <c r="Y22" s="206" t="e">
        <v>#N/A</v>
      </c>
      <c r="Z22" s="160" t="e">
        <v>#N/A</v>
      </c>
      <c r="AA22" s="160" t="e">
        <v>#N/A</v>
      </c>
      <c r="AB22" s="160" t="e">
        <v>#N/A</v>
      </c>
      <c r="AC22" s="206" t="e">
        <v>#N/A</v>
      </c>
      <c r="AD22" s="206" t="e">
        <v>#N/A</v>
      </c>
      <c r="AE22" s="206" t="e">
        <v>#N/A</v>
      </c>
      <c r="AF22" s="206" t="e">
        <v>#N/A</v>
      </c>
      <c r="AG22" s="206" t="e">
        <f t="shared" si="3"/>
        <v>#N/A</v>
      </c>
      <c r="AH22" s="206" t="str">
        <f t="shared" si="4"/>
        <v/>
      </c>
      <c r="AI22" s="86" t="e">
        <f>IF(NOT(OR(Z22=1,Z22=2)),IF(AQ22&gt;0,$AR$44*AQ22/SUMIF($AQ$8:$AQ$39,"&gt;0"),IF(AU22&gt;0,$AV$44*AU22/SUMIF($AU$8:$AU$39,"&gt;0"),IF(AS22&gt;0,$AT$44*AS22/SUMIF($AS$8:$AS$39,"&gt;0"),""))),IF(SUMIF(AJ23:$AJ$39,"=" &amp; AJ22,AI23:$AI$39)=0,"",SUMIF(AJ23:$AJ$39,"=" &amp; AJ22,AI23:$AI$39)))</f>
        <v>#N/A</v>
      </c>
      <c r="AJ22" s="87" t="e">
        <f t="shared" si="34"/>
        <v>#N/A</v>
      </c>
      <c r="AK22" s="206" t="str">
        <f t="shared" si="27"/>
        <v/>
      </c>
      <c r="AL22" s="160" t="str">
        <f t="shared" si="28"/>
        <v/>
      </c>
      <c r="AM22" s="160" t="str">
        <f t="shared" si="35"/>
        <v/>
      </c>
      <c r="AN22" s="160" t="str">
        <f t="shared" si="5"/>
        <v/>
      </c>
      <c r="AO22" s="160" t="e">
        <f t="shared" si="6"/>
        <v>#N/A</v>
      </c>
      <c r="AP22" s="206" t="str">
        <f t="shared" si="7"/>
        <v/>
      </c>
      <c r="AQ22" s="157">
        <f t="shared" si="29"/>
        <v>0</v>
      </c>
      <c r="AR22" s="88" t="str">
        <f t="shared" si="8"/>
        <v/>
      </c>
      <c r="AS22" s="89">
        <f t="shared" si="30"/>
        <v>0</v>
      </c>
      <c r="AT22" s="88" t="str">
        <f t="shared" si="9"/>
        <v/>
      </c>
      <c r="AU22" s="158">
        <f t="shared" si="10"/>
        <v>0</v>
      </c>
      <c r="AV22" s="90" t="str">
        <f t="shared" si="11"/>
        <v/>
      </c>
      <c r="AW22" s="158" t="b">
        <f t="shared" si="12"/>
        <v>0</v>
      </c>
      <c r="AX22" s="159" t="b">
        <f t="shared" si="13"/>
        <v>0</v>
      </c>
      <c r="AY22" s="158" t="b">
        <f t="shared" si="14"/>
        <v>0</v>
      </c>
      <c r="AZ22" s="159" t="b">
        <f t="shared" si="15"/>
        <v>0</v>
      </c>
      <c r="BA22" s="206" t="b">
        <f t="shared" si="16"/>
        <v>0</v>
      </c>
      <c r="BB22" s="206" t="b">
        <f t="shared" si="17"/>
        <v>0</v>
      </c>
      <c r="BC22" s="158" t="b">
        <f t="shared" si="18"/>
        <v>0</v>
      </c>
      <c r="BD22" s="160" t="b">
        <f t="shared" si="31"/>
        <v>0</v>
      </c>
      <c r="BE22" s="159" t="b">
        <f>IF(OR(ISNA($Z22),K22&lt;&gt;"D"),FALSE,IF(OR(AND(H22="NG",J22=0),AND(H22&lt;&gt;"NG",NOT(OR(J22="NA",J22=0)))),TRUE,FALSE))</f>
        <v>0</v>
      </c>
      <c r="BF22" s="161" t="b">
        <f t="shared" si="20"/>
        <v>0</v>
      </c>
      <c r="BG22" s="206" t="str">
        <f>IF(ISNA($Z22),"NA",IF(OR(AZ22,AY22,AX22,AW22,AP22,BA22,BB22),TRUE,FALSE))</f>
        <v>NA</v>
      </c>
      <c r="BH22" s="206" t="str">
        <f t="shared" si="32"/>
        <v/>
      </c>
      <c r="BI22" s="206" t="str">
        <f t="shared" si="22"/>
        <v/>
      </c>
      <c r="BJ22" s="206" t="str">
        <f t="shared" si="23"/>
        <v/>
      </c>
      <c r="BK22" s="206" t="str">
        <f t="shared" si="24"/>
        <v/>
      </c>
      <c r="BL22" s="162" t="str">
        <f t="shared" si="33"/>
        <v/>
      </c>
      <c r="BM22" s="206" t="str">
        <f t="shared" si="25"/>
        <v/>
      </c>
      <c r="BN22" s="206" t="str">
        <f t="shared" si="26"/>
        <v/>
      </c>
      <c r="BO22" s="1387"/>
      <c r="BP22" s="104" t="s">
        <v>228</v>
      </c>
      <c r="BQ22" s="94">
        <f t="shared" si="36"/>
        <v>0.7</v>
      </c>
      <c r="BR22" s="95">
        <f t="shared" si="36"/>
        <v>0.8</v>
      </c>
      <c r="BS22" s="95">
        <f t="shared" si="36"/>
        <v>0.9</v>
      </c>
      <c r="BT22" s="95">
        <f t="shared" si="36"/>
        <v>0.95</v>
      </c>
      <c r="BU22" s="96">
        <f t="shared" si="36"/>
        <v>1</v>
      </c>
    </row>
    <row r="23" spans="2:73" s="105" customFormat="1" ht="12.95" customHeight="1" x14ac:dyDescent="0.2">
      <c r="B23" s="165" t="str">
        <f>IF(ISNA(Z23),"",IF(OR(Z23=1,Z23=2),"    ",MAX($B$8:B22)+1))</f>
        <v/>
      </c>
      <c r="C23" s="1375" t="str">
        <f t="shared" si="0"/>
        <v/>
      </c>
      <c r="D23" s="1375"/>
      <c r="E23" s="1375"/>
      <c r="F23" s="1376"/>
      <c r="G23" s="152" t="str">
        <f t="shared" si="1"/>
        <v/>
      </c>
      <c r="H23" s="153" t="str">
        <f t="shared" si="2"/>
        <v/>
      </c>
      <c r="I23" s="166" t="str">
        <f t="shared" si="2"/>
        <v/>
      </c>
      <c r="J23" s="172"/>
      <c r="K23" s="173"/>
      <c r="L23" s="1681"/>
      <c r="M23" s="1682"/>
      <c r="N23" s="1682"/>
      <c r="O23" s="1682"/>
      <c r="P23" s="1682"/>
      <c r="Q23" s="1682"/>
      <c r="R23" s="1683"/>
      <c r="T23" s="119">
        <v>16</v>
      </c>
      <c r="U23" s="110" t="e">
        <v>#N/A</v>
      </c>
      <c r="V23" s="206" t="e">
        <v>#N/A</v>
      </c>
      <c r="W23" s="206" t="e">
        <v>#N/A</v>
      </c>
      <c r="X23" s="206" t="e">
        <v>#N/A</v>
      </c>
      <c r="Y23" s="206" t="e">
        <v>#N/A</v>
      </c>
      <c r="Z23" s="160" t="e">
        <v>#N/A</v>
      </c>
      <c r="AA23" s="160" t="e">
        <v>#N/A</v>
      </c>
      <c r="AB23" s="160" t="e">
        <v>#N/A</v>
      </c>
      <c r="AC23" s="206" t="e">
        <v>#N/A</v>
      </c>
      <c r="AD23" s="206" t="e">
        <v>#N/A</v>
      </c>
      <c r="AE23" s="206" t="e">
        <v>#N/A</v>
      </c>
      <c r="AF23" s="206" t="e">
        <v>#N/A</v>
      </c>
      <c r="AG23" s="206" t="e">
        <f t="shared" si="3"/>
        <v>#N/A</v>
      </c>
      <c r="AH23" s="206" t="str">
        <f t="shared" si="4"/>
        <v/>
      </c>
      <c r="AI23" s="86" t="e">
        <f>IF(NOT(OR(Z23=1,Z23=2)),IF(AQ23&gt;0,$AR$44*AQ23/SUMIF($AQ$8:$AQ$39,"&gt;0"),IF(AU23&gt;0,$AV$44*AU23/SUMIF($AU$8:$AU$39,"&gt;0"),IF(AS23&gt;0,$AT$44*AS23/SUMIF($AS$8:$AS$39,"&gt;0"),""))),IF(SUMIF(AJ24:$AJ$39,"=" &amp; AJ23,AI24:$AI$39)=0,"",SUMIF(AJ24:$AJ$39,"=" &amp; AJ23,AI24:$AI$39)))</f>
        <v>#N/A</v>
      </c>
      <c r="AJ23" s="87" t="e">
        <f t="shared" si="34"/>
        <v>#N/A</v>
      </c>
      <c r="AK23" s="206" t="str">
        <f t="shared" si="27"/>
        <v/>
      </c>
      <c r="AL23" s="160" t="str">
        <f t="shared" si="28"/>
        <v/>
      </c>
      <c r="AM23" s="160" t="str">
        <f t="shared" si="35"/>
        <v/>
      </c>
      <c r="AN23" s="160" t="str">
        <f t="shared" si="5"/>
        <v/>
      </c>
      <c r="AO23" s="160" t="e">
        <f t="shared" si="6"/>
        <v>#N/A</v>
      </c>
      <c r="AP23" s="206" t="str">
        <f t="shared" si="7"/>
        <v/>
      </c>
      <c r="AQ23" s="157">
        <f t="shared" si="29"/>
        <v>0</v>
      </c>
      <c r="AR23" s="88" t="str">
        <f t="shared" si="8"/>
        <v/>
      </c>
      <c r="AS23" s="89">
        <f t="shared" si="30"/>
        <v>0</v>
      </c>
      <c r="AT23" s="88" t="str">
        <f t="shared" si="9"/>
        <v/>
      </c>
      <c r="AU23" s="158">
        <f t="shared" si="10"/>
        <v>0</v>
      </c>
      <c r="AV23" s="90" t="str">
        <f t="shared" si="11"/>
        <v/>
      </c>
      <c r="AW23" s="158" t="b">
        <f t="shared" si="12"/>
        <v>0</v>
      </c>
      <c r="AX23" s="159" t="b">
        <f t="shared" si="13"/>
        <v>0</v>
      </c>
      <c r="AY23" s="158" t="b">
        <f t="shared" si="14"/>
        <v>0</v>
      </c>
      <c r="AZ23" s="159" t="b">
        <f t="shared" si="15"/>
        <v>0</v>
      </c>
      <c r="BA23" s="206" t="b">
        <f t="shared" si="16"/>
        <v>0</v>
      </c>
      <c r="BB23" s="206" t="b">
        <f t="shared" si="17"/>
        <v>0</v>
      </c>
      <c r="BC23" s="158" t="b">
        <f t="shared" si="18"/>
        <v>0</v>
      </c>
      <c r="BD23" s="160" t="b">
        <f t="shared" si="31"/>
        <v>0</v>
      </c>
      <c r="BE23" s="159" t="b">
        <f t="shared" ref="BE23:BE39" si="37">IF(OR(ISNA($Z23),K23&lt;&gt;"D"),FALSE,IF(OR(AND(H23="NG",J23=0),AND(H23&lt;&gt;"NG",NOT(OR(J23="NA",J23=0)))),TRUE,FALSE))</f>
        <v>0</v>
      </c>
      <c r="BF23" s="161" t="b">
        <f t="shared" si="20"/>
        <v>0</v>
      </c>
      <c r="BG23" s="206" t="str">
        <f t="shared" ref="BG23:BG39" si="38">IF(ISNA($Z23),"NA",IF(OR(AZ23,AY23,AX23,AW23,AP23,BA23,BB23),TRUE,FALSE))</f>
        <v>NA</v>
      </c>
      <c r="BH23" s="206" t="str">
        <f t="shared" si="32"/>
        <v/>
      </c>
      <c r="BI23" s="206" t="str">
        <f t="shared" si="22"/>
        <v/>
      </c>
      <c r="BJ23" s="206" t="str">
        <f t="shared" si="23"/>
        <v/>
      </c>
      <c r="BK23" s="206" t="str">
        <f t="shared" si="24"/>
        <v/>
      </c>
      <c r="BL23" s="162" t="str">
        <f t="shared" si="33"/>
        <v/>
      </c>
      <c r="BM23" s="206" t="str">
        <f t="shared" si="25"/>
        <v/>
      </c>
      <c r="BN23" s="206" t="str">
        <f t="shared" si="26"/>
        <v/>
      </c>
      <c r="BO23" s="1387"/>
      <c r="BP23" s="104" t="s">
        <v>229</v>
      </c>
      <c r="BQ23" s="94">
        <f t="shared" si="36"/>
        <v>0.7</v>
      </c>
      <c r="BR23" s="95">
        <f t="shared" si="36"/>
        <v>0.76670000000000005</v>
      </c>
      <c r="BS23" s="95">
        <f t="shared" si="36"/>
        <v>0.83330000000000004</v>
      </c>
      <c r="BT23" s="95">
        <f t="shared" si="36"/>
        <v>0.9</v>
      </c>
      <c r="BU23" s="96">
        <f t="shared" si="36"/>
        <v>1</v>
      </c>
    </row>
    <row r="24" spans="2:73" s="105" customFormat="1" ht="12.95" customHeight="1" x14ac:dyDescent="0.2">
      <c r="B24" s="165" t="str">
        <f>IF(ISNA(Z24),"",IF(OR(Z24=1,Z24=2),"    ",MAX($B$8:B23)+1))</f>
        <v/>
      </c>
      <c r="C24" s="1375" t="str">
        <f t="shared" si="0"/>
        <v/>
      </c>
      <c r="D24" s="1375"/>
      <c r="E24" s="1375"/>
      <c r="F24" s="1376"/>
      <c r="G24" s="152" t="str">
        <f t="shared" si="1"/>
        <v/>
      </c>
      <c r="H24" s="153" t="str">
        <f t="shared" si="2"/>
        <v/>
      </c>
      <c r="I24" s="166" t="str">
        <f t="shared" si="2"/>
        <v/>
      </c>
      <c r="J24" s="172"/>
      <c r="K24" s="173"/>
      <c r="L24" s="1681"/>
      <c r="M24" s="1682"/>
      <c r="N24" s="1682"/>
      <c r="O24" s="1682"/>
      <c r="P24" s="1682"/>
      <c r="Q24" s="1682"/>
      <c r="R24" s="1683"/>
      <c r="T24" s="119">
        <v>17</v>
      </c>
      <c r="U24" s="110" t="e">
        <v>#N/A</v>
      </c>
      <c r="V24" s="206" t="e">
        <v>#N/A</v>
      </c>
      <c r="W24" s="206" t="e">
        <v>#N/A</v>
      </c>
      <c r="X24" s="206" t="e">
        <v>#N/A</v>
      </c>
      <c r="Y24" s="206" t="e">
        <v>#N/A</v>
      </c>
      <c r="Z24" s="160" t="e">
        <v>#N/A</v>
      </c>
      <c r="AA24" s="160" t="e">
        <v>#N/A</v>
      </c>
      <c r="AB24" s="160" t="e">
        <v>#N/A</v>
      </c>
      <c r="AC24" s="206" t="e">
        <v>#N/A</v>
      </c>
      <c r="AD24" s="206" t="e">
        <v>#N/A</v>
      </c>
      <c r="AE24" s="206" t="e">
        <v>#N/A</v>
      </c>
      <c r="AF24" s="206" t="e">
        <v>#N/A</v>
      </c>
      <c r="AG24" s="206" t="e">
        <f t="shared" si="3"/>
        <v>#N/A</v>
      </c>
      <c r="AH24" s="206" t="str">
        <f t="shared" si="4"/>
        <v/>
      </c>
      <c r="AI24" s="86" t="e">
        <f>IF(NOT(OR(Z24=1,Z24=2)),IF(AQ24&gt;0,$AR$44*AQ24/SUMIF($AQ$8:$AQ$39,"&gt;0"),IF(AU24&gt;0,$AV$44*AU24/SUMIF($AU$8:$AU$39,"&gt;0"),IF(AS24&gt;0,$AT$44*AS24/SUMIF($AS$8:$AS$39,"&gt;0"),""))),IF(SUMIF(AJ25:$AJ$39,"=" &amp; AJ24,AI25:$AI$39)=0,"",SUMIF(AJ25:$AJ$39,"=" &amp; AJ24,AI25:$AI$39)))</f>
        <v>#N/A</v>
      </c>
      <c r="AJ24" s="87" t="e">
        <f t="shared" si="34"/>
        <v>#N/A</v>
      </c>
      <c r="AK24" s="206" t="str">
        <f t="shared" si="27"/>
        <v/>
      </c>
      <c r="AL24" s="160" t="str">
        <f t="shared" si="28"/>
        <v/>
      </c>
      <c r="AM24" s="160" t="str">
        <f t="shared" si="35"/>
        <v/>
      </c>
      <c r="AN24" s="160" t="str">
        <f t="shared" si="5"/>
        <v/>
      </c>
      <c r="AO24" s="160" t="e">
        <f t="shared" si="6"/>
        <v>#N/A</v>
      </c>
      <c r="AP24" s="206" t="str">
        <f t="shared" si="7"/>
        <v/>
      </c>
      <c r="AQ24" s="157">
        <f t="shared" si="29"/>
        <v>0</v>
      </c>
      <c r="AR24" s="88" t="str">
        <f t="shared" si="8"/>
        <v/>
      </c>
      <c r="AS24" s="89">
        <f t="shared" si="30"/>
        <v>0</v>
      </c>
      <c r="AT24" s="88" t="str">
        <f t="shared" si="9"/>
        <v/>
      </c>
      <c r="AU24" s="158">
        <f t="shared" si="10"/>
        <v>0</v>
      </c>
      <c r="AV24" s="90" t="str">
        <f t="shared" si="11"/>
        <v/>
      </c>
      <c r="AW24" s="158" t="b">
        <f t="shared" si="12"/>
        <v>0</v>
      </c>
      <c r="AX24" s="159" t="b">
        <f t="shared" si="13"/>
        <v>0</v>
      </c>
      <c r="AY24" s="158" t="b">
        <f t="shared" si="14"/>
        <v>0</v>
      </c>
      <c r="AZ24" s="159" t="b">
        <f t="shared" si="15"/>
        <v>0</v>
      </c>
      <c r="BA24" s="206" t="b">
        <f t="shared" si="16"/>
        <v>0</v>
      </c>
      <c r="BB24" s="206" t="b">
        <f t="shared" si="17"/>
        <v>0</v>
      </c>
      <c r="BC24" s="158" t="b">
        <f t="shared" si="18"/>
        <v>0</v>
      </c>
      <c r="BD24" s="160" t="b">
        <f t="shared" si="31"/>
        <v>0</v>
      </c>
      <c r="BE24" s="159" t="b">
        <f t="shared" si="37"/>
        <v>0</v>
      </c>
      <c r="BF24" s="161" t="b">
        <f t="shared" si="20"/>
        <v>0</v>
      </c>
      <c r="BG24" s="206" t="str">
        <f t="shared" si="38"/>
        <v>NA</v>
      </c>
      <c r="BH24" s="206" t="str">
        <f t="shared" si="32"/>
        <v/>
      </c>
      <c r="BI24" s="206" t="str">
        <f t="shared" si="22"/>
        <v/>
      </c>
      <c r="BJ24" s="206" t="str">
        <f t="shared" si="23"/>
        <v/>
      </c>
      <c r="BK24" s="206" t="str">
        <f t="shared" si="24"/>
        <v/>
      </c>
      <c r="BL24" s="162" t="str">
        <f t="shared" si="33"/>
        <v/>
      </c>
      <c r="BM24" s="206" t="str">
        <f t="shared" si="25"/>
        <v/>
      </c>
      <c r="BN24" s="206" t="str">
        <f t="shared" si="26"/>
        <v/>
      </c>
      <c r="BO24" s="1387"/>
      <c r="BP24" s="104" t="s">
        <v>230</v>
      </c>
      <c r="BQ24" s="94">
        <f t="shared" si="36"/>
        <v>0.6</v>
      </c>
      <c r="BR24" s="95">
        <f t="shared" si="36"/>
        <v>0.9</v>
      </c>
      <c r="BS24" s="95">
        <f t="shared" si="36"/>
        <v>0.93330000000000002</v>
      </c>
      <c r="BT24" s="95">
        <f t="shared" si="36"/>
        <v>0.9667</v>
      </c>
      <c r="BU24" s="96">
        <f t="shared" si="36"/>
        <v>1</v>
      </c>
    </row>
    <row r="25" spans="2:73" s="105" customFormat="1" ht="12.95" customHeight="1" x14ac:dyDescent="0.2">
      <c r="B25" s="165" t="str">
        <f>IF(ISNA(Z25),"",IF(OR(Z25=1,Z25=2),"    ",MAX($B$8:B24)+1))</f>
        <v/>
      </c>
      <c r="C25" s="1375" t="str">
        <f t="shared" si="0"/>
        <v/>
      </c>
      <c r="D25" s="1375"/>
      <c r="E25" s="1375"/>
      <c r="F25" s="1376"/>
      <c r="G25" s="152" t="str">
        <f t="shared" si="1"/>
        <v/>
      </c>
      <c r="H25" s="153" t="str">
        <f t="shared" si="2"/>
        <v/>
      </c>
      <c r="I25" s="166" t="str">
        <f t="shared" si="2"/>
        <v/>
      </c>
      <c r="J25" s="172"/>
      <c r="K25" s="173"/>
      <c r="L25" s="1681"/>
      <c r="M25" s="1682"/>
      <c r="N25" s="1682"/>
      <c r="O25" s="1682"/>
      <c r="P25" s="1682"/>
      <c r="Q25" s="1682"/>
      <c r="R25" s="1683"/>
      <c r="T25" s="119">
        <v>18</v>
      </c>
      <c r="U25" s="110" t="e">
        <v>#N/A</v>
      </c>
      <c r="V25" s="206" t="e">
        <v>#N/A</v>
      </c>
      <c r="W25" s="206" t="e">
        <v>#N/A</v>
      </c>
      <c r="X25" s="206" t="e">
        <v>#N/A</v>
      </c>
      <c r="Y25" s="206" t="e">
        <v>#N/A</v>
      </c>
      <c r="Z25" s="160" t="e">
        <v>#N/A</v>
      </c>
      <c r="AA25" s="160" t="e">
        <v>#N/A</v>
      </c>
      <c r="AB25" s="160" t="e">
        <v>#N/A</v>
      </c>
      <c r="AC25" s="206" t="e">
        <v>#N/A</v>
      </c>
      <c r="AD25" s="206" t="e">
        <v>#N/A</v>
      </c>
      <c r="AE25" s="206" t="e">
        <v>#N/A</v>
      </c>
      <c r="AF25" s="206" t="e">
        <v>#N/A</v>
      </c>
      <c r="AG25" s="206" t="e">
        <f t="shared" si="3"/>
        <v>#N/A</v>
      </c>
      <c r="AH25" s="206" t="str">
        <f t="shared" si="4"/>
        <v/>
      </c>
      <c r="AI25" s="86" t="e">
        <f>IF(NOT(OR(Z25=1,Z25=2)),IF(AQ25&gt;0,$AR$44*AQ25/SUMIF($AQ$8:$AQ$39,"&gt;0"),IF(AU25&gt;0,$AV$44*AU25/SUMIF($AU$8:$AU$39,"&gt;0"),IF(AS25&gt;0,$AT$44*AS25/SUMIF($AS$8:$AS$39,"&gt;0"),""))),IF(SUMIF(AJ26:$AJ$39,"=" &amp; AJ25,AI26:$AI$39)=0,"",SUMIF(AJ26:$AJ$39,"=" &amp; AJ25,AI26:$AI$39)))</f>
        <v>#N/A</v>
      </c>
      <c r="AJ25" s="87" t="e">
        <f t="shared" si="34"/>
        <v>#N/A</v>
      </c>
      <c r="AK25" s="206" t="str">
        <f t="shared" si="27"/>
        <v/>
      </c>
      <c r="AL25" s="160" t="str">
        <f t="shared" si="28"/>
        <v/>
      </c>
      <c r="AM25" s="160" t="str">
        <f t="shared" si="35"/>
        <v/>
      </c>
      <c r="AN25" s="160" t="str">
        <f t="shared" si="5"/>
        <v/>
      </c>
      <c r="AO25" s="160" t="e">
        <f t="shared" si="6"/>
        <v>#N/A</v>
      </c>
      <c r="AP25" s="206" t="str">
        <f t="shared" si="7"/>
        <v/>
      </c>
      <c r="AQ25" s="157">
        <f t="shared" si="29"/>
        <v>0</v>
      </c>
      <c r="AR25" s="88" t="str">
        <f t="shared" si="8"/>
        <v/>
      </c>
      <c r="AS25" s="89">
        <f t="shared" si="30"/>
        <v>0</v>
      </c>
      <c r="AT25" s="88" t="str">
        <f t="shared" si="9"/>
        <v/>
      </c>
      <c r="AU25" s="158">
        <f t="shared" si="10"/>
        <v>0</v>
      </c>
      <c r="AV25" s="90" t="str">
        <f t="shared" si="11"/>
        <v/>
      </c>
      <c r="AW25" s="158" t="b">
        <f t="shared" si="12"/>
        <v>0</v>
      </c>
      <c r="AX25" s="159" t="b">
        <f t="shared" si="13"/>
        <v>0</v>
      </c>
      <c r="AY25" s="158" t="b">
        <f t="shared" si="14"/>
        <v>0</v>
      </c>
      <c r="AZ25" s="159" t="b">
        <f t="shared" si="15"/>
        <v>0</v>
      </c>
      <c r="BA25" s="206" t="b">
        <f t="shared" si="16"/>
        <v>0</v>
      </c>
      <c r="BB25" s="206" t="b">
        <f t="shared" si="17"/>
        <v>0</v>
      </c>
      <c r="BC25" s="158" t="b">
        <f t="shared" si="18"/>
        <v>0</v>
      </c>
      <c r="BD25" s="160" t="b">
        <f t="shared" si="31"/>
        <v>0</v>
      </c>
      <c r="BE25" s="159" t="b">
        <f t="shared" si="37"/>
        <v>0</v>
      </c>
      <c r="BF25" s="161" t="b">
        <f t="shared" si="20"/>
        <v>0</v>
      </c>
      <c r="BG25" s="206" t="str">
        <f t="shared" si="38"/>
        <v>NA</v>
      </c>
      <c r="BH25" s="206" t="str">
        <f t="shared" si="32"/>
        <v/>
      </c>
      <c r="BI25" s="206" t="str">
        <f t="shared" si="22"/>
        <v/>
      </c>
      <c r="BJ25" s="206" t="str">
        <f t="shared" si="23"/>
        <v/>
      </c>
      <c r="BK25" s="206" t="str">
        <f t="shared" si="24"/>
        <v/>
      </c>
      <c r="BL25" s="162" t="str">
        <f t="shared" si="33"/>
        <v/>
      </c>
      <c r="BM25" s="206" t="str">
        <f t="shared" si="25"/>
        <v/>
      </c>
      <c r="BN25" s="206" t="str">
        <f t="shared" si="26"/>
        <v/>
      </c>
      <c r="BO25" s="1387"/>
      <c r="BP25" s="104" t="s">
        <v>231</v>
      </c>
      <c r="BQ25" s="94">
        <f t="shared" si="36"/>
        <v>0.6</v>
      </c>
      <c r="BR25" s="95">
        <f t="shared" si="36"/>
        <v>0.7</v>
      </c>
      <c r="BS25" s="95">
        <f t="shared" si="36"/>
        <v>0.9</v>
      </c>
      <c r="BT25" s="95">
        <f t="shared" si="36"/>
        <v>0.95</v>
      </c>
      <c r="BU25" s="96">
        <f t="shared" si="36"/>
        <v>1</v>
      </c>
    </row>
    <row r="26" spans="2:73" s="105" customFormat="1" ht="12.95" customHeight="1" x14ac:dyDescent="0.2">
      <c r="B26" s="165" t="str">
        <f>IF(ISNA(Z26),"",IF(OR(Z26=1,Z26=2),"    ",MAX($B$8:B25)+1))</f>
        <v/>
      </c>
      <c r="C26" s="1375" t="str">
        <f t="shared" si="0"/>
        <v/>
      </c>
      <c r="D26" s="1375"/>
      <c r="E26" s="1375"/>
      <c r="F26" s="1376"/>
      <c r="G26" s="152" t="str">
        <f t="shared" si="1"/>
        <v/>
      </c>
      <c r="H26" s="153" t="str">
        <f t="shared" si="2"/>
        <v/>
      </c>
      <c r="I26" s="166" t="str">
        <f t="shared" si="2"/>
        <v/>
      </c>
      <c r="J26" s="172"/>
      <c r="K26" s="173"/>
      <c r="L26" s="1681"/>
      <c r="M26" s="1682"/>
      <c r="N26" s="1682"/>
      <c r="O26" s="1682"/>
      <c r="P26" s="1682"/>
      <c r="Q26" s="1682"/>
      <c r="R26" s="1683"/>
      <c r="T26" s="119">
        <v>19</v>
      </c>
      <c r="U26" s="110" t="e">
        <v>#N/A</v>
      </c>
      <c r="V26" s="206" t="e">
        <v>#N/A</v>
      </c>
      <c r="W26" s="206" t="e">
        <v>#N/A</v>
      </c>
      <c r="X26" s="206" t="e">
        <v>#N/A</v>
      </c>
      <c r="Y26" s="206" t="e">
        <v>#N/A</v>
      </c>
      <c r="Z26" s="160" t="e">
        <v>#N/A</v>
      </c>
      <c r="AA26" s="160" t="e">
        <v>#N/A</v>
      </c>
      <c r="AB26" s="160" t="e">
        <v>#N/A</v>
      </c>
      <c r="AC26" s="206" t="e">
        <v>#N/A</v>
      </c>
      <c r="AD26" s="206" t="e">
        <v>#N/A</v>
      </c>
      <c r="AE26" s="206" t="e">
        <v>#N/A</v>
      </c>
      <c r="AF26" s="206" t="e">
        <v>#N/A</v>
      </c>
      <c r="AG26" s="206" t="e">
        <f t="shared" si="3"/>
        <v>#N/A</v>
      </c>
      <c r="AH26" s="206" t="str">
        <f t="shared" si="4"/>
        <v/>
      </c>
      <c r="AI26" s="86" t="e">
        <f>IF(NOT(OR(Z26=1,Z26=2)),IF(AQ26&gt;0,$AR$44*AQ26/SUMIF($AQ$8:$AQ$39,"&gt;0"),IF(AU26&gt;0,$AV$44*AU26/SUMIF($AU$8:$AU$39,"&gt;0"),IF(AS26&gt;0,$AT$44*AS26/SUMIF($AS$8:$AS$39,"&gt;0"),""))),IF(SUMIF(AJ27:$AJ$39,"=" &amp; AJ26,AI27:$AI$39)=0,"",SUMIF(AJ27:$AJ$39,"=" &amp; AJ26,AI27:$AI$39)))</f>
        <v>#N/A</v>
      </c>
      <c r="AJ26" s="87" t="e">
        <f t="shared" si="34"/>
        <v>#N/A</v>
      </c>
      <c r="AK26" s="206" t="str">
        <f t="shared" si="27"/>
        <v/>
      </c>
      <c r="AL26" s="160" t="str">
        <f t="shared" si="28"/>
        <v/>
      </c>
      <c r="AM26" s="160" t="str">
        <f t="shared" si="35"/>
        <v/>
      </c>
      <c r="AN26" s="160" t="str">
        <f t="shared" si="5"/>
        <v/>
      </c>
      <c r="AO26" s="160" t="e">
        <f t="shared" si="6"/>
        <v>#N/A</v>
      </c>
      <c r="AP26" s="206" t="str">
        <f t="shared" si="7"/>
        <v/>
      </c>
      <c r="AQ26" s="157">
        <f t="shared" si="29"/>
        <v>0</v>
      </c>
      <c r="AR26" s="88" t="str">
        <f t="shared" si="8"/>
        <v/>
      </c>
      <c r="AS26" s="89">
        <f t="shared" si="30"/>
        <v>0</v>
      </c>
      <c r="AT26" s="88" t="str">
        <f t="shared" si="9"/>
        <v/>
      </c>
      <c r="AU26" s="158">
        <f t="shared" si="10"/>
        <v>0</v>
      </c>
      <c r="AV26" s="90" t="str">
        <f t="shared" si="11"/>
        <v/>
      </c>
      <c r="AW26" s="158" t="b">
        <f t="shared" si="12"/>
        <v>0</v>
      </c>
      <c r="AX26" s="159" t="b">
        <f t="shared" si="13"/>
        <v>0</v>
      </c>
      <c r="AY26" s="158" t="b">
        <f t="shared" si="14"/>
        <v>0</v>
      </c>
      <c r="AZ26" s="159" t="b">
        <f t="shared" si="15"/>
        <v>0</v>
      </c>
      <c r="BA26" s="206" t="b">
        <f t="shared" si="16"/>
        <v>0</v>
      </c>
      <c r="BB26" s="206" t="b">
        <f t="shared" si="17"/>
        <v>0</v>
      </c>
      <c r="BC26" s="158" t="b">
        <f t="shared" si="18"/>
        <v>0</v>
      </c>
      <c r="BD26" s="160" t="b">
        <f t="shared" si="31"/>
        <v>0</v>
      </c>
      <c r="BE26" s="159" t="b">
        <f t="shared" si="37"/>
        <v>0</v>
      </c>
      <c r="BF26" s="161" t="b">
        <f t="shared" si="20"/>
        <v>0</v>
      </c>
      <c r="BG26" s="206" t="str">
        <f t="shared" si="38"/>
        <v>NA</v>
      </c>
      <c r="BH26" s="206" t="str">
        <f t="shared" si="32"/>
        <v/>
      </c>
      <c r="BI26" s="206" t="str">
        <f t="shared" si="22"/>
        <v/>
      </c>
      <c r="BJ26" s="206" t="str">
        <f t="shared" si="23"/>
        <v/>
      </c>
      <c r="BK26" s="206" t="str">
        <f t="shared" si="24"/>
        <v/>
      </c>
      <c r="BL26" s="162" t="str">
        <f t="shared" si="33"/>
        <v/>
      </c>
      <c r="BM26" s="206" t="str">
        <f t="shared" si="25"/>
        <v/>
      </c>
      <c r="BN26" s="206" t="str">
        <f t="shared" si="26"/>
        <v/>
      </c>
      <c r="BO26" s="1387"/>
      <c r="BP26" s="104" t="s">
        <v>232</v>
      </c>
      <c r="BQ26" s="94">
        <f t="shared" si="36"/>
        <v>0.6</v>
      </c>
      <c r="BR26" s="95">
        <f t="shared" si="36"/>
        <v>0.7</v>
      </c>
      <c r="BS26" s="95">
        <f t="shared" si="36"/>
        <v>0.8</v>
      </c>
      <c r="BT26" s="95">
        <f t="shared" si="36"/>
        <v>0.9</v>
      </c>
      <c r="BU26" s="96">
        <f t="shared" si="36"/>
        <v>1</v>
      </c>
    </row>
    <row r="27" spans="2:73" s="105" customFormat="1" ht="12.95" customHeight="1" x14ac:dyDescent="0.2">
      <c r="B27" s="165" t="str">
        <f>IF(ISNA(Z27),"",IF(OR(Z27=1,Z27=2),"    ",MAX($B$8:B26)+1))</f>
        <v/>
      </c>
      <c r="C27" s="1375" t="str">
        <f t="shared" si="0"/>
        <v/>
      </c>
      <c r="D27" s="1375"/>
      <c r="E27" s="1375"/>
      <c r="F27" s="1376"/>
      <c r="G27" s="152" t="str">
        <f t="shared" si="1"/>
        <v/>
      </c>
      <c r="H27" s="153" t="str">
        <f t="shared" si="2"/>
        <v/>
      </c>
      <c r="I27" s="166" t="str">
        <f t="shared" si="2"/>
        <v/>
      </c>
      <c r="J27" s="172"/>
      <c r="K27" s="173"/>
      <c r="L27" s="1681"/>
      <c r="M27" s="1682"/>
      <c r="N27" s="1682"/>
      <c r="O27" s="1682"/>
      <c r="P27" s="1682"/>
      <c r="Q27" s="1682"/>
      <c r="R27" s="1683"/>
      <c r="T27" s="119">
        <v>20</v>
      </c>
      <c r="U27" s="110" t="e">
        <v>#N/A</v>
      </c>
      <c r="V27" s="206" t="e">
        <v>#N/A</v>
      </c>
      <c r="W27" s="206" t="e">
        <v>#N/A</v>
      </c>
      <c r="X27" s="206" t="e">
        <v>#N/A</v>
      </c>
      <c r="Y27" s="206" t="e">
        <v>#N/A</v>
      </c>
      <c r="Z27" s="160" t="e">
        <v>#N/A</v>
      </c>
      <c r="AA27" s="160" t="e">
        <v>#N/A</v>
      </c>
      <c r="AB27" s="160" t="e">
        <v>#N/A</v>
      </c>
      <c r="AC27" s="206" t="e">
        <v>#N/A</v>
      </c>
      <c r="AD27" s="206" t="e">
        <v>#N/A</v>
      </c>
      <c r="AE27" s="206" t="e">
        <v>#N/A</v>
      </c>
      <c r="AF27" s="206" t="e">
        <v>#N/A</v>
      </c>
      <c r="AG27" s="206" t="e">
        <f t="shared" si="3"/>
        <v>#N/A</v>
      </c>
      <c r="AH27" s="206" t="str">
        <f t="shared" si="4"/>
        <v/>
      </c>
      <c r="AI27" s="86" t="e">
        <f>IF(NOT(OR(Z27=1,Z27=2)),IF(AQ27&gt;0,$AR$44*AQ27/SUMIF($AQ$8:$AQ$39,"&gt;0"),IF(AU27&gt;0,$AV$44*AU27/SUMIF($AU$8:$AU$39,"&gt;0"),IF(AS27&gt;0,$AT$44*AS27/SUMIF($AS$8:$AS$39,"&gt;0"),""))),IF(SUMIF(AJ28:$AJ$39,"=" &amp; AJ27,AI28:$AI$39)=0,"",SUMIF(AJ28:$AJ$39,"=" &amp; AJ27,AI28:$AI$39)))</f>
        <v>#N/A</v>
      </c>
      <c r="AJ27" s="87" t="e">
        <f t="shared" si="34"/>
        <v>#N/A</v>
      </c>
      <c r="AK27" s="206" t="str">
        <f t="shared" si="27"/>
        <v/>
      </c>
      <c r="AL27" s="160" t="str">
        <f t="shared" si="28"/>
        <v/>
      </c>
      <c r="AM27" s="160" t="str">
        <f t="shared" si="35"/>
        <v/>
      </c>
      <c r="AN27" s="160" t="str">
        <f t="shared" si="5"/>
        <v/>
      </c>
      <c r="AO27" s="160" t="e">
        <f t="shared" si="6"/>
        <v>#N/A</v>
      </c>
      <c r="AP27" s="206" t="str">
        <f t="shared" si="7"/>
        <v/>
      </c>
      <c r="AQ27" s="157">
        <f t="shared" si="29"/>
        <v>0</v>
      </c>
      <c r="AR27" s="88" t="str">
        <f t="shared" si="8"/>
        <v/>
      </c>
      <c r="AS27" s="89">
        <f t="shared" si="30"/>
        <v>0</v>
      </c>
      <c r="AT27" s="88" t="str">
        <f t="shared" si="9"/>
        <v/>
      </c>
      <c r="AU27" s="158">
        <f t="shared" si="10"/>
        <v>0</v>
      </c>
      <c r="AV27" s="90" t="str">
        <f t="shared" si="11"/>
        <v/>
      </c>
      <c r="AW27" s="158" t="b">
        <f t="shared" si="12"/>
        <v>0</v>
      </c>
      <c r="AX27" s="159" t="b">
        <f t="shared" si="13"/>
        <v>0</v>
      </c>
      <c r="AY27" s="158" t="b">
        <f t="shared" si="14"/>
        <v>0</v>
      </c>
      <c r="AZ27" s="159" t="b">
        <f t="shared" si="15"/>
        <v>0</v>
      </c>
      <c r="BA27" s="206" t="b">
        <f t="shared" si="16"/>
        <v>0</v>
      </c>
      <c r="BB27" s="206" t="b">
        <f t="shared" si="17"/>
        <v>0</v>
      </c>
      <c r="BC27" s="158" t="b">
        <f t="shared" si="18"/>
        <v>0</v>
      </c>
      <c r="BD27" s="160" t="b">
        <f t="shared" si="31"/>
        <v>0</v>
      </c>
      <c r="BE27" s="159" t="b">
        <f t="shared" si="37"/>
        <v>0</v>
      </c>
      <c r="BF27" s="161" t="b">
        <f t="shared" si="20"/>
        <v>0</v>
      </c>
      <c r="BG27" s="206" t="str">
        <f t="shared" si="38"/>
        <v>NA</v>
      </c>
      <c r="BH27" s="206" t="str">
        <f t="shared" si="32"/>
        <v/>
      </c>
      <c r="BI27" s="206" t="str">
        <f t="shared" si="22"/>
        <v/>
      </c>
      <c r="BJ27" s="206" t="str">
        <f t="shared" si="23"/>
        <v/>
      </c>
      <c r="BK27" s="206" t="str">
        <f t="shared" si="24"/>
        <v/>
      </c>
      <c r="BL27" s="162" t="str">
        <f t="shared" si="33"/>
        <v/>
      </c>
      <c r="BM27" s="206" t="str">
        <f t="shared" si="25"/>
        <v/>
      </c>
      <c r="BN27" s="206" t="str">
        <f t="shared" si="26"/>
        <v/>
      </c>
      <c r="BO27" s="1387"/>
      <c r="BP27" s="104" t="s">
        <v>233</v>
      </c>
      <c r="BQ27" s="94">
        <f t="shared" si="36"/>
        <v>0.3</v>
      </c>
      <c r="BR27" s="95">
        <f t="shared" si="36"/>
        <v>0.6</v>
      </c>
      <c r="BS27" s="95">
        <f t="shared" si="36"/>
        <v>0.9</v>
      </c>
      <c r="BT27" s="95">
        <f t="shared" si="36"/>
        <v>0.95</v>
      </c>
      <c r="BU27" s="96">
        <f t="shared" si="36"/>
        <v>1</v>
      </c>
    </row>
    <row r="28" spans="2:73" s="105" customFormat="1" ht="12.95" customHeight="1" x14ac:dyDescent="0.2">
      <c r="B28" s="165" t="str">
        <f>IF(ISNA(Z28),"",IF(OR(Z28=1,Z28=2),"    ",MAX($B$8:B27)+1))</f>
        <v/>
      </c>
      <c r="C28" s="1375" t="str">
        <f t="shared" si="0"/>
        <v/>
      </c>
      <c r="D28" s="1375"/>
      <c r="E28" s="1375"/>
      <c r="F28" s="1376"/>
      <c r="G28" s="152" t="str">
        <f t="shared" si="1"/>
        <v/>
      </c>
      <c r="H28" s="153" t="str">
        <f t="shared" si="2"/>
        <v/>
      </c>
      <c r="I28" s="166" t="str">
        <f t="shared" si="2"/>
        <v/>
      </c>
      <c r="J28" s="172"/>
      <c r="K28" s="173"/>
      <c r="L28" s="1681"/>
      <c r="M28" s="1682"/>
      <c r="N28" s="1682"/>
      <c r="O28" s="1682"/>
      <c r="P28" s="1682"/>
      <c r="Q28" s="1682"/>
      <c r="R28" s="1683"/>
      <c r="T28" s="119">
        <v>21</v>
      </c>
      <c r="U28" s="110" t="e">
        <v>#N/A</v>
      </c>
      <c r="V28" s="206" t="e">
        <v>#N/A</v>
      </c>
      <c r="W28" s="206" t="e">
        <v>#N/A</v>
      </c>
      <c r="X28" s="206" t="e">
        <v>#N/A</v>
      </c>
      <c r="Y28" s="206" t="e">
        <v>#N/A</v>
      </c>
      <c r="Z28" s="160" t="e">
        <v>#N/A</v>
      </c>
      <c r="AA28" s="160" t="e">
        <v>#N/A</v>
      </c>
      <c r="AB28" s="160" t="e">
        <v>#N/A</v>
      </c>
      <c r="AC28" s="206" t="e">
        <v>#N/A</v>
      </c>
      <c r="AD28" s="206" t="e">
        <v>#N/A</v>
      </c>
      <c r="AE28" s="206" t="e">
        <v>#N/A</v>
      </c>
      <c r="AF28" s="206" t="e">
        <v>#N/A</v>
      </c>
      <c r="AG28" s="206" t="e">
        <f t="shared" si="3"/>
        <v>#N/A</v>
      </c>
      <c r="AH28" s="206" t="str">
        <f t="shared" si="4"/>
        <v/>
      </c>
      <c r="AI28" s="86" t="e">
        <f>IF(NOT(OR(Z28=1,Z28=2)),IF(AQ28&gt;0,$AR$44*AQ28/SUMIF($AQ$8:$AQ$39,"&gt;0"),IF(AU28&gt;0,$AV$44*AU28/SUMIF($AU$8:$AU$39,"&gt;0"),IF(AS28&gt;0,$AT$44*AS28/SUMIF($AS$8:$AS$39,"&gt;0"),""))),IF(SUMIF(AJ29:$AJ$39,"=" &amp; AJ28,AI29:$AI$39)=0,"",SUMIF(AJ29:$AJ$39,"=" &amp; AJ28,AI29:$AI$39)))</f>
        <v>#N/A</v>
      </c>
      <c r="AJ28" s="87" t="e">
        <f t="shared" si="34"/>
        <v>#N/A</v>
      </c>
      <c r="AK28" s="206" t="str">
        <f t="shared" si="27"/>
        <v/>
      </c>
      <c r="AL28" s="160" t="str">
        <f t="shared" si="28"/>
        <v/>
      </c>
      <c r="AM28" s="160" t="str">
        <f t="shared" si="35"/>
        <v/>
      </c>
      <c r="AN28" s="160" t="str">
        <f t="shared" si="5"/>
        <v/>
      </c>
      <c r="AO28" s="160" t="e">
        <f t="shared" si="6"/>
        <v>#N/A</v>
      </c>
      <c r="AP28" s="206" t="str">
        <f t="shared" si="7"/>
        <v/>
      </c>
      <c r="AQ28" s="157">
        <f t="shared" si="29"/>
        <v>0</v>
      </c>
      <c r="AR28" s="88" t="str">
        <f t="shared" si="8"/>
        <v/>
      </c>
      <c r="AS28" s="89">
        <f t="shared" si="30"/>
        <v>0</v>
      </c>
      <c r="AT28" s="88" t="str">
        <f t="shared" si="9"/>
        <v/>
      </c>
      <c r="AU28" s="158">
        <f t="shared" si="10"/>
        <v>0</v>
      </c>
      <c r="AV28" s="90" t="str">
        <f t="shared" si="11"/>
        <v/>
      </c>
      <c r="AW28" s="158" t="b">
        <f t="shared" si="12"/>
        <v>0</v>
      </c>
      <c r="AX28" s="159" t="b">
        <f t="shared" si="13"/>
        <v>0</v>
      </c>
      <c r="AY28" s="158" t="b">
        <f t="shared" si="14"/>
        <v>0</v>
      </c>
      <c r="AZ28" s="159" t="b">
        <f t="shared" si="15"/>
        <v>0</v>
      </c>
      <c r="BA28" s="206" t="b">
        <f t="shared" si="16"/>
        <v>0</v>
      </c>
      <c r="BB28" s="206" t="b">
        <f t="shared" si="17"/>
        <v>0</v>
      </c>
      <c r="BC28" s="158" t="b">
        <f t="shared" si="18"/>
        <v>0</v>
      </c>
      <c r="BD28" s="160" t="b">
        <f t="shared" si="31"/>
        <v>0</v>
      </c>
      <c r="BE28" s="159" t="b">
        <f t="shared" si="37"/>
        <v>0</v>
      </c>
      <c r="BF28" s="161" t="b">
        <f t="shared" si="20"/>
        <v>0</v>
      </c>
      <c r="BG28" s="206" t="str">
        <f t="shared" si="38"/>
        <v>NA</v>
      </c>
      <c r="BH28" s="206" t="str">
        <f t="shared" si="32"/>
        <v/>
      </c>
      <c r="BI28" s="206" t="str">
        <f t="shared" si="22"/>
        <v/>
      </c>
      <c r="BJ28" s="206" t="str">
        <f t="shared" si="23"/>
        <v/>
      </c>
      <c r="BK28" s="206" t="str">
        <f t="shared" si="24"/>
        <v/>
      </c>
      <c r="BL28" s="162" t="str">
        <f t="shared" si="33"/>
        <v/>
      </c>
      <c r="BM28" s="206" t="str">
        <f t="shared" si="25"/>
        <v/>
      </c>
      <c r="BN28" s="206" t="str">
        <f t="shared" si="26"/>
        <v/>
      </c>
      <c r="BO28" s="1387"/>
      <c r="BP28" s="104" t="s">
        <v>234</v>
      </c>
      <c r="BQ28" s="94">
        <f t="shared" si="36"/>
        <v>0.3</v>
      </c>
      <c r="BR28" s="95">
        <f t="shared" si="36"/>
        <v>0.6</v>
      </c>
      <c r="BS28" s="95">
        <f t="shared" si="36"/>
        <v>0.7</v>
      </c>
      <c r="BT28" s="95">
        <f t="shared" si="36"/>
        <v>0.9</v>
      </c>
      <c r="BU28" s="96">
        <f t="shared" si="36"/>
        <v>1</v>
      </c>
    </row>
    <row r="29" spans="2:73" s="105" customFormat="1" ht="12.95" customHeight="1" x14ac:dyDescent="0.2">
      <c r="B29" s="165" t="str">
        <f>IF(ISNA(Z29),"",IF(OR(Z29=1,Z29=2),"    ",MAX($B$8:B28)+1))</f>
        <v/>
      </c>
      <c r="C29" s="1375" t="str">
        <f t="shared" si="0"/>
        <v/>
      </c>
      <c r="D29" s="1375"/>
      <c r="E29" s="1375"/>
      <c r="F29" s="1376"/>
      <c r="G29" s="152" t="str">
        <f t="shared" si="1"/>
        <v/>
      </c>
      <c r="H29" s="153" t="str">
        <f t="shared" si="2"/>
        <v/>
      </c>
      <c r="I29" s="166" t="str">
        <f t="shared" si="2"/>
        <v/>
      </c>
      <c r="J29" s="172"/>
      <c r="K29" s="173"/>
      <c r="L29" s="1681"/>
      <c r="M29" s="1682"/>
      <c r="N29" s="1682"/>
      <c r="O29" s="1682"/>
      <c r="P29" s="1682"/>
      <c r="Q29" s="1682"/>
      <c r="R29" s="1683"/>
      <c r="T29" s="119">
        <v>22</v>
      </c>
      <c r="U29" s="110" t="e">
        <v>#N/A</v>
      </c>
      <c r="V29" s="206" t="e">
        <v>#N/A</v>
      </c>
      <c r="W29" s="206" t="e">
        <v>#N/A</v>
      </c>
      <c r="X29" s="206" t="e">
        <v>#N/A</v>
      </c>
      <c r="Y29" s="206" t="e">
        <v>#N/A</v>
      </c>
      <c r="Z29" s="160" t="e">
        <v>#N/A</v>
      </c>
      <c r="AA29" s="160" t="e">
        <v>#N/A</v>
      </c>
      <c r="AB29" s="160" t="e">
        <v>#N/A</v>
      </c>
      <c r="AC29" s="206" t="e">
        <v>#N/A</v>
      </c>
      <c r="AD29" s="206" t="e">
        <v>#N/A</v>
      </c>
      <c r="AE29" s="206" t="e">
        <v>#N/A</v>
      </c>
      <c r="AF29" s="206" t="e">
        <v>#N/A</v>
      </c>
      <c r="AG29" s="206" t="e">
        <f t="shared" si="3"/>
        <v>#N/A</v>
      </c>
      <c r="AH29" s="206" t="str">
        <f t="shared" si="4"/>
        <v/>
      </c>
      <c r="AI29" s="86" t="e">
        <f>IF(NOT(OR(Z29=1,Z29=2)),IF(AQ29&gt;0,$AR$44*AQ29/SUMIF($AQ$8:$AQ$39,"&gt;0"),IF(AU29&gt;0,$AV$44*AU29/SUMIF($AU$8:$AU$39,"&gt;0"),IF(AS29&gt;0,$AT$44*AS29/SUMIF($AS$8:$AS$39,"&gt;0"),""))),IF(SUMIF(AJ30:$AJ$39,"=" &amp; AJ29,AI30:$AI$39)=0,"",SUMIF(AJ30:$AJ$39,"=" &amp; AJ29,AI30:$AI$39)))</f>
        <v>#N/A</v>
      </c>
      <c r="AJ29" s="87" t="e">
        <f t="shared" si="34"/>
        <v>#N/A</v>
      </c>
      <c r="AK29" s="206" t="str">
        <f t="shared" si="27"/>
        <v/>
      </c>
      <c r="AL29" s="160" t="str">
        <f t="shared" si="28"/>
        <v/>
      </c>
      <c r="AM29" s="160" t="str">
        <f t="shared" si="35"/>
        <v/>
      </c>
      <c r="AN29" s="160" t="str">
        <f t="shared" si="5"/>
        <v/>
      </c>
      <c r="AO29" s="160" t="e">
        <f t="shared" si="6"/>
        <v>#N/A</v>
      </c>
      <c r="AP29" s="206" t="str">
        <f t="shared" si="7"/>
        <v/>
      </c>
      <c r="AQ29" s="157">
        <f t="shared" si="29"/>
        <v>0</v>
      </c>
      <c r="AR29" s="88" t="str">
        <f t="shared" si="8"/>
        <v/>
      </c>
      <c r="AS29" s="89">
        <f t="shared" si="30"/>
        <v>0</v>
      </c>
      <c r="AT29" s="88" t="str">
        <f t="shared" si="9"/>
        <v/>
      </c>
      <c r="AU29" s="158">
        <f t="shared" si="10"/>
        <v>0</v>
      </c>
      <c r="AV29" s="90" t="str">
        <f t="shared" si="11"/>
        <v/>
      </c>
      <c r="AW29" s="158" t="b">
        <f t="shared" si="12"/>
        <v>0</v>
      </c>
      <c r="AX29" s="159" t="b">
        <f t="shared" si="13"/>
        <v>0</v>
      </c>
      <c r="AY29" s="158" t="b">
        <f t="shared" si="14"/>
        <v>0</v>
      </c>
      <c r="AZ29" s="159" t="b">
        <f t="shared" si="15"/>
        <v>0</v>
      </c>
      <c r="BA29" s="206" t="b">
        <f t="shared" si="16"/>
        <v>0</v>
      </c>
      <c r="BB29" s="206" t="b">
        <f t="shared" si="17"/>
        <v>0</v>
      </c>
      <c r="BC29" s="158" t="b">
        <f t="shared" si="18"/>
        <v>0</v>
      </c>
      <c r="BD29" s="160" t="b">
        <f t="shared" si="31"/>
        <v>0</v>
      </c>
      <c r="BE29" s="159" t="b">
        <f t="shared" si="37"/>
        <v>0</v>
      </c>
      <c r="BF29" s="161" t="b">
        <f t="shared" si="20"/>
        <v>0</v>
      </c>
      <c r="BG29" s="206" t="str">
        <f t="shared" si="38"/>
        <v>NA</v>
      </c>
      <c r="BH29" s="206" t="str">
        <f t="shared" si="32"/>
        <v/>
      </c>
      <c r="BI29" s="206" t="str">
        <f t="shared" si="22"/>
        <v/>
      </c>
      <c r="BJ29" s="206" t="str">
        <f t="shared" si="23"/>
        <v/>
      </c>
      <c r="BK29" s="206" t="str">
        <f t="shared" si="24"/>
        <v/>
      </c>
      <c r="BL29" s="162" t="str">
        <f t="shared" si="33"/>
        <v/>
      </c>
      <c r="BM29" s="206" t="str">
        <f t="shared" si="25"/>
        <v/>
      </c>
      <c r="BN29" s="206" t="str">
        <f t="shared" si="26"/>
        <v/>
      </c>
      <c r="BO29" s="1387"/>
      <c r="BP29" s="104" t="s">
        <v>235</v>
      </c>
      <c r="BQ29" s="97">
        <f t="shared" si="36"/>
        <v>0</v>
      </c>
      <c r="BR29" s="98">
        <f t="shared" si="36"/>
        <v>0.3</v>
      </c>
      <c r="BS29" s="98">
        <f t="shared" si="36"/>
        <v>0.6</v>
      </c>
      <c r="BT29" s="98">
        <f t="shared" si="36"/>
        <v>0.9</v>
      </c>
      <c r="BU29" s="99">
        <f t="shared" si="36"/>
        <v>1</v>
      </c>
    </row>
    <row r="30" spans="2:73" s="105" customFormat="1" ht="12.95" customHeight="1" x14ac:dyDescent="0.2">
      <c r="B30" s="165" t="str">
        <f>IF(ISNA(Z30),"",IF(OR(Z30=1,Z30=2),"    ",MAX($B$8:B29)+1))</f>
        <v/>
      </c>
      <c r="C30" s="1375" t="str">
        <f t="shared" si="0"/>
        <v/>
      </c>
      <c r="D30" s="1375"/>
      <c r="E30" s="1375"/>
      <c r="F30" s="1376"/>
      <c r="G30" s="152" t="str">
        <f t="shared" si="1"/>
        <v/>
      </c>
      <c r="H30" s="153" t="str">
        <f t="shared" si="2"/>
        <v/>
      </c>
      <c r="I30" s="166" t="str">
        <f t="shared" si="2"/>
        <v/>
      </c>
      <c r="J30" s="172"/>
      <c r="K30" s="173"/>
      <c r="L30" s="1681"/>
      <c r="M30" s="1682"/>
      <c r="N30" s="1682"/>
      <c r="O30" s="1682"/>
      <c r="P30" s="1682"/>
      <c r="Q30" s="1682"/>
      <c r="R30" s="1683"/>
      <c r="T30" s="119">
        <v>23</v>
      </c>
      <c r="U30" s="110" t="e">
        <v>#N/A</v>
      </c>
      <c r="V30" s="206" t="e">
        <v>#N/A</v>
      </c>
      <c r="W30" s="206" t="e">
        <v>#N/A</v>
      </c>
      <c r="X30" s="206" t="e">
        <v>#N/A</v>
      </c>
      <c r="Y30" s="206" t="e">
        <v>#N/A</v>
      </c>
      <c r="Z30" s="160" t="e">
        <v>#N/A</v>
      </c>
      <c r="AA30" s="160" t="e">
        <v>#N/A</v>
      </c>
      <c r="AB30" s="160" t="e">
        <v>#N/A</v>
      </c>
      <c r="AC30" s="206" t="e">
        <v>#N/A</v>
      </c>
      <c r="AD30" s="206" t="e">
        <v>#N/A</v>
      </c>
      <c r="AE30" s="206" t="e">
        <v>#N/A</v>
      </c>
      <c r="AF30" s="206" t="e">
        <v>#N/A</v>
      </c>
      <c r="AG30" s="206" t="e">
        <f t="shared" si="3"/>
        <v>#N/A</v>
      </c>
      <c r="AH30" s="206" t="str">
        <f t="shared" si="4"/>
        <v/>
      </c>
      <c r="AI30" s="86" t="e">
        <f>IF(NOT(OR(Z30=1,Z30=2)),IF(AQ30&gt;0,$AR$44*AQ30/SUMIF($AQ$8:$AQ$39,"&gt;0"),IF(AU30&gt;0,$AV$44*AU30/SUMIF($AU$8:$AU$39,"&gt;0"),IF(AS30&gt;0,$AT$44*AS30/SUMIF($AS$8:$AS$39,"&gt;0"),""))),IF(SUMIF(AJ31:$AJ$39,"=" &amp; AJ30,AI31:$AI$39)=0,"",SUMIF(AJ31:$AJ$39,"=" &amp; AJ30,AI31:$AI$39)))</f>
        <v>#N/A</v>
      </c>
      <c r="AJ30" s="87" t="e">
        <f t="shared" si="34"/>
        <v>#N/A</v>
      </c>
      <c r="AK30" s="206" t="str">
        <f t="shared" si="27"/>
        <v/>
      </c>
      <c r="AL30" s="160" t="str">
        <f t="shared" si="28"/>
        <v/>
      </c>
      <c r="AM30" s="160" t="str">
        <f t="shared" si="35"/>
        <v/>
      </c>
      <c r="AN30" s="160" t="str">
        <f t="shared" si="5"/>
        <v/>
      </c>
      <c r="AO30" s="160" t="e">
        <f t="shared" si="6"/>
        <v>#N/A</v>
      </c>
      <c r="AP30" s="206" t="str">
        <f t="shared" si="7"/>
        <v/>
      </c>
      <c r="AQ30" s="157">
        <f t="shared" si="29"/>
        <v>0</v>
      </c>
      <c r="AR30" s="88" t="str">
        <f t="shared" si="8"/>
        <v/>
      </c>
      <c r="AS30" s="89">
        <f t="shared" si="30"/>
        <v>0</v>
      </c>
      <c r="AT30" s="88" t="str">
        <f t="shared" si="9"/>
        <v/>
      </c>
      <c r="AU30" s="158">
        <f t="shared" si="10"/>
        <v>0</v>
      </c>
      <c r="AV30" s="90" t="str">
        <f t="shared" si="11"/>
        <v/>
      </c>
      <c r="AW30" s="158" t="b">
        <f t="shared" si="12"/>
        <v>0</v>
      </c>
      <c r="AX30" s="159" t="b">
        <f t="shared" si="13"/>
        <v>0</v>
      </c>
      <c r="AY30" s="158" t="b">
        <f t="shared" si="14"/>
        <v>0</v>
      </c>
      <c r="AZ30" s="159" t="b">
        <f t="shared" si="15"/>
        <v>0</v>
      </c>
      <c r="BA30" s="206" t="b">
        <f t="shared" si="16"/>
        <v>0</v>
      </c>
      <c r="BB30" s="206" t="b">
        <f t="shared" si="17"/>
        <v>0</v>
      </c>
      <c r="BC30" s="158" t="b">
        <f t="shared" si="18"/>
        <v>0</v>
      </c>
      <c r="BD30" s="160" t="b">
        <f t="shared" si="31"/>
        <v>0</v>
      </c>
      <c r="BE30" s="159" t="b">
        <f t="shared" si="37"/>
        <v>0</v>
      </c>
      <c r="BF30" s="161" t="b">
        <f t="shared" si="20"/>
        <v>0</v>
      </c>
      <c r="BG30" s="206" t="str">
        <f t="shared" si="38"/>
        <v>NA</v>
      </c>
      <c r="BH30" s="206" t="str">
        <f t="shared" si="32"/>
        <v/>
      </c>
      <c r="BI30" s="206" t="str">
        <f t="shared" si="22"/>
        <v/>
      </c>
      <c r="BJ30" s="206" t="str">
        <f t="shared" si="23"/>
        <v/>
      </c>
      <c r="BK30" s="206" t="str">
        <f t="shared" si="24"/>
        <v/>
      </c>
      <c r="BL30" s="162" t="str">
        <f t="shared" si="33"/>
        <v/>
      </c>
      <c r="BM30" s="206" t="str">
        <f t="shared" si="25"/>
        <v/>
      </c>
      <c r="BN30" s="206" t="str">
        <f t="shared" si="26"/>
        <v/>
      </c>
      <c r="BO30" s="106"/>
    </row>
    <row r="31" spans="2:73" s="105" customFormat="1" ht="12.95" customHeight="1" x14ac:dyDescent="0.2">
      <c r="B31" s="165" t="str">
        <f>IF(ISNA(Z31),"",IF(OR(Z31=1,Z31=2),"    ",MAX($B$8:B30)+1))</f>
        <v/>
      </c>
      <c r="C31" s="1375" t="str">
        <f t="shared" si="0"/>
        <v/>
      </c>
      <c r="D31" s="1375"/>
      <c r="E31" s="1375"/>
      <c r="F31" s="1376"/>
      <c r="G31" s="152" t="str">
        <f t="shared" si="1"/>
        <v/>
      </c>
      <c r="H31" s="153" t="str">
        <f t="shared" si="2"/>
        <v/>
      </c>
      <c r="I31" s="166" t="str">
        <f t="shared" si="2"/>
        <v/>
      </c>
      <c r="J31" s="172"/>
      <c r="K31" s="173"/>
      <c r="L31" s="1681"/>
      <c r="M31" s="1682"/>
      <c r="N31" s="1682"/>
      <c r="O31" s="1682"/>
      <c r="P31" s="1682"/>
      <c r="Q31" s="1682"/>
      <c r="R31" s="1683"/>
      <c r="T31" s="119">
        <v>24</v>
      </c>
      <c r="U31" s="110" t="e">
        <v>#N/A</v>
      </c>
      <c r="V31" s="206" t="e">
        <v>#N/A</v>
      </c>
      <c r="W31" s="206" t="e">
        <v>#N/A</v>
      </c>
      <c r="X31" s="206" t="e">
        <v>#N/A</v>
      </c>
      <c r="Y31" s="206" t="e">
        <v>#N/A</v>
      </c>
      <c r="Z31" s="160" t="e">
        <v>#N/A</v>
      </c>
      <c r="AA31" s="160" t="e">
        <v>#N/A</v>
      </c>
      <c r="AB31" s="160" t="e">
        <v>#N/A</v>
      </c>
      <c r="AC31" s="206" t="e">
        <v>#N/A</v>
      </c>
      <c r="AD31" s="206" t="e">
        <v>#N/A</v>
      </c>
      <c r="AE31" s="206" t="e">
        <v>#N/A</v>
      </c>
      <c r="AF31" s="206" t="e">
        <v>#N/A</v>
      </c>
      <c r="AG31" s="206" t="e">
        <f t="shared" si="3"/>
        <v>#N/A</v>
      </c>
      <c r="AH31" s="206" t="str">
        <f t="shared" si="4"/>
        <v/>
      </c>
      <c r="AI31" s="86" t="e">
        <f>IF(NOT(OR(Z31=1,Z31=2)),IF(AQ31&gt;0,$AR$44*AQ31/SUMIF($AQ$8:$AQ$39,"&gt;0"),IF(AU31&gt;0,$AV$44*AU31/SUMIF($AU$8:$AU$39,"&gt;0"),IF(AS31&gt;0,$AT$44*AS31/SUMIF($AS$8:$AS$39,"&gt;0"),""))),IF(SUMIF(AJ32:$AJ$39,"=" &amp; AJ31,AI32:$AI$39)=0,"",SUMIF(AJ32:$AJ$39,"=" &amp; AJ31,AI32:$AI$39)))</f>
        <v>#N/A</v>
      </c>
      <c r="AJ31" s="87" t="e">
        <f t="shared" si="34"/>
        <v>#N/A</v>
      </c>
      <c r="AK31" s="206" t="str">
        <f t="shared" si="27"/>
        <v/>
      </c>
      <c r="AL31" s="160" t="str">
        <f t="shared" si="28"/>
        <v/>
      </c>
      <c r="AM31" s="160" t="str">
        <f t="shared" si="35"/>
        <v/>
      </c>
      <c r="AN31" s="160" t="str">
        <f t="shared" si="5"/>
        <v/>
      </c>
      <c r="AO31" s="160" t="e">
        <f t="shared" si="6"/>
        <v>#N/A</v>
      </c>
      <c r="AP31" s="206" t="str">
        <f t="shared" si="7"/>
        <v/>
      </c>
      <c r="AQ31" s="157">
        <f t="shared" si="29"/>
        <v>0</v>
      </c>
      <c r="AR31" s="88" t="str">
        <f t="shared" si="8"/>
        <v/>
      </c>
      <c r="AS31" s="89">
        <f t="shared" si="30"/>
        <v>0</v>
      </c>
      <c r="AT31" s="88" t="str">
        <f t="shared" si="9"/>
        <v/>
      </c>
      <c r="AU31" s="158">
        <f t="shared" si="10"/>
        <v>0</v>
      </c>
      <c r="AV31" s="90" t="str">
        <f t="shared" si="11"/>
        <v/>
      </c>
      <c r="AW31" s="158" t="b">
        <f t="shared" si="12"/>
        <v>0</v>
      </c>
      <c r="AX31" s="159" t="b">
        <f t="shared" si="13"/>
        <v>0</v>
      </c>
      <c r="AY31" s="158" t="b">
        <f t="shared" si="14"/>
        <v>0</v>
      </c>
      <c r="AZ31" s="159" t="b">
        <f t="shared" si="15"/>
        <v>0</v>
      </c>
      <c r="BA31" s="206" t="b">
        <f t="shared" si="16"/>
        <v>0</v>
      </c>
      <c r="BB31" s="206" t="b">
        <f t="shared" si="17"/>
        <v>0</v>
      </c>
      <c r="BC31" s="158" t="b">
        <f t="shared" si="18"/>
        <v>0</v>
      </c>
      <c r="BD31" s="160" t="b">
        <f>IF(OR(ISNA($Z31),ISNUMBER($Z31),NOT(ISNUMBER(K31))),FALSE,OR(NOT(ISNUMBER(J31)),J31=0,AND(J31=0,K31&lt;&gt;0)))</f>
        <v>0</v>
      </c>
      <c r="BE31" s="159" t="b">
        <f t="shared" si="37"/>
        <v>0</v>
      </c>
      <c r="BF31" s="161" t="b">
        <f>IF(OR(ISNA($Z31),H31&lt;&gt;"NG"),FALSE,IF(AND(J31="NA",K31&lt;&gt;""),TRUE,FALSE))</f>
        <v>0</v>
      </c>
      <c r="BG31" s="206" t="str">
        <f t="shared" si="38"/>
        <v>NA</v>
      </c>
      <c r="BH31" s="206" t="str">
        <f t="shared" si="32"/>
        <v/>
      </c>
      <c r="BI31" s="206" t="str">
        <f t="shared" si="22"/>
        <v/>
      </c>
      <c r="BJ31" s="206" t="str">
        <f t="shared" si="23"/>
        <v/>
      </c>
      <c r="BK31" s="206" t="str">
        <f t="shared" si="24"/>
        <v/>
      </c>
      <c r="BL31" s="162" t="str">
        <f t="shared" si="33"/>
        <v/>
      </c>
      <c r="BM31" s="206" t="str">
        <f t="shared" si="25"/>
        <v/>
      </c>
      <c r="BN31" s="206" t="str">
        <f t="shared" si="26"/>
        <v/>
      </c>
      <c r="BO31" s="169" t="s">
        <v>236</v>
      </c>
      <c r="BP31" s="175" t="s">
        <v>237</v>
      </c>
    </row>
    <row r="32" spans="2:73" s="105" customFormat="1" ht="12.95" customHeight="1" x14ac:dyDescent="0.2">
      <c r="B32" s="165" t="str">
        <f>IF(ISNA(Z32),"",IF(OR(Z32=1,Z32=2),"    ",MAX($B$8:B31)+1))</f>
        <v/>
      </c>
      <c r="C32" s="1375" t="str">
        <f t="shared" si="0"/>
        <v/>
      </c>
      <c r="D32" s="1375"/>
      <c r="E32" s="1375"/>
      <c r="F32" s="1376"/>
      <c r="G32" s="152" t="str">
        <f t="shared" si="1"/>
        <v/>
      </c>
      <c r="H32" s="153" t="str">
        <f t="shared" si="2"/>
        <v/>
      </c>
      <c r="I32" s="166" t="str">
        <f t="shared" si="2"/>
        <v/>
      </c>
      <c r="J32" s="172"/>
      <c r="K32" s="173"/>
      <c r="L32" s="1681"/>
      <c r="M32" s="1682"/>
      <c r="N32" s="1682"/>
      <c r="O32" s="1682"/>
      <c r="P32" s="1682"/>
      <c r="Q32" s="1682"/>
      <c r="R32" s="1683"/>
      <c r="T32" s="119">
        <v>25</v>
      </c>
      <c r="U32" s="110" t="e">
        <v>#N/A</v>
      </c>
      <c r="V32" s="206" t="e">
        <v>#N/A</v>
      </c>
      <c r="W32" s="206" t="e">
        <v>#N/A</v>
      </c>
      <c r="X32" s="206" t="e">
        <v>#N/A</v>
      </c>
      <c r="Y32" s="206" t="e">
        <v>#N/A</v>
      </c>
      <c r="Z32" s="160" t="e">
        <v>#N/A</v>
      </c>
      <c r="AA32" s="160" t="e">
        <v>#N/A</v>
      </c>
      <c r="AB32" s="160" t="e">
        <v>#N/A</v>
      </c>
      <c r="AC32" s="206" t="e">
        <v>#N/A</v>
      </c>
      <c r="AD32" s="206" t="e">
        <v>#N/A</v>
      </c>
      <c r="AE32" s="206" t="e">
        <v>#N/A</v>
      </c>
      <c r="AF32" s="206" t="e">
        <v>#N/A</v>
      </c>
      <c r="AG32" s="206" t="e">
        <f t="shared" si="3"/>
        <v>#N/A</v>
      </c>
      <c r="AH32" s="206" t="str">
        <f t="shared" si="4"/>
        <v/>
      </c>
      <c r="AI32" s="86" t="e">
        <f>IF(NOT(OR(Z32=1,Z32=2)),IF(AQ32&gt;0,$AR$44*AQ32/SUMIF($AQ$8:$AQ$39,"&gt;0"),IF(AU32&gt;0,$AV$44*AU32/SUMIF($AU$8:$AU$39,"&gt;0"),IF(AS32&gt;0,$AT$44*AS32/SUMIF($AS$8:$AS$39,"&gt;0"),""))),IF(SUMIF(AJ33:$AJ$39,"=" &amp; AJ32,AI33:$AI$39)=0,"",SUMIF(AJ33:$AJ$39,"=" &amp; AJ32,AI33:$AI$39)))</f>
        <v>#N/A</v>
      </c>
      <c r="AJ32" s="87" t="e">
        <f t="shared" si="34"/>
        <v>#N/A</v>
      </c>
      <c r="AK32" s="206" t="str">
        <f t="shared" si="27"/>
        <v/>
      </c>
      <c r="AL32" s="160" t="str">
        <f t="shared" si="28"/>
        <v/>
      </c>
      <c r="AM32" s="160" t="str">
        <f t="shared" si="35"/>
        <v/>
      </c>
      <c r="AN32" s="160" t="str">
        <f t="shared" si="5"/>
        <v/>
      </c>
      <c r="AO32" s="160" t="e">
        <f t="shared" si="6"/>
        <v>#N/A</v>
      </c>
      <c r="AP32" s="206" t="str">
        <f t="shared" si="7"/>
        <v/>
      </c>
      <c r="AQ32" s="157">
        <f t="shared" si="29"/>
        <v>0</v>
      </c>
      <c r="AR32" s="88" t="str">
        <f t="shared" si="8"/>
        <v/>
      </c>
      <c r="AS32" s="89">
        <f t="shared" si="30"/>
        <v>0</v>
      </c>
      <c r="AT32" s="88" t="str">
        <f t="shared" si="9"/>
        <v/>
      </c>
      <c r="AU32" s="158">
        <f t="shared" si="10"/>
        <v>0</v>
      </c>
      <c r="AV32" s="90" t="str">
        <f t="shared" si="11"/>
        <v/>
      </c>
      <c r="AW32" s="158" t="b">
        <f t="shared" si="12"/>
        <v>0</v>
      </c>
      <c r="AX32" s="159" t="b">
        <f t="shared" si="13"/>
        <v>0</v>
      </c>
      <c r="AY32" s="158" t="b">
        <f t="shared" si="14"/>
        <v>0</v>
      </c>
      <c r="AZ32" s="159" t="b">
        <f t="shared" si="15"/>
        <v>0</v>
      </c>
      <c r="BA32" s="206" t="b">
        <f t="shared" si="16"/>
        <v>0</v>
      </c>
      <c r="BB32" s="206" t="b">
        <f t="shared" si="17"/>
        <v>0</v>
      </c>
      <c r="BC32" s="158" t="b">
        <f t="shared" si="18"/>
        <v>0</v>
      </c>
      <c r="BD32" s="160" t="b">
        <f t="shared" si="31"/>
        <v>0</v>
      </c>
      <c r="BE32" s="159" t="b">
        <f t="shared" si="37"/>
        <v>0</v>
      </c>
      <c r="BF32" s="161" t="b">
        <f t="shared" ref="BF32:BF39" si="39">IF(OR(ISNA($Z32),H32&lt;&gt;"NG"),FALSE,IF(AND(J32="NA",K32&lt;&gt;""),TRUE,FALSE))</f>
        <v>0</v>
      </c>
      <c r="BG32" s="206" t="str">
        <f t="shared" si="38"/>
        <v>NA</v>
      </c>
      <c r="BH32" s="206" t="str">
        <f t="shared" si="32"/>
        <v/>
      </c>
      <c r="BI32" s="206" t="str">
        <f t="shared" si="22"/>
        <v/>
      </c>
      <c r="BJ32" s="206" t="str">
        <f t="shared" si="23"/>
        <v/>
      </c>
      <c r="BK32" s="206" t="str">
        <f t="shared" si="24"/>
        <v/>
      </c>
      <c r="BL32" s="162" t="str">
        <f t="shared" si="33"/>
        <v/>
      </c>
      <c r="BM32" s="206" t="str">
        <f t="shared" si="25"/>
        <v/>
      </c>
      <c r="BN32" s="206" t="str">
        <f t="shared" si="26"/>
        <v/>
      </c>
      <c r="BO32" s="169" t="s">
        <v>238</v>
      </c>
      <c r="BP32" s="175" t="s">
        <v>239</v>
      </c>
    </row>
    <row r="33" spans="2:73" s="105" customFormat="1" ht="12.95" customHeight="1" x14ac:dyDescent="0.2">
      <c r="B33" s="165" t="str">
        <f>IF(ISNA(Z33),"",IF(OR(Z33=1,Z33=2),"    ",MAX($B$8:B32)+1))</f>
        <v/>
      </c>
      <c r="C33" s="1375" t="str">
        <f t="shared" si="0"/>
        <v/>
      </c>
      <c r="D33" s="1375"/>
      <c r="E33" s="1375"/>
      <c r="F33" s="1376"/>
      <c r="G33" s="152" t="str">
        <f t="shared" si="1"/>
        <v/>
      </c>
      <c r="H33" s="153" t="str">
        <f t="shared" si="2"/>
        <v/>
      </c>
      <c r="I33" s="166" t="str">
        <f t="shared" si="2"/>
        <v/>
      </c>
      <c r="J33" s="172"/>
      <c r="K33" s="173"/>
      <c r="L33" s="1681"/>
      <c r="M33" s="1682"/>
      <c r="N33" s="1682"/>
      <c r="O33" s="1682"/>
      <c r="P33" s="1682"/>
      <c r="Q33" s="1682"/>
      <c r="R33" s="1683"/>
      <c r="T33" s="119">
        <v>26</v>
      </c>
      <c r="U33" s="110" t="e">
        <v>#N/A</v>
      </c>
      <c r="V33" s="206" t="e">
        <v>#N/A</v>
      </c>
      <c r="W33" s="206" t="e">
        <v>#N/A</v>
      </c>
      <c r="X33" s="206" t="e">
        <v>#N/A</v>
      </c>
      <c r="Y33" s="206" t="e">
        <v>#N/A</v>
      </c>
      <c r="Z33" s="160" t="e">
        <v>#N/A</v>
      </c>
      <c r="AA33" s="160" t="e">
        <v>#N/A</v>
      </c>
      <c r="AB33" s="160" t="e">
        <v>#N/A</v>
      </c>
      <c r="AC33" s="206" t="e">
        <v>#N/A</v>
      </c>
      <c r="AD33" s="206" t="e">
        <v>#N/A</v>
      </c>
      <c r="AE33" s="206" t="e">
        <v>#N/A</v>
      </c>
      <c r="AF33" s="206" t="e">
        <v>#N/A</v>
      </c>
      <c r="AG33" s="206" t="e">
        <f t="shared" si="3"/>
        <v>#N/A</v>
      </c>
      <c r="AH33" s="206" t="str">
        <f t="shared" si="4"/>
        <v/>
      </c>
      <c r="AI33" s="86" t="e">
        <f>IF(NOT(OR(Z33=1,Z33=2)),IF(AQ33&gt;0,$AR$44*AQ33/SUMIF($AQ$8:$AQ$39,"&gt;0"),IF(AU33&gt;0,$AV$44*AU33/SUMIF($AU$8:$AU$39,"&gt;0"),IF(AS33&gt;0,$AT$44*AS33/SUMIF($AS$8:$AS$39,"&gt;0"),""))),IF(SUMIF(AJ34:$AJ$39,"=" &amp; AJ33,AI34:$AI$39)=0,"",SUMIF(AJ34:$AJ$39,"=" &amp; AJ33,AI34:$AI$39)))</f>
        <v>#N/A</v>
      </c>
      <c r="AJ33" s="87" t="e">
        <f t="shared" si="34"/>
        <v>#N/A</v>
      </c>
      <c r="AK33" s="206" t="str">
        <f t="shared" si="27"/>
        <v/>
      </c>
      <c r="AL33" s="160" t="str">
        <f t="shared" si="28"/>
        <v/>
      </c>
      <c r="AM33" s="160" t="str">
        <f t="shared" si="35"/>
        <v/>
      </c>
      <c r="AN33" s="160" t="str">
        <f t="shared" si="5"/>
        <v/>
      </c>
      <c r="AO33" s="160" t="e">
        <f t="shared" si="6"/>
        <v>#N/A</v>
      </c>
      <c r="AP33" s="206" t="str">
        <f t="shared" si="7"/>
        <v/>
      </c>
      <c r="AQ33" s="157">
        <f t="shared" si="29"/>
        <v>0</v>
      </c>
      <c r="AR33" s="88" t="str">
        <f t="shared" si="8"/>
        <v/>
      </c>
      <c r="AS33" s="89">
        <f t="shared" si="30"/>
        <v>0</v>
      </c>
      <c r="AT33" s="88" t="str">
        <f t="shared" si="9"/>
        <v/>
      </c>
      <c r="AU33" s="158">
        <f t="shared" si="10"/>
        <v>0</v>
      </c>
      <c r="AV33" s="90" t="str">
        <f t="shared" si="11"/>
        <v/>
      </c>
      <c r="AW33" s="158" t="b">
        <f t="shared" si="12"/>
        <v>0</v>
      </c>
      <c r="AX33" s="159" t="b">
        <f t="shared" si="13"/>
        <v>0</v>
      </c>
      <c r="AY33" s="158" t="b">
        <f t="shared" si="14"/>
        <v>0</v>
      </c>
      <c r="AZ33" s="159" t="b">
        <f t="shared" si="15"/>
        <v>0</v>
      </c>
      <c r="BA33" s="206" t="b">
        <f t="shared" si="16"/>
        <v>0</v>
      </c>
      <c r="BB33" s="206" t="b">
        <f t="shared" si="17"/>
        <v>0</v>
      </c>
      <c r="BC33" s="158" t="b">
        <f t="shared" si="18"/>
        <v>0</v>
      </c>
      <c r="BD33" s="160" t="b">
        <f t="shared" si="31"/>
        <v>0</v>
      </c>
      <c r="BE33" s="159" t="b">
        <f t="shared" si="37"/>
        <v>0</v>
      </c>
      <c r="BF33" s="161" t="b">
        <f t="shared" si="39"/>
        <v>0</v>
      </c>
      <c r="BG33" s="206" t="str">
        <f t="shared" si="38"/>
        <v>NA</v>
      </c>
      <c r="BH33" s="206" t="str">
        <f t="shared" si="32"/>
        <v/>
      </c>
      <c r="BI33" s="206" t="str">
        <f t="shared" si="22"/>
        <v/>
      </c>
      <c r="BJ33" s="206" t="str">
        <f t="shared" si="23"/>
        <v/>
      </c>
      <c r="BK33" s="206" t="str">
        <f t="shared" si="24"/>
        <v/>
      </c>
      <c r="BL33" s="162" t="str">
        <f t="shared" si="33"/>
        <v/>
      </c>
      <c r="BM33" s="206" t="str">
        <f t="shared" si="25"/>
        <v/>
      </c>
      <c r="BN33" s="206" t="str">
        <f t="shared" si="26"/>
        <v/>
      </c>
      <c r="BO33" s="164" t="s">
        <v>240</v>
      </c>
      <c r="BP33" s="175"/>
      <c r="BQ33" s="175"/>
      <c r="BR33" s="175"/>
      <c r="BS33" s="175"/>
      <c r="BT33" s="175"/>
      <c r="BU33" s="175"/>
    </row>
    <row r="34" spans="2:73" s="105" customFormat="1" ht="12.95" customHeight="1" x14ac:dyDescent="0.2">
      <c r="B34" s="165" t="str">
        <f>IF(ISNA(Z34),"",IF(OR(Z34=1,Z34=2),"    ",MAX($B$8:B33)+1))</f>
        <v/>
      </c>
      <c r="C34" s="1375" t="str">
        <f t="shared" si="0"/>
        <v/>
      </c>
      <c r="D34" s="1375"/>
      <c r="E34" s="1375"/>
      <c r="F34" s="1376"/>
      <c r="G34" s="152" t="str">
        <f t="shared" si="1"/>
        <v/>
      </c>
      <c r="H34" s="153" t="str">
        <f t="shared" si="2"/>
        <v/>
      </c>
      <c r="I34" s="166" t="str">
        <f t="shared" si="2"/>
        <v/>
      </c>
      <c r="J34" s="172"/>
      <c r="K34" s="173"/>
      <c r="L34" s="1681"/>
      <c r="M34" s="1682"/>
      <c r="N34" s="1682"/>
      <c r="O34" s="1682"/>
      <c r="P34" s="1682"/>
      <c r="Q34" s="1682"/>
      <c r="R34" s="1683"/>
      <c r="T34" s="119">
        <v>27</v>
      </c>
      <c r="U34" s="110" t="e">
        <v>#N/A</v>
      </c>
      <c r="V34" s="206" t="e">
        <v>#N/A</v>
      </c>
      <c r="W34" s="206" t="e">
        <v>#N/A</v>
      </c>
      <c r="X34" s="206" t="e">
        <v>#N/A</v>
      </c>
      <c r="Y34" s="206" t="e">
        <v>#N/A</v>
      </c>
      <c r="Z34" s="160" t="e">
        <v>#N/A</v>
      </c>
      <c r="AA34" s="160" t="e">
        <v>#N/A</v>
      </c>
      <c r="AB34" s="160" t="e">
        <v>#N/A</v>
      </c>
      <c r="AC34" s="206" t="e">
        <v>#N/A</v>
      </c>
      <c r="AD34" s="206" t="e">
        <v>#N/A</v>
      </c>
      <c r="AE34" s="206" t="e">
        <v>#N/A</v>
      </c>
      <c r="AF34" s="206" t="e">
        <v>#N/A</v>
      </c>
      <c r="AG34" s="206" t="e">
        <f t="shared" si="3"/>
        <v>#N/A</v>
      </c>
      <c r="AH34" s="206" t="str">
        <f t="shared" si="4"/>
        <v/>
      </c>
      <c r="AI34" s="86" t="e">
        <f>IF(NOT(OR(Z34=1,Z34=2)),IF(AQ34&gt;0,$AR$44*AQ34/SUMIF($AQ$8:$AQ$39,"&gt;0"),IF(AU34&gt;0,$AV$44*AU34/SUMIF($AU$8:$AU$39,"&gt;0"),IF(AS34&gt;0,$AT$44*AS34/SUMIF($AS$8:$AS$39,"&gt;0"),""))),IF(SUMIF(AJ35:$AJ$39,"=" &amp; AJ34,AI35:$AI$39)=0,"",SUMIF(AJ35:$AJ$39,"=" &amp; AJ34,AI35:$AI$39)))</f>
        <v>#N/A</v>
      </c>
      <c r="AJ34" s="87" t="e">
        <f t="shared" si="34"/>
        <v>#N/A</v>
      </c>
      <c r="AK34" s="206" t="str">
        <f t="shared" si="27"/>
        <v/>
      </c>
      <c r="AL34" s="160" t="str">
        <f t="shared" si="28"/>
        <v/>
      </c>
      <c r="AM34" s="160" t="str">
        <f t="shared" si="35"/>
        <v/>
      </c>
      <c r="AN34" s="160" t="str">
        <f t="shared" si="5"/>
        <v/>
      </c>
      <c r="AO34" s="160" t="e">
        <f t="shared" si="6"/>
        <v>#N/A</v>
      </c>
      <c r="AP34" s="206" t="str">
        <f t="shared" si="7"/>
        <v/>
      </c>
      <c r="AQ34" s="157">
        <f t="shared" si="29"/>
        <v>0</v>
      </c>
      <c r="AR34" s="88" t="str">
        <f t="shared" si="8"/>
        <v/>
      </c>
      <c r="AS34" s="89">
        <f t="shared" si="30"/>
        <v>0</v>
      </c>
      <c r="AT34" s="88" t="str">
        <f t="shared" si="9"/>
        <v/>
      </c>
      <c r="AU34" s="158">
        <f t="shared" si="10"/>
        <v>0</v>
      </c>
      <c r="AV34" s="90" t="str">
        <f t="shared" si="11"/>
        <v/>
      </c>
      <c r="AW34" s="158" t="b">
        <f t="shared" si="12"/>
        <v>0</v>
      </c>
      <c r="AX34" s="159" t="b">
        <f t="shared" si="13"/>
        <v>0</v>
      </c>
      <c r="AY34" s="158" t="b">
        <f t="shared" si="14"/>
        <v>0</v>
      </c>
      <c r="AZ34" s="159" t="b">
        <f t="shared" si="15"/>
        <v>0</v>
      </c>
      <c r="BA34" s="206" t="b">
        <f t="shared" si="16"/>
        <v>0</v>
      </c>
      <c r="BB34" s="206" t="b">
        <f t="shared" si="17"/>
        <v>0</v>
      </c>
      <c r="BC34" s="158" t="b">
        <f t="shared" si="18"/>
        <v>0</v>
      </c>
      <c r="BD34" s="160" t="b">
        <f t="shared" si="31"/>
        <v>0</v>
      </c>
      <c r="BE34" s="159" t="b">
        <f t="shared" si="37"/>
        <v>0</v>
      </c>
      <c r="BF34" s="161" t="b">
        <f t="shared" si="39"/>
        <v>0</v>
      </c>
      <c r="BG34" s="206" t="str">
        <f t="shared" si="38"/>
        <v>NA</v>
      </c>
      <c r="BH34" s="206" t="str">
        <f t="shared" si="32"/>
        <v/>
      </c>
      <c r="BI34" s="206" t="str">
        <f t="shared" si="22"/>
        <v/>
      </c>
      <c r="BJ34" s="206" t="str">
        <f t="shared" si="23"/>
        <v/>
      </c>
      <c r="BK34" s="206" t="str">
        <f t="shared" si="24"/>
        <v/>
      </c>
      <c r="BL34" s="162" t="str">
        <f t="shared" si="33"/>
        <v/>
      </c>
      <c r="BM34" s="206" t="str">
        <f t="shared" si="25"/>
        <v/>
      </c>
      <c r="BN34" s="206" t="str">
        <f t="shared" si="26"/>
        <v/>
      </c>
      <c r="BO34" s="1687"/>
      <c r="BP34" s="1688"/>
      <c r="BQ34" s="1688"/>
      <c r="BR34" s="1688"/>
      <c r="BS34" s="1688"/>
      <c r="BT34" s="1688"/>
      <c r="BU34" s="1689"/>
    </row>
    <row r="35" spans="2:73" s="105" customFormat="1" ht="12.95" customHeight="1" x14ac:dyDescent="0.2">
      <c r="B35" s="165" t="str">
        <f>IF(ISNA(Z35),"",IF(OR(Z35=1,Z35=2),"    ",MAX($B$8:B34)+1))</f>
        <v/>
      </c>
      <c r="C35" s="1375" t="str">
        <f t="shared" si="0"/>
        <v/>
      </c>
      <c r="D35" s="1375"/>
      <c r="E35" s="1375"/>
      <c r="F35" s="1376"/>
      <c r="G35" s="152" t="str">
        <f t="shared" si="1"/>
        <v/>
      </c>
      <c r="H35" s="153" t="str">
        <f t="shared" si="2"/>
        <v/>
      </c>
      <c r="I35" s="166" t="str">
        <f t="shared" si="2"/>
        <v/>
      </c>
      <c r="J35" s="172"/>
      <c r="K35" s="173"/>
      <c r="L35" s="1681"/>
      <c r="M35" s="1682"/>
      <c r="N35" s="1682"/>
      <c r="O35" s="1682"/>
      <c r="P35" s="1682"/>
      <c r="Q35" s="1682"/>
      <c r="R35" s="1683"/>
      <c r="T35" s="119">
        <v>28</v>
      </c>
      <c r="U35" s="110" t="e">
        <v>#N/A</v>
      </c>
      <c r="V35" s="206" t="e">
        <v>#N/A</v>
      </c>
      <c r="W35" s="206" t="e">
        <v>#N/A</v>
      </c>
      <c r="X35" s="206" t="e">
        <v>#N/A</v>
      </c>
      <c r="Y35" s="206" t="e">
        <v>#N/A</v>
      </c>
      <c r="Z35" s="160" t="e">
        <v>#N/A</v>
      </c>
      <c r="AA35" s="160" t="e">
        <v>#N/A</v>
      </c>
      <c r="AB35" s="160" t="e">
        <v>#N/A</v>
      </c>
      <c r="AC35" s="206" t="e">
        <v>#N/A</v>
      </c>
      <c r="AD35" s="206" t="e">
        <v>#N/A</v>
      </c>
      <c r="AE35" s="206" t="e">
        <v>#N/A</v>
      </c>
      <c r="AF35" s="206" t="e">
        <v>#N/A</v>
      </c>
      <c r="AG35" s="206" t="e">
        <f t="shared" si="3"/>
        <v>#N/A</v>
      </c>
      <c r="AH35" s="206" t="str">
        <f t="shared" si="4"/>
        <v/>
      </c>
      <c r="AI35" s="86" t="e">
        <f>IF(NOT(OR(Z35=1,Z35=2)),IF(AQ35&gt;0,$AR$44*AQ35/SUMIF($AQ$8:$AQ$39,"&gt;0"),IF(AU35&gt;0,$AV$44*AU35/SUMIF($AU$8:$AU$39,"&gt;0"),IF(AS35&gt;0,$AT$44*AS35/SUMIF($AS$8:$AS$39,"&gt;0"),""))),IF(SUMIF(AJ36:$AJ$39,"=" &amp; AJ35,AI36:$AI$39)=0,"",SUMIF(AJ36:$AJ$39,"=" &amp; AJ35,AI36:$AI$39)))</f>
        <v>#N/A</v>
      </c>
      <c r="AJ35" s="87" t="e">
        <f t="shared" si="34"/>
        <v>#N/A</v>
      </c>
      <c r="AK35" s="206" t="str">
        <f t="shared" si="27"/>
        <v/>
      </c>
      <c r="AL35" s="160" t="str">
        <f t="shared" si="28"/>
        <v/>
      </c>
      <c r="AM35" s="160" t="str">
        <f t="shared" si="35"/>
        <v/>
      </c>
      <c r="AN35" s="160" t="str">
        <f t="shared" si="5"/>
        <v/>
      </c>
      <c r="AO35" s="160" t="e">
        <f t="shared" si="6"/>
        <v>#N/A</v>
      </c>
      <c r="AP35" s="206" t="str">
        <f t="shared" si="7"/>
        <v/>
      </c>
      <c r="AQ35" s="157">
        <f t="shared" si="29"/>
        <v>0</v>
      </c>
      <c r="AR35" s="88" t="str">
        <f t="shared" si="8"/>
        <v/>
      </c>
      <c r="AS35" s="89">
        <f t="shared" si="30"/>
        <v>0</v>
      </c>
      <c r="AT35" s="88" t="str">
        <f t="shared" si="9"/>
        <v/>
      </c>
      <c r="AU35" s="158">
        <f t="shared" si="10"/>
        <v>0</v>
      </c>
      <c r="AV35" s="90" t="str">
        <f t="shared" si="11"/>
        <v/>
      </c>
      <c r="AW35" s="158" t="b">
        <f t="shared" si="12"/>
        <v>0</v>
      </c>
      <c r="AX35" s="159" t="b">
        <f t="shared" si="13"/>
        <v>0</v>
      </c>
      <c r="AY35" s="158" t="b">
        <f t="shared" si="14"/>
        <v>0</v>
      </c>
      <c r="AZ35" s="159" t="b">
        <f t="shared" si="15"/>
        <v>0</v>
      </c>
      <c r="BA35" s="206" t="b">
        <f t="shared" si="16"/>
        <v>0</v>
      </c>
      <c r="BB35" s="206" t="b">
        <f t="shared" si="17"/>
        <v>0</v>
      </c>
      <c r="BC35" s="158" t="b">
        <f t="shared" si="18"/>
        <v>0</v>
      </c>
      <c r="BD35" s="160" t="b">
        <f t="shared" si="31"/>
        <v>0</v>
      </c>
      <c r="BE35" s="159" t="b">
        <f t="shared" si="37"/>
        <v>0</v>
      </c>
      <c r="BF35" s="161" t="b">
        <f t="shared" si="39"/>
        <v>0</v>
      </c>
      <c r="BG35" s="206" t="str">
        <f t="shared" si="38"/>
        <v>NA</v>
      </c>
      <c r="BH35" s="206" t="str">
        <f t="shared" si="32"/>
        <v/>
      </c>
      <c r="BI35" s="206" t="str">
        <f t="shared" si="22"/>
        <v/>
      </c>
      <c r="BJ35" s="206" t="str">
        <f t="shared" si="23"/>
        <v/>
      </c>
      <c r="BK35" s="206" t="str">
        <f t="shared" si="24"/>
        <v/>
      </c>
      <c r="BL35" s="162" t="str">
        <f t="shared" si="33"/>
        <v/>
      </c>
      <c r="BM35" s="206" t="str">
        <f t="shared" si="25"/>
        <v/>
      </c>
      <c r="BN35" s="206" t="str">
        <f t="shared" si="26"/>
        <v/>
      </c>
      <c r="BO35" s="1690"/>
      <c r="BP35" s="1691"/>
      <c r="BQ35" s="1691"/>
      <c r="BR35" s="1691"/>
      <c r="BS35" s="1691"/>
      <c r="BT35" s="1691"/>
      <c r="BU35" s="1692"/>
    </row>
    <row r="36" spans="2:73" s="105" customFormat="1" ht="12.95" customHeight="1" x14ac:dyDescent="0.2">
      <c r="B36" s="165" t="str">
        <f>IF(ISNA(Z36),"",IF(OR(Z36=1,Z36=2),"    ",MAX($B$8:B35)+1))</f>
        <v/>
      </c>
      <c r="C36" s="1375" t="str">
        <f t="shared" si="0"/>
        <v/>
      </c>
      <c r="D36" s="1375"/>
      <c r="E36" s="1375"/>
      <c r="F36" s="1376"/>
      <c r="G36" s="152" t="str">
        <f t="shared" si="1"/>
        <v/>
      </c>
      <c r="H36" s="153" t="str">
        <f t="shared" si="2"/>
        <v/>
      </c>
      <c r="I36" s="166" t="str">
        <f t="shared" si="2"/>
        <v/>
      </c>
      <c r="J36" s="172"/>
      <c r="K36" s="173"/>
      <c r="L36" s="1681"/>
      <c r="M36" s="1682"/>
      <c r="N36" s="1682"/>
      <c r="O36" s="1682"/>
      <c r="P36" s="1682"/>
      <c r="Q36" s="1682"/>
      <c r="R36" s="1683"/>
      <c r="T36" s="119">
        <v>29</v>
      </c>
      <c r="U36" s="110" t="e">
        <v>#N/A</v>
      </c>
      <c r="V36" s="206" t="e">
        <v>#N/A</v>
      </c>
      <c r="W36" s="206" t="e">
        <v>#N/A</v>
      </c>
      <c r="X36" s="206" t="e">
        <v>#N/A</v>
      </c>
      <c r="Y36" s="206" t="e">
        <v>#N/A</v>
      </c>
      <c r="Z36" s="160" t="e">
        <v>#N/A</v>
      </c>
      <c r="AA36" s="160" t="e">
        <v>#N/A</v>
      </c>
      <c r="AB36" s="160" t="e">
        <v>#N/A</v>
      </c>
      <c r="AC36" s="206" t="e">
        <v>#N/A</v>
      </c>
      <c r="AD36" s="206" t="e">
        <v>#N/A</v>
      </c>
      <c r="AE36" s="206" t="e">
        <v>#N/A</v>
      </c>
      <c r="AF36" s="206" t="e">
        <v>#N/A</v>
      </c>
      <c r="AG36" s="206" t="e">
        <f t="shared" si="3"/>
        <v>#N/A</v>
      </c>
      <c r="AH36" s="206" t="str">
        <f t="shared" si="4"/>
        <v/>
      </c>
      <c r="AI36" s="86" t="e">
        <f>IF(NOT(OR(Z36=1,Z36=2)),IF(AQ36&gt;0,$AR$44*AQ36/SUMIF($AQ$8:$AQ$39,"&gt;0"),IF(AU36&gt;0,$AV$44*AU36/SUMIF($AU$8:$AU$39,"&gt;0"),IF(AS36&gt;0,$AT$44*AS36/SUMIF($AS$8:$AS$39,"&gt;0"),""))),IF(SUMIF(AJ37:$AJ$39,"=" &amp; AJ36,AI37:$AI$39)=0,"",SUMIF(AJ37:$AJ$39,"=" &amp; AJ36,AI37:$AI$39)))</f>
        <v>#N/A</v>
      </c>
      <c r="AJ36" s="87" t="e">
        <f t="shared" si="34"/>
        <v>#N/A</v>
      </c>
      <c r="AK36" s="206" t="str">
        <f t="shared" si="27"/>
        <v/>
      </c>
      <c r="AL36" s="160" t="str">
        <f t="shared" si="28"/>
        <v/>
      </c>
      <c r="AM36" s="160" t="str">
        <f t="shared" si="35"/>
        <v/>
      </c>
      <c r="AN36" s="160" t="str">
        <f t="shared" si="5"/>
        <v/>
      </c>
      <c r="AO36" s="160" t="e">
        <f t="shared" si="6"/>
        <v>#N/A</v>
      </c>
      <c r="AP36" s="206" t="str">
        <f t="shared" si="7"/>
        <v/>
      </c>
      <c r="AQ36" s="157">
        <f t="shared" si="29"/>
        <v>0</v>
      </c>
      <c r="AR36" s="88" t="str">
        <f t="shared" si="8"/>
        <v/>
      </c>
      <c r="AS36" s="89">
        <f t="shared" si="30"/>
        <v>0</v>
      </c>
      <c r="AT36" s="88" t="str">
        <f t="shared" si="9"/>
        <v/>
      </c>
      <c r="AU36" s="158">
        <f t="shared" si="10"/>
        <v>0</v>
      </c>
      <c r="AV36" s="90" t="str">
        <f t="shared" si="11"/>
        <v/>
      </c>
      <c r="AW36" s="158" t="b">
        <f t="shared" si="12"/>
        <v>0</v>
      </c>
      <c r="AX36" s="159" t="b">
        <f t="shared" si="13"/>
        <v>0</v>
      </c>
      <c r="AY36" s="158" t="b">
        <f t="shared" si="14"/>
        <v>0</v>
      </c>
      <c r="AZ36" s="159" t="b">
        <f t="shared" si="15"/>
        <v>0</v>
      </c>
      <c r="BA36" s="206" t="b">
        <f t="shared" si="16"/>
        <v>0</v>
      </c>
      <c r="BB36" s="206" t="b">
        <f t="shared" si="17"/>
        <v>0</v>
      </c>
      <c r="BC36" s="158" t="b">
        <f t="shared" si="18"/>
        <v>0</v>
      </c>
      <c r="BD36" s="160" t="b">
        <f t="shared" si="31"/>
        <v>0</v>
      </c>
      <c r="BE36" s="159" t="b">
        <f t="shared" si="37"/>
        <v>0</v>
      </c>
      <c r="BF36" s="161" t="b">
        <f t="shared" si="39"/>
        <v>0</v>
      </c>
      <c r="BG36" s="206" t="str">
        <f t="shared" si="38"/>
        <v>NA</v>
      </c>
      <c r="BH36" s="206" t="str">
        <f t="shared" si="32"/>
        <v/>
      </c>
      <c r="BI36" s="206" t="str">
        <f t="shared" si="22"/>
        <v/>
      </c>
      <c r="BJ36" s="206" t="str">
        <f t="shared" si="23"/>
        <v/>
      </c>
      <c r="BK36" s="206" t="str">
        <f t="shared" si="24"/>
        <v/>
      </c>
      <c r="BL36" s="162" t="str">
        <f t="shared" si="33"/>
        <v/>
      </c>
      <c r="BM36" s="206" t="str">
        <f t="shared" si="25"/>
        <v/>
      </c>
      <c r="BN36" s="206" t="str">
        <f t="shared" si="26"/>
        <v/>
      </c>
      <c r="BO36" s="1690"/>
      <c r="BP36" s="1691"/>
      <c r="BQ36" s="1691"/>
      <c r="BR36" s="1691"/>
      <c r="BS36" s="1691"/>
      <c r="BT36" s="1691"/>
      <c r="BU36" s="1692"/>
    </row>
    <row r="37" spans="2:73" s="105" customFormat="1" ht="12.95" customHeight="1" x14ac:dyDescent="0.2">
      <c r="B37" s="165" t="str">
        <f>IF(ISNA(Z37),"",IF(OR(Z37=1,Z37=2),"    ",MAX($B$8:B36)+1))</f>
        <v/>
      </c>
      <c r="C37" s="1375" t="str">
        <f>IF(ISNA(Z37),"",CONCATENATE($U37,IF(ISNUMBER(AI37),TEXT(ROUND($AI37,3)," (0.0%)"),""),IF(AU37&gt;0," Bonus","")))</f>
        <v/>
      </c>
      <c r="D37" s="1375"/>
      <c r="E37" s="1375"/>
      <c r="F37" s="1376"/>
      <c r="G37" s="152" t="str">
        <f t="shared" si="1"/>
        <v/>
      </c>
      <c r="H37" s="153" t="str">
        <f t="shared" si="2"/>
        <v/>
      </c>
      <c r="I37" s="166" t="str">
        <f t="shared" si="2"/>
        <v/>
      </c>
      <c r="J37" s="172"/>
      <c r="K37" s="173"/>
      <c r="L37" s="1681"/>
      <c r="M37" s="1682"/>
      <c r="N37" s="1682"/>
      <c r="O37" s="1682"/>
      <c r="P37" s="1682"/>
      <c r="Q37" s="1682"/>
      <c r="R37" s="1683"/>
      <c r="T37" s="119">
        <v>30</v>
      </c>
      <c r="U37" s="110" t="e">
        <v>#N/A</v>
      </c>
      <c r="V37" s="206" t="e">
        <v>#N/A</v>
      </c>
      <c r="W37" s="206" t="e">
        <v>#N/A</v>
      </c>
      <c r="X37" s="206" t="e">
        <v>#N/A</v>
      </c>
      <c r="Y37" s="206" t="e">
        <v>#N/A</v>
      </c>
      <c r="Z37" s="160" t="e">
        <v>#N/A</v>
      </c>
      <c r="AA37" s="160" t="e">
        <v>#N/A</v>
      </c>
      <c r="AB37" s="160" t="e">
        <v>#N/A</v>
      </c>
      <c r="AC37" s="206" t="e">
        <v>#N/A</v>
      </c>
      <c r="AD37" s="206" t="e">
        <v>#N/A</v>
      </c>
      <c r="AE37" s="206" t="e">
        <v>#N/A</v>
      </c>
      <c r="AF37" s="206" t="e">
        <v>#N/A</v>
      </c>
      <c r="AG37" s="206" t="e">
        <f t="shared" si="3"/>
        <v>#N/A</v>
      </c>
      <c r="AH37" s="206" t="str">
        <f t="shared" si="4"/>
        <v/>
      </c>
      <c r="AI37" s="86" t="e">
        <f>IF(NOT(OR(Z37=1,Z37=2)),IF(AQ37&gt;0,$AR$44*AQ37/SUMIF($AQ$8:$AQ$39,"&gt;0"),IF(AU37&gt;0,$AV$44*AU37/SUMIF($AU$8:$AU$39,"&gt;0"),IF(AS37&gt;0,$AT$44*AS37/SUMIF($AS$8:$AS$39,"&gt;0"),""))),IF(SUMIF(AJ38:$AJ$39,"=" &amp; AJ37,AI38:$AI$39)=0,"",SUMIF(AJ38:$AJ$39,"=" &amp; AJ37,AI38:$AI$39)))</f>
        <v>#N/A</v>
      </c>
      <c r="AJ37" s="87" t="e">
        <f t="shared" si="34"/>
        <v>#N/A</v>
      </c>
      <c r="AK37" s="206" t="str">
        <f t="shared" si="27"/>
        <v/>
      </c>
      <c r="AL37" s="160" t="str">
        <f t="shared" si="28"/>
        <v/>
      </c>
      <c r="AM37" s="160" t="str">
        <f t="shared" si="35"/>
        <v/>
      </c>
      <c r="AN37" s="160" t="str">
        <f>IF(ISNUMBER(AH37),IF(AND(AB37=0,ISNUMBER(AC37),ISNUMBER(AL37)),1,""),"")</f>
        <v/>
      </c>
      <c r="AO37" s="160" t="e">
        <f t="shared" si="6"/>
        <v>#N/A</v>
      </c>
      <c r="AP37" s="206" t="str">
        <f t="shared" si="7"/>
        <v/>
      </c>
      <c r="AQ37" s="157">
        <f t="shared" si="29"/>
        <v>0</v>
      </c>
      <c r="AR37" s="88" t="str">
        <f t="shared" si="8"/>
        <v/>
      </c>
      <c r="AS37" s="89">
        <f t="shared" si="30"/>
        <v>0</v>
      </c>
      <c r="AT37" s="88" t="str">
        <f t="shared" si="9"/>
        <v/>
      </c>
      <c r="AU37" s="158">
        <f t="shared" si="10"/>
        <v>0</v>
      </c>
      <c r="AV37" s="90" t="str">
        <f t="shared" si="11"/>
        <v/>
      </c>
      <c r="AW37" s="158" t="b">
        <f t="shared" si="12"/>
        <v>0</v>
      </c>
      <c r="AX37" s="159" t="b">
        <f t="shared" si="13"/>
        <v>0</v>
      </c>
      <c r="AY37" s="158" t="b">
        <f t="shared" si="14"/>
        <v>0</v>
      </c>
      <c r="AZ37" s="159" t="b">
        <f t="shared" si="15"/>
        <v>0</v>
      </c>
      <c r="BA37" s="206" t="b">
        <f t="shared" si="16"/>
        <v>0</v>
      </c>
      <c r="BB37" s="206" t="b">
        <f t="shared" si="17"/>
        <v>0</v>
      </c>
      <c r="BC37" s="158" t="b">
        <f t="shared" si="18"/>
        <v>0</v>
      </c>
      <c r="BD37" s="160" t="b">
        <f t="shared" si="31"/>
        <v>0</v>
      </c>
      <c r="BE37" s="159" t="b">
        <f t="shared" si="37"/>
        <v>0</v>
      </c>
      <c r="BF37" s="161" t="b">
        <f t="shared" si="39"/>
        <v>0</v>
      </c>
      <c r="BG37" s="206" t="str">
        <f t="shared" si="38"/>
        <v>NA</v>
      </c>
      <c r="BH37" s="206" t="str">
        <f t="shared" si="32"/>
        <v/>
      </c>
      <c r="BI37" s="206" t="str">
        <f t="shared" si="22"/>
        <v/>
      </c>
      <c r="BJ37" s="206" t="str">
        <f t="shared" si="23"/>
        <v/>
      </c>
      <c r="BK37" s="206" t="str">
        <f t="shared" si="24"/>
        <v/>
      </c>
      <c r="BL37" s="162" t="str">
        <f t="shared" si="33"/>
        <v/>
      </c>
      <c r="BM37" s="206" t="str">
        <f t="shared" si="25"/>
        <v/>
      </c>
      <c r="BN37" s="206" t="str">
        <f t="shared" si="26"/>
        <v/>
      </c>
      <c r="BO37" s="1693"/>
      <c r="BP37" s="1694"/>
      <c r="BQ37" s="1694"/>
      <c r="BR37" s="1694"/>
      <c r="BS37" s="1694"/>
      <c r="BT37" s="1694"/>
      <c r="BU37" s="1695"/>
    </row>
    <row r="38" spans="2:73" s="105" customFormat="1" ht="12.95" customHeight="1" x14ac:dyDescent="0.2">
      <c r="B38" s="165" t="str">
        <f>IF(ISNA(Z38),"",IF(OR(Z38=1,Z38=2),"    ",MAX($B$8:B37)+1))</f>
        <v/>
      </c>
      <c r="C38" s="1375" t="str">
        <f t="shared" ref="C38:C39" si="40">IF(ISNA(Z38),"",CONCATENATE($U38,IF(ISNUMBER(AI38),TEXT(ROUND($AI38,3)," (0.0%)"),""),IF(AU38&gt;0," Bonus","")))</f>
        <v/>
      </c>
      <c r="D38" s="1375"/>
      <c r="E38" s="1375"/>
      <c r="F38" s="1376"/>
      <c r="G38" s="152" t="str">
        <f t="shared" si="1"/>
        <v/>
      </c>
      <c r="H38" s="153" t="str">
        <f t="shared" si="2"/>
        <v/>
      </c>
      <c r="I38" s="166" t="str">
        <f t="shared" si="2"/>
        <v/>
      </c>
      <c r="J38" s="172"/>
      <c r="K38" s="173"/>
      <c r="L38" s="1681"/>
      <c r="M38" s="1682"/>
      <c r="N38" s="1682"/>
      <c r="O38" s="1682"/>
      <c r="P38" s="1682"/>
      <c r="Q38" s="1682"/>
      <c r="R38" s="1683"/>
      <c r="T38" s="119">
        <v>31</v>
      </c>
      <c r="U38" s="110" t="e">
        <v>#N/A</v>
      </c>
      <c r="V38" s="206" t="e">
        <v>#N/A</v>
      </c>
      <c r="W38" s="206" t="e">
        <v>#N/A</v>
      </c>
      <c r="X38" s="206" t="e">
        <v>#N/A</v>
      </c>
      <c r="Y38" s="206" t="e">
        <v>#N/A</v>
      </c>
      <c r="Z38" s="160" t="e">
        <v>#N/A</v>
      </c>
      <c r="AA38" s="160" t="e">
        <v>#N/A</v>
      </c>
      <c r="AB38" s="160" t="e">
        <v>#N/A</v>
      </c>
      <c r="AC38" s="206" t="e">
        <v>#N/A</v>
      </c>
      <c r="AD38" s="206" t="e">
        <v>#N/A</v>
      </c>
      <c r="AE38" s="206" t="e">
        <v>#N/A</v>
      </c>
      <c r="AF38" s="206" t="e">
        <v>#N/A</v>
      </c>
      <c r="AG38" s="206" t="e">
        <f t="shared" si="3"/>
        <v>#N/A</v>
      </c>
      <c r="AH38" s="206" t="str">
        <f t="shared" si="4"/>
        <v/>
      </c>
      <c r="AI38" s="86" t="e">
        <f>IF(NOT(OR(Z38=1,Z38=2)),IF(AQ38&gt;0,$AR$44*AQ38/SUMIF($AQ$8:$AQ$39,"&gt;0"),IF(AU38&gt;0,$AV$44*AU38/SUMIF($AU$8:$AU$39,"&gt;0"),IF(AS38&gt;0,$AT$44*AS38/SUMIF($AS$8:$AS$39,"&gt;0"),""))),IF(SUMIF(AJ39:$AJ$39,"=" &amp; AJ38,AI39:$AI$39)=0,"",SUMIF(AJ39:$AJ$39,"=" &amp; AJ38,AI39:$AI$39)))</f>
        <v>#N/A</v>
      </c>
      <c r="AJ38" s="87" t="e">
        <f t="shared" si="34"/>
        <v>#N/A</v>
      </c>
      <c r="AK38" s="206" t="str">
        <f t="shared" si="27"/>
        <v/>
      </c>
      <c r="AL38" s="160" t="str">
        <f t="shared" si="28"/>
        <v/>
      </c>
      <c r="AM38" s="160" t="str">
        <f t="shared" si="35"/>
        <v/>
      </c>
      <c r="AN38" s="160" t="str">
        <f>IF(ISNUMBER(AH38),IF(AND(AB38=0,ISNUMBER(AC38),ISNUMBER(AL38)),1,""),"")</f>
        <v/>
      </c>
      <c r="AO38" s="160" t="e">
        <f t="shared" si="6"/>
        <v>#N/A</v>
      </c>
      <c r="AP38" s="206" t="str">
        <f t="shared" si="7"/>
        <v/>
      </c>
      <c r="AQ38" s="157">
        <f t="shared" si="29"/>
        <v>0</v>
      </c>
      <c r="AR38" s="88" t="str">
        <f t="shared" si="8"/>
        <v/>
      </c>
      <c r="AS38" s="89">
        <f t="shared" si="30"/>
        <v>0</v>
      </c>
      <c r="AT38" s="88" t="str">
        <f t="shared" si="9"/>
        <v/>
      </c>
      <c r="AU38" s="158">
        <f t="shared" si="10"/>
        <v>0</v>
      </c>
      <c r="AV38" s="90" t="str">
        <f t="shared" si="11"/>
        <v/>
      </c>
      <c r="AW38" s="158" t="b">
        <f t="shared" si="12"/>
        <v>0</v>
      </c>
      <c r="AX38" s="159" t="b">
        <f t="shared" si="13"/>
        <v>0</v>
      </c>
      <c r="AY38" s="158" t="b">
        <f t="shared" si="14"/>
        <v>0</v>
      </c>
      <c r="AZ38" s="159" t="b">
        <f t="shared" si="15"/>
        <v>0</v>
      </c>
      <c r="BA38" s="206" t="b">
        <f t="shared" si="16"/>
        <v>0</v>
      </c>
      <c r="BB38" s="206" t="b">
        <f t="shared" si="17"/>
        <v>0</v>
      </c>
      <c r="BC38" s="158" t="b">
        <f t="shared" si="18"/>
        <v>0</v>
      </c>
      <c r="BD38" s="160" t="b">
        <f t="shared" si="31"/>
        <v>0</v>
      </c>
      <c r="BE38" s="159" t="b">
        <f t="shared" si="37"/>
        <v>0</v>
      </c>
      <c r="BF38" s="161" t="b">
        <f t="shared" si="39"/>
        <v>0</v>
      </c>
      <c r="BG38" s="206" t="str">
        <f t="shared" si="38"/>
        <v>NA</v>
      </c>
      <c r="BH38" s="206" t="str">
        <f t="shared" si="32"/>
        <v/>
      </c>
      <c r="BI38" s="206" t="str">
        <f t="shared" si="22"/>
        <v/>
      </c>
      <c r="BJ38" s="206" t="str">
        <f t="shared" si="23"/>
        <v/>
      </c>
      <c r="BK38" s="206" t="str">
        <f t="shared" si="24"/>
        <v/>
      </c>
      <c r="BL38" s="162" t="str">
        <f t="shared" si="33"/>
        <v/>
      </c>
      <c r="BM38" s="206" t="str">
        <f t="shared" si="25"/>
        <v/>
      </c>
      <c r="BN38" s="206" t="str">
        <f t="shared" si="26"/>
        <v/>
      </c>
      <c r="BO38" s="164" t="s">
        <v>241</v>
      </c>
      <c r="BP38" s="164"/>
      <c r="BQ38" s="164"/>
      <c r="BR38" s="164"/>
      <c r="BS38" s="164"/>
      <c r="BT38" s="164"/>
      <c r="BU38" s="164"/>
    </row>
    <row r="39" spans="2:73" s="105" customFormat="1" ht="12.95" customHeight="1" thickBot="1" x14ac:dyDescent="0.25">
      <c r="B39" s="165" t="str">
        <f>IF(ISNA(Z39),"",IF(OR(Z39=1,Z39=2),"    ",MAX($B$8:B38)+1))</f>
        <v/>
      </c>
      <c r="C39" s="1375" t="str">
        <f t="shared" si="40"/>
        <v/>
      </c>
      <c r="D39" s="1375"/>
      <c r="E39" s="1375"/>
      <c r="F39" s="1376"/>
      <c r="G39" s="176" t="str">
        <f t="shared" si="1"/>
        <v/>
      </c>
      <c r="H39" s="153" t="str">
        <f t="shared" si="2"/>
        <v/>
      </c>
      <c r="I39" s="177" t="str">
        <f t="shared" si="2"/>
        <v/>
      </c>
      <c r="J39" s="178"/>
      <c r="K39" s="179"/>
      <c r="L39" s="1684"/>
      <c r="M39" s="1685"/>
      <c r="N39" s="1685"/>
      <c r="O39" s="1685"/>
      <c r="P39" s="1685"/>
      <c r="Q39" s="1685"/>
      <c r="R39" s="1686"/>
      <c r="T39" s="119">
        <v>32</v>
      </c>
      <c r="U39" s="110" t="e">
        <v>#N/A</v>
      </c>
      <c r="V39" s="206" t="e">
        <v>#N/A</v>
      </c>
      <c r="W39" s="206" t="e">
        <v>#N/A</v>
      </c>
      <c r="X39" s="206" t="e">
        <v>#N/A</v>
      </c>
      <c r="Y39" s="206" t="e">
        <v>#N/A</v>
      </c>
      <c r="Z39" s="160" t="e">
        <v>#N/A</v>
      </c>
      <c r="AA39" s="160" t="e">
        <v>#N/A</v>
      </c>
      <c r="AB39" s="160" t="e">
        <v>#N/A</v>
      </c>
      <c r="AC39" s="206" t="e">
        <v>#N/A</v>
      </c>
      <c r="AD39" s="206" t="e">
        <v>#N/A</v>
      </c>
      <c r="AE39" s="206" t="e">
        <v>#N/A</v>
      </c>
      <c r="AF39" s="206" t="e">
        <v>#N/A</v>
      </c>
      <c r="AG39" s="206" t="e">
        <f t="shared" si="3"/>
        <v>#N/A</v>
      </c>
      <c r="AH39" s="206" t="str">
        <f t="shared" si="4"/>
        <v/>
      </c>
      <c r="AI39" s="86" t="e">
        <f>IF(NOT(OR(Z39=1,Z39=2)),IF(AQ39&gt;0,$AR$44*AQ39/SUMIF($AQ$8:$AQ$39,"&gt;0"),IF(AU39&gt;0,$AV$44*AU39/SUMIF($AU$8:$AU$39,"&gt;0"),IF(AS39&gt;0,$AT$44*AS39/SUMIF($AS$8:$AS$39,"&gt;0"),""))),IF(SUMIF(AJ$39:$AJ40,"=" &amp; AJ39,AI$39:$AI40)=0,"",SUMIF(AJ$39:$AJ40,"=" &amp; AJ39,AI$39:$AI40)))</f>
        <v>#N/A</v>
      </c>
      <c r="AJ39" s="87" t="e">
        <f t="shared" si="34"/>
        <v>#N/A</v>
      </c>
      <c r="AK39" s="206" t="str">
        <f t="shared" si="27"/>
        <v/>
      </c>
      <c r="AL39" s="160" t="str">
        <f t="shared" si="28"/>
        <v/>
      </c>
      <c r="AM39" s="160" t="str">
        <f t="shared" si="35"/>
        <v/>
      </c>
      <c r="AN39" s="160" t="str">
        <f>IF(ISNUMBER(AH39),IF(AND(AB39=0,ISNUMBER(AC39),ISNUMBER(AL39)),1,""),"")</f>
        <v/>
      </c>
      <c r="AO39" s="160" t="e">
        <f t="shared" si="6"/>
        <v>#N/A</v>
      </c>
      <c r="AP39" s="206" t="str">
        <f t="shared" si="7"/>
        <v/>
      </c>
      <c r="AQ39" s="157">
        <f t="shared" si="29"/>
        <v>0</v>
      </c>
      <c r="AR39" s="88" t="str">
        <f t="shared" si="8"/>
        <v/>
      </c>
      <c r="AS39" s="89">
        <f t="shared" si="30"/>
        <v>0</v>
      </c>
      <c r="AT39" s="88" t="str">
        <f t="shared" si="9"/>
        <v/>
      </c>
      <c r="AU39" s="158">
        <f t="shared" si="10"/>
        <v>0</v>
      </c>
      <c r="AV39" s="90" t="str">
        <f t="shared" si="11"/>
        <v/>
      </c>
      <c r="AW39" s="158" t="b">
        <f t="shared" si="12"/>
        <v>0</v>
      </c>
      <c r="AX39" s="159" t="b">
        <f t="shared" si="13"/>
        <v>0</v>
      </c>
      <c r="AY39" s="158" t="b">
        <f t="shared" si="14"/>
        <v>0</v>
      </c>
      <c r="AZ39" s="159" t="b">
        <f t="shared" si="15"/>
        <v>0</v>
      </c>
      <c r="BA39" s="206" t="b">
        <f t="shared" si="16"/>
        <v>0</v>
      </c>
      <c r="BB39" s="206" t="b">
        <f t="shared" si="17"/>
        <v>0</v>
      </c>
      <c r="BC39" s="158" t="b">
        <f t="shared" si="18"/>
        <v>0</v>
      </c>
      <c r="BD39" s="160" t="b">
        <f t="shared" si="31"/>
        <v>0</v>
      </c>
      <c r="BE39" s="159" t="b">
        <f t="shared" si="37"/>
        <v>0</v>
      </c>
      <c r="BF39" s="161" t="b">
        <f t="shared" si="39"/>
        <v>0</v>
      </c>
      <c r="BG39" s="206" t="str">
        <f t="shared" si="38"/>
        <v>NA</v>
      </c>
      <c r="BH39" s="206" t="str">
        <f t="shared" si="32"/>
        <v/>
      </c>
      <c r="BI39" s="206" t="str">
        <f t="shared" si="22"/>
        <v/>
      </c>
      <c r="BJ39" s="206" t="str">
        <f t="shared" si="23"/>
        <v/>
      </c>
      <c r="BK39" s="206" t="str">
        <f t="shared" si="24"/>
        <v/>
      </c>
      <c r="BL39" s="206" t="str">
        <f t="shared" si="33"/>
        <v/>
      </c>
      <c r="BM39" s="206" t="str">
        <f t="shared" si="25"/>
        <v/>
      </c>
      <c r="BN39" s="206" t="str">
        <f t="shared" si="26"/>
        <v/>
      </c>
      <c r="BO39" s="1687"/>
      <c r="BP39" s="1688"/>
      <c r="BQ39" s="1688"/>
      <c r="BR39" s="1688"/>
      <c r="BS39" s="1688"/>
      <c r="BT39" s="1688"/>
      <c r="BU39" s="1689"/>
    </row>
    <row r="40" spans="2:73" s="112" customFormat="1" ht="8.25" customHeight="1" x14ac:dyDescent="0.2">
      <c r="B40" s="1355" t="s">
        <v>242</v>
      </c>
      <c r="C40" s="1356"/>
      <c r="D40" s="1357"/>
      <c r="E40" s="205" t="s">
        <v>243</v>
      </c>
      <c r="F40" s="1358" t="s">
        <v>244</v>
      </c>
      <c r="G40" s="1359"/>
      <c r="H40" s="1359" t="s">
        <v>245</v>
      </c>
      <c r="I40" s="1359"/>
      <c r="J40" s="1360" t="s">
        <v>246</v>
      </c>
      <c r="K40" s="1361"/>
      <c r="L40" s="180" t="s">
        <v>247</v>
      </c>
      <c r="M40" s="1362" t="s">
        <v>248</v>
      </c>
      <c r="N40" s="1362"/>
      <c r="O40" s="1363" t="str">
        <f>IF(U44,"DO REVIEW","DO REV N/A")</f>
        <v>DO REV N/A</v>
      </c>
      <c r="P40" s="1364"/>
      <c r="Q40" s="181" t="str">
        <f>IF(U45,"ED REVIEW","ED REV N/A")</f>
        <v>ED REV N/A</v>
      </c>
      <c r="R40" s="182"/>
      <c r="S40" s="183">
        <v>0</v>
      </c>
      <c r="AI40" s="184"/>
      <c r="AJ40" s="113"/>
      <c r="AK40" s="113"/>
      <c r="AL40" s="113"/>
      <c r="AM40" s="113"/>
      <c r="AN40" s="113"/>
      <c r="AO40" s="110"/>
      <c r="AP40" s="113"/>
      <c r="AQ40" s="185"/>
      <c r="AR40" s="113"/>
      <c r="AS40" s="185"/>
      <c r="AT40" s="113"/>
      <c r="AU40" s="185"/>
      <c r="AV40" s="186"/>
      <c r="AW40" s="113"/>
      <c r="AX40" s="113"/>
      <c r="AY40" s="113"/>
      <c r="AZ40" s="113"/>
      <c r="BA40" s="113"/>
      <c r="BB40" s="113"/>
      <c r="BC40" s="113"/>
      <c r="BD40" s="113"/>
      <c r="BE40" s="113"/>
      <c r="BF40" s="113"/>
      <c r="BG40" s="113"/>
      <c r="BH40" s="110"/>
      <c r="BI40" s="110"/>
      <c r="BJ40" s="110"/>
      <c r="BK40" s="110"/>
      <c r="BL40" s="110"/>
      <c r="BM40" s="110"/>
      <c r="BN40" s="110"/>
      <c r="BO40" s="1690"/>
      <c r="BP40" s="1691"/>
      <c r="BQ40" s="1691"/>
      <c r="BR40" s="1691"/>
      <c r="BS40" s="1691"/>
      <c r="BT40" s="1691"/>
      <c r="BU40" s="1692"/>
    </row>
    <row r="41" spans="2:73" ht="18.75" customHeight="1" thickBot="1" x14ac:dyDescent="0.25">
      <c r="B41" s="1365" t="str">
        <f>IF(ISERROR(AR46),"",TEXT(AR45,"0.0%"))</f>
        <v>93.2%</v>
      </c>
      <c r="C41" s="1366"/>
      <c r="D41" s="1367"/>
      <c r="E41" s="187" t="str">
        <f>IF(AU41=0,"N/A",CONCATENATE(TEXT(AV45,"0.0%")," of ",TEXT(AV44,"0.0%")))</f>
        <v>N/A</v>
      </c>
      <c r="F41" s="1369" t="str">
        <f>IF((graded_aca_events+graded_amn_events)&lt;1,"---",IF(AND(AW4,AX4),"INCOMPLETE",IF(AND(NOT(AW4),AX4),"ACA INC",IF(AND(AW4,NOT(AX4)),"AMN INC","COMPLETE"))))</f>
        <v>COMPLETE</v>
      </c>
      <c r="G41" s="1369"/>
      <c r="H41" s="1369" t="str">
        <f>IF(AU4,IF(OR(AY4="UNK",NOT(AN6)),"---",IF(AY4,"UNSAT",IF(AVERAGEIFS(AT8:AT39,AS8:AS39,"&gt;0")&lt;0.9,"MARG","SAT"))),"N/A")</f>
        <v>SAT</v>
      </c>
      <c r="I41" s="1369"/>
      <c r="J41" s="1370" t="str">
        <f>IF(OR(AZ4="UNK",NOT(AM6)),"---",IF(OR(AZ4,AR45&lt;0.7),"FAIL","PASS"))</f>
        <v>PASS</v>
      </c>
      <c r="K41" s="1371"/>
      <c r="L41" s="512" t="s">
        <v>684</v>
      </c>
      <c r="M41" s="1372"/>
      <c r="N41" s="1372"/>
      <c r="O41" s="1696" t="s">
        <v>139</v>
      </c>
      <c r="P41" s="1696"/>
      <c r="Q41" s="1696" t="s">
        <v>139</v>
      </c>
      <c r="R41" s="1697"/>
      <c r="S41" s="189"/>
      <c r="T41" s="119" t="s">
        <v>249</v>
      </c>
      <c r="U41" s="160" t="s">
        <v>250</v>
      </c>
      <c r="V41" s="190"/>
      <c r="W41" s="190"/>
      <c r="X41" s="190"/>
      <c r="Y41" s="190"/>
      <c r="Z41" s="190"/>
      <c r="AA41" s="190"/>
      <c r="AB41" s="190"/>
      <c r="AC41" s="190"/>
      <c r="AD41" s="190"/>
      <c r="AE41" s="190"/>
      <c r="AF41" s="190"/>
      <c r="AG41" s="190"/>
      <c r="AH41" s="190"/>
      <c r="AI41" s="109"/>
      <c r="AJ41" s="108"/>
      <c r="AK41" s="190"/>
      <c r="AL41" s="190"/>
      <c r="AM41" s="190">
        <f>SUM(AM8:AM39)</f>
        <v>8</v>
      </c>
      <c r="AN41" s="190">
        <f>SUM(AN8:AN39)</f>
        <v>3</v>
      </c>
      <c r="AO41" s="119"/>
      <c r="AP41" s="108"/>
      <c r="AQ41" s="191">
        <f>SUMIF(AQ8:AQ39,"&gt;0")</f>
        <v>6.5</v>
      </c>
      <c r="AR41" s="192">
        <f>IF(AQ41=0,0,SUMPRODUCT($AQ$8:$AQ$39,AR8:AR39)/SUM($AQ$8:$AQ$39))</f>
        <v>0.9307692307692309</v>
      </c>
      <c r="AS41" s="193">
        <f>SUMIF(AS8:AS39,"&gt;0")</f>
        <v>4</v>
      </c>
      <c r="AT41" s="192">
        <f>IF(AS41=0,0,SUMPRODUCT($AS$8:$AS$39,AT8:AT39)/SUM($AS$8:$AS$39))</f>
        <v>0.95</v>
      </c>
      <c r="AU41" s="193">
        <f>SUM(AU9:AU39)</f>
        <v>0</v>
      </c>
      <c r="AV41" s="192">
        <f>IF(AU41=0,0,SUMPRODUCT($AU$8:$AU$39,AV8:AV39)/SUM($AU$8:$AU$39))</f>
        <v>0</v>
      </c>
      <c r="AW41" s="194"/>
      <c r="AX41" s="194"/>
      <c r="AY41" s="194"/>
      <c r="AZ41" s="194"/>
      <c r="BA41" s="194"/>
      <c r="BB41" s="194"/>
      <c r="BC41" s="110" t="s">
        <v>251</v>
      </c>
      <c r="BD41" s="110" t="s">
        <v>252</v>
      </c>
      <c r="BE41" s="110" t="s">
        <v>253</v>
      </c>
      <c r="BO41" s="1690"/>
      <c r="BP41" s="1691"/>
      <c r="BQ41" s="1691"/>
      <c r="BR41" s="1691"/>
      <c r="BS41" s="1691"/>
      <c r="BT41" s="1691"/>
      <c r="BU41" s="1692"/>
    </row>
    <row r="42" spans="2:73" ht="7.5" customHeight="1" thickTop="1" x14ac:dyDescent="0.2">
      <c r="L42" s="1368" t="s">
        <v>282</v>
      </c>
      <c r="M42" s="1368"/>
      <c r="N42" s="1368"/>
      <c r="O42" s="1368"/>
      <c r="P42" s="1368"/>
      <c r="Q42" s="1368"/>
      <c r="R42" s="1368"/>
      <c r="AP42" s="190"/>
      <c r="AQ42" s="108"/>
      <c r="AR42" s="108"/>
      <c r="AT42" s="192"/>
      <c r="AU42" s="192"/>
      <c r="AV42" s="192"/>
      <c r="AW42" s="108"/>
      <c r="AX42" s="192"/>
      <c r="BO42" s="1693"/>
      <c r="BP42" s="1694"/>
      <c r="BQ42" s="1694"/>
      <c r="BR42" s="1694"/>
      <c r="BS42" s="1694"/>
      <c r="BT42" s="1694"/>
      <c r="BU42" s="1695"/>
    </row>
    <row r="43" spans="2:73" ht="30.75" customHeight="1" x14ac:dyDescent="0.2">
      <c r="T43" s="195" t="s">
        <v>254</v>
      </c>
      <c r="U43" s="160" t="b">
        <v>0</v>
      </c>
      <c r="AI43" s="111">
        <f ca="1">SUMIF(AJ8:$AJ$39,"=" &amp; AJ8,AI9:$AI$39)</f>
        <v>0.05</v>
      </c>
      <c r="AO43" s="196"/>
      <c r="AS43" s="137" t="s">
        <v>255</v>
      </c>
      <c r="AT43" s="197">
        <f>SUMIF(X8:X39,"&gt;0")/SUMIF(W8:W39,"&gt;0")</f>
        <v>0.61538461538461542</v>
      </c>
      <c r="AU43" s="137" t="s">
        <v>256</v>
      </c>
      <c r="AV43" s="100">
        <f>SUMIF(AU8:AU39,"&gt;0")/SUMIF(AQ8:AQ39,"&gt;0")</f>
        <v>0</v>
      </c>
      <c r="AW43" s="198"/>
      <c r="BE43" s="110" t="b">
        <f>AND(ISBLANK($K30),J30&gt;0)</f>
        <v>0</v>
      </c>
      <c r="BO43" s="110"/>
      <c r="BP43" s="110"/>
      <c r="BQ43" s="106"/>
    </row>
    <row r="44" spans="2:73" ht="30.75" customHeight="1" x14ac:dyDescent="0.2">
      <c r="J44" s="199"/>
      <c r="T44" s="200" t="s">
        <v>257</v>
      </c>
      <c r="U44" s="110" t="b">
        <f>IF(AND(Flight?,OR(AW4,AY4,BA4,AZ4,AR45&lt;0.7,H41="MARG")),TRUE,FALSE)</f>
        <v>0</v>
      </c>
      <c r="AO44" s="201"/>
      <c r="AQ44" s="137" t="s">
        <v>258</v>
      </c>
      <c r="AR44" s="197">
        <f>1-AT44</f>
        <v>0.95</v>
      </c>
      <c r="AS44" s="137" t="s">
        <v>259</v>
      </c>
      <c r="AT44" s="197">
        <f>MIN(AT43,AT6)</f>
        <v>0.05</v>
      </c>
      <c r="AU44" s="137" t="s">
        <v>260</v>
      </c>
      <c r="AV44" s="111">
        <f>MIN(AV43,AV6)</f>
        <v>0</v>
      </c>
      <c r="BO44" s="110"/>
      <c r="BP44" s="110"/>
      <c r="BQ44" s="106"/>
    </row>
    <row r="45" spans="2:73" ht="25.5" x14ac:dyDescent="0.2">
      <c r="T45" s="200" t="s">
        <v>261</v>
      </c>
      <c r="U45" s="110" t="b">
        <f>IF(OR(AX4,AY4,AZ4,BB4,AR45&lt;0.7),TRUE,FALSE)</f>
        <v>0</v>
      </c>
      <c r="AO45" s="202"/>
      <c r="AQ45" s="137" t="s">
        <v>262</v>
      </c>
      <c r="AR45" s="111">
        <f>AR41*(1-AT44)+(AT41*AT44)</f>
        <v>0.93173076923076925</v>
      </c>
      <c r="AU45" s="110" t="s">
        <v>196</v>
      </c>
      <c r="AV45" s="111">
        <f>AV41*AV44</f>
        <v>0</v>
      </c>
      <c r="BO45" s="110"/>
      <c r="BP45" s="110"/>
      <c r="BQ45" s="106"/>
    </row>
    <row r="46" spans="2:73" ht="25.5" x14ac:dyDescent="0.2">
      <c r="T46" s="200" t="s">
        <v>263</v>
      </c>
      <c r="U46" s="110" t="b">
        <v>0</v>
      </c>
      <c r="AO46" s="202"/>
      <c r="AQ46" s="137" t="s">
        <v>264</v>
      </c>
      <c r="AR46" s="111">
        <f>MIN(1,IF(NOT(OR(AY4,AZ4)),AR45+AV45,MIN(0.69,AR45+AV45)))</f>
        <v>0.93173076923076925</v>
      </c>
      <c r="BO46" s="110"/>
      <c r="BP46" s="110"/>
      <c r="BQ46" s="106"/>
    </row>
    <row r="47" spans="2:73" x14ac:dyDescent="0.2">
      <c r="T47" s="200" t="s">
        <v>265</v>
      </c>
      <c r="U47" s="110" t="b">
        <f>IF(NOT(Flight?),TRUE,NOT(OR(ISBLANK(comments),ISBLANK(hdr_class),ISBLANK(hdr_date),ISBLANK(hdr_stud),ISBLANK(hdr_instr),ISBLANK(hdr_acft),ISBLANK(hdr_time),F41="---")))</f>
        <v>1</v>
      </c>
      <c r="AO47" s="202"/>
      <c r="AR47" s="137"/>
      <c r="AS47" s="111"/>
    </row>
    <row r="48" spans="2:73" x14ac:dyDescent="0.2">
      <c r="T48" s="200" t="s">
        <v>266</v>
      </c>
      <c r="U48" s="110" t="b">
        <f>IF(Flight?,TRUE,NOT(OR(ISBLANK(comments),ISBLANK(hdr_class),ISBLANK(hdr_date),ISBLANK(hdr_stud),ISBLANK(hdr_instr),F41="---")))</f>
        <v>1</v>
      </c>
      <c r="AO48" s="201"/>
      <c r="AP48" s="108" t="s">
        <v>267</v>
      </c>
      <c r="AQ48" s="108"/>
      <c r="AR48" s="108"/>
      <c r="AS48" s="108"/>
      <c r="AT48" s="108"/>
    </row>
    <row r="49" spans="20:56" x14ac:dyDescent="0.2">
      <c r="T49" s="200" t="s">
        <v>268</v>
      </c>
      <c r="U49" s="110" t="b">
        <f>AND(U47:U48)</f>
        <v>1</v>
      </c>
      <c r="AO49" s="201"/>
      <c r="AP49" s="108"/>
      <c r="AQ49" s="108"/>
      <c r="AR49" s="108">
        <v>0</v>
      </c>
      <c r="AS49" s="108">
        <v>1</v>
      </c>
      <c r="AT49" s="108">
        <v>2</v>
      </c>
      <c r="AU49" s="108">
        <v>3</v>
      </c>
      <c r="AV49" s="108">
        <v>4</v>
      </c>
    </row>
    <row r="50" spans="20:56" x14ac:dyDescent="0.2">
      <c r="AO50" s="201"/>
      <c r="AP50" s="108" t="s">
        <v>227</v>
      </c>
      <c r="AQ50" s="108">
        <v>1</v>
      </c>
      <c r="AR50" s="203">
        <v>0.7</v>
      </c>
      <c r="AS50" s="203">
        <v>0.9</v>
      </c>
      <c r="AT50" s="203">
        <v>0.93330000000000002</v>
      </c>
      <c r="AU50" s="203">
        <v>0.9667</v>
      </c>
      <c r="AV50" s="203">
        <v>1</v>
      </c>
    </row>
    <row r="51" spans="20:56" x14ac:dyDescent="0.2">
      <c r="AO51" s="201"/>
      <c r="AP51" s="108" t="s">
        <v>228</v>
      </c>
      <c r="AQ51" s="108">
        <v>2</v>
      </c>
      <c r="AR51" s="203">
        <v>0.7</v>
      </c>
      <c r="AS51" s="203">
        <v>0.8</v>
      </c>
      <c r="AT51" s="203">
        <v>0.9</v>
      </c>
      <c r="AU51" s="203">
        <v>0.95</v>
      </c>
      <c r="AV51" s="203">
        <v>1</v>
      </c>
    </row>
    <row r="52" spans="20:56" x14ac:dyDescent="0.2">
      <c r="AO52" s="201"/>
      <c r="AP52" s="108" t="s">
        <v>229</v>
      </c>
      <c r="AQ52" s="108">
        <v>3</v>
      </c>
      <c r="AR52" s="203">
        <v>0.7</v>
      </c>
      <c r="AS52" s="203">
        <v>0.76670000000000005</v>
      </c>
      <c r="AT52" s="203">
        <v>0.83330000000000004</v>
      </c>
      <c r="AU52" s="203">
        <v>0.9</v>
      </c>
      <c r="AV52" s="203">
        <v>1</v>
      </c>
    </row>
    <row r="53" spans="20:56" x14ac:dyDescent="0.2">
      <c r="AP53" s="204" t="s">
        <v>230</v>
      </c>
      <c r="AQ53" s="108">
        <v>11</v>
      </c>
      <c r="AR53" s="203">
        <v>0.6</v>
      </c>
      <c r="AS53" s="203">
        <v>0.9</v>
      </c>
      <c r="AT53" s="203">
        <v>0.93330000000000002</v>
      </c>
      <c r="AU53" s="203">
        <v>0.9667</v>
      </c>
      <c r="AV53" s="203">
        <v>1</v>
      </c>
    </row>
    <row r="54" spans="20:56" x14ac:dyDescent="0.2">
      <c r="AP54" s="204" t="s">
        <v>231</v>
      </c>
      <c r="AQ54" s="108">
        <v>12</v>
      </c>
      <c r="AR54" s="203">
        <v>0.6</v>
      </c>
      <c r="AS54" s="203">
        <v>0.7</v>
      </c>
      <c r="AT54" s="203">
        <v>0.9</v>
      </c>
      <c r="AU54" s="203">
        <v>0.95</v>
      </c>
      <c r="AV54" s="203">
        <v>1</v>
      </c>
    </row>
    <row r="55" spans="20:56" x14ac:dyDescent="0.2">
      <c r="AP55" s="204" t="s">
        <v>232</v>
      </c>
      <c r="AQ55" s="108">
        <v>13</v>
      </c>
      <c r="AR55" s="203">
        <v>0.6</v>
      </c>
      <c r="AS55" s="203">
        <v>0.7</v>
      </c>
      <c r="AT55" s="203">
        <v>0.8</v>
      </c>
      <c r="AU55" s="203">
        <v>0.9</v>
      </c>
      <c r="AV55" s="203">
        <v>1</v>
      </c>
    </row>
    <row r="56" spans="20:56" x14ac:dyDescent="0.2">
      <c r="AP56" s="204" t="s">
        <v>233</v>
      </c>
      <c r="AQ56" s="108">
        <v>22</v>
      </c>
      <c r="AR56" s="203">
        <v>0.3</v>
      </c>
      <c r="AS56" s="203">
        <v>0.6</v>
      </c>
      <c r="AT56" s="203">
        <v>0.9</v>
      </c>
      <c r="AU56" s="203">
        <v>0.95</v>
      </c>
      <c r="AV56" s="203">
        <v>1</v>
      </c>
    </row>
    <row r="57" spans="20:56" x14ac:dyDescent="0.2">
      <c r="AP57" s="204" t="s">
        <v>234</v>
      </c>
      <c r="AQ57" s="108">
        <v>23</v>
      </c>
      <c r="AR57" s="203">
        <v>0.3</v>
      </c>
      <c r="AS57" s="203">
        <v>0.6</v>
      </c>
      <c r="AT57" s="203">
        <v>0.7</v>
      </c>
      <c r="AU57" s="203">
        <v>0.9</v>
      </c>
      <c r="AV57" s="203">
        <v>1</v>
      </c>
    </row>
    <row r="58" spans="20:56" x14ac:dyDescent="0.2">
      <c r="AP58" s="204" t="s">
        <v>235</v>
      </c>
      <c r="AQ58" s="108">
        <v>33</v>
      </c>
      <c r="AR58" s="203">
        <v>0</v>
      </c>
      <c r="AS58" s="203">
        <v>0.3</v>
      </c>
      <c r="AT58" s="203">
        <v>0.6</v>
      </c>
      <c r="AU58" s="203">
        <v>0.9</v>
      </c>
      <c r="AV58" s="203">
        <v>1</v>
      </c>
      <c r="AW58" s="83"/>
      <c r="AX58" s="84"/>
      <c r="BC58" s="84"/>
      <c r="BD58" s="84"/>
    </row>
    <row r="59" spans="20:56" x14ac:dyDescent="0.2">
      <c r="AW59" s="84"/>
      <c r="AX59" s="84"/>
      <c r="BC59" s="84"/>
      <c r="BD59" s="84"/>
    </row>
    <row r="60" spans="20:56" x14ac:dyDescent="0.2">
      <c r="AP60" s="84"/>
      <c r="AQ60" s="83"/>
      <c r="AR60" s="84"/>
      <c r="AS60" s="84"/>
      <c r="AT60" s="84"/>
      <c r="AU60" s="84"/>
      <c r="AV60" s="84"/>
      <c r="AW60" s="83"/>
      <c r="AX60" s="83"/>
      <c r="BC60" s="84"/>
      <c r="BD60" s="84"/>
    </row>
    <row r="61" spans="20:56" x14ac:dyDescent="0.2">
      <c r="AP61" s="101"/>
      <c r="AQ61" s="83"/>
      <c r="AR61" s="84"/>
      <c r="AS61" s="84"/>
      <c r="AT61" s="84"/>
      <c r="AU61" s="84"/>
      <c r="AV61" s="84"/>
      <c r="AW61" s="83"/>
      <c r="AX61" s="83"/>
      <c r="BC61" s="84"/>
      <c r="BD61" s="84"/>
    </row>
    <row r="62" spans="20:56" x14ac:dyDescent="0.2">
      <c r="AP62" s="83"/>
      <c r="AQ62" s="83"/>
      <c r="AR62" s="84"/>
      <c r="AS62" s="84"/>
      <c r="AT62" s="84"/>
      <c r="AU62" s="84"/>
      <c r="AV62" s="84"/>
      <c r="AW62" s="83"/>
      <c r="AX62" s="83"/>
      <c r="BC62" s="84"/>
      <c r="BD62" s="84"/>
    </row>
    <row r="63" spans="20:56" x14ac:dyDescent="0.2">
      <c r="AP63" s="83"/>
      <c r="AQ63" s="83"/>
      <c r="AR63" s="84"/>
      <c r="AS63" s="84"/>
      <c r="AT63" s="84"/>
      <c r="AU63" s="84"/>
      <c r="AV63" s="84"/>
      <c r="AW63" s="83"/>
      <c r="AX63" s="84"/>
      <c r="BC63" s="84"/>
      <c r="BD63" s="84"/>
    </row>
    <row r="64" spans="20:56" x14ac:dyDescent="0.2">
      <c r="AP64" s="83"/>
      <c r="AQ64" s="83"/>
      <c r="AR64" s="84"/>
      <c r="AS64" s="84"/>
      <c r="AT64" s="84"/>
      <c r="AU64" s="84"/>
      <c r="AV64" s="84"/>
      <c r="AW64" s="83"/>
      <c r="AX64" s="84"/>
      <c r="BC64" s="84"/>
      <c r="BD64" s="84"/>
    </row>
    <row r="65" spans="42:48" x14ac:dyDescent="0.2">
      <c r="AP65" s="83"/>
      <c r="AQ65" s="83"/>
      <c r="AR65" s="84"/>
      <c r="AS65" s="84"/>
      <c r="AT65" s="84"/>
      <c r="AU65" s="84"/>
      <c r="AV65" s="84"/>
    </row>
    <row r="66" spans="42:48" x14ac:dyDescent="0.2">
      <c r="AP66" s="83"/>
      <c r="AQ66" s="83"/>
      <c r="AR66" s="84"/>
      <c r="AS66" s="84"/>
      <c r="AT66" s="84"/>
      <c r="AU66" s="84"/>
      <c r="AV66" s="84"/>
    </row>
  </sheetData>
  <sheetProtection algorithmName="SHA-512" hashValue="7sGyo3uioIfAYVVThB1C9e6s8j2MLzOeMMsC36fFWX3MkMI1Z60ywwDahvi6Hu3Nz7JpANs0N3n4zOp0/3Uq0w==" saltValue="SKT571rGnhWsNfi9AyCxEQ==" spinCount="100000" sheet="1" objects="1" scenario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C13:F13"/>
    <mergeCell ref="C14:F14"/>
    <mergeCell ref="C15:F15"/>
    <mergeCell ref="C16:F16"/>
    <mergeCell ref="C31:F31"/>
    <mergeCell ref="C18:F18"/>
    <mergeCell ref="C19:F19"/>
    <mergeCell ref="C30:F30"/>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s>
  <conditionalFormatting sqref="B8:F39">
    <cfRule type="expression" dxfId="169" priority="8" stopIfTrue="1">
      <formula>IF($Z8=1,TRUE,FALSE)</formula>
    </cfRule>
    <cfRule type="expression" dxfId="168" priority="9">
      <formula>IF($Z8=2,TRUE,FALSE)</formula>
    </cfRule>
  </conditionalFormatting>
  <conditionalFormatting sqref="C8:F39">
    <cfRule type="expression" dxfId="167" priority="1" stopIfTrue="1">
      <formula>IF($AF8=FALSE,TRUE,FALSE)</formula>
    </cfRule>
  </conditionalFormatting>
  <conditionalFormatting sqref="F5:G6 M5:P6">
    <cfRule type="expression" dxfId="166" priority="4" stopIfTrue="1">
      <formula>NOT($AU$4)</formula>
    </cfRule>
  </conditionalFormatting>
  <conditionalFormatting sqref="F6:G6">
    <cfRule type="cellIs" dxfId="165" priority="3" operator="equal">
      <formula>""</formula>
    </cfRule>
  </conditionalFormatting>
  <conditionalFormatting sqref="G8:K39">
    <cfRule type="expression" dxfId="164" priority="6" stopIfTrue="1">
      <formula>IF($Z8=1,TRUE,FALSE)</formula>
    </cfRule>
    <cfRule type="expression" dxfId="163" priority="7" stopIfTrue="1">
      <formula>IF($Z8=2,TRUE,FALSE)</formula>
    </cfRule>
  </conditionalFormatting>
  <conditionalFormatting sqref="H8:H39">
    <cfRule type="expression" dxfId="162" priority="10" stopIfTrue="1">
      <formula>IF($AB8=0,TRUE,FALSE)</formula>
    </cfRule>
  </conditionalFormatting>
  <conditionalFormatting sqref="H40:I41">
    <cfRule type="expression" dxfId="161" priority="2" stopIfTrue="1">
      <formula>IF($H$41="N/A",TRUE,FALSE)</formula>
    </cfRule>
  </conditionalFormatting>
  <conditionalFormatting sqref="H6:P6 O4:R4 B6 L8 L41 O41:R41">
    <cfRule type="containsBlanks" dxfId="160" priority="5">
      <formula>LEN(TRIM(B4))=0</formula>
    </cfRule>
  </conditionalFormatting>
  <conditionalFormatting sqref="J8:J39">
    <cfRule type="expression" dxfId="159" priority="14">
      <formula>IF($Z8=1,FALSE,OR($BE8,$BD8))</formula>
    </cfRule>
  </conditionalFormatting>
  <conditionalFormatting sqref="J8:K39 C8:F39">
    <cfRule type="expression" dxfId="158" priority="13">
      <formula>IF($Z8=1,FALSE,OR($AW8,$AX8,$AY8,$AZ8))</formula>
    </cfRule>
  </conditionalFormatting>
  <conditionalFormatting sqref="J8:K39">
    <cfRule type="expression" dxfId="157" priority="11" stopIfTrue="1">
      <formula>IF(ISNA($Z8),TRUE,FALSE)</formula>
    </cfRule>
  </conditionalFormatting>
  <conditionalFormatting sqref="K8:K39">
    <cfRule type="expression" dxfId="156" priority="12">
      <formula>IF(OR($Z8=1,$Z8=2),FALSE,OR($BC8,$BE8,$BF8))</formula>
    </cfRule>
  </conditionalFormatting>
  <dataValidations count="6">
    <dataValidation type="list" allowBlank="1" showInputMessage="1" showErrorMessage="1" sqref="F6:G6" xr:uid="{EBC532DA-9752-47A6-B6FD-BFD6C78C25CD}">
      <formula1>"No,Yes"</formula1>
    </dataValidation>
    <dataValidation type="list" allowBlank="1" showInputMessage="1" showErrorMessage="1" sqref="J8:J39" xr:uid="{BEC45859-E082-44D5-B87D-E8BF66D4E5D6}">
      <formula1>"NA,0,1,2,3,4,5,6,7,8,9,10,11,12,13,14,15"</formula1>
    </dataValidation>
    <dataValidation type="list" allowBlank="1" showInputMessage="1" showErrorMessage="1" sqref="K8:K39" xr:uid="{BF2BBC40-C740-4677-A0FA-3EC610333AF0}">
      <formula1>"D,0,1,2,3,4"</formula1>
    </dataValidation>
    <dataValidation showInputMessage="1" showErrorMessage="1" sqref="O41:R41" xr:uid="{B28E7BFB-171D-4881-A29F-A57FCFDE8A34}"/>
    <dataValidation type="decimal" allowBlank="1" showInputMessage="1" showErrorMessage="1" sqref="O6:P6" xr:uid="{35BAD3DC-1C09-4949-AF1E-5568C4036084}">
      <formula1>0</formula1>
      <formula2>10</formula2>
    </dataValidation>
    <dataValidation type="date" allowBlank="1" showInputMessage="1" showErrorMessage="1" sqref="Q4:R4" xr:uid="{D0F103C2-9962-44DA-8751-2173E6205D91}">
      <formula1>41151</formula1>
      <formula2>77433</formula2>
    </dataValidation>
  </dataValidations>
  <hyperlinks>
    <hyperlink ref="BP3" location="PF!A1" display="PF phase Summary Page" xr:uid="{3E4B0380-A19F-4A85-9185-C11B0FB26B39}"/>
    <hyperlink ref="BP3:BU4" location="TF!A1" display="TF Summary Page" xr:uid="{9B045EF8-BE03-442B-8DDE-91DE1CC364DE}"/>
  </hyperlinks>
  <pageMargins left="0.5" right="0.5" top="0.75" bottom="0.5" header="0.5" footer="0.5"/>
  <pageSetup orientation="landscape" verticalDpi="599" r:id="rId1"/>
  <headerFooter alignWithMargins="0"/>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45ED3-D158-4E10-91C0-D6AD79D3D7BB}">
  <sheetPr codeName="Sheet46">
    <tabColor rgb="FFFFFF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103" customWidth="1"/>
    <col min="2" max="2" width="3.5703125" style="103" customWidth="1"/>
    <col min="3" max="3" width="5.5703125" style="103" customWidth="1"/>
    <col min="4" max="4" width="9.140625" style="103" customWidth="1"/>
    <col min="5" max="5" width="14" style="103" customWidth="1"/>
    <col min="6" max="6" width="7.85546875" style="103" customWidth="1"/>
    <col min="7" max="11" width="5.140625" style="103" customWidth="1"/>
    <col min="12" max="12" width="21.5703125" style="103" customWidth="1"/>
    <col min="13" max="13" width="6.5703125" style="103" customWidth="1"/>
    <col min="14" max="14" width="12.5703125" style="103" customWidth="1"/>
    <col min="15" max="15" width="7.85546875" style="103" customWidth="1"/>
    <col min="16" max="16" width="2.7109375" style="103" customWidth="1"/>
    <col min="17" max="17" width="4.85546875" style="103" customWidth="1"/>
    <col min="18" max="18" width="7.28515625" style="103" customWidth="1"/>
    <col min="19" max="19" width="1.7109375" style="103" customWidth="1"/>
    <col min="20" max="20" width="19.140625" style="110" hidden="1" customWidth="1"/>
    <col min="21" max="21" width="31.140625" style="110" hidden="1" customWidth="1"/>
    <col min="22" max="22" width="5.140625" style="110" hidden="1" customWidth="1"/>
    <col min="23" max="24" width="6.28515625" style="110" hidden="1" customWidth="1"/>
    <col min="25" max="25" width="8.42578125" style="110" hidden="1" customWidth="1"/>
    <col min="26" max="26" width="7.85546875" style="110" hidden="1" customWidth="1"/>
    <col min="27" max="27" width="10.7109375" style="110" hidden="1" customWidth="1"/>
    <col min="28" max="28" width="8" style="110" hidden="1" customWidth="1"/>
    <col min="29" max="31" width="5.140625" style="110" hidden="1" customWidth="1"/>
    <col min="32" max="34" width="5.85546875" style="110" hidden="1" customWidth="1"/>
    <col min="35" max="35" width="8.5703125" style="111" hidden="1" customWidth="1"/>
    <col min="36" max="36" width="7" style="110" hidden="1" customWidth="1"/>
    <col min="37" max="38" width="5.28515625" style="110" hidden="1" customWidth="1"/>
    <col min="39" max="40" width="7" style="110" hidden="1" customWidth="1"/>
    <col min="41" max="41" width="5.140625" style="110" hidden="1" customWidth="1"/>
    <col min="42" max="42" width="11.28515625" style="110" hidden="1" customWidth="1"/>
    <col min="43" max="43" width="6.42578125" style="110" hidden="1" customWidth="1"/>
    <col min="44" max="44" width="8.28515625" style="110" hidden="1" customWidth="1"/>
    <col min="45" max="45" width="8.85546875" style="110" hidden="1" customWidth="1"/>
    <col min="46" max="46" width="10.7109375" style="110" hidden="1" customWidth="1"/>
    <col min="47" max="47" width="8.85546875" style="110" hidden="1" customWidth="1"/>
    <col min="48" max="48" width="6.28515625" style="110" hidden="1" customWidth="1"/>
    <col min="49" max="49" width="10" style="110" hidden="1" customWidth="1"/>
    <col min="50" max="50" width="7.5703125" style="110" hidden="1" customWidth="1"/>
    <col min="51" max="51" width="7" style="110" hidden="1" customWidth="1"/>
    <col min="52" max="52" width="8.140625" style="110" hidden="1" customWidth="1"/>
    <col min="53" max="53" width="12.5703125" style="110" hidden="1" customWidth="1"/>
    <col min="54" max="54" width="7.7109375" style="110" hidden="1" customWidth="1"/>
    <col min="55" max="55" width="12.7109375" style="110" hidden="1" customWidth="1"/>
    <col min="56" max="56" width="7" style="110" hidden="1" customWidth="1"/>
    <col min="57" max="57" width="15.5703125" style="110" hidden="1" customWidth="1"/>
    <col min="58" max="58" width="9.140625" style="110" hidden="1" customWidth="1"/>
    <col min="59" max="59" width="10" style="110" hidden="1" customWidth="1"/>
    <col min="60" max="60" width="5.28515625" style="110" hidden="1" customWidth="1"/>
    <col min="61" max="61" width="4" style="110" hidden="1" customWidth="1"/>
    <col min="62" max="62" width="4.7109375" style="110" hidden="1" customWidth="1"/>
    <col min="63" max="63" width="5.5703125" style="110" hidden="1" customWidth="1"/>
    <col min="64" max="64" width="5.28515625" style="110" hidden="1" customWidth="1"/>
    <col min="65" max="65" width="4" style="110" hidden="1" customWidth="1"/>
    <col min="66" max="66" width="5.5703125" style="110" hidden="1" customWidth="1"/>
    <col min="67" max="67" width="5.140625" style="106" customWidth="1"/>
    <col min="68" max="73" width="5.140625" style="103" customWidth="1"/>
    <col min="74" max="16384" width="9.140625" style="103"/>
  </cols>
  <sheetData>
    <row r="1" spans="2:73" s="107" customFormat="1" ht="12" hidden="1" x14ac:dyDescent="0.2">
      <c r="T1" s="108"/>
      <c r="U1" s="108"/>
      <c r="V1" s="108"/>
      <c r="W1" s="108"/>
      <c r="X1" s="108"/>
      <c r="Y1" s="108"/>
      <c r="Z1" s="108"/>
      <c r="AA1" s="108"/>
      <c r="AB1" s="108"/>
      <c r="AC1" s="108"/>
      <c r="AD1" s="108"/>
      <c r="AE1" s="108"/>
      <c r="AF1" s="108"/>
      <c r="AG1" s="108"/>
      <c r="AH1" s="108"/>
      <c r="AI1" s="109"/>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row>
    <row r="2" spans="2:73" ht="13.5" thickBot="1" x14ac:dyDescent="0.25"/>
    <row r="3" spans="2:73" ht="13.5" customHeight="1" thickTop="1" x14ac:dyDescent="0.2">
      <c r="B3" s="1421" t="s">
        <v>141</v>
      </c>
      <c r="C3" s="1422"/>
      <c r="D3" s="1422"/>
      <c r="E3" s="1422"/>
      <c r="F3" s="1422"/>
      <c r="G3" s="1423"/>
      <c r="H3" s="1424" t="s">
        <v>440</v>
      </c>
      <c r="I3" s="1425"/>
      <c r="J3" s="1425"/>
      <c r="K3" s="1425"/>
      <c r="L3" s="1425"/>
      <c r="M3" s="1425"/>
      <c r="N3" s="1426"/>
      <c r="O3" s="1427" t="s">
        <v>142</v>
      </c>
      <c r="P3" s="1428"/>
      <c r="Q3" s="1427" t="s">
        <v>143</v>
      </c>
      <c r="R3" s="1429"/>
      <c r="S3" s="112"/>
      <c r="T3" s="113"/>
      <c r="U3" s="113"/>
      <c r="V3" s="113"/>
      <c r="W3" s="113"/>
      <c r="X3" s="113"/>
      <c r="Y3" s="113"/>
      <c r="Z3" s="113"/>
      <c r="AA3" s="113"/>
      <c r="AB3" s="113"/>
      <c r="AC3" s="113"/>
      <c r="AD3" s="113"/>
      <c r="AE3" s="113"/>
      <c r="AF3" s="113"/>
      <c r="AG3" s="113"/>
      <c r="AH3" s="113"/>
      <c r="AI3" s="114"/>
      <c r="AJ3" s="113"/>
      <c r="AK3" s="113"/>
      <c r="AL3" s="113"/>
      <c r="AM3" s="113"/>
      <c r="AN3" s="113"/>
      <c r="AO3" s="113"/>
      <c r="AP3" s="113"/>
      <c r="AQ3" s="108"/>
      <c r="AR3" s="108"/>
      <c r="AW3" s="110" t="s">
        <v>144</v>
      </c>
      <c r="AX3" s="110" t="s">
        <v>145</v>
      </c>
      <c r="AY3" s="110" t="s">
        <v>146</v>
      </c>
      <c r="AZ3" s="110" t="s">
        <v>147</v>
      </c>
      <c r="BA3" s="110" t="s">
        <v>148</v>
      </c>
      <c r="BB3" s="110" t="s">
        <v>149</v>
      </c>
      <c r="BP3" s="1652" t="s">
        <v>313</v>
      </c>
      <c r="BQ3" s="1652"/>
      <c r="BR3" s="1652"/>
      <c r="BS3" s="1652"/>
      <c r="BT3" s="1652"/>
      <c r="BU3" s="1652"/>
    </row>
    <row r="4" spans="2:73" s="105" customFormat="1" ht="15.75" customHeight="1" x14ac:dyDescent="0.2">
      <c r="B4" s="1431" t="s">
        <v>283</v>
      </c>
      <c r="C4" s="1432"/>
      <c r="D4" s="1432"/>
      <c r="E4" s="1432"/>
      <c r="F4" s="1432"/>
      <c r="G4" s="1433"/>
      <c r="H4" s="1434" t="s">
        <v>316</v>
      </c>
      <c r="I4" s="1435"/>
      <c r="J4" s="1435"/>
      <c r="K4" s="1435"/>
      <c r="L4" s="1435"/>
      <c r="M4" s="1435"/>
      <c r="N4" s="1436"/>
      <c r="O4" s="1437"/>
      <c r="P4" s="1438"/>
      <c r="Q4" s="1439"/>
      <c r="R4" s="1440"/>
      <c r="S4" s="115"/>
      <c r="T4" s="116"/>
      <c r="U4" s="116"/>
      <c r="V4" s="116"/>
      <c r="W4" s="116"/>
      <c r="X4" s="116"/>
      <c r="Y4" s="116"/>
      <c r="Z4" s="116"/>
      <c r="AA4" s="116"/>
      <c r="AB4" s="116"/>
      <c r="AC4" s="116"/>
      <c r="AD4" s="116"/>
      <c r="AE4" s="116"/>
      <c r="AF4" s="116"/>
      <c r="AG4" s="116"/>
      <c r="AH4" s="116"/>
      <c r="AI4" s="117"/>
      <c r="AJ4" s="116"/>
      <c r="AK4" s="116"/>
      <c r="AL4" s="116"/>
      <c r="AM4" s="116"/>
      <c r="AN4" s="116"/>
      <c r="AO4" s="116"/>
      <c r="AP4" s="116"/>
      <c r="AQ4" s="118"/>
      <c r="AR4" s="118"/>
      <c r="AS4" s="119"/>
      <c r="AT4" s="120" t="s">
        <v>151</v>
      </c>
      <c r="AU4" s="121" t="b">
        <v>1</v>
      </c>
      <c r="AV4" s="119">
        <v>5</v>
      </c>
      <c r="AW4" s="119" t="b">
        <f>IF(ISERR(OR(AW8:AW39)),"UNK",IF(AND(graded_aca_events&gt;=1,input_test),FALSE,OR(AW8:AW39)))</f>
        <v>1</v>
      </c>
      <c r="AX4" s="119" t="b">
        <f>IF(ISERR(OR(AX8:AX39)),"UNK",IF(AND(graded_aca_events&gt;=1,input_test),FALSE,OR(AX8:AX39)))</f>
        <v>1</v>
      </c>
      <c r="AY4" s="119" t="b">
        <f>IF(ISERR(OR(AY8:AY39)),"UNK",OR(AY8:AY39))</f>
        <v>0</v>
      </c>
      <c r="AZ4" s="119" t="b">
        <f>IF(ISERR(OR(AZ8:AZ39)),"UNK",OR(AZ8:AZ39))</f>
        <v>0</v>
      </c>
      <c r="BA4" s="119" t="b">
        <f>IF(ISERR(OR(BA8:BA39)),"UNK",OR(BA8:BA39))</f>
        <v>0</v>
      </c>
      <c r="BB4" s="119" t="b">
        <f>IF(ISERR(OR(BB8:BB39)),"UNK",OR(BB8:BB39))</f>
        <v>0</v>
      </c>
      <c r="BC4" s="122" t="b">
        <f>OR(BC8:BC39)</f>
        <v>0</v>
      </c>
      <c r="BD4" s="122" t="b">
        <f>OR(BD8:BD39)</f>
        <v>0</v>
      </c>
      <c r="BE4" s="122" t="b">
        <f>OR(BE8:BE39)</f>
        <v>0</v>
      </c>
      <c r="BF4" s="122"/>
      <c r="BG4" s="119"/>
      <c r="BH4" s="1441" t="s">
        <v>152</v>
      </c>
      <c r="BI4" s="1441"/>
      <c r="BJ4" s="1441"/>
      <c r="BK4" s="1441"/>
      <c r="BL4" s="1393" t="s">
        <v>153</v>
      </c>
      <c r="BM4" s="1393"/>
      <c r="BN4" s="1393"/>
      <c r="BO4" s="106"/>
      <c r="BP4" s="1652"/>
      <c r="BQ4" s="1652"/>
      <c r="BR4" s="1652"/>
      <c r="BS4" s="1652"/>
      <c r="BT4" s="1652"/>
      <c r="BU4" s="1652"/>
    </row>
    <row r="5" spans="2:73" s="112" customFormat="1" ht="7.5" customHeight="1" x14ac:dyDescent="0.25">
      <c r="B5" s="1394" t="s">
        <v>154</v>
      </c>
      <c r="C5" s="1395"/>
      <c r="D5" s="1395"/>
      <c r="E5" s="1396"/>
      <c r="F5" s="1397" t="s">
        <v>155</v>
      </c>
      <c r="G5" s="1396"/>
      <c r="H5" s="1397" t="s">
        <v>156</v>
      </c>
      <c r="I5" s="1395"/>
      <c r="J5" s="1395"/>
      <c r="K5" s="1395"/>
      <c r="L5" s="1396"/>
      <c r="M5" s="1398" t="s">
        <v>157</v>
      </c>
      <c r="N5" s="1399"/>
      <c r="O5" s="1400" t="s">
        <v>158</v>
      </c>
      <c r="P5" s="1401"/>
      <c r="Q5" s="1397" t="str">
        <f>IF(AU41=0,"GRADE","GRADE (inc. bonus)")</f>
        <v>GRADE</v>
      </c>
      <c r="R5" s="1402"/>
      <c r="T5" s="113"/>
      <c r="U5" s="113"/>
      <c r="V5" s="113"/>
      <c r="W5" s="113"/>
      <c r="X5" s="113"/>
      <c r="Y5" s="113"/>
      <c r="Z5" s="113"/>
      <c r="AA5" s="113"/>
      <c r="AB5" s="113"/>
      <c r="AC5" s="113"/>
      <c r="AD5" s="113"/>
      <c r="AE5" s="113"/>
      <c r="AF5" s="113"/>
      <c r="AG5" s="113"/>
      <c r="AH5" s="113"/>
      <c r="AI5" s="114"/>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441"/>
      <c r="BI5" s="1441"/>
      <c r="BJ5" s="1441"/>
      <c r="BK5" s="1441"/>
      <c r="BL5" s="1393"/>
      <c r="BM5" s="1393"/>
      <c r="BN5" s="1393"/>
      <c r="BO5" s="123"/>
    </row>
    <row r="6" spans="2:73" s="105" customFormat="1" ht="15.75" customHeight="1" thickBot="1" x14ac:dyDescent="0.25">
      <c r="B6" s="1403"/>
      <c r="C6" s="1404"/>
      <c r="D6" s="1404"/>
      <c r="E6" s="1405"/>
      <c r="F6" s="1406" t="s">
        <v>270</v>
      </c>
      <c r="G6" s="1407"/>
      <c r="H6" s="1408"/>
      <c r="I6" s="1409"/>
      <c r="J6" s="1409"/>
      <c r="K6" s="1409"/>
      <c r="L6" s="1407"/>
      <c r="M6" s="1410" t="s">
        <v>284</v>
      </c>
      <c r="N6" s="1411"/>
      <c r="O6" s="1412"/>
      <c r="P6" s="1413"/>
      <c r="Q6" s="1414" t="str">
        <f>IF((graded_aca_events+graded_amn_events)&lt;1,"0",IF(ISERROR(AR46),"",IF(F41&lt;&gt;"COMPLETE","INCOMPLETE",AR46)))</f>
        <v>0</v>
      </c>
      <c r="R6" s="1415"/>
      <c r="S6" s="103"/>
      <c r="T6" s="119"/>
      <c r="U6" s="119">
        <v>2</v>
      </c>
      <c r="V6" s="119">
        <v>3</v>
      </c>
      <c r="W6" s="119">
        <v>6</v>
      </c>
      <c r="X6" s="119">
        <v>7</v>
      </c>
      <c r="Y6" s="119">
        <v>11</v>
      </c>
      <c r="Z6" s="119">
        <v>8</v>
      </c>
      <c r="AA6" s="119">
        <v>9</v>
      </c>
      <c r="AB6" s="119">
        <v>10</v>
      </c>
      <c r="AC6" s="119">
        <v>5</v>
      </c>
      <c r="AD6" s="119">
        <v>4</v>
      </c>
      <c r="AE6" s="119">
        <v>12</v>
      </c>
      <c r="AF6" s="119">
        <v>13</v>
      </c>
      <c r="AG6" s="119"/>
      <c r="AH6" s="119"/>
      <c r="AI6" s="124"/>
      <c r="AJ6" s="125"/>
      <c r="AK6" s="125"/>
      <c r="AL6" s="125"/>
      <c r="AM6" s="125" t="b">
        <f>IF(COUNT(AM8:AM39)&gt;0,TRUE,FALSE)</f>
        <v>0</v>
      </c>
      <c r="AN6" s="125" t="b">
        <f>IF(COUNT(AN8:AN39)&gt;0,TRUE,FALSE)</f>
        <v>0</v>
      </c>
      <c r="AO6" s="119"/>
      <c r="AP6" s="119"/>
      <c r="AQ6" s="118"/>
      <c r="AR6" s="118"/>
      <c r="AS6" s="119"/>
      <c r="AT6" s="85">
        <v>0.05</v>
      </c>
      <c r="AU6" s="119"/>
      <c r="AV6" s="126">
        <f>0.01*input_maxb</f>
        <v>0.05</v>
      </c>
      <c r="AW6" s="127" t="s">
        <v>159</v>
      </c>
      <c r="AX6" s="128"/>
      <c r="AY6" s="127" t="s">
        <v>160</v>
      </c>
      <c r="AZ6" s="128"/>
      <c r="BA6" s="129" t="s">
        <v>161</v>
      </c>
      <c r="BB6" s="129"/>
      <c r="BC6" s="127" t="s">
        <v>162</v>
      </c>
      <c r="BD6" s="129"/>
      <c r="BE6" s="130"/>
      <c r="BF6" s="131"/>
      <c r="BG6" s="119" t="s">
        <v>163</v>
      </c>
      <c r="BH6" s="1441"/>
      <c r="BI6" s="1441"/>
      <c r="BJ6" s="1441"/>
      <c r="BK6" s="1441"/>
      <c r="BL6" s="1393"/>
      <c r="BM6" s="1393"/>
      <c r="BN6" s="1393"/>
      <c r="BO6" s="106"/>
    </row>
    <row r="7" spans="2:73" ht="27" customHeight="1" thickBot="1" x14ac:dyDescent="0.25">
      <c r="B7" s="1416" t="s">
        <v>164</v>
      </c>
      <c r="C7" s="1417"/>
      <c r="D7" s="1417"/>
      <c r="E7" s="1417"/>
      <c r="F7" s="1418"/>
      <c r="G7" s="132" t="s">
        <v>165</v>
      </c>
      <c r="H7" s="133" t="s">
        <v>166</v>
      </c>
      <c r="I7" s="134" t="s">
        <v>167</v>
      </c>
      <c r="J7" s="135" t="s">
        <v>168</v>
      </c>
      <c r="K7" s="136" t="s">
        <v>169</v>
      </c>
      <c r="L7" s="1419" t="s">
        <v>170</v>
      </c>
      <c r="M7" s="1417"/>
      <c r="N7" s="1417"/>
      <c r="O7" s="1417"/>
      <c r="P7" s="1417"/>
      <c r="Q7" s="1417"/>
      <c r="R7" s="1420"/>
      <c r="T7" s="137" t="s">
        <v>171</v>
      </c>
      <c r="U7" s="137"/>
      <c r="V7" s="137" t="s">
        <v>172</v>
      </c>
      <c r="W7" s="137" t="s">
        <v>173</v>
      </c>
      <c r="X7" s="137" t="s">
        <v>174</v>
      </c>
      <c r="Y7" s="137" t="s">
        <v>175</v>
      </c>
      <c r="Z7" s="137" t="s">
        <v>176</v>
      </c>
      <c r="AA7" s="137" t="s">
        <v>177</v>
      </c>
      <c r="AB7" s="137" t="s">
        <v>178</v>
      </c>
      <c r="AC7" s="137" t="s">
        <v>179</v>
      </c>
      <c r="AD7" s="137" t="s">
        <v>180</v>
      </c>
      <c r="AE7" s="137" t="s">
        <v>181</v>
      </c>
      <c r="AF7" s="137" t="s">
        <v>182</v>
      </c>
      <c r="AG7" s="137" t="s">
        <v>183</v>
      </c>
      <c r="AH7" s="137" t="s">
        <v>184</v>
      </c>
      <c r="AI7" s="138" t="s">
        <v>185</v>
      </c>
      <c r="AJ7" s="139" t="s">
        <v>186</v>
      </c>
      <c r="AK7" s="140" t="s">
        <v>187</v>
      </c>
      <c r="AL7" s="140" t="s">
        <v>188</v>
      </c>
      <c r="AM7" s="140" t="s">
        <v>189</v>
      </c>
      <c r="AN7" s="140" t="s">
        <v>190</v>
      </c>
      <c r="AO7" s="139" t="s">
        <v>191</v>
      </c>
      <c r="AP7" s="139" t="s">
        <v>192</v>
      </c>
      <c r="AQ7" s="141" t="s">
        <v>193</v>
      </c>
      <c r="AR7" s="142" t="s">
        <v>1</v>
      </c>
      <c r="AS7" s="141" t="s">
        <v>194</v>
      </c>
      <c r="AT7" s="142" t="s">
        <v>1</v>
      </c>
      <c r="AU7" s="141" t="s">
        <v>195</v>
      </c>
      <c r="AV7" s="143" t="s">
        <v>196</v>
      </c>
      <c r="AW7" s="144" t="s">
        <v>197</v>
      </c>
      <c r="AX7" s="145" t="s">
        <v>198</v>
      </c>
      <c r="AY7" s="144" t="s">
        <v>199</v>
      </c>
      <c r="AZ7" s="145" t="s">
        <v>200</v>
      </c>
      <c r="BA7" s="146" t="s">
        <v>201</v>
      </c>
      <c r="BB7" s="146" t="s">
        <v>202</v>
      </c>
      <c r="BC7" s="147" t="s">
        <v>203</v>
      </c>
      <c r="BD7" s="148" t="s">
        <v>204</v>
      </c>
      <c r="BE7" s="149" t="s">
        <v>205</v>
      </c>
      <c r="BF7" s="150" t="s">
        <v>206</v>
      </c>
      <c r="BH7" s="110" t="s">
        <v>207</v>
      </c>
      <c r="BI7" s="110" t="s">
        <v>208</v>
      </c>
      <c r="BJ7" s="137" t="s">
        <v>209</v>
      </c>
      <c r="BK7" s="110" t="s">
        <v>210</v>
      </c>
      <c r="BL7" s="110" t="s">
        <v>207</v>
      </c>
      <c r="BM7" s="110" t="s">
        <v>208</v>
      </c>
      <c r="BN7" s="110" t="s">
        <v>210</v>
      </c>
    </row>
    <row r="8" spans="2:73" ht="12.95" customHeight="1" x14ac:dyDescent="0.2">
      <c r="B8" s="151" t="str">
        <f>IF(ISNA(Z8),"",IF(OR(Z8=1,Z8=2),"",1))</f>
        <v/>
      </c>
      <c r="C8" s="1391" t="str">
        <f t="shared" ref="C8:C36" si="0">IF(ISNA(Z8),"",CONCATENATE($U8,IF(ISNUMBER(AI8),TEXT(ROUND($AI8,3)," (0.0%)"),""),IF(AU8&gt;0," Bonus","")))</f>
        <v>Airmanship Tasks (5.0%)</v>
      </c>
      <c r="D8" s="1391"/>
      <c r="E8" s="1391"/>
      <c r="F8" s="1392"/>
      <c r="G8" s="152" t="str">
        <f t="shared" ref="G8:G39" si="1">BH8</f>
        <v/>
      </c>
      <c r="H8" s="153" t="str">
        <f t="shared" ref="H8:I39" si="2">BJ8</f>
        <v/>
      </c>
      <c r="I8" s="154" t="str">
        <f t="shared" si="2"/>
        <v/>
      </c>
      <c r="J8" s="155"/>
      <c r="K8" s="156"/>
      <c r="L8" s="1072"/>
      <c r="M8" s="1073"/>
      <c r="N8" s="1073"/>
      <c r="O8" s="1073"/>
      <c r="P8" s="1073"/>
      <c r="Q8" s="1073"/>
      <c r="R8" s="1074"/>
      <c r="T8" s="110">
        <v>1</v>
      </c>
      <c r="U8" s="110" t="s">
        <v>211</v>
      </c>
      <c r="V8" s="206" t="s">
        <v>212</v>
      </c>
      <c r="W8" s="206" t="s">
        <v>212</v>
      </c>
      <c r="X8" s="206" t="s">
        <v>212</v>
      </c>
      <c r="Y8" s="206" t="s">
        <v>212</v>
      </c>
      <c r="Z8" s="206">
        <v>1</v>
      </c>
      <c r="AA8" s="206">
        <v>0</v>
      </c>
      <c r="AB8" s="206">
        <v>1</v>
      </c>
      <c r="AC8" s="206" t="s">
        <v>212</v>
      </c>
      <c r="AD8" s="206" t="s">
        <v>212</v>
      </c>
      <c r="AE8" s="206">
        <v>0</v>
      </c>
      <c r="AF8" s="206" t="s">
        <v>212</v>
      </c>
      <c r="AG8" s="206" t="str">
        <f t="shared" ref="AG8:AG39" si="3">IF(CrewSoloQual="Yes",$AC8,$AD8)</f>
        <v/>
      </c>
      <c r="AH8" s="206" t="str">
        <f t="shared" ref="AH8:AH39" si="4">IF(ISNUMBER(AC8),IF(CrewSoloQual="Yes",$AC8-1,$AD8-1),"")</f>
        <v/>
      </c>
      <c r="AI8" s="86">
        <f>IF(NOT(OR(Z8=1,Z8=2)),IF(AQ8&gt;0,$AR$44*AQ8/SUMIF($AQ$8:$AQ$39,"&gt;0"),IF(AU8&gt;0,$AV$44*AU8/SUMIF($AU$8:$AU$39,"&gt;0"),IF(AS8&gt;0,$AT$44*AS8/SUMIF($AS$8:$AS$39,"&gt;0"),""))),IF(SUMIF(AJ9:$AJ$39,"=" &amp; AJ8,AI9:$AI$39)=0,"",SUMIF(AJ9:$AJ$39,"=" &amp; AJ8,AI9:$AI$39)))</f>
        <v>0.05</v>
      </c>
      <c r="AJ8" s="87">
        <f>0</f>
        <v>0</v>
      </c>
      <c r="AK8" s="206" t="str">
        <f>BI8</f>
        <v/>
      </c>
      <c r="AL8" s="206" t="str">
        <f>IF(ISBLANK(K8),"",K8)</f>
        <v/>
      </c>
      <c r="AM8" s="206" t="str">
        <f>IF(ISNUMBER(AK8),IF(ISNUMBER(AL8),1,""),"")</f>
        <v/>
      </c>
      <c r="AN8" s="206" t="str">
        <f t="shared" ref="AN8:AN36" si="5">IF(ISNUMBER(AH8),IF(AND(AB8=0,ISNUMBER(AC8),ISNUMBER(AL8)),1,""),"")</f>
        <v/>
      </c>
      <c r="AO8" s="206" t="str">
        <f t="shared" ref="AO8:AO39" si="6">IF(AB8=0,IF(CrewSoloQual="No",BI8,BK8),"")</f>
        <v/>
      </c>
      <c r="AP8" s="206" t="str">
        <f t="shared" ref="AP8:AP39" si="7">IF(ISNA(Z8),"",IF(AND(ISNUMBER(B8),G8&gt;=1,H8&lt;&gt;"NG"),IF(K8&lt;BK8,TRUE,FALSE),IF(AND(G8&gt;=1,J8="NA"),TRUE,IF(AND(AM8=1,G8=0,AL8&lt;BI8),TRUE,""))))</f>
        <v/>
      </c>
      <c r="AQ8" s="157">
        <f>IF(ISNA(Z8),0,IF(OR(J8="NA",W8="",AB8=0),0,W8))</f>
        <v>0</v>
      </c>
      <c r="AR8" s="88" t="str">
        <f t="shared" ref="AR8:AR39" si="8">IF(ISNA(Z8),"",IF(AND(NOT(OR(Z8=1,Z8=2,AK8="NG",AB8=0)),IF(ISNUMBER(AL8),AL8&gt;=0,FALSE)),VLOOKUP((10*AD8+AC8),$AQ$50:$AV$58,2+AL8,FALSE),IF(AND(input_test=TRUE,ISNUMBER(AD8),V8&lt;&gt;0),VLOOKUP((10*AD8+AC8),$AQ$50:$AV$58,2,FALSE),"")))</f>
        <v/>
      </c>
      <c r="AS8" s="89">
        <f>IF(ISNA(Z8),0,IF(OR(J8="NA",X8="",AB8=1),0,X8))</f>
        <v>0</v>
      </c>
      <c r="AT8" s="88" t="str">
        <f t="shared" ref="AT8:AT39" si="9">IF(ISNA(Z8),"",IF(AND(NOT(OR(Z8=1,Z8=2,AK8="NG",AB8=1)),IF(ISNUMBER(AL8),AL8&gt;=0,FALSE)),VLOOKUP((10*AH8+AG8),$AQ$50:$AV$58,2+AL8,FALSE),IF(AND(input_test=TRUE,ISNUMBER(AD8),V8&lt;&gt;0),VLOOKUP((10*AH8+AG8),$AQ$50:$AV$58,2,FALSE),"")))</f>
        <v/>
      </c>
      <c r="AU8" s="158">
        <f t="shared" ref="AU8:AU39" si="10">IF(ISNA(Z8),0,IF(OR(J8="NA",Y8=""),0,Y8))</f>
        <v>0</v>
      </c>
      <c r="AV8" s="90" t="str">
        <f t="shared" ref="AV8:AV39" si="11">AR8</f>
        <v/>
      </c>
      <c r="AW8" s="158" t="b">
        <f t="shared" ref="AW8:AW39" si="12">IF(ISNA(Z8),FALSE,IF(OR(AB8=1,G8=0,Z8=1,Z8=2),FALSE,IF(OR(J8="NA",J8&gt;=G8),FALSE,TRUE)))</f>
        <v>0</v>
      </c>
      <c r="AX8" s="159" t="b">
        <f t="shared" ref="AX8:AX39" si="13">IF(ISNA(Z8),FALSE,IF(OR(AB8=0,G8=0,Z8=1,Z8=2,J8="NA"),FALSE,IF(AK8="NG",IF(NOT(ISBLANK(K8)),FALSE,TRUE),IF(J8&gt;=G8,FALSE,TRUE))))</f>
        <v>0</v>
      </c>
      <c r="AY8" s="158" t="b">
        <f t="shared" ref="AY8:AY39" si="14">IF(ISNA(Z8),FALSE,IF(OR(AB8=1,G8&lt;1,Z8=1,Z8=2,AE8=0,ISBLANK(K8)),FALSE,IF(OR(J8="NA",K8&gt;=BI8),FALSE,TRUE)))</f>
        <v>0</v>
      </c>
      <c r="AZ8" s="159" t="b">
        <f t="shared" ref="AZ8:AZ39" si="15">IF(ISNA(Z8),FALSE,IF(OR(AB8=0,G8=0,Z8=1,Z8=2,AE8=0,BI8="NG",K8="",ISBLANK(K8)),FALSE,IF(OR(J8="NA",K8&gt;=AK8),FALSE,TRUE)))</f>
        <v>0</v>
      </c>
      <c r="BA8" s="206" t="b">
        <f t="shared" ref="BA8:BA39" si="16">IF(ISNA(Z8),FALSE,IF(OR(AB8=1,G8&lt;1,Z8=1,Z8=2,AE8=0),FALSE,IF(J8="NA",TRUE,FALSE)))</f>
        <v>0</v>
      </c>
      <c r="BB8" s="206" t="b">
        <f t="shared" ref="BB8:BB39" si="17">IF(ISNA(Z8),FALSE,IF(OR(AB8=0,G8=0,Z8=1,Z8=2),FALSE,IF(J8="NA",TRUE,FALSE)))</f>
        <v>0</v>
      </c>
      <c r="BC8" s="158" t="b">
        <f t="shared" ref="BC8:BC39" si="18">IF(OR(ISNA($Z8),ISNUMBER($Z8),NOT(ISNUMBER($J8)),K8="D"),FALSE,IF(AND(NOT(ISNUMBER($K8)),J8&gt;0),TRUE,FALSE))</f>
        <v>0</v>
      </c>
      <c r="BD8" s="160" t="b">
        <f>IF(OR(ISNA($Z8),ISNUMBER($Z8),NOT(ISNUMBER(K8))),FALSE,OR(NOT(ISNUMBER(J8)),J8=0,AND(J8=0,K8&lt;&gt;0)))</f>
        <v>0</v>
      </c>
      <c r="BE8" s="159" t="b">
        <f t="shared" ref="BE8:BE21" si="19">IF(OR(ISNA($Z8),K8&lt;&gt;"D"),FALSE,IF(OR(AND(H8="NG",J8=0),AND(H8&lt;&gt;"NG",NOT(OR(J8="NA",J8=0)))),TRUE,FALSE))</f>
        <v>0</v>
      </c>
      <c r="BF8" s="161" t="b">
        <f t="shared" ref="BF8:BF30" si="20">IF(OR(ISNA($Z8),H8&lt;&gt;"NG"),FALSE,IF(AND(J8="NA",K8&lt;&gt;""),TRUE,FALSE))</f>
        <v>0</v>
      </c>
      <c r="BG8" s="206" t="b">
        <f t="shared" ref="BG8:BG21" si="21">IF(ISNA($Z8),"NA",IF(OR(AZ8,AY8,AX8,AW8,AP8,BA8,BB8),TRUE,FALSE))</f>
        <v>0</v>
      </c>
      <c r="BH8" s="162" t="str">
        <f>IF(ISNA($Z8),"",IF(OR($Z8=1,$Z8=2),"",$V8))</f>
        <v/>
      </c>
      <c r="BI8" s="206" t="str">
        <f t="shared" ref="BI8:BI39" si="22">IF(ISNA($Z8),"",IF(OR($Z8=1,$Z8=2,$G8=""),"",IF(AB8=0,AH8,$AD8)))</f>
        <v/>
      </c>
      <c r="BJ8" s="206" t="str">
        <f t="shared" ref="BJ8:BJ39" si="23">IF(ISNA(AE8),"",IF(OR(Z8=1,Z8=2),"",IF(OR(AE8=0,AD8="NG"),TEXT(BI8,"0"),CONCATENATE(TEXT(BI8,"0"),"*"))))</f>
        <v/>
      </c>
      <c r="BK8" s="206" t="str">
        <f t="shared" ref="BK8:BK39" si="24">IF(ISNA($Z8),"",IF(OR($Z8=1,$Z8=2,$G8=""),"",IF(AB8=0,AG8,$AC8)))</f>
        <v/>
      </c>
      <c r="BL8" s="162" t="str">
        <f>IF(ISBLANK(BH8),"",IF(BH8=0,"",BH8))</f>
        <v/>
      </c>
      <c r="BM8" s="206" t="str">
        <f t="shared" ref="BM8:BM39" si="25">IF($BH8=0,"",IF($BI8="NG","D",$BI8))</f>
        <v/>
      </c>
      <c r="BN8" s="206" t="str">
        <f t="shared" ref="BN8:BN39" si="26">IF(ISNA(U8),"",IF($BH8=0,"",IF($BI8="NG","D",BK8)))</f>
        <v/>
      </c>
      <c r="BO8" s="163" t="s">
        <v>213</v>
      </c>
      <c r="BP8" s="164"/>
    </row>
    <row r="9" spans="2:73" s="105" customFormat="1" ht="12.95" customHeight="1" x14ac:dyDescent="0.2">
      <c r="B9" s="165">
        <f>IF(ISNA(Z9),"",IF(OR(Z9=1,Z9=2),"    ",MAX($B$8:B8)+1))</f>
        <v>1</v>
      </c>
      <c r="C9" s="1375" t="str">
        <f t="shared" si="0"/>
        <v>Basic CR Knowledge/Operations  (1.3%)</v>
      </c>
      <c r="D9" s="1375"/>
      <c r="E9" s="1375"/>
      <c r="F9" s="1376"/>
      <c r="G9" s="152">
        <f t="shared" si="1"/>
        <v>1</v>
      </c>
      <c r="H9" s="153" t="str">
        <f t="shared" si="2"/>
        <v>1*</v>
      </c>
      <c r="I9" s="166">
        <f t="shared" si="2"/>
        <v>2</v>
      </c>
      <c r="J9" s="167"/>
      <c r="K9" s="168"/>
      <c r="L9" s="1075"/>
      <c r="M9" s="1076"/>
      <c r="N9" s="1076"/>
      <c r="O9" s="1076"/>
      <c r="P9" s="1076"/>
      <c r="Q9" s="1076"/>
      <c r="R9" s="1077"/>
      <c r="T9" s="119">
        <v>2</v>
      </c>
      <c r="U9" s="110" t="s">
        <v>285</v>
      </c>
      <c r="V9" s="206">
        <v>1</v>
      </c>
      <c r="W9" s="206" t="s">
        <v>212</v>
      </c>
      <c r="X9" s="206">
        <v>1</v>
      </c>
      <c r="Y9" s="206" t="s">
        <v>212</v>
      </c>
      <c r="Z9" s="160" t="s">
        <v>212</v>
      </c>
      <c r="AA9" s="160">
        <v>1</v>
      </c>
      <c r="AB9" s="160">
        <v>0</v>
      </c>
      <c r="AC9" s="206">
        <v>2</v>
      </c>
      <c r="AD9" s="206">
        <v>2</v>
      </c>
      <c r="AE9" s="206">
        <v>1</v>
      </c>
      <c r="AF9" s="206" t="b">
        <v>1</v>
      </c>
      <c r="AG9" s="206">
        <f t="shared" si="3"/>
        <v>2</v>
      </c>
      <c r="AH9" s="206">
        <f t="shared" si="4"/>
        <v>1</v>
      </c>
      <c r="AI9" s="86">
        <f>IF(NOT(OR(Z9=1,Z9=2)),IF(AQ9&gt;0,$AR$44*AQ9/SUMIF($AQ$8:$AQ$39,"&gt;0"),IF(AU9&gt;0,$AV$44*AU9/SUMIF($AU$8:$AU$39,"&gt;0"),IF(AS9&gt;0,$AT$44*AS9/SUMIF($AS$8:$AS$39,"&gt;0"),""))),IF(SUMIF(AJ10:$AJ$39,"=" &amp; AJ9,AI10:$AI$39)=0,"",SUMIF(AJ10:$AJ$39,"=" &amp; AJ9,AI10:$AI$39)))</f>
        <v>1.2500000000000001E-2</v>
      </c>
      <c r="AJ9" s="87">
        <f>IF(OR(Z9=1,Z9=2,AA9&lt;AA8),AJ8+1,AJ8)</f>
        <v>0</v>
      </c>
      <c r="AK9" s="206">
        <f t="shared" ref="AK9:AK39" si="27">BI9</f>
        <v>1</v>
      </c>
      <c r="AL9" s="160" t="str">
        <f t="shared" ref="AL9:AL39" si="28">IF(ISBLANK(K9),"",K9)</f>
        <v/>
      </c>
      <c r="AM9" s="160" t="str">
        <f>IF(ISNUMBER(AK9),IF(ISNUMBER(AL9),1,""),"")</f>
        <v/>
      </c>
      <c r="AN9" s="160" t="str">
        <f t="shared" si="5"/>
        <v/>
      </c>
      <c r="AO9" s="160">
        <f t="shared" si="6"/>
        <v>1</v>
      </c>
      <c r="AP9" s="206" t="b">
        <f>IF(ISNA(Z9),"",IF(AND(ISNUMBER(B9),G9&gt;=1,H9&lt;&gt;"NG"),IF(K9&lt;BK9,TRUE,FALSE),IF(AND(G9&gt;=1,J9="NA"),TRUE,IF(AND(AM9=1,G9=0,AL9&lt;BI9),TRUE,""))))</f>
        <v>1</v>
      </c>
      <c r="AQ9" s="157">
        <f t="shared" ref="AQ9:AQ39" si="29">IF(ISNA(Z9),0,IF(OR(J9="NA",W9="",AB9=0),0,W9))</f>
        <v>0</v>
      </c>
      <c r="AR9" s="88" t="str">
        <f>IF(ISNA(Z9),"",IF(AND(NOT(OR(Z9=1,Z9=2,AK9="NG",AB9=0)),IF(ISNUMBER(AL9),AL9&gt;=0,FALSE)),VLOOKUP((10*AD9+AC9),$AQ$50:$AV$58,2+AL9,FALSE),IF(AND(input_test=TRUE,ISNUMBER(AD9),V9&lt;&gt;0),VLOOKUP((10*AD9+AC9),$AQ$50:$AV$58,2,FALSE),"")))</f>
        <v/>
      </c>
      <c r="AS9" s="89">
        <f t="shared" ref="AS9:AS39" si="30">IF(ISNA(Z9),0,IF(OR(J9="NA",X9="",AB9=1),0,X9))</f>
        <v>1</v>
      </c>
      <c r="AT9" s="88" t="str">
        <f>IF(ISNA(Z9),"",IF(AND(NOT(OR(Z9=1,Z9=2,AK9="NG",AB9=1)),IF(ISNUMBER(AL9),AL9&gt;=0,FALSE)),VLOOKUP((10*AH9+AG9),$AQ$50:$AV$58,2+AL9,FALSE),IF(AND(input_test=TRUE,ISNUMBER(AD9),V9&lt;&gt;0),VLOOKUP((10*AH9+AG9),$AQ$50:$AV$58,2,FALSE),"")))</f>
        <v/>
      </c>
      <c r="AU9" s="158">
        <f t="shared" si="10"/>
        <v>0</v>
      </c>
      <c r="AV9" s="90" t="str">
        <f t="shared" si="11"/>
        <v/>
      </c>
      <c r="AW9" s="158" t="b">
        <f t="shared" si="12"/>
        <v>1</v>
      </c>
      <c r="AX9" s="159" t="b">
        <f t="shared" si="13"/>
        <v>0</v>
      </c>
      <c r="AY9" s="158" t="b">
        <f t="shared" si="14"/>
        <v>0</v>
      </c>
      <c r="AZ9" s="159" t="b">
        <f t="shared" si="15"/>
        <v>0</v>
      </c>
      <c r="BA9" s="206" t="b">
        <f t="shared" si="16"/>
        <v>0</v>
      </c>
      <c r="BB9" s="206" t="b">
        <f t="shared" si="17"/>
        <v>0</v>
      </c>
      <c r="BC9" s="158" t="b">
        <f t="shared" si="18"/>
        <v>0</v>
      </c>
      <c r="BD9" s="160" t="b">
        <f t="shared" ref="BD9:BD39" si="31">IF(OR(ISNA($Z9),ISNUMBER($Z9),NOT(ISNUMBER(K9))),FALSE,OR(NOT(ISNUMBER(J9)),J9=0,AND(J9=0,K9&lt;&gt;0)))</f>
        <v>0</v>
      </c>
      <c r="BE9" s="159" t="b">
        <f t="shared" si="19"/>
        <v>0</v>
      </c>
      <c r="BF9" s="161" t="b">
        <f t="shared" si="20"/>
        <v>0</v>
      </c>
      <c r="BG9" s="206" t="b">
        <f t="shared" si="21"/>
        <v>1</v>
      </c>
      <c r="BH9" s="206">
        <f t="shared" ref="BH9:BH39" si="32">IF(ISNA($Z9),"",IF(OR($Z9=1,$Z9=2),"",$V9))</f>
        <v>1</v>
      </c>
      <c r="BI9" s="206">
        <f t="shared" si="22"/>
        <v>1</v>
      </c>
      <c r="BJ9" s="206" t="str">
        <f t="shared" si="23"/>
        <v>1*</v>
      </c>
      <c r="BK9" s="206">
        <f t="shared" si="24"/>
        <v>2</v>
      </c>
      <c r="BL9" s="162">
        <f t="shared" ref="BL9:BL39" si="33">IF(ISBLANK(BH9),"",IF(BH9=0,"",BH9))</f>
        <v>1</v>
      </c>
      <c r="BM9" s="206">
        <f t="shared" si="25"/>
        <v>1</v>
      </c>
      <c r="BN9" s="206">
        <f t="shared" si="26"/>
        <v>2</v>
      </c>
      <c r="BO9" s="169" t="s">
        <v>214</v>
      </c>
      <c r="BP9" s="170" t="s">
        <v>215</v>
      </c>
    </row>
    <row r="10" spans="2:73" s="105" customFormat="1" ht="12.95" customHeight="1" x14ac:dyDescent="0.2">
      <c r="B10" s="165">
        <f>IF(ISNA(Z10),"",IF(OR(Z10=1,Z10=2),"    ",MAX($B$8:B9)+1))</f>
        <v>2</v>
      </c>
      <c r="C10" s="1375" t="str">
        <f t="shared" si="0"/>
        <v>Basic Comm/Airspace Mechanics (1.3%)</v>
      </c>
      <c r="D10" s="1375"/>
      <c r="E10" s="1375"/>
      <c r="F10" s="1376"/>
      <c r="G10" s="152">
        <f t="shared" si="1"/>
        <v>1</v>
      </c>
      <c r="H10" s="153" t="str">
        <f t="shared" si="2"/>
        <v>1*</v>
      </c>
      <c r="I10" s="166">
        <f t="shared" si="2"/>
        <v>2</v>
      </c>
      <c r="J10" s="171"/>
      <c r="K10" s="168"/>
      <c r="L10" s="1075"/>
      <c r="M10" s="1076"/>
      <c r="N10" s="1076"/>
      <c r="O10" s="1076"/>
      <c r="P10" s="1076"/>
      <c r="Q10" s="1076"/>
      <c r="R10" s="1077"/>
      <c r="T10" s="119">
        <v>3</v>
      </c>
      <c r="U10" s="110" t="s">
        <v>272</v>
      </c>
      <c r="V10" s="206">
        <v>1</v>
      </c>
      <c r="W10" s="206" t="s">
        <v>212</v>
      </c>
      <c r="X10" s="206">
        <v>1</v>
      </c>
      <c r="Y10" s="206" t="s">
        <v>212</v>
      </c>
      <c r="Z10" s="160" t="s">
        <v>212</v>
      </c>
      <c r="AA10" s="160">
        <v>1</v>
      </c>
      <c r="AB10" s="160">
        <v>0</v>
      </c>
      <c r="AC10" s="206">
        <v>2</v>
      </c>
      <c r="AD10" s="206">
        <v>2</v>
      </c>
      <c r="AE10" s="206">
        <v>1</v>
      </c>
      <c r="AF10" s="206" t="b">
        <v>1</v>
      </c>
      <c r="AG10" s="206">
        <f t="shared" si="3"/>
        <v>2</v>
      </c>
      <c r="AH10" s="206">
        <f t="shared" si="4"/>
        <v>1</v>
      </c>
      <c r="AI10" s="86">
        <f>IF(NOT(OR(Z10=1,Z10=2)),IF(AQ10&gt;0,$AR$44*AQ10/SUMIF($AQ$8:$AQ$39,"&gt;0"),IF(AU10&gt;0,$AV$44*AU10/SUMIF($AU$8:$AU$39,"&gt;0"),IF(AS10&gt;0,$AT$44*AS10/SUMIF($AS$8:$AS$39,"&gt;0"),""))),IF(SUMIF(AJ11:$AJ$39,"=" &amp; AJ10,AI11:$AI$39)=0,"",SUMIF(AJ11:$AJ$39,"=" &amp; AJ10,AI11:$AI$39)))</f>
        <v>1.2500000000000001E-2</v>
      </c>
      <c r="AJ10" s="87">
        <f t="shared" ref="AJ10:AJ39" si="34">IF(OR(Z10=1,Z10=2,AA10&lt;AA9),AJ9+1,AJ9)</f>
        <v>0</v>
      </c>
      <c r="AK10" s="206">
        <f t="shared" si="27"/>
        <v>1</v>
      </c>
      <c r="AL10" s="160" t="str">
        <f t="shared" si="28"/>
        <v/>
      </c>
      <c r="AM10" s="160" t="str">
        <f t="shared" ref="AM10:AM39" si="35">IF(ISNUMBER(AK10),IF(ISNUMBER(AL10),1,""),"")</f>
        <v/>
      </c>
      <c r="AN10" s="160" t="str">
        <f t="shared" si="5"/>
        <v/>
      </c>
      <c r="AO10" s="160">
        <f t="shared" si="6"/>
        <v>1</v>
      </c>
      <c r="AP10" s="206" t="b">
        <f t="shared" si="7"/>
        <v>1</v>
      </c>
      <c r="AQ10" s="157">
        <f t="shared" si="29"/>
        <v>0</v>
      </c>
      <c r="AR10" s="88" t="str">
        <f t="shared" si="8"/>
        <v/>
      </c>
      <c r="AS10" s="89">
        <f t="shared" si="30"/>
        <v>1</v>
      </c>
      <c r="AT10" s="88" t="str">
        <f t="shared" si="9"/>
        <v/>
      </c>
      <c r="AU10" s="158">
        <f t="shared" si="10"/>
        <v>0</v>
      </c>
      <c r="AV10" s="90" t="str">
        <f t="shared" si="11"/>
        <v/>
      </c>
      <c r="AW10" s="158" t="b">
        <f t="shared" si="12"/>
        <v>1</v>
      </c>
      <c r="AX10" s="159" t="b">
        <f t="shared" si="13"/>
        <v>0</v>
      </c>
      <c r="AY10" s="158" t="b">
        <f t="shared" si="14"/>
        <v>0</v>
      </c>
      <c r="AZ10" s="159" t="b">
        <f t="shared" si="15"/>
        <v>0</v>
      </c>
      <c r="BA10" s="206" t="b">
        <f t="shared" si="16"/>
        <v>0</v>
      </c>
      <c r="BB10" s="206" t="b">
        <f t="shared" si="17"/>
        <v>0</v>
      </c>
      <c r="BC10" s="158" t="b">
        <f t="shared" si="18"/>
        <v>0</v>
      </c>
      <c r="BD10" s="160" t="b">
        <f t="shared" si="31"/>
        <v>0</v>
      </c>
      <c r="BE10" s="159" t="b">
        <f t="shared" si="19"/>
        <v>0</v>
      </c>
      <c r="BF10" s="161" t="b">
        <f t="shared" si="20"/>
        <v>0</v>
      </c>
      <c r="BG10" s="206" t="b">
        <f t="shared" si="21"/>
        <v>1</v>
      </c>
      <c r="BH10" s="206">
        <f t="shared" si="32"/>
        <v>1</v>
      </c>
      <c r="BI10" s="206">
        <f t="shared" si="22"/>
        <v>1</v>
      </c>
      <c r="BJ10" s="206" t="str">
        <f t="shared" si="23"/>
        <v>1*</v>
      </c>
      <c r="BK10" s="206">
        <f t="shared" si="24"/>
        <v>2</v>
      </c>
      <c r="BL10" s="162">
        <f t="shared" si="33"/>
        <v>1</v>
      </c>
      <c r="BM10" s="206">
        <f t="shared" si="25"/>
        <v>1</v>
      </c>
      <c r="BN10" s="206">
        <f t="shared" si="26"/>
        <v>2</v>
      </c>
      <c r="BO10" s="169">
        <v>0</v>
      </c>
      <c r="BP10" s="170" t="s">
        <v>216</v>
      </c>
    </row>
    <row r="11" spans="2:73" s="105" customFormat="1" ht="12.95" customHeight="1" x14ac:dyDescent="0.2">
      <c r="B11" s="165">
        <f>IF(ISNA(Z11),"",IF(OR(Z11=1,Z11=2),"    ",MAX($B$8:B10)+1))</f>
        <v>3</v>
      </c>
      <c r="C11" s="1375" t="str">
        <f t="shared" si="0"/>
        <v>Basic SA/Judgement (2.5%)</v>
      </c>
      <c r="D11" s="1375"/>
      <c r="E11" s="1375"/>
      <c r="F11" s="1376"/>
      <c r="G11" s="152">
        <f t="shared" si="1"/>
        <v>1</v>
      </c>
      <c r="H11" s="153" t="str">
        <f t="shared" si="2"/>
        <v>1*</v>
      </c>
      <c r="I11" s="166">
        <f t="shared" si="2"/>
        <v>2</v>
      </c>
      <c r="J11" s="171"/>
      <c r="K11" s="168"/>
      <c r="L11" s="1075"/>
      <c r="M11" s="1076"/>
      <c r="N11" s="1076"/>
      <c r="O11" s="1076"/>
      <c r="P11" s="1076"/>
      <c r="Q11" s="1076"/>
      <c r="R11" s="1077"/>
      <c r="T11" s="119">
        <v>4</v>
      </c>
      <c r="U11" s="110" t="s">
        <v>273</v>
      </c>
      <c r="V11" s="206">
        <v>1</v>
      </c>
      <c r="W11" s="206" t="s">
        <v>212</v>
      </c>
      <c r="X11" s="206">
        <v>2</v>
      </c>
      <c r="Y11" s="206" t="s">
        <v>212</v>
      </c>
      <c r="Z11" s="160" t="s">
        <v>212</v>
      </c>
      <c r="AA11" s="160">
        <v>1</v>
      </c>
      <c r="AB11" s="160">
        <v>0</v>
      </c>
      <c r="AC11" s="206">
        <v>3</v>
      </c>
      <c r="AD11" s="206">
        <v>2</v>
      </c>
      <c r="AE11" s="206">
        <v>1</v>
      </c>
      <c r="AF11" s="206" t="b">
        <v>1</v>
      </c>
      <c r="AG11" s="206">
        <f t="shared" si="3"/>
        <v>2</v>
      </c>
      <c r="AH11" s="206">
        <f t="shared" si="4"/>
        <v>1</v>
      </c>
      <c r="AI11" s="86">
        <f>IF(NOT(OR(Z11=1,Z11=2)),IF(AQ11&gt;0,$AR$44*AQ11/SUMIF($AQ$8:$AQ$39,"&gt;0"),IF(AU11&gt;0,$AV$44*AU11/SUMIF($AU$8:$AU$39,"&gt;0"),IF(AS11&gt;0,$AT$44*AS11/SUMIF($AS$8:$AS$39,"&gt;0"),""))),IF(SUMIF(AJ12:$AJ$39,"=" &amp; AJ11,AI12:$AI$39)=0,"",SUMIF(AJ12:$AJ$39,"=" &amp; AJ11,AI12:$AI$39)))</f>
        <v>2.5000000000000001E-2</v>
      </c>
      <c r="AJ11" s="87">
        <f t="shared" si="34"/>
        <v>0</v>
      </c>
      <c r="AK11" s="206">
        <f t="shared" si="27"/>
        <v>1</v>
      </c>
      <c r="AL11" s="160" t="str">
        <f t="shared" si="28"/>
        <v/>
      </c>
      <c r="AM11" s="160" t="str">
        <f t="shared" si="35"/>
        <v/>
      </c>
      <c r="AN11" s="160" t="str">
        <f t="shared" si="5"/>
        <v/>
      </c>
      <c r="AO11" s="160">
        <f t="shared" si="6"/>
        <v>1</v>
      </c>
      <c r="AP11" s="206" t="b">
        <f t="shared" si="7"/>
        <v>1</v>
      </c>
      <c r="AQ11" s="157">
        <f t="shared" si="29"/>
        <v>0</v>
      </c>
      <c r="AR11" s="88" t="str">
        <f t="shared" si="8"/>
        <v/>
      </c>
      <c r="AS11" s="89">
        <f t="shared" si="30"/>
        <v>2</v>
      </c>
      <c r="AT11" s="88" t="str">
        <f t="shared" si="9"/>
        <v/>
      </c>
      <c r="AU11" s="158">
        <f t="shared" si="10"/>
        <v>0</v>
      </c>
      <c r="AV11" s="90" t="str">
        <f t="shared" si="11"/>
        <v/>
      </c>
      <c r="AW11" s="158" t="b">
        <f t="shared" si="12"/>
        <v>1</v>
      </c>
      <c r="AX11" s="159" t="b">
        <f t="shared" si="13"/>
        <v>0</v>
      </c>
      <c r="AY11" s="158" t="b">
        <f t="shared" si="14"/>
        <v>0</v>
      </c>
      <c r="AZ11" s="159" t="b">
        <f t="shared" si="15"/>
        <v>0</v>
      </c>
      <c r="BA11" s="206" t="b">
        <f t="shared" si="16"/>
        <v>0</v>
      </c>
      <c r="BB11" s="206" t="b">
        <f t="shared" si="17"/>
        <v>0</v>
      </c>
      <c r="BC11" s="158" t="b">
        <f t="shared" si="18"/>
        <v>0</v>
      </c>
      <c r="BD11" s="160" t="b">
        <f t="shared" si="31"/>
        <v>0</v>
      </c>
      <c r="BE11" s="159" t="b">
        <f t="shared" si="19"/>
        <v>0</v>
      </c>
      <c r="BF11" s="161" t="b">
        <f t="shared" si="20"/>
        <v>0</v>
      </c>
      <c r="BG11" s="206" t="b">
        <f t="shared" si="21"/>
        <v>1</v>
      </c>
      <c r="BH11" s="206">
        <f t="shared" si="32"/>
        <v>1</v>
      </c>
      <c r="BI11" s="206">
        <f t="shared" si="22"/>
        <v>1</v>
      </c>
      <c r="BJ11" s="206" t="str">
        <f t="shared" si="23"/>
        <v>1*</v>
      </c>
      <c r="BK11" s="206">
        <f t="shared" si="24"/>
        <v>2</v>
      </c>
      <c r="BL11" s="162">
        <f t="shared" si="33"/>
        <v>1</v>
      </c>
      <c r="BM11" s="206">
        <f t="shared" si="25"/>
        <v>1</v>
      </c>
      <c r="BN11" s="206">
        <f t="shared" si="26"/>
        <v>2</v>
      </c>
      <c r="BO11" s="169">
        <v>1</v>
      </c>
      <c r="BP11" s="170" t="s">
        <v>217</v>
      </c>
    </row>
    <row r="12" spans="2:73" s="105" customFormat="1" ht="12.95" customHeight="1" x14ac:dyDescent="0.2">
      <c r="B12" s="165" t="str">
        <f>IF(ISNA(Z12),"",IF(OR(Z12=1,Z12=2),"    ",MAX($B$8:B11)+1))</f>
        <v xml:space="preserve">    </v>
      </c>
      <c r="C12" s="1375" t="str">
        <f t="shared" si="0"/>
        <v>Academic Tasks</v>
      </c>
      <c r="D12" s="1375"/>
      <c r="E12" s="1375"/>
      <c r="F12" s="1376"/>
      <c r="G12" s="152" t="str">
        <f t="shared" si="1"/>
        <v/>
      </c>
      <c r="H12" s="153" t="str">
        <f t="shared" si="2"/>
        <v/>
      </c>
      <c r="I12" s="166" t="str">
        <f t="shared" si="2"/>
        <v/>
      </c>
      <c r="J12" s="172"/>
      <c r="K12" s="173"/>
      <c r="L12" s="1075"/>
      <c r="M12" s="1076"/>
      <c r="N12" s="1076"/>
      <c r="O12" s="1076"/>
      <c r="P12" s="1076"/>
      <c r="Q12" s="1076"/>
      <c r="R12" s="1077"/>
      <c r="T12" s="119">
        <v>5</v>
      </c>
      <c r="U12" s="110" t="s">
        <v>219</v>
      </c>
      <c r="V12" s="206" t="s">
        <v>212</v>
      </c>
      <c r="W12" s="206" t="s">
        <v>212</v>
      </c>
      <c r="X12" s="206" t="s">
        <v>212</v>
      </c>
      <c r="Y12" s="206" t="s">
        <v>212</v>
      </c>
      <c r="Z12" s="160">
        <v>1</v>
      </c>
      <c r="AA12" s="160">
        <v>0</v>
      </c>
      <c r="AB12" s="160">
        <v>1</v>
      </c>
      <c r="AC12" s="206" t="s">
        <v>212</v>
      </c>
      <c r="AD12" s="206" t="s">
        <v>212</v>
      </c>
      <c r="AE12" s="206">
        <v>0</v>
      </c>
      <c r="AF12" s="206" t="s">
        <v>212</v>
      </c>
      <c r="AG12" s="206" t="str">
        <f t="shared" si="3"/>
        <v/>
      </c>
      <c r="AH12" s="206" t="str">
        <f t="shared" si="4"/>
        <v/>
      </c>
      <c r="AI12" s="86" t="str">
        <f>IF(NOT(OR(Z12=1,Z12=2)),IF(AQ12&gt;0,$AR$44*AQ12/SUMIF($AQ$8:$AQ$39,"&gt;0"),IF(AU12&gt;0,$AV$44*AU12/SUMIF($AU$8:$AU$39,"&gt;0"),IF(AS12&gt;0,$AT$44*AS12/SUMIF($AS$8:$AS$39,"&gt;0"),""))),IF(SUMIF(AJ13:$AJ$39,"=" &amp; AJ12,AI13:$AI$39)=0,"",SUMIF(AJ13:$AJ$39,"=" &amp; AJ12,AI13:$AI$39)))</f>
        <v/>
      </c>
      <c r="AJ12" s="87">
        <f t="shared" si="34"/>
        <v>1</v>
      </c>
      <c r="AK12" s="206" t="str">
        <f t="shared" si="27"/>
        <v/>
      </c>
      <c r="AL12" s="160" t="str">
        <f t="shared" si="28"/>
        <v/>
      </c>
      <c r="AM12" s="160" t="str">
        <f t="shared" si="35"/>
        <v/>
      </c>
      <c r="AN12" s="160" t="str">
        <f t="shared" si="5"/>
        <v/>
      </c>
      <c r="AO12" s="160" t="str">
        <f t="shared" si="6"/>
        <v/>
      </c>
      <c r="AP12" s="206" t="str">
        <f t="shared" si="7"/>
        <v/>
      </c>
      <c r="AQ12" s="157">
        <f t="shared" si="29"/>
        <v>0</v>
      </c>
      <c r="AR12" s="88" t="str">
        <f t="shared" si="8"/>
        <v/>
      </c>
      <c r="AS12" s="89">
        <f t="shared" si="30"/>
        <v>0</v>
      </c>
      <c r="AT12" s="88" t="str">
        <f t="shared" si="9"/>
        <v/>
      </c>
      <c r="AU12" s="158">
        <f t="shared" si="10"/>
        <v>0</v>
      </c>
      <c r="AV12" s="90" t="str">
        <f t="shared" si="11"/>
        <v/>
      </c>
      <c r="AW12" s="158" t="b">
        <f t="shared" si="12"/>
        <v>0</v>
      </c>
      <c r="AX12" s="159" t="b">
        <f t="shared" si="13"/>
        <v>0</v>
      </c>
      <c r="AY12" s="158" t="b">
        <f t="shared" si="14"/>
        <v>0</v>
      </c>
      <c r="AZ12" s="159" t="b">
        <f t="shared" si="15"/>
        <v>0</v>
      </c>
      <c r="BA12" s="206" t="b">
        <f t="shared" si="16"/>
        <v>0</v>
      </c>
      <c r="BB12" s="206" t="b">
        <f t="shared" si="17"/>
        <v>0</v>
      </c>
      <c r="BC12" s="158" t="b">
        <f t="shared" si="18"/>
        <v>0</v>
      </c>
      <c r="BD12" s="160" t="b">
        <f t="shared" si="31"/>
        <v>0</v>
      </c>
      <c r="BE12" s="159" t="b">
        <f t="shared" si="19"/>
        <v>0</v>
      </c>
      <c r="BF12" s="161" t="b">
        <f t="shared" si="20"/>
        <v>0</v>
      </c>
      <c r="BG12" s="206" t="b">
        <f t="shared" si="21"/>
        <v>0</v>
      </c>
      <c r="BH12" s="206" t="str">
        <f t="shared" si="32"/>
        <v/>
      </c>
      <c r="BI12" s="206" t="str">
        <f t="shared" si="22"/>
        <v/>
      </c>
      <c r="BJ12" s="206" t="str">
        <f t="shared" si="23"/>
        <v/>
      </c>
      <c r="BK12" s="206" t="str">
        <f t="shared" si="24"/>
        <v/>
      </c>
      <c r="BL12" s="162" t="str">
        <f t="shared" si="33"/>
        <v/>
      </c>
      <c r="BM12" s="206" t="str">
        <f t="shared" si="25"/>
        <v/>
      </c>
      <c r="BN12" s="206" t="str">
        <f t="shared" si="26"/>
        <v/>
      </c>
      <c r="BO12" s="169">
        <v>2</v>
      </c>
      <c r="BP12" s="170" t="s">
        <v>218</v>
      </c>
    </row>
    <row r="13" spans="2:73" s="105" customFormat="1" ht="12.95" customHeight="1" x14ac:dyDescent="0.2">
      <c r="B13" s="165" t="str">
        <f>IF(ISNA(Z13),"",IF(OR(Z13=1,Z13=2),"    ",MAX($B$8:B12)+1))</f>
        <v xml:space="preserve">    </v>
      </c>
      <c r="C13" s="1375" t="str">
        <f t="shared" si="0"/>
        <v>Test Conduct (85.0%)</v>
      </c>
      <c r="D13" s="1375"/>
      <c r="E13" s="1375"/>
      <c r="F13" s="1376"/>
      <c r="G13" s="152" t="str">
        <f t="shared" si="1"/>
        <v/>
      </c>
      <c r="H13" s="153" t="str">
        <f t="shared" si="2"/>
        <v/>
      </c>
      <c r="I13" s="166" t="str">
        <f t="shared" si="2"/>
        <v/>
      </c>
      <c r="J13" s="172"/>
      <c r="K13" s="173"/>
      <c r="L13" s="1075"/>
      <c r="M13" s="1076"/>
      <c r="N13" s="1076"/>
      <c r="O13" s="1076"/>
      <c r="P13" s="1076"/>
      <c r="Q13" s="1076"/>
      <c r="R13" s="1077"/>
      <c r="T13" s="119">
        <v>6</v>
      </c>
      <c r="U13" s="110" t="s">
        <v>221</v>
      </c>
      <c r="V13" s="206" t="s">
        <v>212</v>
      </c>
      <c r="W13" s="206" t="s">
        <v>212</v>
      </c>
      <c r="X13" s="206" t="s">
        <v>212</v>
      </c>
      <c r="Y13" s="206" t="s">
        <v>212</v>
      </c>
      <c r="Z13" s="160">
        <v>2</v>
      </c>
      <c r="AA13" s="160">
        <v>1</v>
      </c>
      <c r="AB13" s="160">
        <v>1</v>
      </c>
      <c r="AC13" s="206" t="s">
        <v>212</v>
      </c>
      <c r="AD13" s="206" t="s">
        <v>212</v>
      </c>
      <c r="AE13" s="206" t="s">
        <v>212</v>
      </c>
      <c r="AF13" s="206" t="s">
        <v>212</v>
      </c>
      <c r="AG13" s="206" t="str">
        <f t="shared" si="3"/>
        <v/>
      </c>
      <c r="AH13" s="206" t="str">
        <f t="shared" si="4"/>
        <v/>
      </c>
      <c r="AI13" s="86">
        <f>IF(NOT(OR(Z13=1,Z13=2)),IF(AQ13&gt;0,$AR$44*AQ13/SUMIF($AQ$8:$AQ$39,"&gt;0"),IF(AU13&gt;0,$AV$44*AU13/SUMIF($AU$8:$AU$39,"&gt;0"),IF(AS13&gt;0,$AT$44*AS13/SUMIF($AS$8:$AS$39,"&gt;0"),""))),IF(SUMIF(AJ14:$AJ$39,"=" &amp; AJ13,AI14:$AI$39)=0,"",SUMIF(AJ14:$AJ$39,"=" &amp; AJ13,AI14:$AI$39)))</f>
        <v>0.85</v>
      </c>
      <c r="AJ13" s="87">
        <f t="shared" si="34"/>
        <v>2</v>
      </c>
      <c r="AK13" s="206" t="str">
        <f t="shared" si="27"/>
        <v/>
      </c>
      <c r="AL13" s="160" t="str">
        <f t="shared" si="28"/>
        <v/>
      </c>
      <c r="AM13" s="160" t="str">
        <f t="shared" si="35"/>
        <v/>
      </c>
      <c r="AN13" s="160" t="str">
        <f t="shared" si="5"/>
        <v/>
      </c>
      <c r="AO13" s="160" t="str">
        <f t="shared" si="6"/>
        <v/>
      </c>
      <c r="AP13" s="206" t="str">
        <f t="shared" si="7"/>
        <v/>
      </c>
      <c r="AQ13" s="157">
        <f t="shared" si="29"/>
        <v>0</v>
      </c>
      <c r="AR13" s="88" t="str">
        <f t="shared" si="8"/>
        <v/>
      </c>
      <c r="AS13" s="89">
        <f t="shared" si="30"/>
        <v>0</v>
      </c>
      <c r="AT13" s="88" t="str">
        <f t="shared" si="9"/>
        <v/>
      </c>
      <c r="AU13" s="158">
        <f t="shared" si="10"/>
        <v>0</v>
      </c>
      <c r="AV13" s="90" t="str">
        <f t="shared" si="11"/>
        <v/>
      </c>
      <c r="AW13" s="158" t="b">
        <f t="shared" si="12"/>
        <v>0</v>
      </c>
      <c r="AX13" s="159" t="b">
        <f t="shared" si="13"/>
        <v>0</v>
      </c>
      <c r="AY13" s="158" t="b">
        <f t="shared" si="14"/>
        <v>0</v>
      </c>
      <c r="AZ13" s="159" t="b">
        <f t="shared" si="15"/>
        <v>0</v>
      </c>
      <c r="BA13" s="206" t="b">
        <f t="shared" si="16"/>
        <v>0</v>
      </c>
      <c r="BB13" s="206" t="b">
        <f t="shared" si="17"/>
        <v>0</v>
      </c>
      <c r="BC13" s="158" t="b">
        <f t="shared" si="18"/>
        <v>0</v>
      </c>
      <c r="BD13" s="160" t="b">
        <f t="shared" si="31"/>
        <v>0</v>
      </c>
      <c r="BE13" s="159" t="b">
        <f t="shared" si="19"/>
        <v>0</v>
      </c>
      <c r="BF13" s="161" t="b">
        <f t="shared" si="20"/>
        <v>0</v>
      </c>
      <c r="BG13" s="206" t="b">
        <f t="shared" si="21"/>
        <v>0</v>
      </c>
      <c r="BH13" s="206" t="str">
        <f t="shared" si="32"/>
        <v/>
      </c>
      <c r="BI13" s="206" t="str">
        <f t="shared" si="22"/>
        <v/>
      </c>
      <c r="BJ13" s="206" t="str">
        <f t="shared" si="23"/>
        <v/>
      </c>
      <c r="BK13" s="206" t="str">
        <f t="shared" si="24"/>
        <v/>
      </c>
      <c r="BL13" s="162" t="str">
        <f t="shared" si="33"/>
        <v/>
      </c>
      <c r="BM13" s="206" t="str">
        <f t="shared" si="25"/>
        <v/>
      </c>
      <c r="BN13" s="206" t="str">
        <f t="shared" si="26"/>
        <v/>
      </c>
      <c r="BO13" s="169">
        <v>3</v>
      </c>
      <c r="BP13" s="170" t="s">
        <v>220</v>
      </c>
    </row>
    <row r="14" spans="2:73" s="105" customFormat="1" ht="12.95" customHeight="1" x14ac:dyDescent="0.2">
      <c r="B14" s="165">
        <f>IF(ISNA(Z14),"",IF(OR(Z14=1,Z14=2),"    ",MAX($B$8:B13)+1))</f>
        <v>4</v>
      </c>
      <c r="C14" s="1375" t="str">
        <f t="shared" si="0"/>
        <v xml:space="preserve">      - Mission Materials/Briefing</v>
      </c>
      <c r="D14" s="1375"/>
      <c r="E14" s="1375"/>
      <c r="F14" s="1376"/>
      <c r="G14" s="152">
        <f t="shared" si="1"/>
        <v>1</v>
      </c>
      <c r="H14" s="153" t="str">
        <f t="shared" si="2"/>
        <v>NG</v>
      </c>
      <c r="I14" s="166" t="str">
        <f t="shared" si="2"/>
        <v/>
      </c>
      <c r="J14" s="171"/>
      <c r="K14" s="168"/>
      <c r="L14" s="1075"/>
      <c r="M14" s="1076"/>
      <c r="N14" s="1076"/>
      <c r="O14" s="1076"/>
      <c r="P14" s="1076"/>
      <c r="Q14" s="1076"/>
      <c r="R14" s="1077"/>
      <c r="T14" s="119">
        <v>7</v>
      </c>
      <c r="U14" s="110" t="s">
        <v>274</v>
      </c>
      <c r="V14" s="206">
        <v>1</v>
      </c>
      <c r="W14" s="206" t="s">
        <v>212</v>
      </c>
      <c r="X14" s="206" t="s">
        <v>212</v>
      </c>
      <c r="Y14" s="206" t="s">
        <v>212</v>
      </c>
      <c r="Z14" s="160" t="s">
        <v>212</v>
      </c>
      <c r="AA14" s="160">
        <v>2</v>
      </c>
      <c r="AB14" s="160">
        <v>1</v>
      </c>
      <c r="AC14" s="206" t="s">
        <v>212</v>
      </c>
      <c r="AD14" s="206" t="s">
        <v>225</v>
      </c>
      <c r="AE14" s="206" t="s">
        <v>212</v>
      </c>
      <c r="AF14" s="206" t="b">
        <v>1</v>
      </c>
      <c r="AG14" s="206" t="str">
        <f t="shared" si="3"/>
        <v>NG</v>
      </c>
      <c r="AH14" s="206" t="str">
        <f t="shared" si="4"/>
        <v/>
      </c>
      <c r="AI14" s="86" t="str">
        <f>IF(NOT(OR(Z14=1,Z14=2)),IF(AQ14&gt;0,$AR$44*AQ14/SUMIF($AQ$8:$AQ$39,"&gt;0"),IF(AU14&gt;0,$AV$44*AU14/SUMIF($AU$8:$AU$39,"&gt;0"),IF(AS14&gt;0,$AT$44*AS14/SUMIF($AS$8:$AS$39,"&gt;0"),""))),IF(SUMIF(AJ15:$AJ$39,"=" &amp; AJ14,AI15:$AI$39)=0,"",SUMIF(AJ15:$AJ$39,"=" &amp; AJ14,AI15:$AI$39)))</f>
        <v/>
      </c>
      <c r="AJ14" s="87">
        <f t="shared" si="34"/>
        <v>2</v>
      </c>
      <c r="AK14" s="206" t="str">
        <f t="shared" si="27"/>
        <v>NG</v>
      </c>
      <c r="AL14" s="160" t="str">
        <f t="shared" si="28"/>
        <v/>
      </c>
      <c r="AM14" s="160" t="str">
        <f t="shared" si="35"/>
        <v/>
      </c>
      <c r="AN14" s="160" t="str">
        <f t="shared" si="5"/>
        <v/>
      </c>
      <c r="AO14" s="160" t="str">
        <f t="shared" si="6"/>
        <v/>
      </c>
      <c r="AP14" s="206" t="str">
        <f t="shared" si="7"/>
        <v/>
      </c>
      <c r="AQ14" s="157">
        <f t="shared" si="29"/>
        <v>0</v>
      </c>
      <c r="AR14" s="88" t="str">
        <f t="shared" si="8"/>
        <v/>
      </c>
      <c r="AS14" s="89">
        <f t="shared" si="30"/>
        <v>0</v>
      </c>
      <c r="AT14" s="88" t="str">
        <f t="shared" si="9"/>
        <v/>
      </c>
      <c r="AU14" s="158">
        <f t="shared" si="10"/>
        <v>0</v>
      </c>
      <c r="AV14" s="90" t="str">
        <f t="shared" si="11"/>
        <v/>
      </c>
      <c r="AW14" s="158" t="b">
        <f t="shared" si="12"/>
        <v>0</v>
      </c>
      <c r="AX14" s="159" t="b">
        <f t="shared" si="13"/>
        <v>1</v>
      </c>
      <c r="AY14" s="158" t="b">
        <f t="shared" si="14"/>
        <v>0</v>
      </c>
      <c r="AZ14" s="159" t="b">
        <f t="shared" si="15"/>
        <v>0</v>
      </c>
      <c r="BA14" s="206" t="b">
        <f t="shared" si="16"/>
        <v>0</v>
      </c>
      <c r="BB14" s="206" t="b">
        <f t="shared" si="17"/>
        <v>0</v>
      </c>
      <c r="BC14" s="158" t="b">
        <f t="shared" si="18"/>
        <v>0</v>
      </c>
      <c r="BD14" s="160" t="b">
        <f t="shared" si="31"/>
        <v>0</v>
      </c>
      <c r="BE14" s="159" t="b">
        <f t="shared" si="19"/>
        <v>0</v>
      </c>
      <c r="BF14" s="161" t="b">
        <f t="shared" si="20"/>
        <v>0</v>
      </c>
      <c r="BG14" s="206" t="b">
        <f t="shared" si="21"/>
        <v>1</v>
      </c>
      <c r="BH14" s="206">
        <f t="shared" si="32"/>
        <v>1</v>
      </c>
      <c r="BI14" s="206" t="str">
        <f t="shared" si="22"/>
        <v>NG</v>
      </c>
      <c r="BJ14" s="206" t="str">
        <f t="shared" si="23"/>
        <v>NG</v>
      </c>
      <c r="BK14" s="206" t="str">
        <f t="shared" si="24"/>
        <v/>
      </c>
      <c r="BL14" s="162">
        <f t="shared" si="33"/>
        <v>1</v>
      </c>
      <c r="BM14" s="206" t="str">
        <f t="shared" si="25"/>
        <v>D</v>
      </c>
      <c r="BN14" s="206" t="str">
        <f t="shared" si="26"/>
        <v>D</v>
      </c>
      <c r="BO14" s="169">
        <v>4</v>
      </c>
      <c r="BP14" s="170" t="s">
        <v>222</v>
      </c>
    </row>
    <row r="15" spans="2:73" s="105" customFormat="1" ht="12.95" customHeight="1" x14ac:dyDescent="0.2">
      <c r="B15" s="165">
        <f>IF(ISNA(Z15),"",IF(OR(Z15=1,Z15=2),"    ",MAX($B$8:B14)+1))</f>
        <v>5</v>
      </c>
      <c r="C15" s="1375" t="str">
        <f t="shared" si="0"/>
        <v xml:space="preserve">      - Mission Management/Adaptability (10.0%)</v>
      </c>
      <c r="D15" s="1375"/>
      <c r="E15" s="1375"/>
      <c r="F15" s="1376"/>
      <c r="G15" s="152">
        <f t="shared" si="1"/>
        <v>1</v>
      </c>
      <c r="H15" s="153" t="str">
        <f t="shared" si="2"/>
        <v>1</v>
      </c>
      <c r="I15" s="166">
        <f t="shared" si="2"/>
        <v>2</v>
      </c>
      <c r="J15" s="171"/>
      <c r="K15" s="168"/>
      <c r="L15" s="1075"/>
      <c r="M15" s="1076"/>
      <c r="N15" s="1076"/>
      <c r="O15" s="1076"/>
      <c r="P15" s="1076"/>
      <c r="Q15" s="1076"/>
      <c r="R15" s="1077"/>
      <c r="T15" s="119">
        <v>8</v>
      </c>
      <c r="U15" s="110" t="s">
        <v>275</v>
      </c>
      <c r="V15" s="206">
        <v>1</v>
      </c>
      <c r="W15" s="206">
        <v>1</v>
      </c>
      <c r="X15" s="206" t="s">
        <v>212</v>
      </c>
      <c r="Y15" s="206" t="s">
        <v>212</v>
      </c>
      <c r="Z15" s="160" t="s">
        <v>212</v>
      </c>
      <c r="AA15" s="160">
        <v>2</v>
      </c>
      <c r="AB15" s="160">
        <v>1</v>
      </c>
      <c r="AC15" s="206">
        <v>2</v>
      </c>
      <c r="AD15" s="206">
        <v>1</v>
      </c>
      <c r="AE15" s="206">
        <v>0</v>
      </c>
      <c r="AF15" s="206" t="b">
        <v>1</v>
      </c>
      <c r="AG15" s="206">
        <f t="shared" si="3"/>
        <v>1</v>
      </c>
      <c r="AH15" s="206">
        <f t="shared" si="4"/>
        <v>0</v>
      </c>
      <c r="AI15" s="86">
        <f>IF(NOT(OR(Z15=1,Z15=2)),IF(AQ15&gt;0,$AR$44*AQ15/SUMIF($AQ$8:$AQ$39,"&gt;0"),IF(AU15&gt;0,$AV$44*AU15/SUMIF($AU$8:$AU$39,"&gt;0"),IF(AS15&gt;0,$AT$44*AS15/SUMIF($AS$8:$AS$39,"&gt;0"),""))),IF(SUMIF(AJ16:$AJ$39,"=" &amp; AJ15,AI16:$AI$39)=0,"",SUMIF(AJ16:$AJ$39,"=" &amp; AJ15,AI16:$AI$39)))</f>
        <v>9.9999999999999992E-2</v>
      </c>
      <c r="AJ15" s="87">
        <f t="shared" si="34"/>
        <v>2</v>
      </c>
      <c r="AK15" s="206">
        <f t="shared" si="27"/>
        <v>1</v>
      </c>
      <c r="AL15" s="160" t="str">
        <f t="shared" si="28"/>
        <v/>
      </c>
      <c r="AM15" s="160" t="str">
        <f t="shared" si="35"/>
        <v/>
      </c>
      <c r="AN15" s="160" t="str">
        <f t="shared" si="5"/>
        <v/>
      </c>
      <c r="AO15" s="160" t="str">
        <f t="shared" si="6"/>
        <v/>
      </c>
      <c r="AP15" s="206" t="b">
        <f t="shared" si="7"/>
        <v>1</v>
      </c>
      <c r="AQ15" s="157">
        <f t="shared" si="29"/>
        <v>1</v>
      </c>
      <c r="AR15" s="88" t="str">
        <f t="shared" si="8"/>
        <v/>
      </c>
      <c r="AS15" s="89">
        <f t="shared" si="30"/>
        <v>0</v>
      </c>
      <c r="AT15" s="88" t="str">
        <f t="shared" si="9"/>
        <v/>
      </c>
      <c r="AU15" s="158">
        <f t="shared" si="10"/>
        <v>0</v>
      </c>
      <c r="AV15" s="90" t="str">
        <f t="shared" si="11"/>
        <v/>
      </c>
      <c r="AW15" s="158" t="b">
        <f t="shared" si="12"/>
        <v>0</v>
      </c>
      <c r="AX15" s="159" t="b">
        <f t="shared" si="13"/>
        <v>1</v>
      </c>
      <c r="AY15" s="158" t="b">
        <f t="shared" si="14"/>
        <v>0</v>
      </c>
      <c r="AZ15" s="159" t="b">
        <f t="shared" si="15"/>
        <v>0</v>
      </c>
      <c r="BA15" s="206" t="b">
        <f t="shared" si="16"/>
        <v>0</v>
      </c>
      <c r="BB15" s="206" t="b">
        <f t="shared" si="17"/>
        <v>0</v>
      </c>
      <c r="BC15" s="158" t="b">
        <f t="shared" si="18"/>
        <v>0</v>
      </c>
      <c r="BD15" s="160" t="b">
        <f t="shared" si="31"/>
        <v>0</v>
      </c>
      <c r="BE15" s="159" t="b">
        <f t="shared" si="19"/>
        <v>0</v>
      </c>
      <c r="BF15" s="161" t="b">
        <f t="shared" si="20"/>
        <v>0</v>
      </c>
      <c r="BG15" s="206" t="b">
        <f t="shared" si="21"/>
        <v>1</v>
      </c>
      <c r="BH15" s="206">
        <f t="shared" si="32"/>
        <v>1</v>
      </c>
      <c r="BI15" s="206">
        <f t="shared" si="22"/>
        <v>1</v>
      </c>
      <c r="BJ15" s="206" t="str">
        <f t="shared" si="23"/>
        <v>1</v>
      </c>
      <c r="BK15" s="206">
        <f t="shared" si="24"/>
        <v>2</v>
      </c>
      <c r="BL15" s="162">
        <f t="shared" si="33"/>
        <v>1</v>
      </c>
      <c r="BM15" s="206">
        <f t="shared" si="25"/>
        <v>1</v>
      </c>
      <c r="BN15" s="206">
        <f t="shared" si="26"/>
        <v>2</v>
      </c>
      <c r="BO15" s="106"/>
    </row>
    <row r="16" spans="2:73" s="105" customFormat="1" ht="12.95" customHeight="1" x14ac:dyDescent="0.2">
      <c r="B16" s="165">
        <f>IF(ISNA(Z16),"",IF(OR(Z16=1,Z16=2),"    ",MAX($B$8:B15)+1))</f>
        <v>6</v>
      </c>
      <c r="C16" s="1375" t="str">
        <f t="shared" si="0"/>
        <v xml:space="preserve">      - Test Plan/Card Adherence (20.0%)</v>
      </c>
      <c r="D16" s="1375"/>
      <c r="E16" s="1375"/>
      <c r="F16" s="1376"/>
      <c r="G16" s="152">
        <f t="shared" si="1"/>
        <v>1</v>
      </c>
      <c r="H16" s="153" t="str">
        <f t="shared" si="2"/>
        <v>2*</v>
      </c>
      <c r="I16" s="166">
        <f t="shared" si="2"/>
        <v>2</v>
      </c>
      <c r="J16" s="171"/>
      <c r="K16" s="168"/>
      <c r="L16" s="1075"/>
      <c r="M16" s="1076"/>
      <c r="N16" s="1076"/>
      <c r="O16" s="1076"/>
      <c r="P16" s="1076"/>
      <c r="Q16" s="1076"/>
      <c r="R16" s="1077"/>
      <c r="T16" s="119">
        <v>9</v>
      </c>
      <c r="U16" s="110" t="s">
        <v>276</v>
      </c>
      <c r="V16" s="206">
        <v>1</v>
      </c>
      <c r="W16" s="206">
        <v>2</v>
      </c>
      <c r="X16" s="206" t="s">
        <v>212</v>
      </c>
      <c r="Y16" s="206" t="s">
        <v>212</v>
      </c>
      <c r="Z16" s="160" t="s">
        <v>212</v>
      </c>
      <c r="AA16" s="160">
        <v>2</v>
      </c>
      <c r="AB16" s="160">
        <v>1</v>
      </c>
      <c r="AC16" s="206">
        <v>2</v>
      </c>
      <c r="AD16" s="206">
        <v>2</v>
      </c>
      <c r="AE16" s="206">
        <v>1</v>
      </c>
      <c r="AF16" s="206" t="b">
        <v>1</v>
      </c>
      <c r="AG16" s="206">
        <f t="shared" si="3"/>
        <v>2</v>
      </c>
      <c r="AH16" s="206">
        <f t="shared" si="4"/>
        <v>1</v>
      </c>
      <c r="AI16" s="86">
        <f>IF(NOT(OR(Z16=1,Z16=2)),IF(AQ16&gt;0,$AR$44*AQ16/SUMIF($AQ$8:$AQ$39,"&gt;0"),IF(AU16&gt;0,$AV$44*AU16/SUMIF($AU$8:$AU$39,"&gt;0"),IF(AS16&gt;0,$AT$44*AS16/SUMIF($AS$8:$AS$39,"&gt;0"),""))),IF(SUMIF(AJ17:$AJ$39,"=" &amp; AJ16,AI17:$AI$39)=0,"",SUMIF(AJ17:$AJ$39,"=" &amp; AJ16,AI17:$AI$39)))</f>
        <v>0.19999999999999998</v>
      </c>
      <c r="AJ16" s="87">
        <f t="shared" si="34"/>
        <v>2</v>
      </c>
      <c r="AK16" s="206">
        <f t="shared" si="27"/>
        <v>2</v>
      </c>
      <c r="AL16" s="160" t="str">
        <f t="shared" si="28"/>
        <v/>
      </c>
      <c r="AM16" s="160" t="str">
        <f t="shared" si="35"/>
        <v/>
      </c>
      <c r="AN16" s="160" t="str">
        <f t="shared" si="5"/>
        <v/>
      </c>
      <c r="AO16" s="160" t="str">
        <f t="shared" si="6"/>
        <v/>
      </c>
      <c r="AP16" s="206" t="b">
        <f t="shared" si="7"/>
        <v>1</v>
      </c>
      <c r="AQ16" s="157">
        <f t="shared" si="29"/>
        <v>2</v>
      </c>
      <c r="AR16" s="88" t="str">
        <f t="shared" si="8"/>
        <v/>
      </c>
      <c r="AS16" s="89">
        <f t="shared" si="30"/>
        <v>0</v>
      </c>
      <c r="AT16" s="88" t="str">
        <f t="shared" si="9"/>
        <v/>
      </c>
      <c r="AU16" s="158">
        <f t="shared" si="10"/>
        <v>0</v>
      </c>
      <c r="AV16" s="90" t="str">
        <f t="shared" si="11"/>
        <v/>
      </c>
      <c r="AW16" s="158" t="b">
        <f t="shared" si="12"/>
        <v>0</v>
      </c>
      <c r="AX16" s="159" t="b">
        <f t="shared" si="13"/>
        <v>1</v>
      </c>
      <c r="AY16" s="158" t="b">
        <f t="shared" si="14"/>
        <v>0</v>
      </c>
      <c r="AZ16" s="159" t="b">
        <f t="shared" si="15"/>
        <v>0</v>
      </c>
      <c r="BA16" s="206" t="b">
        <f t="shared" si="16"/>
        <v>0</v>
      </c>
      <c r="BB16" s="206" t="b">
        <f t="shared" si="17"/>
        <v>0</v>
      </c>
      <c r="BC16" s="158" t="b">
        <f t="shared" si="18"/>
        <v>0</v>
      </c>
      <c r="BD16" s="160" t="b">
        <f t="shared" si="31"/>
        <v>0</v>
      </c>
      <c r="BE16" s="159" t="b">
        <f t="shared" si="19"/>
        <v>0</v>
      </c>
      <c r="BF16" s="161" t="b">
        <f t="shared" si="20"/>
        <v>0</v>
      </c>
      <c r="BG16" s="206" t="b">
        <f t="shared" si="21"/>
        <v>1</v>
      </c>
      <c r="BH16" s="206">
        <f t="shared" si="32"/>
        <v>1</v>
      </c>
      <c r="BI16" s="206">
        <f t="shared" si="22"/>
        <v>2</v>
      </c>
      <c r="BJ16" s="206" t="str">
        <f t="shared" si="23"/>
        <v>2*</v>
      </c>
      <c r="BK16" s="206">
        <f t="shared" si="24"/>
        <v>2</v>
      </c>
      <c r="BL16" s="162">
        <f t="shared" si="33"/>
        <v>1</v>
      </c>
      <c r="BM16" s="206">
        <f t="shared" si="25"/>
        <v>2</v>
      </c>
      <c r="BN16" s="206">
        <f t="shared" si="26"/>
        <v>2</v>
      </c>
      <c r="BO16" s="169"/>
      <c r="BP16" s="174"/>
    </row>
    <row r="17" spans="2:73" s="105" customFormat="1" ht="12.95" customHeight="1" x14ac:dyDescent="0.2">
      <c r="B17" s="165">
        <f>IF(ISNA(Z17),"",IF(OR(Z17=1,Z17=2),"    ",MAX($B$8:B16)+1))</f>
        <v>7</v>
      </c>
      <c r="C17" s="1375" t="str">
        <f t="shared" si="0"/>
        <v xml:space="preserve">      - Test Specific Comm/CRM (30.0%)</v>
      </c>
      <c r="D17" s="1375"/>
      <c r="E17" s="1375"/>
      <c r="F17" s="1376"/>
      <c r="G17" s="152">
        <f t="shared" si="1"/>
        <v>1</v>
      </c>
      <c r="H17" s="153" t="str">
        <f t="shared" si="2"/>
        <v>1*</v>
      </c>
      <c r="I17" s="166">
        <f t="shared" si="2"/>
        <v>2</v>
      </c>
      <c r="J17" s="171"/>
      <c r="K17" s="168"/>
      <c r="L17" s="1075"/>
      <c r="M17" s="1076"/>
      <c r="N17" s="1076"/>
      <c r="O17" s="1076"/>
      <c r="P17" s="1076"/>
      <c r="Q17" s="1076"/>
      <c r="R17" s="1077"/>
      <c r="T17" s="119">
        <v>10</v>
      </c>
      <c r="U17" s="110" t="s">
        <v>277</v>
      </c>
      <c r="V17" s="206">
        <v>1</v>
      </c>
      <c r="W17" s="206">
        <v>3</v>
      </c>
      <c r="X17" s="206" t="s">
        <v>212</v>
      </c>
      <c r="Y17" s="206" t="s">
        <v>212</v>
      </c>
      <c r="Z17" s="160" t="s">
        <v>212</v>
      </c>
      <c r="AA17" s="160">
        <v>2</v>
      </c>
      <c r="AB17" s="160">
        <v>1</v>
      </c>
      <c r="AC17" s="206">
        <v>2</v>
      </c>
      <c r="AD17" s="206">
        <v>1</v>
      </c>
      <c r="AE17" s="206">
        <v>1</v>
      </c>
      <c r="AF17" s="206" t="b">
        <v>1</v>
      </c>
      <c r="AG17" s="206">
        <f t="shared" si="3"/>
        <v>1</v>
      </c>
      <c r="AH17" s="206">
        <f t="shared" si="4"/>
        <v>0</v>
      </c>
      <c r="AI17" s="86">
        <f>IF(NOT(OR(Z17=1,Z17=2)),IF(AQ17&gt;0,$AR$44*AQ17/SUMIF($AQ$8:$AQ$39,"&gt;0"),IF(AU17&gt;0,$AV$44*AU17/SUMIF($AU$8:$AU$39,"&gt;0"),IF(AS17&gt;0,$AT$44*AS17/SUMIF($AS$8:$AS$39,"&gt;0"),""))),IF(SUMIF(AJ18:$AJ$39,"=" &amp; AJ17,AI18:$AI$39)=0,"",SUMIF(AJ18:$AJ$39,"=" &amp; AJ17,AI18:$AI$39)))</f>
        <v>0.3</v>
      </c>
      <c r="AJ17" s="87">
        <f t="shared" si="34"/>
        <v>2</v>
      </c>
      <c r="AK17" s="206">
        <f t="shared" si="27"/>
        <v>1</v>
      </c>
      <c r="AL17" s="160" t="str">
        <f t="shared" si="28"/>
        <v/>
      </c>
      <c r="AM17" s="160" t="str">
        <f t="shared" si="35"/>
        <v/>
      </c>
      <c r="AN17" s="160" t="str">
        <f t="shared" si="5"/>
        <v/>
      </c>
      <c r="AO17" s="160" t="str">
        <f t="shared" si="6"/>
        <v/>
      </c>
      <c r="AP17" s="206" t="b">
        <f t="shared" si="7"/>
        <v>1</v>
      </c>
      <c r="AQ17" s="157">
        <f t="shared" si="29"/>
        <v>3</v>
      </c>
      <c r="AR17" s="88" t="str">
        <f t="shared" si="8"/>
        <v/>
      </c>
      <c r="AS17" s="89">
        <f t="shared" si="30"/>
        <v>0</v>
      </c>
      <c r="AT17" s="88" t="str">
        <f t="shared" si="9"/>
        <v/>
      </c>
      <c r="AU17" s="158">
        <f t="shared" si="10"/>
        <v>0</v>
      </c>
      <c r="AV17" s="90" t="str">
        <f t="shared" si="11"/>
        <v/>
      </c>
      <c r="AW17" s="158" t="b">
        <f t="shared" si="12"/>
        <v>0</v>
      </c>
      <c r="AX17" s="159" t="b">
        <f t="shared" si="13"/>
        <v>1</v>
      </c>
      <c r="AY17" s="158" t="b">
        <f t="shared" si="14"/>
        <v>0</v>
      </c>
      <c r="AZ17" s="159" t="b">
        <f t="shared" si="15"/>
        <v>0</v>
      </c>
      <c r="BA17" s="206" t="b">
        <f t="shared" si="16"/>
        <v>0</v>
      </c>
      <c r="BB17" s="206" t="b">
        <f t="shared" si="17"/>
        <v>0</v>
      </c>
      <c r="BC17" s="158" t="b">
        <f t="shared" si="18"/>
        <v>0</v>
      </c>
      <c r="BD17" s="160" t="b">
        <f t="shared" si="31"/>
        <v>0</v>
      </c>
      <c r="BE17" s="159" t="b">
        <f t="shared" si="19"/>
        <v>0</v>
      </c>
      <c r="BF17" s="161" t="b">
        <f t="shared" si="20"/>
        <v>0</v>
      </c>
      <c r="BG17" s="206" t="b">
        <f t="shared" si="21"/>
        <v>1</v>
      </c>
      <c r="BH17" s="206">
        <f t="shared" si="32"/>
        <v>1</v>
      </c>
      <c r="BI17" s="206">
        <f t="shared" si="22"/>
        <v>1</v>
      </c>
      <c r="BJ17" s="206" t="str">
        <f t="shared" si="23"/>
        <v>1*</v>
      </c>
      <c r="BK17" s="206">
        <f t="shared" si="24"/>
        <v>2</v>
      </c>
      <c r="BL17" s="162">
        <f t="shared" si="33"/>
        <v>1</v>
      </c>
      <c r="BM17" s="206">
        <f t="shared" si="25"/>
        <v>1</v>
      </c>
      <c r="BN17" s="206">
        <f t="shared" si="26"/>
        <v>2</v>
      </c>
      <c r="BO17" s="106"/>
    </row>
    <row r="18" spans="2:73" s="105" customFormat="1" ht="12.95" customHeight="1" x14ac:dyDescent="0.2">
      <c r="B18" s="165">
        <f>IF(ISNA(Z18),"",IF(OR(Z18=1,Z18=2),"    ",MAX($B$8:B17)+1))</f>
        <v>8</v>
      </c>
      <c r="C18" s="1375" t="str">
        <f t="shared" si="0"/>
        <v xml:space="preserve">      - Limit Adherence  (15.0%)</v>
      </c>
      <c r="D18" s="1375"/>
      <c r="E18" s="1375"/>
      <c r="F18" s="1376"/>
      <c r="G18" s="152">
        <f t="shared" si="1"/>
        <v>1</v>
      </c>
      <c r="H18" s="153" t="str">
        <f t="shared" si="2"/>
        <v>1*</v>
      </c>
      <c r="I18" s="166">
        <f t="shared" si="2"/>
        <v>2</v>
      </c>
      <c r="J18" s="171"/>
      <c r="K18" s="168"/>
      <c r="L18" s="1075"/>
      <c r="M18" s="1076"/>
      <c r="N18" s="1076"/>
      <c r="O18" s="1076"/>
      <c r="P18" s="1076"/>
      <c r="Q18" s="1076"/>
      <c r="R18" s="1077"/>
      <c r="T18" s="119">
        <v>11</v>
      </c>
      <c r="U18" s="110" t="s">
        <v>296</v>
      </c>
      <c r="V18" s="206">
        <v>1</v>
      </c>
      <c r="W18" s="206">
        <v>1.5</v>
      </c>
      <c r="X18" s="206" t="s">
        <v>212</v>
      </c>
      <c r="Y18" s="206" t="s">
        <v>212</v>
      </c>
      <c r="Z18" s="160" t="s">
        <v>212</v>
      </c>
      <c r="AA18" s="160">
        <v>2</v>
      </c>
      <c r="AB18" s="160">
        <v>1</v>
      </c>
      <c r="AC18" s="206">
        <v>2</v>
      </c>
      <c r="AD18" s="206">
        <v>1</v>
      </c>
      <c r="AE18" s="206">
        <v>1</v>
      </c>
      <c r="AF18" s="206" t="b">
        <v>1</v>
      </c>
      <c r="AG18" s="206">
        <f t="shared" si="3"/>
        <v>1</v>
      </c>
      <c r="AH18" s="206">
        <f t="shared" si="4"/>
        <v>0</v>
      </c>
      <c r="AI18" s="86">
        <f>IF(NOT(OR(Z18=1,Z18=2)),IF(AQ18&gt;0,$AR$44*AQ18/SUMIF($AQ$8:$AQ$39,"&gt;0"),IF(AU18&gt;0,$AV$44*AU18/SUMIF($AU$8:$AU$39,"&gt;0"),IF(AS18&gt;0,$AT$44*AS18/SUMIF($AS$8:$AS$39,"&gt;0"),""))),IF(SUMIF(AJ19:$AJ$39,"=" &amp; AJ18,AI19:$AI$39)=0,"",SUMIF(AJ19:$AJ$39,"=" &amp; AJ18,AI19:$AI$39)))</f>
        <v>0.15</v>
      </c>
      <c r="AJ18" s="87">
        <f t="shared" si="34"/>
        <v>2</v>
      </c>
      <c r="AK18" s="206">
        <f t="shared" si="27"/>
        <v>1</v>
      </c>
      <c r="AL18" s="160" t="str">
        <f t="shared" si="28"/>
        <v/>
      </c>
      <c r="AM18" s="160" t="str">
        <f t="shared" si="35"/>
        <v/>
      </c>
      <c r="AN18" s="160" t="str">
        <f t="shared" si="5"/>
        <v/>
      </c>
      <c r="AO18" s="160" t="str">
        <f t="shared" si="6"/>
        <v/>
      </c>
      <c r="AP18" s="206" t="b">
        <f t="shared" si="7"/>
        <v>1</v>
      </c>
      <c r="AQ18" s="157">
        <f t="shared" si="29"/>
        <v>1.5</v>
      </c>
      <c r="AR18" s="88" t="str">
        <f t="shared" si="8"/>
        <v/>
      </c>
      <c r="AS18" s="89">
        <f t="shared" si="30"/>
        <v>0</v>
      </c>
      <c r="AT18" s="88" t="str">
        <f t="shared" si="9"/>
        <v/>
      </c>
      <c r="AU18" s="158">
        <f t="shared" si="10"/>
        <v>0</v>
      </c>
      <c r="AV18" s="90" t="str">
        <f t="shared" si="11"/>
        <v/>
      </c>
      <c r="AW18" s="158" t="b">
        <f t="shared" si="12"/>
        <v>0</v>
      </c>
      <c r="AX18" s="159" t="b">
        <f t="shared" si="13"/>
        <v>1</v>
      </c>
      <c r="AY18" s="158" t="b">
        <f t="shared" si="14"/>
        <v>0</v>
      </c>
      <c r="AZ18" s="159" t="b">
        <f t="shared" si="15"/>
        <v>0</v>
      </c>
      <c r="BA18" s="206" t="b">
        <f t="shared" si="16"/>
        <v>0</v>
      </c>
      <c r="BB18" s="206" t="b">
        <f t="shared" si="17"/>
        <v>0</v>
      </c>
      <c r="BC18" s="158" t="b">
        <f t="shared" si="18"/>
        <v>0</v>
      </c>
      <c r="BD18" s="160" t="b">
        <f t="shared" si="31"/>
        <v>0</v>
      </c>
      <c r="BE18" s="159" t="b">
        <f t="shared" si="19"/>
        <v>0</v>
      </c>
      <c r="BF18" s="161" t="b">
        <f t="shared" si="20"/>
        <v>0</v>
      </c>
      <c r="BG18" s="206" t="b">
        <f t="shared" si="21"/>
        <v>1</v>
      </c>
      <c r="BH18" s="206">
        <f t="shared" si="32"/>
        <v>1</v>
      </c>
      <c r="BI18" s="206">
        <f t="shared" si="22"/>
        <v>1</v>
      </c>
      <c r="BJ18" s="206" t="str">
        <f t="shared" si="23"/>
        <v>1*</v>
      </c>
      <c r="BK18" s="206">
        <f t="shared" si="24"/>
        <v>2</v>
      </c>
      <c r="BL18" s="162">
        <f t="shared" si="33"/>
        <v>1</v>
      </c>
      <c r="BM18" s="206">
        <f t="shared" si="25"/>
        <v>1</v>
      </c>
      <c r="BN18" s="206">
        <f t="shared" si="26"/>
        <v>2</v>
      </c>
      <c r="BO18" s="104"/>
      <c r="BP18" s="174" t="s">
        <v>223</v>
      </c>
      <c r="BQ18" s="175"/>
      <c r="BR18" s="175"/>
      <c r="BS18" s="175"/>
      <c r="BT18" s="175"/>
      <c r="BU18" s="175"/>
    </row>
    <row r="19" spans="2:73" s="105" customFormat="1" ht="12.95" customHeight="1" x14ac:dyDescent="0.2">
      <c r="B19" s="165">
        <f>IF(ISNA(Z19),"",IF(OR(Z19=1,Z19=2),"    ",MAX($B$8:B18)+1))</f>
        <v>9</v>
      </c>
      <c r="C19" s="1375" t="str">
        <f t="shared" si="0"/>
        <v xml:space="preserve">      - Data Collection (10.0%)</v>
      </c>
      <c r="D19" s="1375"/>
      <c r="E19" s="1375"/>
      <c r="F19" s="1376"/>
      <c r="G19" s="152">
        <f t="shared" si="1"/>
        <v>1</v>
      </c>
      <c r="H19" s="153" t="str">
        <f t="shared" si="2"/>
        <v>1</v>
      </c>
      <c r="I19" s="166">
        <f t="shared" si="2"/>
        <v>2</v>
      </c>
      <c r="J19" s="171"/>
      <c r="K19" s="168"/>
      <c r="L19" s="1075"/>
      <c r="M19" s="1076"/>
      <c r="N19" s="1076"/>
      <c r="O19" s="1076"/>
      <c r="P19" s="1076"/>
      <c r="Q19" s="1076"/>
      <c r="R19" s="1077"/>
      <c r="T19" s="119">
        <v>12</v>
      </c>
      <c r="U19" s="110" t="s">
        <v>279</v>
      </c>
      <c r="V19" s="206">
        <v>1</v>
      </c>
      <c r="W19" s="206">
        <v>1</v>
      </c>
      <c r="X19" s="206" t="s">
        <v>212</v>
      </c>
      <c r="Y19" s="206" t="s">
        <v>212</v>
      </c>
      <c r="Z19" s="160" t="s">
        <v>212</v>
      </c>
      <c r="AA19" s="160">
        <v>2</v>
      </c>
      <c r="AB19" s="160">
        <v>1</v>
      </c>
      <c r="AC19" s="206">
        <v>2</v>
      </c>
      <c r="AD19" s="206">
        <v>1</v>
      </c>
      <c r="AE19" s="206">
        <v>0</v>
      </c>
      <c r="AF19" s="206" t="b">
        <v>1</v>
      </c>
      <c r="AG19" s="206">
        <f t="shared" si="3"/>
        <v>1</v>
      </c>
      <c r="AH19" s="206">
        <f t="shared" si="4"/>
        <v>0</v>
      </c>
      <c r="AI19" s="86">
        <f>IF(NOT(OR(Z19=1,Z19=2)),IF(AQ19&gt;0,$AR$44*AQ19/SUMIF($AQ$8:$AQ$39,"&gt;0"),IF(AU19&gt;0,$AV$44*AU19/SUMIF($AU$8:$AU$39,"&gt;0"),IF(AS19&gt;0,$AT$44*AS19/SUMIF($AS$8:$AS$39,"&gt;0"),""))),IF(SUMIF(AJ20:$AJ$39,"=" &amp; AJ19,AI20:$AI$39)=0,"",SUMIF(AJ20:$AJ$39,"=" &amp; AJ19,AI20:$AI$39)))</f>
        <v>9.9999999999999992E-2</v>
      </c>
      <c r="AJ19" s="87">
        <f t="shared" si="34"/>
        <v>2</v>
      </c>
      <c r="AK19" s="206">
        <f t="shared" si="27"/>
        <v>1</v>
      </c>
      <c r="AL19" s="160" t="str">
        <f t="shared" si="28"/>
        <v/>
      </c>
      <c r="AM19" s="160" t="str">
        <f t="shared" si="35"/>
        <v/>
      </c>
      <c r="AN19" s="160" t="str">
        <f t="shared" si="5"/>
        <v/>
      </c>
      <c r="AO19" s="160" t="str">
        <f t="shared" si="6"/>
        <v/>
      </c>
      <c r="AP19" s="206" t="b">
        <f t="shared" si="7"/>
        <v>1</v>
      </c>
      <c r="AQ19" s="157">
        <f t="shared" si="29"/>
        <v>1</v>
      </c>
      <c r="AR19" s="88" t="str">
        <f t="shared" si="8"/>
        <v/>
      </c>
      <c r="AS19" s="89">
        <f t="shared" si="30"/>
        <v>0</v>
      </c>
      <c r="AT19" s="88" t="str">
        <f t="shared" si="9"/>
        <v/>
      </c>
      <c r="AU19" s="158">
        <f t="shared" si="10"/>
        <v>0</v>
      </c>
      <c r="AV19" s="90" t="str">
        <f t="shared" si="11"/>
        <v/>
      </c>
      <c r="AW19" s="158" t="b">
        <f t="shared" si="12"/>
        <v>0</v>
      </c>
      <c r="AX19" s="159" t="b">
        <f t="shared" si="13"/>
        <v>1</v>
      </c>
      <c r="AY19" s="158" t="b">
        <f t="shared" si="14"/>
        <v>0</v>
      </c>
      <c r="AZ19" s="159" t="b">
        <f t="shared" si="15"/>
        <v>0</v>
      </c>
      <c r="BA19" s="206" t="b">
        <f t="shared" si="16"/>
        <v>0</v>
      </c>
      <c r="BB19" s="206" t="b">
        <f t="shared" si="17"/>
        <v>0</v>
      </c>
      <c r="BC19" s="158" t="b">
        <f t="shared" si="18"/>
        <v>0</v>
      </c>
      <c r="BD19" s="160" t="b">
        <f t="shared" si="31"/>
        <v>0</v>
      </c>
      <c r="BE19" s="159" t="b">
        <f t="shared" si="19"/>
        <v>0</v>
      </c>
      <c r="BF19" s="161" t="b">
        <f t="shared" si="20"/>
        <v>0</v>
      </c>
      <c r="BG19" s="206" t="b">
        <f t="shared" si="21"/>
        <v>1</v>
      </c>
      <c r="BH19" s="206">
        <f t="shared" si="32"/>
        <v>1</v>
      </c>
      <c r="BI19" s="206">
        <f t="shared" si="22"/>
        <v>1</v>
      </c>
      <c r="BJ19" s="206" t="str">
        <f t="shared" si="23"/>
        <v>1</v>
      </c>
      <c r="BK19" s="206">
        <f t="shared" si="24"/>
        <v>2</v>
      </c>
      <c r="BL19" s="162">
        <f t="shared" si="33"/>
        <v>1</v>
      </c>
      <c r="BM19" s="206">
        <f t="shared" si="25"/>
        <v>1</v>
      </c>
      <c r="BN19" s="206">
        <f t="shared" si="26"/>
        <v>2</v>
      </c>
      <c r="BO19" s="104"/>
      <c r="BP19" s="164"/>
      <c r="BQ19" s="1386" t="s">
        <v>224</v>
      </c>
      <c r="BR19" s="1386"/>
      <c r="BS19" s="1386"/>
      <c r="BT19" s="1386"/>
      <c r="BU19" s="1386"/>
    </row>
    <row r="20" spans="2:73" s="105" customFormat="1" ht="12.95" customHeight="1" x14ac:dyDescent="0.2">
      <c r="B20" s="165">
        <f>IF(ISNA(Z20),"",IF(OR(Z20=1,Z20=2),"    ",MAX($B$8:B19)+1))</f>
        <v>10</v>
      </c>
      <c r="C20" s="1375" t="str">
        <f t="shared" si="0"/>
        <v xml:space="preserve">      - Debrief</v>
      </c>
      <c r="D20" s="1375"/>
      <c r="E20" s="1375"/>
      <c r="F20" s="1376"/>
      <c r="G20" s="152">
        <f t="shared" si="1"/>
        <v>1</v>
      </c>
      <c r="H20" s="153" t="str">
        <f t="shared" si="2"/>
        <v>NG</v>
      </c>
      <c r="I20" s="166" t="str">
        <f t="shared" si="2"/>
        <v/>
      </c>
      <c r="J20" s="171"/>
      <c r="K20" s="168"/>
      <c r="L20" s="1075"/>
      <c r="M20" s="1076"/>
      <c r="N20" s="1076"/>
      <c r="O20" s="1076"/>
      <c r="P20" s="1076"/>
      <c r="Q20" s="1076"/>
      <c r="R20" s="1077"/>
      <c r="T20" s="119">
        <v>13</v>
      </c>
      <c r="U20" s="110" t="s">
        <v>280</v>
      </c>
      <c r="V20" s="206">
        <v>1</v>
      </c>
      <c r="W20" s="206" t="s">
        <v>212</v>
      </c>
      <c r="X20" s="206" t="s">
        <v>212</v>
      </c>
      <c r="Y20" s="206" t="s">
        <v>212</v>
      </c>
      <c r="Z20" s="160" t="s">
        <v>212</v>
      </c>
      <c r="AA20" s="160">
        <v>2</v>
      </c>
      <c r="AB20" s="160">
        <v>1</v>
      </c>
      <c r="AC20" s="206" t="s">
        <v>212</v>
      </c>
      <c r="AD20" s="206" t="s">
        <v>225</v>
      </c>
      <c r="AE20" s="206" t="s">
        <v>212</v>
      </c>
      <c r="AF20" s="206" t="b">
        <v>1</v>
      </c>
      <c r="AG20" s="206" t="str">
        <f t="shared" si="3"/>
        <v>NG</v>
      </c>
      <c r="AH20" s="206" t="str">
        <f t="shared" si="4"/>
        <v/>
      </c>
      <c r="AI20" s="86" t="str">
        <f>IF(NOT(OR(Z20=1,Z20=2)),IF(AQ20&gt;0,$AR$44*AQ20/SUMIF($AQ$8:$AQ$39,"&gt;0"),IF(AU20&gt;0,$AV$44*AU20/SUMIF($AU$8:$AU$39,"&gt;0"),IF(AS20&gt;0,$AT$44*AS20/SUMIF($AS$8:$AS$39,"&gt;0"),""))),IF(SUMIF(AJ21:$AJ$39,"=" &amp; AJ20,AI21:$AI$39)=0,"",SUMIF(AJ21:$AJ$39,"=" &amp; AJ20,AI21:$AI$39)))</f>
        <v/>
      </c>
      <c r="AJ20" s="87">
        <f t="shared" si="34"/>
        <v>2</v>
      </c>
      <c r="AK20" s="206" t="str">
        <f t="shared" si="27"/>
        <v>NG</v>
      </c>
      <c r="AL20" s="160" t="str">
        <f t="shared" si="28"/>
        <v/>
      </c>
      <c r="AM20" s="160" t="str">
        <f t="shared" si="35"/>
        <v/>
      </c>
      <c r="AN20" s="160" t="str">
        <f t="shared" si="5"/>
        <v/>
      </c>
      <c r="AO20" s="160" t="str">
        <f t="shared" si="6"/>
        <v/>
      </c>
      <c r="AP20" s="206" t="str">
        <f t="shared" si="7"/>
        <v/>
      </c>
      <c r="AQ20" s="157">
        <f t="shared" si="29"/>
        <v>0</v>
      </c>
      <c r="AR20" s="88" t="str">
        <f t="shared" si="8"/>
        <v/>
      </c>
      <c r="AS20" s="89">
        <f t="shared" si="30"/>
        <v>0</v>
      </c>
      <c r="AT20" s="88" t="str">
        <f t="shared" si="9"/>
        <v/>
      </c>
      <c r="AU20" s="158">
        <f t="shared" si="10"/>
        <v>0</v>
      </c>
      <c r="AV20" s="90" t="str">
        <f t="shared" si="11"/>
        <v/>
      </c>
      <c r="AW20" s="158" t="b">
        <f t="shared" si="12"/>
        <v>0</v>
      </c>
      <c r="AX20" s="159" t="b">
        <f t="shared" si="13"/>
        <v>1</v>
      </c>
      <c r="AY20" s="158" t="b">
        <f t="shared" si="14"/>
        <v>0</v>
      </c>
      <c r="AZ20" s="159" t="b">
        <f t="shared" si="15"/>
        <v>0</v>
      </c>
      <c r="BA20" s="206" t="b">
        <f t="shared" si="16"/>
        <v>0</v>
      </c>
      <c r="BB20" s="206" t="b">
        <f t="shared" si="17"/>
        <v>0</v>
      </c>
      <c r="BC20" s="158" t="b">
        <f t="shared" si="18"/>
        <v>0</v>
      </c>
      <c r="BD20" s="160" t="b">
        <f t="shared" si="31"/>
        <v>0</v>
      </c>
      <c r="BE20" s="159" t="b">
        <f t="shared" si="19"/>
        <v>0</v>
      </c>
      <c r="BF20" s="161" t="b">
        <f t="shared" si="20"/>
        <v>0</v>
      </c>
      <c r="BG20" s="206" t="b">
        <f t="shared" si="21"/>
        <v>1</v>
      </c>
      <c r="BH20" s="206">
        <f t="shared" si="32"/>
        <v>1</v>
      </c>
      <c r="BI20" s="206" t="str">
        <f t="shared" si="22"/>
        <v>NG</v>
      </c>
      <c r="BJ20" s="206" t="str">
        <f t="shared" si="23"/>
        <v>NG</v>
      </c>
      <c r="BK20" s="206" t="str">
        <f t="shared" si="24"/>
        <v/>
      </c>
      <c r="BL20" s="162">
        <f t="shared" si="33"/>
        <v>1</v>
      </c>
      <c r="BM20" s="206" t="str">
        <f t="shared" si="25"/>
        <v>D</v>
      </c>
      <c r="BN20" s="206" t="str">
        <f t="shared" si="26"/>
        <v>D</v>
      </c>
      <c r="BO20" s="104"/>
      <c r="BP20" s="104"/>
      <c r="BQ20" s="104">
        <v>0</v>
      </c>
      <c r="BR20" s="104">
        <v>1</v>
      </c>
      <c r="BS20" s="104">
        <v>2</v>
      </c>
      <c r="BT20" s="104">
        <v>3</v>
      </c>
      <c r="BU20" s="104">
        <v>4</v>
      </c>
    </row>
    <row r="21" spans="2:73" s="105" customFormat="1" ht="12.95" customHeight="1" x14ac:dyDescent="0.2">
      <c r="B21" s="165" t="str">
        <f>IF(ISNA(Z21),"",IF(OR(Z21=1,Z21=2),"    ",MAX($B$8:B20)+1))</f>
        <v xml:space="preserve">    </v>
      </c>
      <c r="C21" s="1375" t="str">
        <f t="shared" si="0"/>
        <v>Specific Learning Objective Items (10.0%)</v>
      </c>
      <c r="D21" s="1375"/>
      <c r="E21" s="1375"/>
      <c r="F21" s="1376"/>
      <c r="G21" s="152" t="str">
        <f t="shared" si="1"/>
        <v/>
      </c>
      <c r="H21" s="153" t="str">
        <f t="shared" si="2"/>
        <v/>
      </c>
      <c r="I21" s="166" t="str">
        <f t="shared" si="2"/>
        <v/>
      </c>
      <c r="J21" s="172"/>
      <c r="K21" s="173"/>
      <c r="L21" s="1075"/>
      <c r="M21" s="1076"/>
      <c r="N21" s="1076"/>
      <c r="O21" s="1076"/>
      <c r="P21" s="1076"/>
      <c r="Q21" s="1076"/>
      <c r="R21" s="1077"/>
      <c r="T21" s="119">
        <v>14</v>
      </c>
      <c r="U21" s="110" t="s">
        <v>281</v>
      </c>
      <c r="V21" s="206" t="s">
        <v>212</v>
      </c>
      <c r="W21" s="206" t="s">
        <v>212</v>
      </c>
      <c r="X21" s="206" t="s">
        <v>212</v>
      </c>
      <c r="Y21" s="206" t="s">
        <v>212</v>
      </c>
      <c r="Z21" s="160">
        <v>2</v>
      </c>
      <c r="AA21" s="160">
        <v>1</v>
      </c>
      <c r="AB21" s="160">
        <v>1</v>
      </c>
      <c r="AC21" s="206" t="s">
        <v>212</v>
      </c>
      <c r="AD21" s="206" t="s">
        <v>212</v>
      </c>
      <c r="AE21" s="206" t="s">
        <v>212</v>
      </c>
      <c r="AF21" s="206" t="s">
        <v>212</v>
      </c>
      <c r="AG21" s="206" t="str">
        <f t="shared" si="3"/>
        <v/>
      </c>
      <c r="AH21" s="206" t="str">
        <f t="shared" si="4"/>
        <v/>
      </c>
      <c r="AI21" s="86">
        <f>IF(NOT(OR(Z21=1,Z21=2)),IF(AQ21&gt;0,$AR$44*AQ21/SUMIF($AQ$8:$AQ$39,"&gt;0"),IF(AU21&gt;0,$AV$44*AU21/SUMIF($AU$8:$AU$39,"&gt;0"),IF(AS21&gt;0,$AT$44*AS21/SUMIF($AS$8:$AS$39,"&gt;0"),""))),IF(SUMIF(AJ22:$AJ$39,"=" &amp; AJ21,AI22:$AI$39)=0,"",SUMIF(AJ22:$AJ$39,"=" &amp; AJ21,AI22:$AI$39)))</f>
        <v>9.9999999999999992E-2</v>
      </c>
      <c r="AJ21" s="87">
        <f t="shared" si="34"/>
        <v>3</v>
      </c>
      <c r="AK21" s="206" t="str">
        <f t="shared" si="27"/>
        <v/>
      </c>
      <c r="AL21" s="160" t="str">
        <f t="shared" si="28"/>
        <v/>
      </c>
      <c r="AM21" s="160" t="str">
        <f t="shared" si="35"/>
        <v/>
      </c>
      <c r="AN21" s="160" t="str">
        <f t="shared" si="5"/>
        <v/>
      </c>
      <c r="AO21" s="160" t="str">
        <f t="shared" si="6"/>
        <v/>
      </c>
      <c r="AP21" s="206" t="str">
        <f t="shared" si="7"/>
        <v/>
      </c>
      <c r="AQ21" s="157">
        <f t="shared" si="29"/>
        <v>0</v>
      </c>
      <c r="AR21" s="88" t="str">
        <f t="shared" si="8"/>
        <v/>
      </c>
      <c r="AS21" s="89">
        <f t="shared" si="30"/>
        <v>0</v>
      </c>
      <c r="AT21" s="88" t="str">
        <f t="shared" si="9"/>
        <v/>
      </c>
      <c r="AU21" s="158">
        <f t="shared" si="10"/>
        <v>0</v>
      </c>
      <c r="AV21" s="90" t="str">
        <f t="shared" si="11"/>
        <v/>
      </c>
      <c r="AW21" s="158" t="b">
        <f t="shared" si="12"/>
        <v>0</v>
      </c>
      <c r="AX21" s="159" t="b">
        <f t="shared" si="13"/>
        <v>0</v>
      </c>
      <c r="AY21" s="158" t="b">
        <f t="shared" si="14"/>
        <v>0</v>
      </c>
      <c r="AZ21" s="159" t="b">
        <f t="shared" si="15"/>
        <v>0</v>
      </c>
      <c r="BA21" s="206" t="b">
        <f t="shared" si="16"/>
        <v>0</v>
      </c>
      <c r="BB21" s="206" t="b">
        <f t="shared" si="17"/>
        <v>0</v>
      </c>
      <c r="BC21" s="158" t="b">
        <f t="shared" si="18"/>
        <v>0</v>
      </c>
      <c r="BD21" s="160" t="b">
        <f t="shared" si="31"/>
        <v>0</v>
      </c>
      <c r="BE21" s="159" t="b">
        <f t="shared" si="19"/>
        <v>0</v>
      </c>
      <c r="BF21" s="161" t="b">
        <f t="shared" si="20"/>
        <v>0</v>
      </c>
      <c r="BG21" s="206" t="b">
        <f t="shared" si="21"/>
        <v>0</v>
      </c>
      <c r="BH21" s="206" t="str">
        <f t="shared" si="32"/>
        <v/>
      </c>
      <c r="BI21" s="206" t="str">
        <f t="shared" si="22"/>
        <v/>
      </c>
      <c r="BJ21" s="206" t="str">
        <f t="shared" si="23"/>
        <v/>
      </c>
      <c r="BK21" s="206" t="str">
        <f t="shared" si="24"/>
        <v/>
      </c>
      <c r="BL21" s="162" t="str">
        <f t="shared" si="33"/>
        <v/>
      </c>
      <c r="BM21" s="206" t="str">
        <f t="shared" si="25"/>
        <v/>
      </c>
      <c r="BN21" s="206" t="str">
        <f t="shared" si="26"/>
        <v/>
      </c>
      <c r="BO21" s="1387" t="s">
        <v>226</v>
      </c>
      <c r="BP21" s="104" t="s">
        <v>227</v>
      </c>
      <c r="BQ21" s="91">
        <f t="shared" ref="BQ21:BU29" si="36">AR50</f>
        <v>0.7</v>
      </c>
      <c r="BR21" s="92">
        <f t="shared" si="36"/>
        <v>0.9</v>
      </c>
      <c r="BS21" s="92">
        <f t="shared" si="36"/>
        <v>0.93330000000000002</v>
      </c>
      <c r="BT21" s="92">
        <f t="shared" si="36"/>
        <v>0.9667</v>
      </c>
      <c r="BU21" s="93">
        <f t="shared" si="36"/>
        <v>1</v>
      </c>
    </row>
    <row r="22" spans="2:73" s="105" customFormat="1" ht="12.95" customHeight="1" x14ac:dyDescent="0.2">
      <c r="B22" s="165">
        <f>IF(ISNA(Z22),"",IF(OR(Z22=1,Z22=2),"    ",MAX($B$8:B21)+1))</f>
        <v>11</v>
      </c>
      <c r="C22" s="1375" t="str">
        <f t="shared" si="0"/>
        <v xml:space="preserve">      - Simulated EP Response (10.0%)</v>
      </c>
      <c r="D22" s="1375"/>
      <c r="E22" s="1375"/>
      <c r="F22" s="1376"/>
      <c r="G22" s="152">
        <f t="shared" si="1"/>
        <v>1</v>
      </c>
      <c r="H22" s="153" t="str">
        <f t="shared" si="2"/>
        <v>1</v>
      </c>
      <c r="I22" s="166">
        <f t="shared" si="2"/>
        <v>2</v>
      </c>
      <c r="J22" s="171"/>
      <c r="K22" s="168"/>
      <c r="L22" s="1075"/>
      <c r="M22" s="1076"/>
      <c r="N22" s="1076"/>
      <c r="O22" s="1076"/>
      <c r="P22" s="1076"/>
      <c r="Q22" s="1076"/>
      <c r="R22" s="1077"/>
      <c r="T22" s="119">
        <v>15</v>
      </c>
      <c r="U22" s="110" t="s">
        <v>297</v>
      </c>
      <c r="V22" s="206">
        <v>1</v>
      </c>
      <c r="W22" s="206">
        <v>1</v>
      </c>
      <c r="X22" s="206" t="s">
        <v>212</v>
      </c>
      <c r="Y22" s="206" t="s">
        <v>212</v>
      </c>
      <c r="Z22" s="160" t="s">
        <v>212</v>
      </c>
      <c r="AA22" s="160">
        <v>2</v>
      </c>
      <c r="AB22" s="160">
        <v>1</v>
      </c>
      <c r="AC22" s="206">
        <v>2</v>
      </c>
      <c r="AD22" s="206">
        <v>1</v>
      </c>
      <c r="AE22" s="206">
        <v>0</v>
      </c>
      <c r="AF22" s="206" t="b">
        <v>1</v>
      </c>
      <c r="AG22" s="206">
        <f t="shared" si="3"/>
        <v>1</v>
      </c>
      <c r="AH22" s="206">
        <f t="shared" si="4"/>
        <v>0</v>
      </c>
      <c r="AI22" s="86">
        <f>IF(NOT(OR(Z22=1,Z22=2)),IF(AQ22&gt;0,$AR$44*AQ22/SUMIF($AQ$8:$AQ$39,"&gt;0"),IF(AU22&gt;0,$AV$44*AU22/SUMIF($AU$8:$AU$39,"&gt;0"),IF(AS22&gt;0,$AT$44*AS22/SUMIF($AS$8:$AS$39,"&gt;0"),""))),IF(SUMIF(AJ23:$AJ$39,"=" &amp; AJ22,AI23:$AI$39)=0,"",SUMIF(AJ23:$AJ$39,"=" &amp; AJ22,AI23:$AI$39)))</f>
        <v>9.9999999999999992E-2</v>
      </c>
      <c r="AJ22" s="87">
        <f t="shared" si="34"/>
        <v>3</v>
      </c>
      <c r="AK22" s="206">
        <f t="shared" si="27"/>
        <v>1</v>
      </c>
      <c r="AL22" s="160" t="str">
        <f t="shared" si="28"/>
        <v/>
      </c>
      <c r="AM22" s="160" t="str">
        <f t="shared" si="35"/>
        <v/>
      </c>
      <c r="AN22" s="160" t="str">
        <f t="shared" si="5"/>
        <v/>
      </c>
      <c r="AO22" s="160" t="str">
        <f t="shared" si="6"/>
        <v/>
      </c>
      <c r="AP22" s="206" t="b">
        <f t="shared" si="7"/>
        <v>1</v>
      </c>
      <c r="AQ22" s="157">
        <f t="shared" si="29"/>
        <v>1</v>
      </c>
      <c r="AR22" s="88" t="str">
        <f t="shared" si="8"/>
        <v/>
      </c>
      <c r="AS22" s="89">
        <f t="shared" si="30"/>
        <v>0</v>
      </c>
      <c r="AT22" s="88" t="str">
        <f t="shared" si="9"/>
        <v/>
      </c>
      <c r="AU22" s="158">
        <f t="shared" si="10"/>
        <v>0</v>
      </c>
      <c r="AV22" s="90" t="str">
        <f t="shared" si="11"/>
        <v/>
      </c>
      <c r="AW22" s="158" t="b">
        <f t="shared" si="12"/>
        <v>0</v>
      </c>
      <c r="AX22" s="159" t="b">
        <f t="shared" si="13"/>
        <v>1</v>
      </c>
      <c r="AY22" s="158" t="b">
        <f t="shared" si="14"/>
        <v>0</v>
      </c>
      <c r="AZ22" s="159" t="b">
        <f t="shared" si="15"/>
        <v>0</v>
      </c>
      <c r="BA22" s="206" t="b">
        <f t="shared" si="16"/>
        <v>0</v>
      </c>
      <c r="BB22" s="206" t="b">
        <f t="shared" si="17"/>
        <v>0</v>
      </c>
      <c r="BC22" s="158" t="b">
        <f t="shared" si="18"/>
        <v>0</v>
      </c>
      <c r="BD22" s="160" t="b">
        <f t="shared" si="31"/>
        <v>0</v>
      </c>
      <c r="BE22" s="159" t="b">
        <f>IF(OR(ISNA($Z22),K22&lt;&gt;"D"),FALSE,IF(OR(AND(H22="NG",J22=0),AND(H22&lt;&gt;"NG",NOT(OR(J22="NA",J22=0)))),TRUE,FALSE))</f>
        <v>0</v>
      </c>
      <c r="BF22" s="161" t="b">
        <f t="shared" si="20"/>
        <v>0</v>
      </c>
      <c r="BG22" s="206" t="b">
        <f>IF(ISNA($Z22),"NA",IF(OR(AZ22,AY22,AX22,AW22,AP22,BA22,BB22),TRUE,FALSE))</f>
        <v>1</v>
      </c>
      <c r="BH22" s="206">
        <f t="shared" si="32"/>
        <v>1</v>
      </c>
      <c r="BI22" s="206">
        <f t="shared" si="22"/>
        <v>1</v>
      </c>
      <c r="BJ22" s="206" t="str">
        <f t="shared" si="23"/>
        <v>1</v>
      </c>
      <c r="BK22" s="206">
        <f t="shared" si="24"/>
        <v>2</v>
      </c>
      <c r="BL22" s="162">
        <f t="shared" si="33"/>
        <v>1</v>
      </c>
      <c r="BM22" s="206">
        <f t="shared" si="25"/>
        <v>1</v>
      </c>
      <c r="BN22" s="206">
        <f t="shared" si="26"/>
        <v>2</v>
      </c>
      <c r="BO22" s="1387"/>
      <c r="BP22" s="104" t="s">
        <v>228</v>
      </c>
      <c r="BQ22" s="94">
        <f t="shared" si="36"/>
        <v>0.7</v>
      </c>
      <c r="BR22" s="95">
        <f t="shared" si="36"/>
        <v>0.8</v>
      </c>
      <c r="BS22" s="95">
        <f t="shared" si="36"/>
        <v>0.9</v>
      </c>
      <c r="BT22" s="95">
        <f t="shared" si="36"/>
        <v>0.95</v>
      </c>
      <c r="BU22" s="96">
        <f t="shared" si="36"/>
        <v>1</v>
      </c>
    </row>
    <row r="23" spans="2:73" s="105" customFormat="1" ht="12.95" customHeight="1" x14ac:dyDescent="0.2">
      <c r="B23" s="165" t="str">
        <f>IF(ISNA(Z23),"",IF(OR(Z23=1,Z23=2),"    ",MAX($B$8:B22)+1))</f>
        <v/>
      </c>
      <c r="C23" s="1375" t="str">
        <f t="shared" si="0"/>
        <v/>
      </c>
      <c r="D23" s="1375"/>
      <c r="E23" s="1375"/>
      <c r="F23" s="1376"/>
      <c r="G23" s="152" t="str">
        <f t="shared" si="1"/>
        <v/>
      </c>
      <c r="H23" s="153" t="str">
        <f t="shared" si="2"/>
        <v/>
      </c>
      <c r="I23" s="166" t="str">
        <f t="shared" si="2"/>
        <v/>
      </c>
      <c r="J23" s="172"/>
      <c r="K23" s="173"/>
      <c r="L23" s="1075"/>
      <c r="M23" s="1076"/>
      <c r="N23" s="1076"/>
      <c r="O23" s="1076"/>
      <c r="P23" s="1076"/>
      <c r="Q23" s="1076"/>
      <c r="R23" s="1077"/>
      <c r="T23" s="119">
        <v>16</v>
      </c>
      <c r="U23" s="110" t="e">
        <v>#N/A</v>
      </c>
      <c r="V23" s="206" t="e">
        <v>#N/A</v>
      </c>
      <c r="W23" s="206" t="e">
        <v>#N/A</v>
      </c>
      <c r="X23" s="206" t="e">
        <v>#N/A</v>
      </c>
      <c r="Y23" s="206" t="e">
        <v>#N/A</v>
      </c>
      <c r="Z23" s="160" t="e">
        <v>#N/A</v>
      </c>
      <c r="AA23" s="160" t="e">
        <v>#N/A</v>
      </c>
      <c r="AB23" s="160" t="e">
        <v>#N/A</v>
      </c>
      <c r="AC23" s="206" t="e">
        <v>#N/A</v>
      </c>
      <c r="AD23" s="206" t="e">
        <v>#N/A</v>
      </c>
      <c r="AE23" s="206" t="e">
        <v>#N/A</v>
      </c>
      <c r="AF23" s="206" t="e">
        <v>#N/A</v>
      </c>
      <c r="AG23" s="206" t="e">
        <f t="shared" si="3"/>
        <v>#N/A</v>
      </c>
      <c r="AH23" s="206" t="str">
        <f t="shared" si="4"/>
        <v/>
      </c>
      <c r="AI23" s="86" t="e">
        <f>IF(NOT(OR(Z23=1,Z23=2)),IF(AQ23&gt;0,$AR$44*AQ23/SUMIF($AQ$8:$AQ$39,"&gt;0"),IF(AU23&gt;0,$AV$44*AU23/SUMIF($AU$8:$AU$39,"&gt;0"),IF(AS23&gt;0,$AT$44*AS23/SUMIF($AS$8:$AS$39,"&gt;0"),""))),IF(SUMIF(AJ24:$AJ$39,"=" &amp; AJ23,AI24:$AI$39)=0,"",SUMIF(AJ24:$AJ$39,"=" &amp; AJ23,AI24:$AI$39)))</f>
        <v>#N/A</v>
      </c>
      <c r="AJ23" s="87" t="e">
        <f t="shared" si="34"/>
        <v>#N/A</v>
      </c>
      <c r="AK23" s="206" t="str">
        <f t="shared" si="27"/>
        <v/>
      </c>
      <c r="AL23" s="160" t="str">
        <f t="shared" si="28"/>
        <v/>
      </c>
      <c r="AM23" s="160" t="str">
        <f t="shared" si="35"/>
        <v/>
      </c>
      <c r="AN23" s="160" t="str">
        <f t="shared" si="5"/>
        <v/>
      </c>
      <c r="AO23" s="160" t="e">
        <f t="shared" si="6"/>
        <v>#N/A</v>
      </c>
      <c r="AP23" s="206" t="str">
        <f t="shared" si="7"/>
        <v/>
      </c>
      <c r="AQ23" s="157">
        <f t="shared" si="29"/>
        <v>0</v>
      </c>
      <c r="AR23" s="88" t="str">
        <f t="shared" si="8"/>
        <v/>
      </c>
      <c r="AS23" s="89">
        <f t="shared" si="30"/>
        <v>0</v>
      </c>
      <c r="AT23" s="88" t="str">
        <f t="shared" si="9"/>
        <v/>
      </c>
      <c r="AU23" s="158">
        <f t="shared" si="10"/>
        <v>0</v>
      </c>
      <c r="AV23" s="90" t="str">
        <f t="shared" si="11"/>
        <v/>
      </c>
      <c r="AW23" s="158" t="b">
        <f t="shared" si="12"/>
        <v>0</v>
      </c>
      <c r="AX23" s="159" t="b">
        <f t="shared" si="13"/>
        <v>0</v>
      </c>
      <c r="AY23" s="158" t="b">
        <f t="shared" si="14"/>
        <v>0</v>
      </c>
      <c r="AZ23" s="159" t="b">
        <f t="shared" si="15"/>
        <v>0</v>
      </c>
      <c r="BA23" s="206" t="b">
        <f t="shared" si="16"/>
        <v>0</v>
      </c>
      <c r="BB23" s="206" t="b">
        <f t="shared" si="17"/>
        <v>0</v>
      </c>
      <c r="BC23" s="158" t="b">
        <f t="shared" si="18"/>
        <v>0</v>
      </c>
      <c r="BD23" s="160" t="b">
        <f t="shared" si="31"/>
        <v>0</v>
      </c>
      <c r="BE23" s="159" t="b">
        <f t="shared" ref="BE23:BE39" si="37">IF(OR(ISNA($Z23),K23&lt;&gt;"D"),FALSE,IF(OR(AND(H23="NG",J23=0),AND(H23&lt;&gt;"NG",NOT(OR(J23="NA",J23=0)))),TRUE,FALSE))</f>
        <v>0</v>
      </c>
      <c r="BF23" s="161" t="b">
        <f t="shared" si="20"/>
        <v>0</v>
      </c>
      <c r="BG23" s="206" t="str">
        <f t="shared" ref="BG23:BG39" si="38">IF(ISNA($Z23),"NA",IF(OR(AZ23,AY23,AX23,AW23,AP23,BA23,BB23),TRUE,FALSE))</f>
        <v>NA</v>
      </c>
      <c r="BH23" s="206" t="str">
        <f t="shared" si="32"/>
        <v/>
      </c>
      <c r="BI23" s="206" t="str">
        <f t="shared" si="22"/>
        <v/>
      </c>
      <c r="BJ23" s="206" t="str">
        <f t="shared" si="23"/>
        <v/>
      </c>
      <c r="BK23" s="206" t="str">
        <f t="shared" si="24"/>
        <v/>
      </c>
      <c r="BL23" s="162" t="str">
        <f t="shared" si="33"/>
        <v/>
      </c>
      <c r="BM23" s="206" t="str">
        <f t="shared" si="25"/>
        <v/>
      </c>
      <c r="BN23" s="206" t="str">
        <f t="shared" si="26"/>
        <v/>
      </c>
      <c r="BO23" s="1387"/>
      <c r="BP23" s="104" t="s">
        <v>229</v>
      </c>
      <c r="BQ23" s="94">
        <f t="shared" si="36"/>
        <v>0.7</v>
      </c>
      <c r="BR23" s="95">
        <f t="shared" si="36"/>
        <v>0.76670000000000005</v>
      </c>
      <c r="BS23" s="95">
        <f t="shared" si="36"/>
        <v>0.83330000000000004</v>
      </c>
      <c r="BT23" s="95">
        <f t="shared" si="36"/>
        <v>0.9</v>
      </c>
      <c r="BU23" s="96">
        <f t="shared" si="36"/>
        <v>1</v>
      </c>
    </row>
    <row r="24" spans="2:73" s="105" customFormat="1" ht="12.95" customHeight="1" x14ac:dyDescent="0.2">
      <c r="B24" s="165" t="str">
        <f>IF(ISNA(Z24),"",IF(OR(Z24=1,Z24=2),"    ",MAX($B$8:B23)+1))</f>
        <v/>
      </c>
      <c r="C24" s="1375" t="str">
        <f t="shared" si="0"/>
        <v/>
      </c>
      <c r="D24" s="1375"/>
      <c r="E24" s="1375"/>
      <c r="F24" s="1376"/>
      <c r="G24" s="152" t="str">
        <f t="shared" si="1"/>
        <v/>
      </c>
      <c r="H24" s="153" t="str">
        <f t="shared" si="2"/>
        <v/>
      </c>
      <c r="I24" s="166" t="str">
        <f t="shared" si="2"/>
        <v/>
      </c>
      <c r="J24" s="172"/>
      <c r="K24" s="173"/>
      <c r="L24" s="1075"/>
      <c r="M24" s="1076"/>
      <c r="N24" s="1076"/>
      <c r="O24" s="1076"/>
      <c r="P24" s="1076"/>
      <c r="Q24" s="1076"/>
      <c r="R24" s="1077"/>
      <c r="T24" s="119">
        <v>17</v>
      </c>
      <c r="U24" s="110" t="e">
        <v>#N/A</v>
      </c>
      <c r="V24" s="206" t="e">
        <v>#N/A</v>
      </c>
      <c r="W24" s="206" t="e">
        <v>#N/A</v>
      </c>
      <c r="X24" s="206" t="e">
        <v>#N/A</v>
      </c>
      <c r="Y24" s="206" t="e">
        <v>#N/A</v>
      </c>
      <c r="Z24" s="160" t="e">
        <v>#N/A</v>
      </c>
      <c r="AA24" s="160" t="e">
        <v>#N/A</v>
      </c>
      <c r="AB24" s="160" t="e">
        <v>#N/A</v>
      </c>
      <c r="AC24" s="206" t="e">
        <v>#N/A</v>
      </c>
      <c r="AD24" s="206" t="e">
        <v>#N/A</v>
      </c>
      <c r="AE24" s="206" t="e">
        <v>#N/A</v>
      </c>
      <c r="AF24" s="206" t="e">
        <v>#N/A</v>
      </c>
      <c r="AG24" s="206" t="e">
        <f t="shared" si="3"/>
        <v>#N/A</v>
      </c>
      <c r="AH24" s="206" t="str">
        <f t="shared" si="4"/>
        <v/>
      </c>
      <c r="AI24" s="86" t="e">
        <f>IF(NOT(OR(Z24=1,Z24=2)),IF(AQ24&gt;0,$AR$44*AQ24/SUMIF($AQ$8:$AQ$39,"&gt;0"),IF(AU24&gt;0,$AV$44*AU24/SUMIF($AU$8:$AU$39,"&gt;0"),IF(AS24&gt;0,$AT$44*AS24/SUMIF($AS$8:$AS$39,"&gt;0"),""))),IF(SUMIF(AJ25:$AJ$39,"=" &amp; AJ24,AI25:$AI$39)=0,"",SUMIF(AJ25:$AJ$39,"=" &amp; AJ24,AI25:$AI$39)))</f>
        <v>#N/A</v>
      </c>
      <c r="AJ24" s="87" t="e">
        <f t="shared" si="34"/>
        <v>#N/A</v>
      </c>
      <c r="AK24" s="206" t="str">
        <f t="shared" si="27"/>
        <v/>
      </c>
      <c r="AL24" s="160" t="str">
        <f t="shared" si="28"/>
        <v/>
      </c>
      <c r="AM24" s="160" t="str">
        <f t="shared" si="35"/>
        <v/>
      </c>
      <c r="AN24" s="160" t="str">
        <f t="shared" si="5"/>
        <v/>
      </c>
      <c r="AO24" s="160" t="e">
        <f t="shared" si="6"/>
        <v>#N/A</v>
      </c>
      <c r="AP24" s="206" t="str">
        <f t="shared" si="7"/>
        <v/>
      </c>
      <c r="AQ24" s="157">
        <f t="shared" si="29"/>
        <v>0</v>
      </c>
      <c r="AR24" s="88" t="str">
        <f t="shared" si="8"/>
        <v/>
      </c>
      <c r="AS24" s="89">
        <f t="shared" si="30"/>
        <v>0</v>
      </c>
      <c r="AT24" s="88" t="str">
        <f t="shared" si="9"/>
        <v/>
      </c>
      <c r="AU24" s="158">
        <f t="shared" si="10"/>
        <v>0</v>
      </c>
      <c r="AV24" s="90" t="str">
        <f t="shared" si="11"/>
        <v/>
      </c>
      <c r="AW24" s="158" t="b">
        <f t="shared" si="12"/>
        <v>0</v>
      </c>
      <c r="AX24" s="159" t="b">
        <f t="shared" si="13"/>
        <v>0</v>
      </c>
      <c r="AY24" s="158" t="b">
        <f t="shared" si="14"/>
        <v>0</v>
      </c>
      <c r="AZ24" s="159" t="b">
        <f t="shared" si="15"/>
        <v>0</v>
      </c>
      <c r="BA24" s="206" t="b">
        <f t="shared" si="16"/>
        <v>0</v>
      </c>
      <c r="BB24" s="206" t="b">
        <f t="shared" si="17"/>
        <v>0</v>
      </c>
      <c r="BC24" s="158" t="b">
        <f t="shared" si="18"/>
        <v>0</v>
      </c>
      <c r="BD24" s="160" t="b">
        <f t="shared" si="31"/>
        <v>0</v>
      </c>
      <c r="BE24" s="159" t="b">
        <f t="shared" si="37"/>
        <v>0</v>
      </c>
      <c r="BF24" s="161" t="b">
        <f t="shared" si="20"/>
        <v>0</v>
      </c>
      <c r="BG24" s="206" t="str">
        <f t="shared" si="38"/>
        <v>NA</v>
      </c>
      <c r="BH24" s="206" t="str">
        <f t="shared" si="32"/>
        <v/>
      </c>
      <c r="BI24" s="206" t="str">
        <f t="shared" si="22"/>
        <v/>
      </c>
      <c r="BJ24" s="206" t="str">
        <f t="shared" si="23"/>
        <v/>
      </c>
      <c r="BK24" s="206" t="str">
        <f t="shared" si="24"/>
        <v/>
      </c>
      <c r="BL24" s="162" t="str">
        <f t="shared" si="33"/>
        <v/>
      </c>
      <c r="BM24" s="206" t="str">
        <f t="shared" si="25"/>
        <v/>
      </c>
      <c r="BN24" s="206" t="str">
        <f t="shared" si="26"/>
        <v/>
      </c>
      <c r="BO24" s="1387"/>
      <c r="BP24" s="104" t="s">
        <v>230</v>
      </c>
      <c r="BQ24" s="94">
        <f t="shared" si="36"/>
        <v>0.6</v>
      </c>
      <c r="BR24" s="95">
        <f t="shared" si="36"/>
        <v>0.9</v>
      </c>
      <c r="BS24" s="95">
        <f t="shared" si="36"/>
        <v>0.93330000000000002</v>
      </c>
      <c r="BT24" s="95">
        <f t="shared" si="36"/>
        <v>0.9667</v>
      </c>
      <c r="BU24" s="96">
        <f t="shared" si="36"/>
        <v>1</v>
      </c>
    </row>
    <row r="25" spans="2:73" s="105" customFormat="1" ht="12.95" customHeight="1" x14ac:dyDescent="0.2">
      <c r="B25" s="165" t="str">
        <f>IF(ISNA(Z25),"",IF(OR(Z25=1,Z25=2),"    ",MAX($B$8:B24)+1))</f>
        <v/>
      </c>
      <c r="C25" s="1375" t="str">
        <f t="shared" si="0"/>
        <v/>
      </c>
      <c r="D25" s="1375"/>
      <c r="E25" s="1375"/>
      <c r="F25" s="1376"/>
      <c r="G25" s="152" t="str">
        <f t="shared" si="1"/>
        <v/>
      </c>
      <c r="H25" s="153" t="str">
        <f t="shared" si="2"/>
        <v/>
      </c>
      <c r="I25" s="166" t="str">
        <f t="shared" si="2"/>
        <v/>
      </c>
      <c r="J25" s="172"/>
      <c r="K25" s="173"/>
      <c r="L25" s="1075"/>
      <c r="M25" s="1076"/>
      <c r="N25" s="1076"/>
      <c r="O25" s="1076"/>
      <c r="P25" s="1076"/>
      <c r="Q25" s="1076"/>
      <c r="R25" s="1077"/>
      <c r="T25" s="119">
        <v>18</v>
      </c>
      <c r="U25" s="110" t="e">
        <v>#N/A</v>
      </c>
      <c r="V25" s="206" t="e">
        <v>#N/A</v>
      </c>
      <c r="W25" s="206" t="e">
        <v>#N/A</v>
      </c>
      <c r="X25" s="206" t="e">
        <v>#N/A</v>
      </c>
      <c r="Y25" s="206" t="e">
        <v>#N/A</v>
      </c>
      <c r="Z25" s="160" t="e">
        <v>#N/A</v>
      </c>
      <c r="AA25" s="160" t="e">
        <v>#N/A</v>
      </c>
      <c r="AB25" s="160" t="e">
        <v>#N/A</v>
      </c>
      <c r="AC25" s="206" t="e">
        <v>#N/A</v>
      </c>
      <c r="AD25" s="206" t="e">
        <v>#N/A</v>
      </c>
      <c r="AE25" s="206" t="e">
        <v>#N/A</v>
      </c>
      <c r="AF25" s="206" t="e">
        <v>#N/A</v>
      </c>
      <c r="AG25" s="206" t="e">
        <f t="shared" si="3"/>
        <v>#N/A</v>
      </c>
      <c r="AH25" s="206" t="str">
        <f t="shared" si="4"/>
        <v/>
      </c>
      <c r="AI25" s="86" t="e">
        <f>IF(NOT(OR(Z25=1,Z25=2)),IF(AQ25&gt;0,$AR$44*AQ25/SUMIF($AQ$8:$AQ$39,"&gt;0"),IF(AU25&gt;0,$AV$44*AU25/SUMIF($AU$8:$AU$39,"&gt;0"),IF(AS25&gt;0,$AT$44*AS25/SUMIF($AS$8:$AS$39,"&gt;0"),""))),IF(SUMIF(AJ26:$AJ$39,"=" &amp; AJ25,AI26:$AI$39)=0,"",SUMIF(AJ26:$AJ$39,"=" &amp; AJ25,AI26:$AI$39)))</f>
        <v>#N/A</v>
      </c>
      <c r="AJ25" s="87" t="e">
        <f t="shared" si="34"/>
        <v>#N/A</v>
      </c>
      <c r="AK25" s="206" t="str">
        <f t="shared" si="27"/>
        <v/>
      </c>
      <c r="AL25" s="160" t="str">
        <f t="shared" si="28"/>
        <v/>
      </c>
      <c r="AM25" s="160" t="str">
        <f t="shared" si="35"/>
        <v/>
      </c>
      <c r="AN25" s="160" t="str">
        <f t="shared" si="5"/>
        <v/>
      </c>
      <c r="AO25" s="160" t="e">
        <f t="shared" si="6"/>
        <v>#N/A</v>
      </c>
      <c r="AP25" s="206" t="str">
        <f t="shared" si="7"/>
        <v/>
      </c>
      <c r="AQ25" s="157">
        <f t="shared" si="29"/>
        <v>0</v>
      </c>
      <c r="AR25" s="88" t="str">
        <f t="shared" si="8"/>
        <v/>
      </c>
      <c r="AS25" s="89">
        <f t="shared" si="30"/>
        <v>0</v>
      </c>
      <c r="AT25" s="88" t="str">
        <f t="shared" si="9"/>
        <v/>
      </c>
      <c r="AU25" s="158">
        <f t="shared" si="10"/>
        <v>0</v>
      </c>
      <c r="AV25" s="90" t="str">
        <f t="shared" si="11"/>
        <v/>
      </c>
      <c r="AW25" s="158" t="b">
        <f t="shared" si="12"/>
        <v>0</v>
      </c>
      <c r="AX25" s="159" t="b">
        <f t="shared" si="13"/>
        <v>0</v>
      </c>
      <c r="AY25" s="158" t="b">
        <f t="shared" si="14"/>
        <v>0</v>
      </c>
      <c r="AZ25" s="159" t="b">
        <f t="shared" si="15"/>
        <v>0</v>
      </c>
      <c r="BA25" s="206" t="b">
        <f t="shared" si="16"/>
        <v>0</v>
      </c>
      <c r="BB25" s="206" t="b">
        <f t="shared" si="17"/>
        <v>0</v>
      </c>
      <c r="BC25" s="158" t="b">
        <f t="shared" si="18"/>
        <v>0</v>
      </c>
      <c r="BD25" s="160" t="b">
        <f t="shared" si="31"/>
        <v>0</v>
      </c>
      <c r="BE25" s="159" t="b">
        <f t="shared" si="37"/>
        <v>0</v>
      </c>
      <c r="BF25" s="161" t="b">
        <f t="shared" si="20"/>
        <v>0</v>
      </c>
      <c r="BG25" s="206" t="str">
        <f t="shared" si="38"/>
        <v>NA</v>
      </c>
      <c r="BH25" s="206" t="str">
        <f t="shared" si="32"/>
        <v/>
      </c>
      <c r="BI25" s="206" t="str">
        <f t="shared" si="22"/>
        <v/>
      </c>
      <c r="BJ25" s="206" t="str">
        <f t="shared" si="23"/>
        <v/>
      </c>
      <c r="BK25" s="206" t="str">
        <f t="shared" si="24"/>
        <v/>
      </c>
      <c r="BL25" s="162" t="str">
        <f t="shared" si="33"/>
        <v/>
      </c>
      <c r="BM25" s="206" t="str">
        <f t="shared" si="25"/>
        <v/>
      </c>
      <c r="BN25" s="206" t="str">
        <f t="shared" si="26"/>
        <v/>
      </c>
      <c r="BO25" s="1387"/>
      <c r="BP25" s="104" t="s">
        <v>231</v>
      </c>
      <c r="BQ25" s="94">
        <f t="shared" si="36"/>
        <v>0.6</v>
      </c>
      <c r="BR25" s="95">
        <f t="shared" si="36"/>
        <v>0.7</v>
      </c>
      <c r="BS25" s="95">
        <f t="shared" si="36"/>
        <v>0.9</v>
      </c>
      <c r="BT25" s="95">
        <f t="shared" si="36"/>
        <v>0.95</v>
      </c>
      <c r="BU25" s="96">
        <f t="shared" si="36"/>
        <v>1</v>
      </c>
    </row>
    <row r="26" spans="2:73" s="105" customFormat="1" ht="12.95" customHeight="1" x14ac:dyDescent="0.2">
      <c r="B26" s="165" t="str">
        <f>IF(ISNA(Z26),"",IF(OR(Z26=1,Z26=2),"    ",MAX($B$8:B25)+1))</f>
        <v/>
      </c>
      <c r="C26" s="1375" t="str">
        <f t="shared" si="0"/>
        <v/>
      </c>
      <c r="D26" s="1375"/>
      <c r="E26" s="1375"/>
      <c r="F26" s="1376"/>
      <c r="G26" s="152" t="str">
        <f t="shared" si="1"/>
        <v/>
      </c>
      <c r="H26" s="153" t="str">
        <f t="shared" si="2"/>
        <v/>
      </c>
      <c r="I26" s="166" t="str">
        <f t="shared" si="2"/>
        <v/>
      </c>
      <c r="J26" s="172"/>
      <c r="K26" s="173"/>
      <c r="L26" s="1075"/>
      <c r="M26" s="1076"/>
      <c r="N26" s="1076"/>
      <c r="O26" s="1076"/>
      <c r="P26" s="1076"/>
      <c r="Q26" s="1076"/>
      <c r="R26" s="1077"/>
      <c r="T26" s="119">
        <v>19</v>
      </c>
      <c r="U26" s="110" t="e">
        <v>#N/A</v>
      </c>
      <c r="V26" s="206" t="e">
        <v>#N/A</v>
      </c>
      <c r="W26" s="206" t="e">
        <v>#N/A</v>
      </c>
      <c r="X26" s="206" t="e">
        <v>#N/A</v>
      </c>
      <c r="Y26" s="206" t="e">
        <v>#N/A</v>
      </c>
      <c r="Z26" s="160" t="e">
        <v>#N/A</v>
      </c>
      <c r="AA26" s="160" t="e">
        <v>#N/A</v>
      </c>
      <c r="AB26" s="160" t="e">
        <v>#N/A</v>
      </c>
      <c r="AC26" s="206" t="e">
        <v>#N/A</v>
      </c>
      <c r="AD26" s="206" t="e">
        <v>#N/A</v>
      </c>
      <c r="AE26" s="206" t="e">
        <v>#N/A</v>
      </c>
      <c r="AF26" s="206" t="e">
        <v>#N/A</v>
      </c>
      <c r="AG26" s="206" t="e">
        <f t="shared" si="3"/>
        <v>#N/A</v>
      </c>
      <c r="AH26" s="206" t="str">
        <f t="shared" si="4"/>
        <v/>
      </c>
      <c r="AI26" s="86" t="e">
        <f>IF(NOT(OR(Z26=1,Z26=2)),IF(AQ26&gt;0,$AR$44*AQ26/SUMIF($AQ$8:$AQ$39,"&gt;0"),IF(AU26&gt;0,$AV$44*AU26/SUMIF($AU$8:$AU$39,"&gt;0"),IF(AS26&gt;0,$AT$44*AS26/SUMIF($AS$8:$AS$39,"&gt;0"),""))),IF(SUMIF(AJ27:$AJ$39,"=" &amp; AJ26,AI27:$AI$39)=0,"",SUMIF(AJ27:$AJ$39,"=" &amp; AJ26,AI27:$AI$39)))</f>
        <v>#N/A</v>
      </c>
      <c r="AJ26" s="87" t="e">
        <f t="shared" si="34"/>
        <v>#N/A</v>
      </c>
      <c r="AK26" s="206" t="str">
        <f t="shared" si="27"/>
        <v/>
      </c>
      <c r="AL26" s="160" t="str">
        <f t="shared" si="28"/>
        <v/>
      </c>
      <c r="AM26" s="160" t="str">
        <f t="shared" si="35"/>
        <v/>
      </c>
      <c r="AN26" s="160" t="str">
        <f t="shared" si="5"/>
        <v/>
      </c>
      <c r="AO26" s="160" t="e">
        <f t="shared" si="6"/>
        <v>#N/A</v>
      </c>
      <c r="AP26" s="206" t="str">
        <f t="shared" si="7"/>
        <v/>
      </c>
      <c r="AQ26" s="157">
        <f t="shared" si="29"/>
        <v>0</v>
      </c>
      <c r="AR26" s="88" t="str">
        <f t="shared" si="8"/>
        <v/>
      </c>
      <c r="AS26" s="89">
        <f t="shared" si="30"/>
        <v>0</v>
      </c>
      <c r="AT26" s="88" t="str">
        <f t="shared" si="9"/>
        <v/>
      </c>
      <c r="AU26" s="158">
        <f t="shared" si="10"/>
        <v>0</v>
      </c>
      <c r="AV26" s="90" t="str">
        <f t="shared" si="11"/>
        <v/>
      </c>
      <c r="AW26" s="158" t="b">
        <f t="shared" si="12"/>
        <v>0</v>
      </c>
      <c r="AX26" s="159" t="b">
        <f t="shared" si="13"/>
        <v>0</v>
      </c>
      <c r="AY26" s="158" t="b">
        <f t="shared" si="14"/>
        <v>0</v>
      </c>
      <c r="AZ26" s="159" t="b">
        <f t="shared" si="15"/>
        <v>0</v>
      </c>
      <c r="BA26" s="206" t="b">
        <f t="shared" si="16"/>
        <v>0</v>
      </c>
      <c r="BB26" s="206" t="b">
        <f t="shared" si="17"/>
        <v>0</v>
      </c>
      <c r="BC26" s="158" t="b">
        <f t="shared" si="18"/>
        <v>0</v>
      </c>
      <c r="BD26" s="160" t="b">
        <f t="shared" si="31"/>
        <v>0</v>
      </c>
      <c r="BE26" s="159" t="b">
        <f t="shared" si="37"/>
        <v>0</v>
      </c>
      <c r="BF26" s="161" t="b">
        <f t="shared" si="20"/>
        <v>0</v>
      </c>
      <c r="BG26" s="206" t="str">
        <f t="shared" si="38"/>
        <v>NA</v>
      </c>
      <c r="BH26" s="206" t="str">
        <f t="shared" si="32"/>
        <v/>
      </c>
      <c r="BI26" s="206" t="str">
        <f t="shared" si="22"/>
        <v/>
      </c>
      <c r="BJ26" s="206" t="str">
        <f t="shared" si="23"/>
        <v/>
      </c>
      <c r="BK26" s="206" t="str">
        <f t="shared" si="24"/>
        <v/>
      </c>
      <c r="BL26" s="162" t="str">
        <f t="shared" si="33"/>
        <v/>
      </c>
      <c r="BM26" s="206" t="str">
        <f t="shared" si="25"/>
        <v/>
      </c>
      <c r="BN26" s="206" t="str">
        <f t="shared" si="26"/>
        <v/>
      </c>
      <c r="BO26" s="1387"/>
      <c r="BP26" s="104" t="s">
        <v>232</v>
      </c>
      <c r="BQ26" s="94">
        <f t="shared" si="36"/>
        <v>0.6</v>
      </c>
      <c r="BR26" s="95">
        <f t="shared" si="36"/>
        <v>0.7</v>
      </c>
      <c r="BS26" s="95">
        <f t="shared" si="36"/>
        <v>0.8</v>
      </c>
      <c r="BT26" s="95">
        <f t="shared" si="36"/>
        <v>0.9</v>
      </c>
      <c r="BU26" s="96">
        <f t="shared" si="36"/>
        <v>1</v>
      </c>
    </row>
    <row r="27" spans="2:73" s="105" customFormat="1" ht="12.95" customHeight="1" x14ac:dyDescent="0.2">
      <c r="B27" s="165" t="str">
        <f>IF(ISNA(Z27),"",IF(OR(Z27=1,Z27=2),"    ",MAX($B$8:B26)+1))</f>
        <v/>
      </c>
      <c r="C27" s="1375" t="str">
        <f t="shared" si="0"/>
        <v/>
      </c>
      <c r="D27" s="1375"/>
      <c r="E27" s="1375"/>
      <c r="F27" s="1376"/>
      <c r="G27" s="152" t="str">
        <f t="shared" si="1"/>
        <v/>
      </c>
      <c r="H27" s="153" t="str">
        <f t="shared" si="2"/>
        <v/>
      </c>
      <c r="I27" s="166" t="str">
        <f t="shared" si="2"/>
        <v/>
      </c>
      <c r="J27" s="172"/>
      <c r="K27" s="173"/>
      <c r="L27" s="1075"/>
      <c r="M27" s="1076"/>
      <c r="N27" s="1076"/>
      <c r="O27" s="1076"/>
      <c r="P27" s="1076"/>
      <c r="Q27" s="1076"/>
      <c r="R27" s="1077"/>
      <c r="T27" s="119">
        <v>20</v>
      </c>
      <c r="U27" s="110" t="e">
        <v>#N/A</v>
      </c>
      <c r="V27" s="206" t="e">
        <v>#N/A</v>
      </c>
      <c r="W27" s="206" t="e">
        <v>#N/A</v>
      </c>
      <c r="X27" s="206" t="e">
        <v>#N/A</v>
      </c>
      <c r="Y27" s="206" t="e">
        <v>#N/A</v>
      </c>
      <c r="Z27" s="160" t="e">
        <v>#N/A</v>
      </c>
      <c r="AA27" s="160" t="e">
        <v>#N/A</v>
      </c>
      <c r="AB27" s="160" t="e">
        <v>#N/A</v>
      </c>
      <c r="AC27" s="206" t="e">
        <v>#N/A</v>
      </c>
      <c r="AD27" s="206" t="e">
        <v>#N/A</v>
      </c>
      <c r="AE27" s="206" t="e">
        <v>#N/A</v>
      </c>
      <c r="AF27" s="206" t="e">
        <v>#N/A</v>
      </c>
      <c r="AG27" s="206" t="e">
        <f t="shared" si="3"/>
        <v>#N/A</v>
      </c>
      <c r="AH27" s="206" t="str">
        <f t="shared" si="4"/>
        <v/>
      </c>
      <c r="AI27" s="86" t="e">
        <f>IF(NOT(OR(Z27=1,Z27=2)),IF(AQ27&gt;0,$AR$44*AQ27/SUMIF($AQ$8:$AQ$39,"&gt;0"),IF(AU27&gt;0,$AV$44*AU27/SUMIF($AU$8:$AU$39,"&gt;0"),IF(AS27&gt;0,$AT$44*AS27/SUMIF($AS$8:$AS$39,"&gt;0"),""))),IF(SUMIF(AJ28:$AJ$39,"=" &amp; AJ27,AI28:$AI$39)=0,"",SUMIF(AJ28:$AJ$39,"=" &amp; AJ27,AI28:$AI$39)))</f>
        <v>#N/A</v>
      </c>
      <c r="AJ27" s="87" t="e">
        <f t="shared" si="34"/>
        <v>#N/A</v>
      </c>
      <c r="AK27" s="206" t="str">
        <f t="shared" si="27"/>
        <v/>
      </c>
      <c r="AL27" s="160" t="str">
        <f t="shared" si="28"/>
        <v/>
      </c>
      <c r="AM27" s="160" t="str">
        <f t="shared" si="35"/>
        <v/>
      </c>
      <c r="AN27" s="160" t="str">
        <f t="shared" si="5"/>
        <v/>
      </c>
      <c r="AO27" s="160" t="e">
        <f t="shared" si="6"/>
        <v>#N/A</v>
      </c>
      <c r="AP27" s="206" t="str">
        <f t="shared" si="7"/>
        <v/>
      </c>
      <c r="AQ27" s="157">
        <f t="shared" si="29"/>
        <v>0</v>
      </c>
      <c r="AR27" s="88" t="str">
        <f t="shared" si="8"/>
        <v/>
      </c>
      <c r="AS27" s="89">
        <f t="shared" si="30"/>
        <v>0</v>
      </c>
      <c r="AT27" s="88" t="str">
        <f t="shared" si="9"/>
        <v/>
      </c>
      <c r="AU27" s="158">
        <f t="shared" si="10"/>
        <v>0</v>
      </c>
      <c r="AV27" s="90" t="str">
        <f t="shared" si="11"/>
        <v/>
      </c>
      <c r="AW27" s="158" t="b">
        <f t="shared" si="12"/>
        <v>0</v>
      </c>
      <c r="AX27" s="159" t="b">
        <f t="shared" si="13"/>
        <v>0</v>
      </c>
      <c r="AY27" s="158" t="b">
        <f t="shared" si="14"/>
        <v>0</v>
      </c>
      <c r="AZ27" s="159" t="b">
        <f t="shared" si="15"/>
        <v>0</v>
      </c>
      <c r="BA27" s="206" t="b">
        <f t="shared" si="16"/>
        <v>0</v>
      </c>
      <c r="BB27" s="206" t="b">
        <f t="shared" si="17"/>
        <v>0</v>
      </c>
      <c r="BC27" s="158" t="b">
        <f t="shared" si="18"/>
        <v>0</v>
      </c>
      <c r="BD27" s="160" t="b">
        <f t="shared" si="31"/>
        <v>0</v>
      </c>
      <c r="BE27" s="159" t="b">
        <f t="shared" si="37"/>
        <v>0</v>
      </c>
      <c r="BF27" s="161" t="b">
        <f t="shared" si="20"/>
        <v>0</v>
      </c>
      <c r="BG27" s="206" t="str">
        <f t="shared" si="38"/>
        <v>NA</v>
      </c>
      <c r="BH27" s="206" t="str">
        <f t="shared" si="32"/>
        <v/>
      </c>
      <c r="BI27" s="206" t="str">
        <f t="shared" si="22"/>
        <v/>
      </c>
      <c r="BJ27" s="206" t="str">
        <f t="shared" si="23"/>
        <v/>
      </c>
      <c r="BK27" s="206" t="str">
        <f t="shared" si="24"/>
        <v/>
      </c>
      <c r="BL27" s="162" t="str">
        <f t="shared" si="33"/>
        <v/>
      </c>
      <c r="BM27" s="206" t="str">
        <f t="shared" si="25"/>
        <v/>
      </c>
      <c r="BN27" s="206" t="str">
        <f t="shared" si="26"/>
        <v/>
      </c>
      <c r="BO27" s="1387"/>
      <c r="BP27" s="104" t="s">
        <v>233</v>
      </c>
      <c r="BQ27" s="94">
        <f t="shared" si="36"/>
        <v>0.3</v>
      </c>
      <c r="BR27" s="95">
        <f t="shared" si="36"/>
        <v>0.6</v>
      </c>
      <c r="BS27" s="95">
        <f t="shared" si="36"/>
        <v>0.9</v>
      </c>
      <c r="BT27" s="95">
        <f t="shared" si="36"/>
        <v>0.95</v>
      </c>
      <c r="BU27" s="96">
        <f t="shared" si="36"/>
        <v>1</v>
      </c>
    </row>
    <row r="28" spans="2:73" s="105" customFormat="1" ht="12.95" customHeight="1" x14ac:dyDescent="0.2">
      <c r="B28" s="165" t="str">
        <f>IF(ISNA(Z28),"",IF(OR(Z28=1,Z28=2),"    ",MAX($B$8:B27)+1))</f>
        <v/>
      </c>
      <c r="C28" s="1375" t="str">
        <f t="shared" si="0"/>
        <v/>
      </c>
      <c r="D28" s="1375"/>
      <c r="E28" s="1375"/>
      <c r="F28" s="1376"/>
      <c r="G28" s="152" t="str">
        <f t="shared" si="1"/>
        <v/>
      </c>
      <c r="H28" s="153" t="str">
        <f t="shared" si="2"/>
        <v/>
      </c>
      <c r="I28" s="166" t="str">
        <f t="shared" si="2"/>
        <v/>
      </c>
      <c r="J28" s="172"/>
      <c r="K28" s="173"/>
      <c r="L28" s="1075"/>
      <c r="M28" s="1076"/>
      <c r="N28" s="1076"/>
      <c r="O28" s="1076"/>
      <c r="P28" s="1076"/>
      <c r="Q28" s="1076"/>
      <c r="R28" s="1077"/>
      <c r="T28" s="119">
        <v>21</v>
      </c>
      <c r="U28" s="110" t="e">
        <v>#N/A</v>
      </c>
      <c r="V28" s="206" t="e">
        <v>#N/A</v>
      </c>
      <c r="W28" s="206" t="e">
        <v>#N/A</v>
      </c>
      <c r="X28" s="206" t="e">
        <v>#N/A</v>
      </c>
      <c r="Y28" s="206" t="e">
        <v>#N/A</v>
      </c>
      <c r="Z28" s="160" t="e">
        <v>#N/A</v>
      </c>
      <c r="AA28" s="160" t="e">
        <v>#N/A</v>
      </c>
      <c r="AB28" s="160" t="e">
        <v>#N/A</v>
      </c>
      <c r="AC28" s="206" t="e">
        <v>#N/A</v>
      </c>
      <c r="AD28" s="206" t="e">
        <v>#N/A</v>
      </c>
      <c r="AE28" s="206" t="e">
        <v>#N/A</v>
      </c>
      <c r="AF28" s="206" t="e">
        <v>#N/A</v>
      </c>
      <c r="AG28" s="206" t="e">
        <f t="shared" si="3"/>
        <v>#N/A</v>
      </c>
      <c r="AH28" s="206" t="str">
        <f t="shared" si="4"/>
        <v/>
      </c>
      <c r="AI28" s="86" t="e">
        <f>IF(NOT(OR(Z28=1,Z28=2)),IF(AQ28&gt;0,$AR$44*AQ28/SUMIF($AQ$8:$AQ$39,"&gt;0"),IF(AU28&gt;0,$AV$44*AU28/SUMIF($AU$8:$AU$39,"&gt;0"),IF(AS28&gt;0,$AT$44*AS28/SUMIF($AS$8:$AS$39,"&gt;0"),""))),IF(SUMIF(AJ29:$AJ$39,"=" &amp; AJ28,AI29:$AI$39)=0,"",SUMIF(AJ29:$AJ$39,"=" &amp; AJ28,AI29:$AI$39)))</f>
        <v>#N/A</v>
      </c>
      <c r="AJ28" s="87" t="e">
        <f t="shared" si="34"/>
        <v>#N/A</v>
      </c>
      <c r="AK28" s="206" t="str">
        <f t="shared" si="27"/>
        <v/>
      </c>
      <c r="AL28" s="160" t="str">
        <f t="shared" si="28"/>
        <v/>
      </c>
      <c r="AM28" s="160" t="str">
        <f t="shared" si="35"/>
        <v/>
      </c>
      <c r="AN28" s="160" t="str">
        <f t="shared" si="5"/>
        <v/>
      </c>
      <c r="AO28" s="160" t="e">
        <f t="shared" si="6"/>
        <v>#N/A</v>
      </c>
      <c r="AP28" s="206" t="str">
        <f t="shared" si="7"/>
        <v/>
      </c>
      <c r="AQ28" s="157">
        <f t="shared" si="29"/>
        <v>0</v>
      </c>
      <c r="AR28" s="88" t="str">
        <f t="shared" si="8"/>
        <v/>
      </c>
      <c r="AS28" s="89">
        <f t="shared" si="30"/>
        <v>0</v>
      </c>
      <c r="AT28" s="88" t="str">
        <f t="shared" si="9"/>
        <v/>
      </c>
      <c r="AU28" s="158">
        <f t="shared" si="10"/>
        <v>0</v>
      </c>
      <c r="AV28" s="90" t="str">
        <f t="shared" si="11"/>
        <v/>
      </c>
      <c r="AW28" s="158" t="b">
        <f t="shared" si="12"/>
        <v>0</v>
      </c>
      <c r="AX28" s="159" t="b">
        <f t="shared" si="13"/>
        <v>0</v>
      </c>
      <c r="AY28" s="158" t="b">
        <f t="shared" si="14"/>
        <v>0</v>
      </c>
      <c r="AZ28" s="159" t="b">
        <f t="shared" si="15"/>
        <v>0</v>
      </c>
      <c r="BA28" s="206" t="b">
        <f t="shared" si="16"/>
        <v>0</v>
      </c>
      <c r="BB28" s="206" t="b">
        <f t="shared" si="17"/>
        <v>0</v>
      </c>
      <c r="BC28" s="158" t="b">
        <f t="shared" si="18"/>
        <v>0</v>
      </c>
      <c r="BD28" s="160" t="b">
        <f t="shared" si="31"/>
        <v>0</v>
      </c>
      <c r="BE28" s="159" t="b">
        <f t="shared" si="37"/>
        <v>0</v>
      </c>
      <c r="BF28" s="161" t="b">
        <f t="shared" si="20"/>
        <v>0</v>
      </c>
      <c r="BG28" s="206" t="str">
        <f t="shared" si="38"/>
        <v>NA</v>
      </c>
      <c r="BH28" s="206" t="str">
        <f t="shared" si="32"/>
        <v/>
      </c>
      <c r="BI28" s="206" t="str">
        <f t="shared" si="22"/>
        <v/>
      </c>
      <c r="BJ28" s="206" t="str">
        <f t="shared" si="23"/>
        <v/>
      </c>
      <c r="BK28" s="206" t="str">
        <f t="shared" si="24"/>
        <v/>
      </c>
      <c r="BL28" s="162" t="str">
        <f t="shared" si="33"/>
        <v/>
      </c>
      <c r="BM28" s="206" t="str">
        <f t="shared" si="25"/>
        <v/>
      </c>
      <c r="BN28" s="206" t="str">
        <f t="shared" si="26"/>
        <v/>
      </c>
      <c r="BO28" s="1387"/>
      <c r="BP28" s="104" t="s">
        <v>234</v>
      </c>
      <c r="BQ28" s="94">
        <f t="shared" si="36"/>
        <v>0.3</v>
      </c>
      <c r="BR28" s="95">
        <f t="shared" si="36"/>
        <v>0.6</v>
      </c>
      <c r="BS28" s="95">
        <f t="shared" si="36"/>
        <v>0.7</v>
      </c>
      <c r="BT28" s="95">
        <f t="shared" si="36"/>
        <v>0.9</v>
      </c>
      <c r="BU28" s="96">
        <f t="shared" si="36"/>
        <v>1</v>
      </c>
    </row>
    <row r="29" spans="2:73" s="105" customFormat="1" ht="12.95" customHeight="1" x14ac:dyDescent="0.2">
      <c r="B29" s="165" t="str">
        <f>IF(ISNA(Z29),"",IF(OR(Z29=1,Z29=2),"    ",MAX($B$8:B28)+1))</f>
        <v/>
      </c>
      <c r="C29" s="1375" t="str">
        <f t="shared" si="0"/>
        <v/>
      </c>
      <c r="D29" s="1375"/>
      <c r="E29" s="1375"/>
      <c r="F29" s="1376"/>
      <c r="G29" s="152" t="str">
        <f t="shared" si="1"/>
        <v/>
      </c>
      <c r="H29" s="153" t="str">
        <f t="shared" si="2"/>
        <v/>
      </c>
      <c r="I29" s="166" t="str">
        <f t="shared" si="2"/>
        <v/>
      </c>
      <c r="J29" s="172"/>
      <c r="K29" s="173"/>
      <c r="L29" s="1075"/>
      <c r="M29" s="1076"/>
      <c r="N29" s="1076"/>
      <c r="O29" s="1076"/>
      <c r="P29" s="1076"/>
      <c r="Q29" s="1076"/>
      <c r="R29" s="1077"/>
      <c r="T29" s="119">
        <v>22</v>
      </c>
      <c r="U29" s="110" t="e">
        <v>#N/A</v>
      </c>
      <c r="V29" s="206" t="e">
        <v>#N/A</v>
      </c>
      <c r="W29" s="206" t="e">
        <v>#N/A</v>
      </c>
      <c r="X29" s="206" t="e">
        <v>#N/A</v>
      </c>
      <c r="Y29" s="206" t="e">
        <v>#N/A</v>
      </c>
      <c r="Z29" s="160" t="e">
        <v>#N/A</v>
      </c>
      <c r="AA29" s="160" t="e">
        <v>#N/A</v>
      </c>
      <c r="AB29" s="160" t="e">
        <v>#N/A</v>
      </c>
      <c r="AC29" s="206" t="e">
        <v>#N/A</v>
      </c>
      <c r="AD29" s="206" t="e">
        <v>#N/A</v>
      </c>
      <c r="AE29" s="206" t="e">
        <v>#N/A</v>
      </c>
      <c r="AF29" s="206" t="e">
        <v>#N/A</v>
      </c>
      <c r="AG29" s="206" t="e">
        <f t="shared" si="3"/>
        <v>#N/A</v>
      </c>
      <c r="AH29" s="206" t="str">
        <f t="shared" si="4"/>
        <v/>
      </c>
      <c r="AI29" s="86" t="e">
        <f>IF(NOT(OR(Z29=1,Z29=2)),IF(AQ29&gt;0,$AR$44*AQ29/SUMIF($AQ$8:$AQ$39,"&gt;0"),IF(AU29&gt;0,$AV$44*AU29/SUMIF($AU$8:$AU$39,"&gt;0"),IF(AS29&gt;0,$AT$44*AS29/SUMIF($AS$8:$AS$39,"&gt;0"),""))),IF(SUMIF(AJ30:$AJ$39,"=" &amp; AJ29,AI30:$AI$39)=0,"",SUMIF(AJ30:$AJ$39,"=" &amp; AJ29,AI30:$AI$39)))</f>
        <v>#N/A</v>
      </c>
      <c r="AJ29" s="87" t="e">
        <f t="shared" si="34"/>
        <v>#N/A</v>
      </c>
      <c r="AK29" s="206" t="str">
        <f t="shared" si="27"/>
        <v/>
      </c>
      <c r="AL29" s="160" t="str">
        <f t="shared" si="28"/>
        <v/>
      </c>
      <c r="AM29" s="160" t="str">
        <f t="shared" si="35"/>
        <v/>
      </c>
      <c r="AN29" s="160" t="str">
        <f t="shared" si="5"/>
        <v/>
      </c>
      <c r="AO29" s="160" t="e">
        <f t="shared" si="6"/>
        <v>#N/A</v>
      </c>
      <c r="AP29" s="206" t="str">
        <f t="shared" si="7"/>
        <v/>
      </c>
      <c r="AQ29" s="157">
        <f t="shared" si="29"/>
        <v>0</v>
      </c>
      <c r="AR29" s="88" t="str">
        <f t="shared" si="8"/>
        <v/>
      </c>
      <c r="AS29" s="89">
        <f t="shared" si="30"/>
        <v>0</v>
      </c>
      <c r="AT29" s="88" t="str">
        <f t="shared" si="9"/>
        <v/>
      </c>
      <c r="AU29" s="158">
        <f t="shared" si="10"/>
        <v>0</v>
      </c>
      <c r="AV29" s="90" t="str">
        <f t="shared" si="11"/>
        <v/>
      </c>
      <c r="AW29" s="158" t="b">
        <f t="shared" si="12"/>
        <v>0</v>
      </c>
      <c r="AX29" s="159" t="b">
        <f t="shared" si="13"/>
        <v>0</v>
      </c>
      <c r="AY29" s="158" t="b">
        <f t="shared" si="14"/>
        <v>0</v>
      </c>
      <c r="AZ29" s="159" t="b">
        <f t="shared" si="15"/>
        <v>0</v>
      </c>
      <c r="BA29" s="206" t="b">
        <f t="shared" si="16"/>
        <v>0</v>
      </c>
      <c r="BB29" s="206" t="b">
        <f t="shared" si="17"/>
        <v>0</v>
      </c>
      <c r="BC29" s="158" t="b">
        <f t="shared" si="18"/>
        <v>0</v>
      </c>
      <c r="BD29" s="160" t="b">
        <f t="shared" si="31"/>
        <v>0</v>
      </c>
      <c r="BE29" s="159" t="b">
        <f t="shared" si="37"/>
        <v>0</v>
      </c>
      <c r="BF29" s="161" t="b">
        <f t="shared" si="20"/>
        <v>0</v>
      </c>
      <c r="BG29" s="206" t="str">
        <f t="shared" si="38"/>
        <v>NA</v>
      </c>
      <c r="BH29" s="206" t="str">
        <f t="shared" si="32"/>
        <v/>
      </c>
      <c r="BI29" s="206" t="str">
        <f t="shared" si="22"/>
        <v/>
      </c>
      <c r="BJ29" s="206" t="str">
        <f t="shared" si="23"/>
        <v/>
      </c>
      <c r="BK29" s="206" t="str">
        <f t="shared" si="24"/>
        <v/>
      </c>
      <c r="BL29" s="162" t="str">
        <f t="shared" si="33"/>
        <v/>
      </c>
      <c r="BM29" s="206" t="str">
        <f t="shared" si="25"/>
        <v/>
      </c>
      <c r="BN29" s="206" t="str">
        <f t="shared" si="26"/>
        <v/>
      </c>
      <c r="BO29" s="1387"/>
      <c r="BP29" s="104" t="s">
        <v>235</v>
      </c>
      <c r="BQ29" s="97">
        <f t="shared" si="36"/>
        <v>0</v>
      </c>
      <c r="BR29" s="98">
        <f t="shared" si="36"/>
        <v>0.3</v>
      </c>
      <c r="BS29" s="98">
        <f t="shared" si="36"/>
        <v>0.6</v>
      </c>
      <c r="BT29" s="98">
        <f t="shared" si="36"/>
        <v>0.9</v>
      </c>
      <c r="BU29" s="99">
        <f t="shared" si="36"/>
        <v>1</v>
      </c>
    </row>
    <row r="30" spans="2:73" s="105" customFormat="1" ht="12.95" customHeight="1" x14ac:dyDescent="0.2">
      <c r="B30" s="165" t="str">
        <f>IF(ISNA(Z30),"",IF(OR(Z30=1,Z30=2),"    ",MAX($B$8:B29)+1))</f>
        <v/>
      </c>
      <c r="C30" s="1375" t="str">
        <f t="shared" si="0"/>
        <v/>
      </c>
      <c r="D30" s="1375"/>
      <c r="E30" s="1375"/>
      <c r="F30" s="1376"/>
      <c r="G30" s="152" t="str">
        <f t="shared" si="1"/>
        <v/>
      </c>
      <c r="H30" s="153" t="str">
        <f t="shared" si="2"/>
        <v/>
      </c>
      <c r="I30" s="166" t="str">
        <f t="shared" si="2"/>
        <v/>
      </c>
      <c r="J30" s="172"/>
      <c r="K30" s="173"/>
      <c r="L30" s="1075"/>
      <c r="M30" s="1076"/>
      <c r="N30" s="1076"/>
      <c r="O30" s="1076"/>
      <c r="P30" s="1076"/>
      <c r="Q30" s="1076"/>
      <c r="R30" s="1077"/>
      <c r="T30" s="119">
        <v>23</v>
      </c>
      <c r="U30" s="110" t="e">
        <v>#N/A</v>
      </c>
      <c r="V30" s="206" t="e">
        <v>#N/A</v>
      </c>
      <c r="W30" s="206" t="e">
        <v>#N/A</v>
      </c>
      <c r="X30" s="206" t="e">
        <v>#N/A</v>
      </c>
      <c r="Y30" s="206" t="e">
        <v>#N/A</v>
      </c>
      <c r="Z30" s="160" t="e">
        <v>#N/A</v>
      </c>
      <c r="AA30" s="160" t="e">
        <v>#N/A</v>
      </c>
      <c r="AB30" s="160" t="e">
        <v>#N/A</v>
      </c>
      <c r="AC30" s="206" t="e">
        <v>#N/A</v>
      </c>
      <c r="AD30" s="206" t="e">
        <v>#N/A</v>
      </c>
      <c r="AE30" s="206" t="e">
        <v>#N/A</v>
      </c>
      <c r="AF30" s="206" t="e">
        <v>#N/A</v>
      </c>
      <c r="AG30" s="206" t="e">
        <f t="shared" si="3"/>
        <v>#N/A</v>
      </c>
      <c r="AH30" s="206" t="str">
        <f t="shared" si="4"/>
        <v/>
      </c>
      <c r="AI30" s="86" t="e">
        <f>IF(NOT(OR(Z30=1,Z30=2)),IF(AQ30&gt;0,$AR$44*AQ30/SUMIF($AQ$8:$AQ$39,"&gt;0"),IF(AU30&gt;0,$AV$44*AU30/SUMIF($AU$8:$AU$39,"&gt;0"),IF(AS30&gt;0,$AT$44*AS30/SUMIF($AS$8:$AS$39,"&gt;0"),""))),IF(SUMIF(AJ31:$AJ$39,"=" &amp; AJ30,AI31:$AI$39)=0,"",SUMIF(AJ31:$AJ$39,"=" &amp; AJ30,AI31:$AI$39)))</f>
        <v>#N/A</v>
      </c>
      <c r="AJ30" s="87" t="e">
        <f t="shared" si="34"/>
        <v>#N/A</v>
      </c>
      <c r="AK30" s="206" t="str">
        <f t="shared" si="27"/>
        <v/>
      </c>
      <c r="AL30" s="160" t="str">
        <f t="shared" si="28"/>
        <v/>
      </c>
      <c r="AM30" s="160" t="str">
        <f t="shared" si="35"/>
        <v/>
      </c>
      <c r="AN30" s="160" t="str">
        <f t="shared" si="5"/>
        <v/>
      </c>
      <c r="AO30" s="160" t="e">
        <f t="shared" si="6"/>
        <v>#N/A</v>
      </c>
      <c r="AP30" s="206" t="str">
        <f t="shared" si="7"/>
        <v/>
      </c>
      <c r="AQ30" s="157">
        <f t="shared" si="29"/>
        <v>0</v>
      </c>
      <c r="AR30" s="88" t="str">
        <f t="shared" si="8"/>
        <v/>
      </c>
      <c r="AS30" s="89">
        <f t="shared" si="30"/>
        <v>0</v>
      </c>
      <c r="AT30" s="88" t="str">
        <f t="shared" si="9"/>
        <v/>
      </c>
      <c r="AU30" s="158">
        <f t="shared" si="10"/>
        <v>0</v>
      </c>
      <c r="AV30" s="90" t="str">
        <f t="shared" si="11"/>
        <v/>
      </c>
      <c r="AW30" s="158" t="b">
        <f t="shared" si="12"/>
        <v>0</v>
      </c>
      <c r="AX30" s="159" t="b">
        <f t="shared" si="13"/>
        <v>0</v>
      </c>
      <c r="AY30" s="158" t="b">
        <f t="shared" si="14"/>
        <v>0</v>
      </c>
      <c r="AZ30" s="159" t="b">
        <f t="shared" si="15"/>
        <v>0</v>
      </c>
      <c r="BA30" s="206" t="b">
        <f t="shared" si="16"/>
        <v>0</v>
      </c>
      <c r="BB30" s="206" t="b">
        <f t="shared" si="17"/>
        <v>0</v>
      </c>
      <c r="BC30" s="158" t="b">
        <f t="shared" si="18"/>
        <v>0</v>
      </c>
      <c r="BD30" s="160" t="b">
        <f t="shared" si="31"/>
        <v>0</v>
      </c>
      <c r="BE30" s="159" t="b">
        <f t="shared" si="37"/>
        <v>0</v>
      </c>
      <c r="BF30" s="161" t="b">
        <f t="shared" si="20"/>
        <v>0</v>
      </c>
      <c r="BG30" s="206" t="str">
        <f t="shared" si="38"/>
        <v>NA</v>
      </c>
      <c r="BH30" s="206" t="str">
        <f t="shared" si="32"/>
        <v/>
      </c>
      <c r="BI30" s="206" t="str">
        <f t="shared" si="22"/>
        <v/>
      </c>
      <c r="BJ30" s="206" t="str">
        <f t="shared" si="23"/>
        <v/>
      </c>
      <c r="BK30" s="206" t="str">
        <f t="shared" si="24"/>
        <v/>
      </c>
      <c r="BL30" s="162" t="str">
        <f t="shared" si="33"/>
        <v/>
      </c>
      <c r="BM30" s="206" t="str">
        <f t="shared" si="25"/>
        <v/>
      </c>
      <c r="BN30" s="206" t="str">
        <f t="shared" si="26"/>
        <v/>
      </c>
      <c r="BO30" s="106"/>
    </row>
    <row r="31" spans="2:73" s="105" customFormat="1" ht="12.95" customHeight="1" x14ac:dyDescent="0.2">
      <c r="B31" s="165" t="str">
        <f>IF(ISNA(Z31),"",IF(OR(Z31=1,Z31=2),"    ",MAX($B$8:B30)+1))</f>
        <v/>
      </c>
      <c r="C31" s="1375" t="str">
        <f t="shared" si="0"/>
        <v/>
      </c>
      <c r="D31" s="1375"/>
      <c r="E31" s="1375"/>
      <c r="F31" s="1376"/>
      <c r="G31" s="152" t="str">
        <f t="shared" si="1"/>
        <v/>
      </c>
      <c r="H31" s="153" t="str">
        <f t="shared" si="2"/>
        <v/>
      </c>
      <c r="I31" s="166" t="str">
        <f t="shared" si="2"/>
        <v/>
      </c>
      <c r="J31" s="172"/>
      <c r="K31" s="173"/>
      <c r="L31" s="1075"/>
      <c r="M31" s="1076"/>
      <c r="N31" s="1076"/>
      <c r="O31" s="1076"/>
      <c r="P31" s="1076"/>
      <c r="Q31" s="1076"/>
      <c r="R31" s="1077"/>
      <c r="T31" s="119">
        <v>24</v>
      </c>
      <c r="U31" s="110" t="e">
        <v>#N/A</v>
      </c>
      <c r="V31" s="206" t="e">
        <v>#N/A</v>
      </c>
      <c r="W31" s="206" t="e">
        <v>#N/A</v>
      </c>
      <c r="X31" s="206" t="e">
        <v>#N/A</v>
      </c>
      <c r="Y31" s="206" t="e">
        <v>#N/A</v>
      </c>
      <c r="Z31" s="160" t="e">
        <v>#N/A</v>
      </c>
      <c r="AA31" s="160" t="e">
        <v>#N/A</v>
      </c>
      <c r="AB31" s="160" t="e">
        <v>#N/A</v>
      </c>
      <c r="AC31" s="206" t="e">
        <v>#N/A</v>
      </c>
      <c r="AD31" s="206" t="e">
        <v>#N/A</v>
      </c>
      <c r="AE31" s="206" t="e">
        <v>#N/A</v>
      </c>
      <c r="AF31" s="206" t="e">
        <v>#N/A</v>
      </c>
      <c r="AG31" s="206" t="e">
        <f t="shared" si="3"/>
        <v>#N/A</v>
      </c>
      <c r="AH31" s="206" t="str">
        <f t="shared" si="4"/>
        <v/>
      </c>
      <c r="AI31" s="86" t="e">
        <f>IF(NOT(OR(Z31=1,Z31=2)),IF(AQ31&gt;0,$AR$44*AQ31/SUMIF($AQ$8:$AQ$39,"&gt;0"),IF(AU31&gt;0,$AV$44*AU31/SUMIF($AU$8:$AU$39,"&gt;0"),IF(AS31&gt;0,$AT$44*AS31/SUMIF($AS$8:$AS$39,"&gt;0"),""))),IF(SUMIF(AJ32:$AJ$39,"=" &amp; AJ31,AI32:$AI$39)=0,"",SUMIF(AJ32:$AJ$39,"=" &amp; AJ31,AI32:$AI$39)))</f>
        <v>#N/A</v>
      </c>
      <c r="AJ31" s="87" t="e">
        <f t="shared" si="34"/>
        <v>#N/A</v>
      </c>
      <c r="AK31" s="206" t="str">
        <f t="shared" si="27"/>
        <v/>
      </c>
      <c r="AL31" s="160" t="str">
        <f t="shared" si="28"/>
        <v/>
      </c>
      <c r="AM31" s="160" t="str">
        <f t="shared" si="35"/>
        <v/>
      </c>
      <c r="AN31" s="160" t="str">
        <f t="shared" si="5"/>
        <v/>
      </c>
      <c r="AO31" s="160" t="e">
        <f t="shared" si="6"/>
        <v>#N/A</v>
      </c>
      <c r="AP31" s="206" t="str">
        <f t="shared" si="7"/>
        <v/>
      </c>
      <c r="AQ31" s="157">
        <f t="shared" si="29"/>
        <v>0</v>
      </c>
      <c r="AR31" s="88" t="str">
        <f t="shared" si="8"/>
        <v/>
      </c>
      <c r="AS31" s="89">
        <f t="shared" si="30"/>
        <v>0</v>
      </c>
      <c r="AT31" s="88" t="str">
        <f t="shared" si="9"/>
        <v/>
      </c>
      <c r="AU31" s="158">
        <f t="shared" si="10"/>
        <v>0</v>
      </c>
      <c r="AV31" s="90" t="str">
        <f t="shared" si="11"/>
        <v/>
      </c>
      <c r="AW31" s="158" t="b">
        <f t="shared" si="12"/>
        <v>0</v>
      </c>
      <c r="AX31" s="159" t="b">
        <f t="shared" si="13"/>
        <v>0</v>
      </c>
      <c r="AY31" s="158" t="b">
        <f t="shared" si="14"/>
        <v>0</v>
      </c>
      <c r="AZ31" s="159" t="b">
        <f t="shared" si="15"/>
        <v>0</v>
      </c>
      <c r="BA31" s="206" t="b">
        <f t="shared" si="16"/>
        <v>0</v>
      </c>
      <c r="BB31" s="206" t="b">
        <f t="shared" si="17"/>
        <v>0</v>
      </c>
      <c r="BC31" s="158" t="b">
        <f t="shared" si="18"/>
        <v>0</v>
      </c>
      <c r="BD31" s="160" t="b">
        <f>IF(OR(ISNA($Z31),ISNUMBER($Z31),NOT(ISNUMBER(K31))),FALSE,OR(NOT(ISNUMBER(J31)),J31=0,AND(J31=0,K31&lt;&gt;0)))</f>
        <v>0</v>
      </c>
      <c r="BE31" s="159" t="b">
        <f t="shared" si="37"/>
        <v>0</v>
      </c>
      <c r="BF31" s="161" t="b">
        <f>IF(OR(ISNA($Z31),H31&lt;&gt;"NG"),FALSE,IF(AND(J31="NA",K31&lt;&gt;""),TRUE,FALSE))</f>
        <v>0</v>
      </c>
      <c r="BG31" s="206" t="str">
        <f t="shared" si="38"/>
        <v>NA</v>
      </c>
      <c r="BH31" s="206" t="str">
        <f t="shared" si="32"/>
        <v/>
      </c>
      <c r="BI31" s="206" t="str">
        <f t="shared" si="22"/>
        <v/>
      </c>
      <c r="BJ31" s="206" t="str">
        <f t="shared" si="23"/>
        <v/>
      </c>
      <c r="BK31" s="206" t="str">
        <f t="shared" si="24"/>
        <v/>
      </c>
      <c r="BL31" s="162" t="str">
        <f t="shared" si="33"/>
        <v/>
      </c>
      <c r="BM31" s="206" t="str">
        <f t="shared" si="25"/>
        <v/>
      </c>
      <c r="BN31" s="206" t="str">
        <f t="shared" si="26"/>
        <v/>
      </c>
      <c r="BO31" s="169" t="s">
        <v>236</v>
      </c>
      <c r="BP31" s="175" t="s">
        <v>237</v>
      </c>
    </row>
    <row r="32" spans="2:73" s="105" customFormat="1" ht="12.95" customHeight="1" x14ac:dyDescent="0.2">
      <c r="B32" s="165" t="str">
        <f>IF(ISNA(Z32),"",IF(OR(Z32=1,Z32=2),"    ",MAX($B$8:B31)+1))</f>
        <v/>
      </c>
      <c r="C32" s="1375" t="str">
        <f t="shared" si="0"/>
        <v/>
      </c>
      <c r="D32" s="1375"/>
      <c r="E32" s="1375"/>
      <c r="F32" s="1376"/>
      <c r="G32" s="152" t="str">
        <f t="shared" si="1"/>
        <v/>
      </c>
      <c r="H32" s="153" t="str">
        <f t="shared" si="2"/>
        <v/>
      </c>
      <c r="I32" s="166" t="str">
        <f t="shared" si="2"/>
        <v/>
      </c>
      <c r="J32" s="172"/>
      <c r="K32" s="173"/>
      <c r="L32" s="1075"/>
      <c r="M32" s="1076"/>
      <c r="N32" s="1076"/>
      <c r="O32" s="1076"/>
      <c r="P32" s="1076"/>
      <c r="Q32" s="1076"/>
      <c r="R32" s="1077"/>
      <c r="T32" s="119">
        <v>25</v>
      </c>
      <c r="U32" s="110" t="e">
        <v>#N/A</v>
      </c>
      <c r="V32" s="206" t="e">
        <v>#N/A</v>
      </c>
      <c r="W32" s="206" t="e">
        <v>#N/A</v>
      </c>
      <c r="X32" s="206" t="e">
        <v>#N/A</v>
      </c>
      <c r="Y32" s="206" t="e">
        <v>#N/A</v>
      </c>
      <c r="Z32" s="160" t="e">
        <v>#N/A</v>
      </c>
      <c r="AA32" s="160" t="e">
        <v>#N/A</v>
      </c>
      <c r="AB32" s="160" t="e">
        <v>#N/A</v>
      </c>
      <c r="AC32" s="206" t="e">
        <v>#N/A</v>
      </c>
      <c r="AD32" s="206" t="e">
        <v>#N/A</v>
      </c>
      <c r="AE32" s="206" t="e">
        <v>#N/A</v>
      </c>
      <c r="AF32" s="206" t="e">
        <v>#N/A</v>
      </c>
      <c r="AG32" s="206" t="e">
        <f t="shared" si="3"/>
        <v>#N/A</v>
      </c>
      <c r="AH32" s="206" t="str">
        <f t="shared" si="4"/>
        <v/>
      </c>
      <c r="AI32" s="86" t="e">
        <f>IF(NOT(OR(Z32=1,Z32=2)),IF(AQ32&gt;0,$AR$44*AQ32/SUMIF($AQ$8:$AQ$39,"&gt;0"),IF(AU32&gt;0,$AV$44*AU32/SUMIF($AU$8:$AU$39,"&gt;0"),IF(AS32&gt;0,$AT$44*AS32/SUMIF($AS$8:$AS$39,"&gt;0"),""))),IF(SUMIF(AJ33:$AJ$39,"=" &amp; AJ32,AI33:$AI$39)=0,"",SUMIF(AJ33:$AJ$39,"=" &amp; AJ32,AI33:$AI$39)))</f>
        <v>#N/A</v>
      </c>
      <c r="AJ32" s="87" t="e">
        <f t="shared" si="34"/>
        <v>#N/A</v>
      </c>
      <c r="AK32" s="206" t="str">
        <f t="shared" si="27"/>
        <v/>
      </c>
      <c r="AL32" s="160" t="str">
        <f t="shared" si="28"/>
        <v/>
      </c>
      <c r="AM32" s="160" t="str">
        <f t="shared" si="35"/>
        <v/>
      </c>
      <c r="AN32" s="160" t="str">
        <f t="shared" si="5"/>
        <v/>
      </c>
      <c r="AO32" s="160" t="e">
        <f t="shared" si="6"/>
        <v>#N/A</v>
      </c>
      <c r="AP32" s="206" t="str">
        <f t="shared" si="7"/>
        <v/>
      </c>
      <c r="AQ32" s="157">
        <f t="shared" si="29"/>
        <v>0</v>
      </c>
      <c r="AR32" s="88" t="str">
        <f t="shared" si="8"/>
        <v/>
      </c>
      <c r="AS32" s="89">
        <f t="shared" si="30"/>
        <v>0</v>
      </c>
      <c r="AT32" s="88" t="str">
        <f t="shared" si="9"/>
        <v/>
      </c>
      <c r="AU32" s="158">
        <f t="shared" si="10"/>
        <v>0</v>
      </c>
      <c r="AV32" s="90" t="str">
        <f t="shared" si="11"/>
        <v/>
      </c>
      <c r="AW32" s="158" t="b">
        <f t="shared" si="12"/>
        <v>0</v>
      </c>
      <c r="AX32" s="159" t="b">
        <f t="shared" si="13"/>
        <v>0</v>
      </c>
      <c r="AY32" s="158" t="b">
        <f t="shared" si="14"/>
        <v>0</v>
      </c>
      <c r="AZ32" s="159" t="b">
        <f t="shared" si="15"/>
        <v>0</v>
      </c>
      <c r="BA32" s="206" t="b">
        <f t="shared" si="16"/>
        <v>0</v>
      </c>
      <c r="BB32" s="206" t="b">
        <f t="shared" si="17"/>
        <v>0</v>
      </c>
      <c r="BC32" s="158" t="b">
        <f t="shared" si="18"/>
        <v>0</v>
      </c>
      <c r="BD32" s="160" t="b">
        <f t="shared" si="31"/>
        <v>0</v>
      </c>
      <c r="BE32" s="159" t="b">
        <f t="shared" si="37"/>
        <v>0</v>
      </c>
      <c r="BF32" s="161" t="b">
        <f t="shared" ref="BF32:BF39" si="39">IF(OR(ISNA($Z32),H32&lt;&gt;"NG"),FALSE,IF(AND(J32="NA",K32&lt;&gt;""),TRUE,FALSE))</f>
        <v>0</v>
      </c>
      <c r="BG32" s="206" t="str">
        <f t="shared" si="38"/>
        <v>NA</v>
      </c>
      <c r="BH32" s="206" t="str">
        <f t="shared" si="32"/>
        <v/>
      </c>
      <c r="BI32" s="206" t="str">
        <f t="shared" si="22"/>
        <v/>
      </c>
      <c r="BJ32" s="206" t="str">
        <f t="shared" si="23"/>
        <v/>
      </c>
      <c r="BK32" s="206" t="str">
        <f t="shared" si="24"/>
        <v/>
      </c>
      <c r="BL32" s="162" t="str">
        <f t="shared" si="33"/>
        <v/>
      </c>
      <c r="BM32" s="206" t="str">
        <f t="shared" si="25"/>
        <v/>
      </c>
      <c r="BN32" s="206" t="str">
        <f t="shared" si="26"/>
        <v/>
      </c>
      <c r="BO32" s="169" t="s">
        <v>238</v>
      </c>
      <c r="BP32" s="175" t="s">
        <v>239</v>
      </c>
    </row>
    <row r="33" spans="2:73" s="105" customFormat="1" ht="12.95" customHeight="1" x14ac:dyDescent="0.2">
      <c r="B33" s="165" t="str">
        <f>IF(ISNA(Z33),"",IF(OR(Z33=1,Z33=2),"    ",MAX($B$8:B32)+1))</f>
        <v/>
      </c>
      <c r="C33" s="1375" t="str">
        <f t="shared" si="0"/>
        <v/>
      </c>
      <c r="D33" s="1375"/>
      <c r="E33" s="1375"/>
      <c r="F33" s="1376"/>
      <c r="G33" s="152" t="str">
        <f t="shared" si="1"/>
        <v/>
      </c>
      <c r="H33" s="153" t="str">
        <f t="shared" si="2"/>
        <v/>
      </c>
      <c r="I33" s="166" t="str">
        <f t="shared" si="2"/>
        <v/>
      </c>
      <c r="J33" s="172"/>
      <c r="K33" s="173"/>
      <c r="L33" s="1075"/>
      <c r="M33" s="1076"/>
      <c r="N33" s="1076"/>
      <c r="O33" s="1076"/>
      <c r="P33" s="1076"/>
      <c r="Q33" s="1076"/>
      <c r="R33" s="1077"/>
      <c r="T33" s="119">
        <v>26</v>
      </c>
      <c r="U33" s="110" t="e">
        <v>#N/A</v>
      </c>
      <c r="V33" s="206" t="e">
        <v>#N/A</v>
      </c>
      <c r="W33" s="206" t="e">
        <v>#N/A</v>
      </c>
      <c r="X33" s="206" t="e">
        <v>#N/A</v>
      </c>
      <c r="Y33" s="206" t="e">
        <v>#N/A</v>
      </c>
      <c r="Z33" s="160" t="e">
        <v>#N/A</v>
      </c>
      <c r="AA33" s="160" t="e">
        <v>#N/A</v>
      </c>
      <c r="AB33" s="160" t="e">
        <v>#N/A</v>
      </c>
      <c r="AC33" s="206" t="e">
        <v>#N/A</v>
      </c>
      <c r="AD33" s="206" t="e">
        <v>#N/A</v>
      </c>
      <c r="AE33" s="206" t="e">
        <v>#N/A</v>
      </c>
      <c r="AF33" s="206" t="e">
        <v>#N/A</v>
      </c>
      <c r="AG33" s="206" t="e">
        <f t="shared" si="3"/>
        <v>#N/A</v>
      </c>
      <c r="AH33" s="206" t="str">
        <f t="shared" si="4"/>
        <v/>
      </c>
      <c r="AI33" s="86" t="e">
        <f>IF(NOT(OR(Z33=1,Z33=2)),IF(AQ33&gt;0,$AR$44*AQ33/SUMIF($AQ$8:$AQ$39,"&gt;0"),IF(AU33&gt;0,$AV$44*AU33/SUMIF($AU$8:$AU$39,"&gt;0"),IF(AS33&gt;0,$AT$44*AS33/SUMIF($AS$8:$AS$39,"&gt;0"),""))),IF(SUMIF(AJ34:$AJ$39,"=" &amp; AJ33,AI34:$AI$39)=0,"",SUMIF(AJ34:$AJ$39,"=" &amp; AJ33,AI34:$AI$39)))</f>
        <v>#N/A</v>
      </c>
      <c r="AJ33" s="87" t="e">
        <f t="shared" si="34"/>
        <v>#N/A</v>
      </c>
      <c r="AK33" s="206" t="str">
        <f t="shared" si="27"/>
        <v/>
      </c>
      <c r="AL33" s="160" t="str">
        <f t="shared" si="28"/>
        <v/>
      </c>
      <c r="AM33" s="160" t="str">
        <f t="shared" si="35"/>
        <v/>
      </c>
      <c r="AN33" s="160" t="str">
        <f t="shared" si="5"/>
        <v/>
      </c>
      <c r="AO33" s="160" t="e">
        <f t="shared" si="6"/>
        <v>#N/A</v>
      </c>
      <c r="AP33" s="206" t="str">
        <f t="shared" si="7"/>
        <v/>
      </c>
      <c r="AQ33" s="157">
        <f t="shared" si="29"/>
        <v>0</v>
      </c>
      <c r="AR33" s="88" t="str">
        <f t="shared" si="8"/>
        <v/>
      </c>
      <c r="AS33" s="89">
        <f t="shared" si="30"/>
        <v>0</v>
      </c>
      <c r="AT33" s="88" t="str">
        <f t="shared" si="9"/>
        <v/>
      </c>
      <c r="AU33" s="158">
        <f t="shared" si="10"/>
        <v>0</v>
      </c>
      <c r="AV33" s="90" t="str">
        <f t="shared" si="11"/>
        <v/>
      </c>
      <c r="AW33" s="158" t="b">
        <f t="shared" si="12"/>
        <v>0</v>
      </c>
      <c r="AX33" s="159" t="b">
        <f t="shared" si="13"/>
        <v>0</v>
      </c>
      <c r="AY33" s="158" t="b">
        <f t="shared" si="14"/>
        <v>0</v>
      </c>
      <c r="AZ33" s="159" t="b">
        <f t="shared" si="15"/>
        <v>0</v>
      </c>
      <c r="BA33" s="206" t="b">
        <f t="shared" si="16"/>
        <v>0</v>
      </c>
      <c r="BB33" s="206" t="b">
        <f t="shared" si="17"/>
        <v>0</v>
      </c>
      <c r="BC33" s="158" t="b">
        <f t="shared" si="18"/>
        <v>0</v>
      </c>
      <c r="BD33" s="160" t="b">
        <f t="shared" si="31"/>
        <v>0</v>
      </c>
      <c r="BE33" s="159" t="b">
        <f t="shared" si="37"/>
        <v>0</v>
      </c>
      <c r="BF33" s="161" t="b">
        <f t="shared" si="39"/>
        <v>0</v>
      </c>
      <c r="BG33" s="206" t="str">
        <f t="shared" si="38"/>
        <v>NA</v>
      </c>
      <c r="BH33" s="206" t="str">
        <f t="shared" si="32"/>
        <v/>
      </c>
      <c r="BI33" s="206" t="str">
        <f t="shared" si="22"/>
        <v/>
      </c>
      <c r="BJ33" s="206" t="str">
        <f t="shared" si="23"/>
        <v/>
      </c>
      <c r="BK33" s="206" t="str">
        <f t="shared" si="24"/>
        <v/>
      </c>
      <c r="BL33" s="162" t="str">
        <f t="shared" si="33"/>
        <v/>
      </c>
      <c r="BM33" s="206" t="str">
        <f t="shared" si="25"/>
        <v/>
      </c>
      <c r="BN33" s="206" t="str">
        <f t="shared" si="26"/>
        <v/>
      </c>
      <c r="BO33" s="164" t="s">
        <v>240</v>
      </c>
      <c r="BP33" s="175"/>
      <c r="BQ33" s="175"/>
      <c r="BR33" s="175"/>
      <c r="BS33" s="175"/>
      <c r="BT33" s="175"/>
      <c r="BU33" s="175"/>
    </row>
    <row r="34" spans="2:73" s="105" customFormat="1" ht="12.95" customHeight="1" x14ac:dyDescent="0.2">
      <c r="B34" s="165" t="str">
        <f>IF(ISNA(Z34),"",IF(OR(Z34=1,Z34=2),"    ",MAX($B$8:B33)+1))</f>
        <v/>
      </c>
      <c r="C34" s="1375" t="str">
        <f t="shared" si="0"/>
        <v/>
      </c>
      <c r="D34" s="1375"/>
      <c r="E34" s="1375"/>
      <c r="F34" s="1376"/>
      <c r="G34" s="152" t="str">
        <f t="shared" si="1"/>
        <v/>
      </c>
      <c r="H34" s="153" t="str">
        <f t="shared" si="2"/>
        <v/>
      </c>
      <c r="I34" s="166" t="str">
        <f t="shared" si="2"/>
        <v/>
      </c>
      <c r="J34" s="172"/>
      <c r="K34" s="173"/>
      <c r="L34" s="1075"/>
      <c r="M34" s="1076"/>
      <c r="N34" s="1076"/>
      <c r="O34" s="1076"/>
      <c r="P34" s="1076"/>
      <c r="Q34" s="1076"/>
      <c r="R34" s="1077"/>
      <c r="T34" s="119">
        <v>27</v>
      </c>
      <c r="U34" s="110" t="e">
        <v>#N/A</v>
      </c>
      <c r="V34" s="206" t="e">
        <v>#N/A</v>
      </c>
      <c r="W34" s="206" t="e">
        <v>#N/A</v>
      </c>
      <c r="X34" s="206" t="e">
        <v>#N/A</v>
      </c>
      <c r="Y34" s="206" t="e">
        <v>#N/A</v>
      </c>
      <c r="Z34" s="160" t="e">
        <v>#N/A</v>
      </c>
      <c r="AA34" s="160" t="e">
        <v>#N/A</v>
      </c>
      <c r="AB34" s="160" t="e">
        <v>#N/A</v>
      </c>
      <c r="AC34" s="206" t="e">
        <v>#N/A</v>
      </c>
      <c r="AD34" s="206" t="e">
        <v>#N/A</v>
      </c>
      <c r="AE34" s="206" t="e">
        <v>#N/A</v>
      </c>
      <c r="AF34" s="206" t="e">
        <v>#N/A</v>
      </c>
      <c r="AG34" s="206" t="e">
        <f t="shared" si="3"/>
        <v>#N/A</v>
      </c>
      <c r="AH34" s="206" t="str">
        <f t="shared" si="4"/>
        <v/>
      </c>
      <c r="AI34" s="86" t="e">
        <f>IF(NOT(OR(Z34=1,Z34=2)),IF(AQ34&gt;0,$AR$44*AQ34/SUMIF($AQ$8:$AQ$39,"&gt;0"),IF(AU34&gt;0,$AV$44*AU34/SUMIF($AU$8:$AU$39,"&gt;0"),IF(AS34&gt;0,$AT$44*AS34/SUMIF($AS$8:$AS$39,"&gt;0"),""))),IF(SUMIF(AJ35:$AJ$39,"=" &amp; AJ34,AI35:$AI$39)=0,"",SUMIF(AJ35:$AJ$39,"=" &amp; AJ34,AI35:$AI$39)))</f>
        <v>#N/A</v>
      </c>
      <c r="AJ34" s="87" t="e">
        <f t="shared" si="34"/>
        <v>#N/A</v>
      </c>
      <c r="AK34" s="206" t="str">
        <f t="shared" si="27"/>
        <v/>
      </c>
      <c r="AL34" s="160" t="str">
        <f t="shared" si="28"/>
        <v/>
      </c>
      <c r="AM34" s="160" t="str">
        <f t="shared" si="35"/>
        <v/>
      </c>
      <c r="AN34" s="160" t="str">
        <f t="shared" si="5"/>
        <v/>
      </c>
      <c r="AO34" s="160" t="e">
        <f t="shared" si="6"/>
        <v>#N/A</v>
      </c>
      <c r="AP34" s="206" t="str">
        <f t="shared" si="7"/>
        <v/>
      </c>
      <c r="AQ34" s="157">
        <f t="shared" si="29"/>
        <v>0</v>
      </c>
      <c r="AR34" s="88" t="str">
        <f t="shared" si="8"/>
        <v/>
      </c>
      <c r="AS34" s="89">
        <f t="shared" si="30"/>
        <v>0</v>
      </c>
      <c r="AT34" s="88" t="str">
        <f t="shared" si="9"/>
        <v/>
      </c>
      <c r="AU34" s="158">
        <f t="shared" si="10"/>
        <v>0</v>
      </c>
      <c r="AV34" s="90" t="str">
        <f t="shared" si="11"/>
        <v/>
      </c>
      <c r="AW34" s="158" t="b">
        <f t="shared" si="12"/>
        <v>0</v>
      </c>
      <c r="AX34" s="159" t="b">
        <f t="shared" si="13"/>
        <v>0</v>
      </c>
      <c r="AY34" s="158" t="b">
        <f t="shared" si="14"/>
        <v>0</v>
      </c>
      <c r="AZ34" s="159" t="b">
        <f t="shared" si="15"/>
        <v>0</v>
      </c>
      <c r="BA34" s="206" t="b">
        <f t="shared" si="16"/>
        <v>0</v>
      </c>
      <c r="BB34" s="206" t="b">
        <f t="shared" si="17"/>
        <v>0</v>
      </c>
      <c r="BC34" s="158" t="b">
        <f t="shared" si="18"/>
        <v>0</v>
      </c>
      <c r="BD34" s="160" t="b">
        <f t="shared" si="31"/>
        <v>0</v>
      </c>
      <c r="BE34" s="159" t="b">
        <f t="shared" si="37"/>
        <v>0</v>
      </c>
      <c r="BF34" s="161" t="b">
        <f t="shared" si="39"/>
        <v>0</v>
      </c>
      <c r="BG34" s="206" t="str">
        <f t="shared" si="38"/>
        <v>NA</v>
      </c>
      <c r="BH34" s="206" t="str">
        <f t="shared" si="32"/>
        <v/>
      </c>
      <c r="BI34" s="206" t="str">
        <f t="shared" si="22"/>
        <v/>
      </c>
      <c r="BJ34" s="206" t="str">
        <f t="shared" si="23"/>
        <v/>
      </c>
      <c r="BK34" s="206" t="str">
        <f t="shared" si="24"/>
        <v/>
      </c>
      <c r="BL34" s="162" t="str">
        <f t="shared" si="33"/>
        <v/>
      </c>
      <c r="BM34" s="206" t="str">
        <f t="shared" si="25"/>
        <v/>
      </c>
      <c r="BN34" s="206" t="str">
        <f t="shared" si="26"/>
        <v/>
      </c>
      <c r="BO34" s="1346"/>
      <c r="BP34" s="1347"/>
      <c r="BQ34" s="1347"/>
      <c r="BR34" s="1347"/>
      <c r="BS34" s="1347"/>
      <c r="BT34" s="1347"/>
      <c r="BU34" s="1348"/>
    </row>
    <row r="35" spans="2:73" s="105" customFormat="1" ht="12.95" customHeight="1" x14ac:dyDescent="0.2">
      <c r="B35" s="165" t="str">
        <f>IF(ISNA(Z35),"",IF(OR(Z35=1,Z35=2),"    ",MAX($B$8:B34)+1))</f>
        <v/>
      </c>
      <c r="C35" s="1375" t="str">
        <f t="shared" si="0"/>
        <v/>
      </c>
      <c r="D35" s="1375"/>
      <c r="E35" s="1375"/>
      <c r="F35" s="1376"/>
      <c r="G35" s="152" t="str">
        <f t="shared" si="1"/>
        <v/>
      </c>
      <c r="H35" s="153" t="str">
        <f t="shared" si="2"/>
        <v/>
      </c>
      <c r="I35" s="166" t="str">
        <f t="shared" si="2"/>
        <v/>
      </c>
      <c r="J35" s="172"/>
      <c r="K35" s="173"/>
      <c r="L35" s="1075"/>
      <c r="M35" s="1076"/>
      <c r="N35" s="1076"/>
      <c r="O35" s="1076"/>
      <c r="P35" s="1076"/>
      <c r="Q35" s="1076"/>
      <c r="R35" s="1077"/>
      <c r="T35" s="119">
        <v>28</v>
      </c>
      <c r="U35" s="110" t="e">
        <v>#N/A</v>
      </c>
      <c r="V35" s="206" t="e">
        <v>#N/A</v>
      </c>
      <c r="W35" s="206" t="e">
        <v>#N/A</v>
      </c>
      <c r="X35" s="206" t="e">
        <v>#N/A</v>
      </c>
      <c r="Y35" s="206" t="e">
        <v>#N/A</v>
      </c>
      <c r="Z35" s="160" t="e">
        <v>#N/A</v>
      </c>
      <c r="AA35" s="160" t="e">
        <v>#N/A</v>
      </c>
      <c r="AB35" s="160" t="e">
        <v>#N/A</v>
      </c>
      <c r="AC35" s="206" t="e">
        <v>#N/A</v>
      </c>
      <c r="AD35" s="206" t="e">
        <v>#N/A</v>
      </c>
      <c r="AE35" s="206" t="e">
        <v>#N/A</v>
      </c>
      <c r="AF35" s="206" t="e">
        <v>#N/A</v>
      </c>
      <c r="AG35" s="206" t="e">
        <f t="shared" si="3"/>
        <v>#N/A</v>
      </c>
      <c r="AH35" s="206" t="str">
        <f t="shared" si="4"/>
        <v/>
      </c>
      <c r="AI35" s="86" t="e">
        <f>IF(NOT(OR(Z35=1,Z35=2)),IF(AQ35&gt;0,$AR$44*AQ35/SUMIF($AQ$8:$AQ$39,"&gt;0"),IF(AU35&gt;0,$AV$44*AU35/SUMIF($AU$8:$AU$39,"&gt;0"),IF(AS35&gt;0,$AT$44*AS35/SUMIF($AS$8:$AS$39,"&gt;0"),""))),IF(SUMIF(AJ36:$AJ$39,"=" &amp; AJ35,AI36:$AI$39)=0,"",SUMIF(AJ36:$AJ$39,"=" &amp; AJ35,AI36:$AI$39)))</f>
        <v>#N/A</v>
      </c>
      <c r="AJ35" s="87" t="e">
        <f t="shared" si="34"/>
        <v>#N/A</v>
      </c>
      <c r="AK35" s="206" t="str">
        <f t="shared" si="27"/>
        <v/>
      </c>
      <c r="AL35" s="160" t="str">
        <f t="shared" si="28"/>
        <v/>
      </c>
      <c r="AM35" s="160" t="str">
        <f t="shared" si="35"/>
        <v/>
      </c>
      <c r="AN35" s="160" t="str">
        <f t="shared" si="5"/>
        <v/>
      </c>
      <c r="AO35" s="160" t="e">
        <f t="shared" si="6"/>
        <v>#N/A</v>
      </c>
      <c r="AP35" s="206" t="str">
        <f t="shared" si="7"/>
        <v/>
      </c>
      <c r="AQ35" s="157">
        <f t="shared" si="29"/>
        <v>0</v>
      </c>
      <c r="AR35" s="88" t="str">
        <f t="shared" si="8"/>
        <v/>
      </c>
      <c r="AS35" s="89">
        <f t="shared" si="30"/>
        <v>0</v>
      </c>
      <c r="AT35" s="88" t="str">
        <f t="shared" si="9"/>
        <v/>
      </c>
      <c r="AU35" s="158">
        <f t="shared" si="10"/>
        <v>0</v>
      </c>
      <c r="AV35" s="90" t="str">
        <f t="shared" si="11"/>
        <v/>
      </c>
      <c r="AW35" s="158" t="b">
        <f t="shared" si="12"/>
        <v>0</v>
      </c>
      <c r="AX35" s="159" t="b">
        <f t="shared" si="13"/>
        <v>0</v>
      </c>
      <c r="AY35" s="158" t="b">
        <f t="shared" si="14"/>
        <v>0</v>
      </c>
      <c r="AZ35" s="159" t="b">
        <f t="shared" si="15"/>
        <v>0</v>
      </c>
      <c r="BA35" s="206" t="b">
        <f t="shared" si="16"/>
        <v>0</v>
      </c>
      <c r="BB35" s="206" t="b">
        <f t="shared" si="17"/>
        <v>0</v>
      </c>
      <c r="BC35" s="158" t="b">
        <f t="shared" si="18"/>
        <v>0</v>
      </c>
      <c r="BD35" s="160" t="b">
        <f t="shared" si="31"/>
        <v>0</v>
      </c>
      <c r="BE35" s="159" t="b">
        <f t="shared" si="37"/>
        <v>0</v>
      </c>
      <c r="BF35" s="161" t="b">
        <f t="shared" si="39"/>
        <v>0</v>
      </c>
      <c r="BG35" s="206" t="str">
        <f t="shared" si="38"/>
        <v>NA</v>
      </c>
      <c r="BH35" s="206" t="str">
        <f t="shared" si="32"/>
        <v/>
      </c>
      <c r="BI35" s="206" t="str">
        <f t="shared" si="22"/>
        <v/>
      </c>
      <c r="BJ35" s="206" t="str">
        <f t="shared" si="23"/>
        <v/>
      </c>
      <c r="BK35" s="206" t="str">
        <f t="shared" si="24"/>
        <v/>
      </c>
      <c r="BL35" s="162" t="str">
        <f t="shared" si="33"/>
        <v/>
      </c>
      <c r="BM35" s="206" t="str">
        <f t="shared" si="25"/>
        <v/>
      </c>
      <c r="BN35" s="206" t="str">
        <f t="shared" si="26"/>
        <v/>
      </c>
      <c r="BO35" s="1349"/>
      <c r="BP35" s="1350"/>
      <c r="BQ35" s="1350"/>
      <c r="BR35" s="1350"/>
      <c r="BS35" s="1350"/>
      <c r="BT35" s="1350"/>
      <c r="BU35" s="1351"/>
    </row>
    <row r="36" spans="2:73" s="105" customFormat="1" ht="12.95" customHeight="1" x14ac:dyDescent="0.2">
      <c r="B36" s="165" t="str">
        <f>IF(ISNA(Z36),"",IF(OR(Z36=1,Z36=2),"    ",MAX($B$8:B35)+1))</f>
        <v/>
      </c>
      <c r="C36" s="1375" t="str">
        <f t="shared" si="0"/>
        <v/>
      </c>
      <c r="D36" s="1375"/>
      <c r="E36" s="1375"/>
      <c r="F36" s="1376"/>
      <c r="G36" s="152" t="str">
        <f t="shared" si="1"/>
        <v/>
      </c>
      <c r="H36" s="153" t="str">
        <f t="shared" si="2"/>
        <v/>
      </c>
      <c r="I36" s="166" t="str">
        <f t="shared" si="2"/>
        <v/>
      </c>
      <c r="J36" s="172"/>
      <c r="K36" s="173"/>
      <c r="L36" s="1075"/>
      <c r="M36" s="1076"/>
      <c r="N36" s="1076"/>
      <c r="O36" s="1076"/>
      <c r="P36" s="1076"/>
      <c r="Q36" s="1076"/>
      <c r="R36" s="1077"/>
      <c r="T36" s="119">
        <v>29</v>
      </c>
      <c r="U36" s="110" t="e">
        <v>#N/A</v>
      </c>
      <c r="V36" s="206" t="e">
        <v>#N/A</v>
      </c>
      <c r="W36" s="206" t="e">
        <v>#N/A</v>
      </c>
      <c r="X36" s="206" t="e">
        <v>#N/A</v>
      </c>
      <c r="Y36" s="206" t="e">
        <v>#N/A</v>
      </c>
      <c r="Z36" s="160" t="e">
        <v>#N/A</v>
      </c>
      <c r="AA36" s="160" t="e">
        <v>#N/A</v>
      </c>
      <c r="AB36" s="160" t="e">
        <v>#N/A</v>
      </c>
      <c r="AC36" s="206" t="e">
        <v>#N/A</v>
      </c>
      <c r="AD36" s="206" t="e">
        <v>#N/A</v>
      </c>
      <c r="AE36" s="206" t="e">
        <v>#N/A</v>
      </c>
      <c r="AF36" s="206" t="e">
        <v>#N/A</v>
      </c>
      <c r="AG36" s="206" t="e">
        <f t="shared" si="3"/>
        <v>#N/A</v>
      </c>
      <c r="AH36" s="206" t="str">
        <f t="shared" si="4"/>
        <v/>
      </c>
      <c r="AI36" s="86" t="e">
        <f>IF(NOT(OR(Z36=1,Z36=2)),IF(AQ36&gt;0,$AR$44*AQ36/SUMIF($AQ$8:$AQ$39,"&gt;0"),IF(AU36&gt;0,$AV$44*AU36/SUMIF($AU$8:$AU$39,"&gt;0"),IF(AS36&gt;0,$AT$44*AS36/SUMIF($AS$8:$AS$39,"&gt;0"),""))),IF(SUMIF(AJ37:$AJ$39,"=" &amp; AJ36,AI37:$AI$39)=0,"",SUMIF(AJ37:$AJ$39,"=" &amp; AJ36,AI37:$AI$39)))</f>
        <v>#N/A</v>
      </c>
      <c r="AJ36" s="87" t="e">
        <f t="shared" si="34"/>
        <v>#N/A</v>
      </c>
      <c r="AK36" s="206" t="str">
        <f t="shared" si="27"/>
        <v/>
      </c>
      <c r="AL36" s="160" t="str">
        <f t="shared" si="28"/>
        <v/>
      </c>
      <c r="AM36" s="160" t="str">
        <f t="shared" si="35"/>
        <v/>
      </c>
      <c r="AN36" s="160" t="str">
        <f t="shared" si="5"/>
        <v/>
      </c>
      <c r="AO36" s="160" t="e">
        <f t="shared" si="6"/>
        <v>#N/A</v>
      </c>
      <c r="AP36" s="206" t="str">
        <f t="shared" si="7"/>
        <v/>
      </c>
      <c r="AQ36" s="157">
        <f t="shared" si="29"/>
        <v>0</v>
      </c>
      <c r="AR36" s="88" t="str">
        <f t="shared" si="8"/>
        <v/>
      </c>
      <c r="AS36" s="89">
        <f t="shared" si="30"/>
        <v>0</v>
      </c>
      <c r="AT36" s="88" t="str">
        <f t="shared" si="9"/>
        <v/>
      </c>
      <c r="AU36" s="158">
        <f t="shared" si="10"/>
        <v>0</v>
      </c>
      <c r="AV36" s="90" t="str">
        <f t="shared" si="11"/>
        <v/>
      </c>
      <c r="AW36" s="158" t="b">
        <f t="shared" si="12"/>
        <v>0</v>
      </c>
      <c r="AX36" s="159" t="b">
        <f t="shared" si="13"/>
        <v>0</v>
      </c>
      <c r="AY36" s="158" t="b">
        <f t="shared" si="14"/>
        <v>0</v>
      </c>
      <c r="AZ36" s="159" t="b">
        <f t="shared" si="15"/>
        <v>0</v>
      </c>
      <c r="BA36" s="206" t="b">
        <f t="shared" si="16"/>
        <v>0</v>
      </c>
      <c r="BB36" s="206" t="b">
        <f t="shared" si="17"/>
        <v>0</v>
      </c>
      <c r="BC36" s="158" t="b">
        <f t="shared" si="18"/>
        <v>0</v>
      </c>
      <c r="BD36" s="160" t="b">
        <f t="shared" si="31"/>
        <v>0</v>
      </c>
      <c r="BE36" s="159" t="b">
        <f t="shared" si="37"/>
        <v>0</v>
      </c>
      <c r="BF36" s="161" t="b">
        <f t="shared" si="39"/>
        <v>0</v>
      </c>
      <c r="BG36" s="206" t="str">
        <f t="shared" si="38"/>
        <v>NA</v>
      </c>
      <c r="BH36" s="206" t="str">
        <f t="shared" si="32"/>
        <v/>
      </c>
      <c r="BI36" s="206" t="str">
        <f t="shared" si="22"/>
        <v/>
      </c>
      <c r="BJ36" s="206" t="str">
        <f t="shared" si="23"/>
        <v/>
      </c>
      <c r="BK36" s="206" t="str">
        <f t="shared" si="24"/>
        <v/>
      </c>
      <c r="BL36" s="162" t="str">
        <f t="shared" si="33"/>
        <v/>
      </c>
      <c r="BM36" s="206" t="str">
        <f t="shared" si="25"/>
        <v/>
      </c>
      <c r="BN36" s="206" t="str">
        <f t="shared" si="26"/>
        <v/>
      </c>
      <c r="BO36" s="1349"/>
      <c r="BP36" s="1350"/>
      <c r="BQ36" s="1350"/>
      <c r="BR36" s="1350"/>
      <c r="BS36" s="1350"/>
      <c r="BT36" s="1350"/>
      <c r="BU36" s="1351"/>
    </row>
    <row r="37" spans="2:73" s="105" customFormat="1" ht="12.95" customHeight="1" x14ac:dyDescent="0.2">
      <c r="B37" s="165" t="str">
        <f>IF(ISNA(Z37),"",IF(OR(Z37=1,Z37=2),"    ",MAX($B$8:B36)+1))</f>
        <v/>
      </c>
      <c r="C37" s="1375" t="str">
        <f>IF(ISNA(Z37),"",CONCATENATE($U37,IF(ISNUMBER(AI37),TEXT(ROUND($AI37,3)," (0.0%)"),""),IF(AU37&gt;0," Bonus","")))</f>
        <v/>
      </c>
      <c r="D37" s="1375"/>
      <c r="E37" s="1375"/>
      <c r="F37" s="1376"/>
      <c r="G37" s="152" t="str">
        <f t="shared" si="1"/>
        <v/>
      </c>
      <c r="H37" s="153" t="str">
        <f t="shared" si="2"/>
        <v/>
      </c>
      <c r="I37" s="166" t="str">
        <f t="shared" si="2"/>
        <v/>
      </c>
      <c r="J37" s="172"/>
      <c r="K37" s="173"/>
      <c r="L37" s="1075"/>
      <c r="M37" s="1076"/>
      <c r="N37" s="1076"/>
      <c r="O37" s="1076"/>
      <c r="P37" s="1076"/>
      <c r="Q37" s="1076"/>
      <c r="R37" s="1077"/>
      <c r="T37" s="119">
        <v>30</v>
      </c>
      <c r="U37" s="110" t="e">
        <v>#N/A</v>
      </c>
      <c r="V37" s="206" t="e">
        <v>#N/A</v>
      </c>
      <c r="W37" s="206" t="e">
        <v>#N/A</v>
      </c>
      <c r="X37" s="206" t="e">
        <v>#N/A</v>
      </c>
      <c r="Y37" s="206" t="e">
        <v>#N/A</v>
      </c>
      <c r="Z37" s="160" t="e">
        <v>#N/A</v>
      </c>
      <c r="AA37" s="160" t="e">
        <v>#N/A</v>
      </c>
      <c r="AB37" s="160" t="e">
        <v>#N/A</v>
      </c>
      <c r="AC37" s="206" t="e">
        <v>#N/A</v>
      </c>
      <c r="AD37" s="206" t="e">
        <v>#N/A</v>
      </c>
      <c r="AE37" s="206" t="e">
        <v>#N/A</v>
      </c>
      <c r="AF37" s="206" t="e">
        <v>#N/A</v>
      </c>
      <c r="AG37" s="206" t="e">
        <f t="shared" si="3"/>
        <v>#N/A</v>
      </c>
      <c r="AH37" s="206" t="str">
        <f t="shared" si="4"/>
        <v/>
      </c>
      <c r="AI37" s="86" t="e">
        <f>IF(NOT(OR(Z37=1,Z37=2)),IF(AQ37&gt;0,$AR$44*AQ37/SUMIF($AQ$8:$AQ$39,"&gt;0"),IF(AU37&gt;0,$AV$44*AU37/SUMIF($AU$8:$AU$39,"&gt;0"),IF(AS37&gt;0,$AT$44*AS37/SUMIF($AS$8:$AS$39,"&gt;0"),""))),IF(SUMIF(AJ38:$AJ$39,"=" &amp; AJ37,AI38:$AI$39)=0,"",SUMIF(AJ38:$AJ$39,"=" &amp; AJ37,AI38:$AI$39)))</f>
        <v>#N/A</v>
      </c>
      <c r="AJ37" s="87" t="e">
        <f t="shared" si="34"/>
        <v>#N/A</v>
      </c>
      <c r="AK37" s="206" t="str">
        <f t="shared" si="27"/>
        <v/>
      </c>
      <c r="AL37" s="160" t="str">
        <f t="shared" si="28"/>
        <v/>
      </c>
      <c r="AM37" s="160" t="str">
        <f t="shared" si="35"/>
        <v/>
      </c>
      <c r="AN37" s="160" t="str">
        <f>IF(ISNUMBER(AH37),IF(AND(AB37=0,ISNUMBER(AC37),ISNUMBER(AL37)),1,""),"")</f>
        <v/>
      </c>
      <c r="AO37" s="160" t="e">
        <f t="shared" si="6"/>
        <v>#N/A</v>
      </c>
      <c r="AP37" s="206" t="str">
        <f t="shared" si="7"/>
        <v/>
      </c>
      <c r="AQ37" s="157">
        <f t="shared" si="29"/>
        <v>0</v>
      </c>
      <c r="AR37" s="88" t="str">
        <f t="shared" si="8"/>
        <v/>
      </c>
      <c r="AS37" s="89">
        <f t="shared" si="30"/>
        <v>0</v>
      </c>
      <c r="AT37" s="88" t="str">
        <f t="shared" si="9"/>
        <v/>
      </c>
      <c r="AU37" s="158">
        <f t="shared" si="10"/>
        <v>0</v>
      </c>
      <c r="AV37" s="90" t="str">
        <f t="shared" si="11"/>
        <v/>
      </c>
      <c r="AW37" s="158" t="b">
        <f t="shared" si="12"/>
        <v>0</v>
      </c>
      <c r="AX37" s="159" t="b">
        <f t="shared" si="13"/>
        <v>0</v>
      </c>
      <c r="AY37" s="158" t="b">
        <f t="shared" si="14"/>
        <v>0</v>
      </c>
      <c r="AZ37" s="159" t="b">
        <f t="shared" si="15"/>
        <v>0</v>
      </c>
      <c r="BA37" s="206" t="b">
        <f t="shared" si="16"/>
        <v>0</v>
      </c>
      <c r="BB37" s="206" t="b">
        <f t="shared" si="17"/>
        <v>0</v>
      </c>
      <c r="BC37" s="158" t="b">
        <f t="shared" si="18"/>
        <v>0</v>
      </c>
      <c r="BD37" s="160" t="b">
        <f t="shared" si="31"/>
        <v>0</v>
      </c>
      <c r="BE37" s="159" t="b">
        <f t="shared" si="37"/>
        <v>0</v>
      </c>
      <c r="BF37" s="161" t="b">
        <f t="shared" si="39"/>
        <v>0</v>
      </c>
      <c r="BG37" s="206" t="str">
        <f t="shared" si="38"/>
        <v>NA</v>
      </c>
      <c r="BH37" s="206" t="str">
        <f t="shared" si="32"/>
        <v/>
      </c>
      <c r="BI37" s="206" t="str">
        <f t="shared" si="22"/>
        <v/>
      </c>
      <c r="BJ37" s="206" t="str">
        <f t="shared" si="23"/>
        <v/>
      </c>
      <c r="BK37" s="206" t="str">
        <f t="shared" si="24"/>
        <v/>
      </c>
      <c r="BL37" s="162" t="str">
        <f t="shared" si="33"/>
        <v/>
      </c>
      <c r="BM37" s="206" t="str">
        <f t="shared" si="25"/>
        <v/>
      </c>
      <c r="BN37" s="206" t="str">
        <f t="shared" si="26"/>
        <v/>
      </c>
      <c r="BO37" s="1352"/>
      <c r="BP37" s="1353"/>
      <c r="BQ37" s="1353"/>
      <c r="BR37" s="1353"/>
      <c r="BS37" s="1353"/>
      <c r="BT37" s="1353"/>
      <c r="BU37" s="1354"/>
    </row>
    <row r="38" spans="2:73" s="105" customFormat="1" ht="12.95" customHeight="1" x14ac:dyDescent="0.2">
      <c r="B38" s="165" t="str">
        <f>IF(ISNA(Z38),"",IF(OR(Z38=1,Z38=2),"    ",MAX($B$8:B37)+1))</f>
        <v/>
      </c>
      <c r="C38" s="1375" t="str">
        <f t="shared" ref="C38:C39" si="40">IF(ISNA(Z38),"",CONCATENATE($U38,IF(ISNUMBER(AI38),TEXT(ROUND($AI38,3)," (0.0%)"),""),IF(AU38&gt;0," Bonus","")))</f>
        <v/>
      </c>
      <c r="D38" s="1375"/>
      <c r="E38" s="1375"/>
      <c r="F38" s="1376"/>
      <c r="G38" s="152" t="str">
        <f t="shared" si="1"/>
        <v/>
      </c>
      <c r="H38" s="153" t="str">
        <f t="shared" si="2"/>
        <v/>
      </c>
      <c r="I38" s="166" t="str">
        <f t="shared" si="2"/>
        <v/>
      </c>
      <c r="J38" s="172"/>
      <c r="K38" s="173"/>
      <c r="L38" s="1075"/>
      <c r="M38" s="1076"/>
      <c r="N38" s="1076"/>
      <c r="O38" s="1076"/>
      <c r="P38" s="1076"/>
      <c r="Q38" s="1076"/>
      <c r="R38" s="1077"/>
      <c r="T38" s="119">
        <v>31</v>
      </c>
      <c r="U38" s="110" t="e">
        <v>#N/A</v>
      </c>
      <c r="V38" s="206" t="e">
        <v>#N/A</v>
      </c>
      <c r="W38" s="206" t="e">
        <v>#N/A</v>
      </c>
      <c r="X38" s="206" t="e">
        <v>#N/A</v>
      </c>
      <c r="Y38" s="206" t="e">
        <v>#N/A</v>
      </c>
      <c r="Z38" s="160" t="e">
        <v>#N/A</v>
      </c>
      <c r="AA38" s="160" t="e">
        <v>#N/A</v>
      </c>
      <c r="AB38" s="160" t="e">
        <v>#N/A</v>
      </c>
      <c r="AC38" s="206" t="e">
        <v>#N/A</v>
      </c>
      <c r="AD38" s="206" t="e">
        <v>#N/A</v>
      </c>
      <c r="AE38" s="206" t="e">
        <v>#N/A</v>
      </c>
      <c r="AF38" s="206" t="e">
        <v>#N/A</v>
      </c>
      <c r="AG38" s="206" t="e">
        <f t="shared" si="3"/>
        <v>#N/A</v>
      </c>
      <c r="AH38" s="206" t="str">
        <f t="shared" si="4"/>
        <v/>
      </c>
      <c r="AI38" s="86" t="e">
        <f>IF(NOT(OR(Z38=1,Z38=2)),IF(AQ38&gt;0,$AR$44*AQ38/SUMIF($AQ$8:$AQ$39,"&gt;0"),IF(AU38&gt;0,$AV$44*AU38/SUMIF($AU$8:$AU$39,"&gt;0"),IF(AS38&gt;0,$AT$44*AS38/SUMIF($AS$8:$AS$39,"&gt;0"),""))),IF(SUMIF(AJ39:$AJ$39,"=" &amp; AJ38,AI39:$AI$39)=0,"",SUMIF(AJ39:$AJ$39,"=" &amp; AJ38,AI39:$AI$39)))</f>
        <v>#N/A</v>
      </c>
      <c r="AJ38" s="87" t="e">
        <f t="shared" si="34"/>
        <v>#N/A</v>
      </c>
      <c r="AK38" s="206" t="str">
        <f t="shared" si="27"/>
        <v/>
      </c>
      <c r="AL38" s="160" t="str">
        <f t="shared" si="28"/>
        <v/>
      </c>
      <c r="AM38" s="160" t="str">
        <f t="shared" si="35"/>
        <v/>
      </c>
      <c r="AN38" s="160" t="str">
        <f>IF(ISNUMBER(AH38),IF(AND(AB38=0,ISNUMBER(AC38),ISNUMBER(AL38)),1,""),"")</f>
        <v/>
      </c>
      <c r="AO38" s="160" t="e">
        <f t="shared" si="6"/>
        <v>#N/A</v>
      </c>
      <c r="AP38" s="206" t="str">
        <f t="shared" si="7"/>
        <v/>
      </c>
      <c r="AQ38" s="157">
        <f t="shared" si="29"/>
        <v>0</v>
      </c>
      <c r="AR38" s="88" t="str">
        <f t="shared" si="8"/>
        <v/>
      </c>
      <c r="AS38" s="89">
        <f t="shared" si="30"/>
        <v>0</v>
      </c>
      <c r="AT38" s="88" t="str">
        <f t="shared" si="9"/>
        <v/>
      </c>
      <c r="AU38" s="158">
        <f t="shared" si="10"/>
        <v>0</v>
      </c>
      <c r="AV38" s="90" t="str">
        <f t="shared" si="11"/>
        <v/>
      </c>
      <c r="AW38" s="158" t="b">
        <f t="shared" si="12"/>
        <v>0</v>
      </c>
      <c r="AX38" s="159" t="b">
        <f t="shared" si="13"/>
        <v>0</v>
      </c>
      <c r="AY38" s="158" t="b">
        <f t="shared" si="14"/>
        <v>0</v>
      </c>
      <c r="AZ38" s="159" t="b">
        <f t="shared" si="15"/>
        <v>0</v>
      </c>
      <c r="BA38" s="206" t="b">
        <f t="shared" si="16"/>
        <v>0</v>
      </c>
      <c r="BB38" s="206" t="b">
        <f t="shared" si="17"/>
        <v>0</v>
      </c>
      <c r="BC38" s="158" t="b">
        <f t="shared" si="18"/>
        <v>0</v>
      </c>
      <c r="BD38" s="160" t="b">
        <f t="shared" si="31"/>
        <v>0</v>
      </c>
      <c r="BE38" s="159" t="b">
        <f t="shared" si="37"/>
        <v>0</v>
      </c>
      <c r="BF38" s="161" t="b">
        <f t="shared" si="39"/>
        <v>0</v>
      </c>
      <c r="BG38" s="206" t="str">
        <f t="shared" si="38"/>
        <v>NA</v>
      </c>
      <c r="BH38" s="206" t="str">
        <f t="shared" si="32"/>
        <v/>
      </c>
      <c r="BI38" s="206" t="str">
        <f t="shared" si="22"/>
        <v/>
      </c>
      <c r="BJ38" s="206" t="str">
        <f t="shared" si="23"/>
        <v/>
      </c>
      <c r="BK38" s="206" t="str">
        <f t="shared" si="24"/>
        <v/>
      </c>
      <c r="BL38" s="162" t="str">
        <f t="shared" si="33"/>
        <v/>
      </c>
      <c r="BM38" s="206" t="str">
        <f t="shared" si="25"/>
        <v/>
      </c>
      <c r="BN38" s="206" t="str">
        <f t="shared" si="26"/>
        <v/>
      </c>
      <c r="BO38" s="164" t="s">
        <v>241</v>
      </c>
      <c r="BP38" s="164"/>
      <c r="BQ38" s="164"/>
      <c r="BR38" s="164"/>
      <c r="BS38" s="164"/>
      <c r="BT38" s="164"/>
      <c r="BU38" s="164"/>
    </row>
    <row r="39" spans="2:73" s="105" customFormat="1" ht="12.95" customHeight="1" thickBot="1" x14ac:dyDescent="0.25">
      <c r="B39" s="165" t="str">
        <f>IF(ISNA(Z39),"",IF(OR(Z39=1,Z39=2),"    ",MAX($B$8:B38)+1))</f>
        <v/>
      </c>
      <c r="C39" s="1375" t="str">
        <f t="shared" si="40"/>
        <v/>
      </c>
      <c r="D39" s="1375"/>
      <c r="E39" s="1375"/>
      <c r="F39" s="1376"/>
      <c r="G39" s="176" t="str">
        <f t="shared" si="1"/>
        <v/>
      </c>
      <c r="H39" s="153" t="str">
        <f t="shared" si="2"/>
        <v/>
      </c>
      <c r="I39" s="177" t="str">
        <f t="shared" si="2"/>
        <v/>
      </c>
      <c r="J39" s="178"/>
      <c r="K39" s="179"/>
      <c r="L39" s="1078"/>
      <c r="M39" s="1079"/>
      <c r="N39" s="1079"/>
      <c r="O39" s="1079"/>
      <c r="P39" s="1079"/>
      <c r="Q39" s="1079"/>
      <c r="R39" s="1080"/>
      <c r="T39" s="119">
        <v>32</v>
      </c>
      <c r="U39" s="110" t="e">
        <v>#N/A</v>
      </c>
      <c r="V39" s="206" t="e">
        <v>#N/A</v>
      </c>
      <c r="W39" s="206" t="e">
        <v>#N/A</v>
      </c>
      <c r="X39" s="206" t="e">
        <v>#N/A</v>
      </c>
      <c r="Y39" s="206" t="e">
        <v>#N/A</v>
      </c>
      <c r="Z39" s="160" t="e">
        <v>#N/A</v>
      </c>
      <c r="AA39" s="160" t="e">
        <v>#N/A</v>
      </c>
      <c r="AB39" s="160" t="e">
        <v>#N/A</v>
      </c>
      <c r="AC39" s="206" t="e">
        <v>#N/A</v>
      </c>
      <c r="AD39" s="206" t="e">
        <v>#N/A</v>
      </c>
      <c r="AE39" s="206" t="e">
        <v>#N/A</v>
      </c>
      <c r="AF39" s="206" t="e">
        <v>#N/A</v>
      </c>
      <c r="AG39" s="206" t="e">
        <f t="shared" si="3"/>
        <v>#N/A</v>
      </c>
      <c r="AH39" s="206" t="str">
        <f t="shared" si="4"/>
        <v/>
      </c>
      <c r="AI39" s="86" t="e">
        <f>IF(NOT(OR(Z39=1,Z39=2)),IF(AQ39&gt;0,$AR$44*AQ39/SUMIF($AQ$8:$AQ$39,"&gt;0"),IF(AU39&gt;0,$AV$44*AU39/SUMIF($AU$8:$AU$39,"&gt;0"),IF(AS39&gt;0,$AT$44*AS39/SUMIF($AS$8:$AS$39,"&gt;0"),""))),IF(SUMIF(AJ$39:$AJ40,"=" &amp; AJ39,AI$39:$AI40)=0,"",SUMIF(AJ$39:$AJ40,"=" &amp; AJ39,AI$39:$AI40)))</f>
        <v>#N/A</v>
      </c>
      <c r="AJ39" s="87" t="e">
        <f t="shared" si="34"/>
        <v>#N/A</v>
      </c>
      <c r="AK39" s="206" t="str">
        <f t="shared" si="27"/>
        <v/>
      </c>
      <c r="AL39" s="160" t="str">
        <f t="shared" si="28"/>
        <v/>
      </c>
      <c r="AM39" s="160" t="str">
        <f t="shared" si="35"/>
        <v/>
      </c>
      <c r="AN39" s="160" t="str">
        <f>IF(ISNUMBER(AH39),IF(AND(AB39=0,ISNUMBER(AC39),ISNUMBER(AL39)),1,""),"")</f>
        <v/>
      </c>
      <c r="AO39" s="160" t="e">
        <f t="shared" si="6"/>
        <v>#N/A</v>
      </c>
      <c r="AP39" s="206" t="str">
        <f t="shared" si="7"/>
        <v/>
      </c>
      <c r="AQ39" s="157">
        <f t="shared" si="29"/>
        <v>0</v>
      </c>
      <c r="AR39" s="88" t="str">
        <f t="shared" si="8"/>
        <v/>
      </c>
      <c r="AS39" s="89">
        <f t="shared" si="30"/>
        <v>0</v>
      </c>
      <c r="AT39" s="88" t="str">
        <f t="shared" si="9"/>
        <v/>
      </c>
      <c r="AU39" s="158">
        <f t="shared" si="10"/>
        <v>0</v>
      </c>
      <c r="AV39" s="90" t="str">
        <f t="shared" si="11"/>
        <v/>
      </c>
      <c r="AW39" s="158" t="b">
        <f t="shared" si="12"/>
        <v>0</v>
      </c>
      <c r="AX39" s="159" t="b">
        <f t="shared" si="13"/>
        <v>0</v>
      </c>
      <c r="AY39" s="158" t="b">
        <f t="shared" si="14"/>
        <v>0</v>
      </c>
      <c r="AZ39" s="159" t="b">
        <f t="shared" si="15"/>
        <v>0</v>
      </c>
      <c r="BA39" s="206" t="b">
        <f t="shared" si="16"/>
        <v>0</v>
      </c>
      <c r="BB39" s="206" t="b">
        <f t="shared" si="17"/>
        <v>0</v>
      </c>
      <c r="BC39" s="158" t="b">
        <f t="shared" si="18"/>
        <v>0</v>
      </c>
      <c r="BD39" s="160" t="b">
        <f t="shared" si="31"/>
        <v>0</v>
      </c>
      <c r="BE39" s="159" t="b">
        <f t="shared" si="37"/>
        <v>0</v>
      </c>
      <c r="BF39" s="161" t="b">
        <f t="shared" si="39"/>
        <v>0</v>
      </c>
      <c r="BG39" s="206" t="str">
        <f t="shared" si="38"/>
        <v>NA</v>
      </c>
      <c r="BH39" s="206" t="str">
        <f t="shared" si="32"/>
        <v/>
      </c>
      <c r="BI39" s="206" t="str">
        <f t="shared" si="22"/>
        <v/>
      </c>
      <c r="BJ39" s="206" t="str">
        <f t="shared" si="23"/>
        <v/>
      </c>
      <c r="BK39" s="206" t="str">
        <f t="shared" si="24"/>
        <v/>
      </c>
      <c r="BL39" s="206" t="str">
        <f t="shared" si="33"/>
        <v/>
      </c>
      <c r="BM39" s="206" t="str">
        <f t="shared" si="25"/>
        <v/>
      </c>
      <c r="BN39" s="206" t="str">
        <f t="shared" si="26"/>
        <v/>
      </c>
      <c r="BO39" s="1346"/>
      <c r="BP39" s="1347"/>
      <c r="BQ39" s="1347"/>
      <c r="BR39" s="1347"/>
      <c r="BS39" s="1347"/>
      <c r="BT39" s="1347"/>
      <c r="BU39" s="1348"/>
    </row>
    <row r="40" spans="2:73" s="112" customFormat="1" ht="8.25" customHeight="1" x14ac:dyDescent="0.2">
      <c r="B40" s="1355" t="s">
        <v>242</v>
      </c>
      <c r="C40" s="1356"/>
      <c r="D40" s="1357"/>
      <c r="E40" s="205" t="s">
        <v>243</v>
      </c>
      <c r="F40" s="1358" t="s">
        <v>244</v>
      </c>
      <c r="G40" s="1359"/>
      <c r="H40" s="1359" t="s">
        <v>245</v>
      </c>
      <c r="I40" s="1359"/>
      <c r="J40" s="1360" t="s">
        <v>246</v>
      </c>
      <c r="K40" s="1361"/>
      <c r="L40" s="180" t="s">
        <v>247</v>
      </c>
      <c r="M40" s="1362" t="s">
        <v>248</v>
      </c>
      <c r="N40" s="1362"/>
      <c r="O40" s="1363" t="str">
        <f>IF(U44,"DO REVIEW","DO REV N/A")</f>
        <v>DO REVIEW</v>
      </c>
      <c r="P40" s="1364"/>
      <c r="Q40" s="181" t="str">
        <f>IF(U45,"ED REVIEW","ED REV N/A")</f>
        <v>ED REVIEW</v>
      </c>
      <c r="R40" s="182"/>
      <c r="S40" s="183">
        <v>0</v>
      </c>
      <c r="AI40" s="184"/>
      <c r="AJ40" s="113"/>
      <c r="AK40" s="113"/>
      <c r="AL40" s="113"/>
      <c r="AM40" s="113"/>
      <c r="AN40" s="113"/>
      <c r="AO40" s="110"/>
      <c r="AP40" s="113"/>
      <c r="AQ40" s="185"/>
      <c r="AR40" s="113"/>
      <c r="AS40" s="185"/>
      <c r="AT40" s="113"/>
      <c r="AU40" s="185"/>
      <c r="AV40" s="186"/>
      <c r="AW40" s="113"/>
      <c r="AX40" s="113"/>
      <c r="AY40" s="113"/>
      <c r="AZ40" s="113"/>
      <c r="BA40" s="113"/>
      <c r="BB40" s="113"/>
      <c r="BC40" s="113"/>
      <c r="BD40" s="113"/>
      <c r="BE40" s="113"/>
      <c r="BF40" s="113"/>
      <c r="BG40" s="113"/>
      <c r="BH40" s="110"/>
      <c r="BI40" s="110"/>
      <c r="BJ40" s="110"/>
      <c r="BK40" s="110"/>
      <c r="BL40" s="110"/>
      <c r="BM40" s="110"/>
      <c r="BN40" s="110"/>
      <c r="BO40" s="1349"/>
      <c r="BP40" s="1350"/>
      <c r="BQ40" s="1350"/>
      <c r="BR40" s="1350"/>
      <c r="BS40" s="1350"/>
      <c r="BT40" s="1350"/>
      <c r="BU40" s="1351"/>
    </row>
    <row r="41" spans="2:73" ht="18.75" customHeight="1" thickBot="1" x14ac:dyDescent="0.25">
      <c r="B41" s="1365" t="str">
        <f>IF(ISERROR(AR46),"",TEXT(AR45,"0.0%"))</f>
        <v>0.0%</v>
      </c>
      <c r="C41" s="1366"/>
      <c r="D41" s="1367"/>
      <c r="E41" s="187" t="str">
        <f>IF(AU41=0,"N/A",CONCATENATE(TEXT(AV45,"0.0%")," of ",TEXT(AV44,"0.0%")))</f>
        <v>N/A</v>
      </c>
      <c r="F41" s="1369" t="str">
        <f>IF((graded_aca_events+graded_amn_events)&lt;1,"---",IF(AND(AW4,AX4),"INCOMPLETE",IF(AND(NOT(AW4),AX4),"ACA INC",IF(AND(AW4,NOT(AX4)),"AMN INC","COMPLETE"))))</f>
        <v>---</v>
      </c>
      <c r="G41" s="1369"/>
      <c r="H41" s="1369" t="str">
        <f>IF(AU4,IF(OR(AY4="UNK",NOT(AN6)),"---",IF(AY4,"UNSAT",IF(AVERAGEIFS(AT8:AT39,AS8:AS39,"&gt;0")&lt;0.9,"MARG","SAT"))),"N/A")</f>
        <v>---</v>
      </c>
      <c r="I41" s="1369"/>
      <c r="J41" s="1370" t="str">
        <f>IF(OR(AZ4="UNK",NOT(AM6)),"---",IF(OR(AZ4,AR45&lt;0.7),"FAIL","PASS"))</f>
        <v>---</v>
      </c>
      <c r="K41" s="1371"/>
      <c r="L41" s="188"/>
      <c r="M41" s="1372"/>
      <c r="N41" s="1372"/>
      <c r="O41" s="1373" t="s">
        <v>139</v>
      </c>
      <c r="P41" s="1373"/>
      <c r="Q41" s="1373" t="s">
        <v>139</v>
      </c>
      <c r="R41" s="1374"/>
      <c r="S41" s="189"/>
      <c r="T41" s="119" t="s">
        <v>249</v>
      </c>
      <c r="U41" s="160" t="s">
        <v>250</v>
      </c>
      <c r="V41" s="190"/>
      <c r="W41" s="190"/>
      <c r="X41" s="190"/>
      <c r="Y41" s="190"/>
      <c r="Z41" s="190"/>
      <c r="AA41" s="190"/>
      <c r="AB41" s="190"/>
      <c r="AC41" s="190"/>
      <c r="AD41" s="190"/>
      <c r="AE41" s="190"/>
      <c r="AF41" s="190"/>
      <c r="AG41" s="190"/>
      <c r="AH41" s="190"/>
      <c r="AI41" s="109"/>
      <c r="AJ41" s="108"/>
      <c r="AK41" s="190"/>
      <c r="AL41" s="190"/>
      <c r="AM41" s="190">
        <f>SUM(AM8:AM39)</f>
        <v>0</v>
      </c>
      <c r="AN41" s="190">
        <f>SUM(AN8:AN39)</f>
        <v>0</v>
      </c>
      <c r="AO41" s="119"/>
      <c r="AP41" s="108"/>
      <c r="AQ41" s="191">
        <f>SUMIF(AQ8:AQ39,"&gt;0")</f>
        <v>9.5</v>
      </c>
      <c r="AR41" s="192">
        <f>IF(AQ41=0,0,SUMPRODUCT($AQ$8:$AQ$39,AR8:AR39)/SUM($AQ$8:$AQ$39))</f>
        <v>0</v>
      </c>
      <c r="AS41" s="193">
        <f>SUMIF(AS8:AS39,"&gt;0")</f>
        <v>4</v>
      </c>
      <c r="AT41" s="192">
        <f>IF(AS41=0,0,SUMPRODUCT($AS$8:$AS$39,AT8:AT39)/SUM($AS$8:$AS$39))</f>
        <v>0</v>
      </c>
      <c r="AU41" s="193">
        <f>SUM(AU9:AU39)</f>
        <v>0</v>
      </c>
      <c r="AV41" s="192">
        <f>IF(AU41=0,0,SUMPRODUCT($AU$8:$AU$39,AV8:AV39)/SUM($AU$8:$AU$39))</f>
        <v>0</v>
      </c>
      <c r="AW41" s="194"/>
      <c r="AX41" s="194"/>
      <c r="AY41" s="194"/>
      <c r="AZ41" s="194"/>
      <c r="BA41" s="194"/>
      <c r="BB41" s="194"/>
      <c r="BC41" s="110" t="s">
        <v>251</v>
      </c>
      <c r="BD41" s="110" t="s">
        <v>252</v>
      </c>
      <c r="BE41" s="110" t="s">
        <v>253</v>
      </c>
      <c r="BO41" s="1349"/>
      <c r="BP41" s="1350"/>
      <c r="BQ41" s="1350"/>
      <c r="BR41" s="1350"/>
      <c r="BS41" s="1350"/>
      <c r="BT41" s="1350"/>
      <c r="BU41" s="1351"/>
    </row>
    <row r="42" spans="2:73" ht="7.5" customHeight="1" thickTop="1" x14ac:dyDescent="0.2">
      <c r="L42" s="1368" t="s">
        <v>282</v>
      </c>
      <c r="M42" s="1368"/>
      <c r="N42" s="1368"/>
      <c r="O42" s="1368"/>
      <c r="P42" s="1368"/>
      <c r="Q42" s="1368"/>
      <c r="R42" s="1368"/>
      <c r="AP42" s="190"/>
      <c r="AQ42" s="108"/>
      <c r="AR42" s="108"/>
      <c r="AT42" s="192"/>
      <c r="AU42" s="192"/>
      <c r="AV42" s="192"/>
      <c r="AW42" s="108"/>
      <c r="AX42" s="192"/>
      <c r="BO42" s="1352"/>
      <c r="BP42" s="1353"/>
      <c r="BQ42" s="1353"/>
      <c r="BR42" s="1353"/>
      <c r="BS42" s="1353"/>
      <c r="BT42" s="1353"/>
      <c r="BU42" s="1354"/>
    </row>
    <row r="43" spans="2:73" ht="30.75" customHeight="1" x14ac:dyDescent="0.2">
      <c r="T43" s="195" t="s">
        <v>254</v>
      </c>
      <c r="U43" s="160" t="b">
        <v>0</v>
      </c>
      <c r="AI43" s="111">
        <f ca="1">SUMIF(AJ8:$AJ$39,"=" &amp; AJ8,AI9:$AI$39)</f>
        <v>0.05</v>
      </c>
      <c r="AO43" s="196"/>
      <c r="AS43" s="137" t="s">
        <v>255</v>
      </c>
      <c r="AT43" s="197">
        <f>SUMIF(X8:X39,"&gt;0")/SUMIF(W8:W39,"&gt;0")</f>
        <v>0.42105263157894735</v>
      </c>
      <c r="AU43" s="137" t="s">
        <v>256</v>
      </c>
      <c r="AV43" s="100">
        <f>SUMIF(AU8:AU39,"&gt;0")/SUMIF(AQ8:AQ39,"&gt;0")</f>
        <v>0</v>
      </c>
      <c r="AW43" s="198"/>
      <c r="BE43" s="110" t="b">
        <f>AND(ISBLANK($K30),J30&gt;0)</f>
        <v>0</v>
      </c>
      <c r="BO43" s="110"/>
      <c r="BP43" s="110"/>
      <c r="BQ43" s="106"/>
    </row>
    <row r="44" spans="2:73" ht="30.75" customHeight="1" x14ac:dyDescent="0.2">
      <c r="J44" s="199"/>
      <c r="T44" s="200" t="s">
        <v>257</v>
      </c>
      <c r="U44" s="110" t="b">
        <f>IF(AND(Flight?,OR(AW4,AY4,BA4,AZ4,AR45&lt;0.7,H41="MARG")),TRUE,FALSE)</f>
        <v>1</v>
      </c>
      <c r="AO44" s="201"/>
      <c r="AQ44" s="137" t="s">
        <v>258</v>
      </c>
      <c r="AR44" s="197">
        <f>1-AT44</f>
        <v>0.95</v>
      </c>
      <c r="AS44" s="137" t="s">
        <v>259</v>
      </c>
      <c r="AT44" s="197">
        <f>MIN(AT43,AT6)</f>
        <v>0.05</v>
      </c>
      <c r="AU44" s="137" t="s">
        <v>260</v>
      </c>
      <c r="AV44" s="111">
        <f>MIN(AV43,AV6)</f>
        <v>0</v>
      </c>
      <c r="BO44" s="110"/>
      <c r="BP44" s="110"/>
      <c r="BQ44" s="106"/>
    </row>
    <row r="45" spans="2:73" ht="25.5" x14ac:dyDescent="0.2">
      <c r="T45" s="200" t="s">
        <v>261</v>
      </c>
      <c r="U45" s="110" t="b">
        <f>IF(OR(AX4,AY4,AZ4,BB4,AR45&lt;0.7),TRUE,FALSE)</f>
        <v>1</v>
      </c>
      <c r="AO45" s="202"/>
      <c r="AQ45" s="137" t="s">
        <v>262</v>
      </c>
      <c r="AR45" s="111">
        <f>AR41*(1-AT44)+(AT41*AT44)</f>
        <v>0</v>
      </c>
      <c r="AU45" s="110" t="s">
        <v>196</v>
      </c>
      <c r="AV45" s="111">
        <f>AV41*AV44</f>
        <v>0</v>
      </c>
      <c r="BO45" s="110"/>
      <c r="BP45" s="110"/>
      <c r="BQ45" s="106"/>
    </row>
    <row r="46" spans="2:73" ht="25.5" x14ac:dyDescent="0.2">
      <c r="T46" s="200" t="s">
        <v>263</v>
      </c>
      <c r="U46" s="110" t="b">
        <v>0</v>
      </c>
      <c r="AO46" s="202"/>
      <c r="AQ46" s="137" t="s">
        <v>264</v>
      </c>
      <c r="AR46" s="111">
        <f>MIN(1,IF(NOT(OR(AY4,AZ4)),AR45+AV45,MIN(0.69,AR45+AV45)))</f>
        <v>0</v>
      </c>
      <c r="BO46" s="110"/>
      <c r="BP46" s="110"/>
      <c r="BQ46" s="106"/>
    </row>
    <row r="47" spans="2:73" x14ac:dyDescent="0.2">
      <c r="T47" s="200" t="s">
        <v>265</v>
      </c>
      <c r="U47" s="110" t="b">
        <f>IF(NOT(Flight?),TRUE,NOT(OR(ISBLANK(comments),ISBLANK(hdr_class),ISBLANK(hdr_date),ISBLANK(hdr_stud),ISBLANK(hdr_instr),ISBLANK(hdr_acft),ISBLANK(hdr_time),F41="---")))</f>
        <v>0</v>
      </c>
      <c r="AO47" s="202"/>
      <c r="AR47" s="137"/>
      <c r="AS47" s="111"/>
    </row>
    <row r="48" spans="2:73" x14ac:dyDescent="0.2">
      <c r="T48" s="200" t="s">
        <v>266</v>
      </c>
      <c r="U48" s="110" t="b">
        <f>IF(Flight?,TRUE,NOT(OR(ISBLANK(comments),ISBLANK(hdr_class),ISBLANK(hdr_date),ISBLANK(hdr_stud),ISBLANK(hdr_instr),F41="---")))</f>
        <v>1</v>
      </c>
      <c r="AO48" s="201"/>
      <c r="AP48" s="108" t="s">
        <v>267</v>
      </c>
      <c r="AQ48" s="108"/>
      <c r="AR48" s="108"/>
      <c r="AS48" s="108"/>
      <c r="AT48" s="108"/>
    </row>
    <row r="49" spans="20:56" x14ac:dyDescent="0.2">
      <c r="T49" s="200" t="s">
        <v>268</v>
      </c>
      <c r="U49" s="110" t="b">
        <f>AND(U47:U48)</f>
        <v>0</v>
      </c>
      <c r="AO49" s="201"/>
      <c r="AP49" s="108"/>
      <c r="AQ49" s="108"/>
      <c r="AR49" s="108">
        <v>0</v>
      </c>
      <c r="AS49" s="108">
        <v>1</v>
      </c>
      <c r="AT49" s="108">
        <v>2</v>
      </c>
      <c r="AU49" s="108">
        <v>3</v>
      </c>
      <c r="AV49" s="108">
        <v>4</v>
      </c>
    </row>
    <row r="50" spans="20:56" x14ac:dyDescent="0.2">
      <c r="AO50" s="201"/>
      <c r="AP50" s="108" t="s">
        <v>227</v>
      </c>
      <c r="AQ50" s="108">
        <v>1</v>
      </c>
      <c r="AR50" s="203">
        <v>0.7</v>
      </c>
      <c r="AS50" s="203">
        <v>0.9</v>
      </c>
      <c r="AT50" s="203">
        <v>0.93330000000000002</v>
      </c>
      <c r="AU50" s="203">
        <v>0.9667</v>
      </c>
      <c r="AV50" s="203">
        <v>1</v>
      </c>
    </row>
    <row r="51" spans="20:56" x14ac:dyDescent="0.2">
      <c r="AO51" s="201"/>
      <c r="AP51" s="108" t="s">
        <v>228</v>
      </c>
      <c r="AQ51" s="108">
        <v>2</v>
      </c>
      <c r="AR51" s="203">
        <v>0.7</v>
      </c>
      <c r="AS51" s="203">
        <v>0.8</v>
      </c>
      <c r="AT51" s="203">
        <v>0.9</v>
      </c>
      <c r="AU51" s="203">
        <v>0.95</v>
      </c>
      <c r="AV51" s="203">
        <v>1</v>
      </c>
    </row>
    <row r="52" spans="20:56" x14ac:dyDescent="0.2">
      <c r="AO52" s="201"/>
      <c r="AP52" s="108" t="s">
        <v>229</v>
      </c>
      <c r="AQ52" s="108">
        <v>3</v>
      </c>
      <c r="AR52" s="203">
        <v>0.7</v>
      </c>
      <c r="AS52" s="203">
        <v>0.76670000000000005</v>
      </c>
      <c r="AT52" s="203">
        <v>0.83330000000000004</v>
      </c>
      <c r="AU52" s="203">
        <v>0.9</v>
      </c>
      <c r="AV52" s="203">
        <v>1</v>
      </c>
    </row>
    <row r="53" spans="20:56" x14ac:dyDescent="0.2">
      <c r="AP53" s="204" t="s">
        <v>230</v>
      </c>
      <c r="AQ53" s="108">
        <v>11</v>
      </c>
      <c r="AR53" s="203">
        <v>0.6</v>
      </c>
      <c r="AS53" s="203">
        <v>0.9</v>
      </c>
      <c r="AT53" s="203">
        <v>0.93330000000000002</v>
      </c>
      <c r="AU53" s="203">
        <v>0.9667</v>
      </c>
      <c r="AV53" s="203">
        <v>1</v>
      </c>
    </row>
    <row r="54" spans="20:56" x14ac:dyDescent="0.2">
      <c r="AP54" s="204" t="s">
        <v>231</v>
      </c>
      <c r="AQ54" s="108">
        <v>12</v>
      </c>
      <c r="AR54" s="203">
        <v>0.6</v>
      </c>
      <c r="AS54" s="203">
        <v>0.7</v>
      </c>
      <c r="AT54" s="203">
        <v>0.9</v>
      </c>
      <c r="AU54" s="203">
        <v>0.95</v>
      </c>
      <c r="AV54" s="203">
        <v>1</v>
      </c>
    </row>
    <row r="55" spans="20:56" x14ac:dyDescent="0.2">
      <c r="AP55" s="204" t="s">
        <v>232</v>
      </c>
      <c r="AQ55" s="108">
        <v>13</v>
      </c>
      <c r="AR55" s="203">
        <v>0.6</v>
      </c>
      <c r="AS55" s="203">
        <v>0.7</v>
      </c>
      <c r="AT55" s="203">
        <v>0.8</v>
      </c>
      <c r="AU55" s="203">
        <v>0.9</v>
      </c>
      <c r="AV55" s="203">
        <v>1</v>
      </c>
    </row>
    <row r="56" spans="20:56" x14ac:dyDescent="0.2">
      <c r="AP56" s="204" t="s">
        <v>233</v>
      </c>
      <c r="AQ56" s="108">
        <v>22</v>
      </c>
      <c r="AR56" s="203">
        <v>0.3</v>
      </c>
      <c r="AS56" s="203">
        <v>0.6</v>
      </c>
      <c r="AT56" s="203">
        <v>0.9</v>
      </c>
      <c r="AU56" s="203">
        <v>0.95</v>
      </c>
      <c r="AV56" s="203">
        <v>1</v>
      </c>
    </row>
    <row r="57" spans="20:56" x14ac:dyDescent="0.2">
      <c r="AP57" s="204" t="s">
        <v>234</v>
      </c>
      <c r="AQ57" s="108">
        <v>23</v>
      </c>
      <c r="AR57" s="203">
        <v>0.3</v>
      </c>
      <c r="AS57" s="203">
        <v>0.6</v>
      </c>
      <c r="AT57" s="203">
        <v>0.7</v>
      </c>
      <c r="AU57" s="203">
        <v>0.9</v>
      </c>
      <c r="AV57" s="203">
        <v>1</v>
      </c>
    </row>
    <row r="58" spans="20:56" x14ac:dyDescent="0.2">
      <c r="AP58" s="204" t="s">
        <v>235</v>
      </c>
      <c r="AQ58" s="108">
        <v>33</v>
      </c>
      <c r="AR58" s="203">
        <v>0</v>
      </c>
      <c r="AS58" s="203">
        <v>0.3</v>
      </c>
      <c r="AT58" s="203">
        <v>0.6</v>
      </c>
      <c r="AU58" s="203">
        <v>0.9</v>
      </c>
      <c r="AV58" s="203">
        <v>1</v>
      </c>
      <c r="AW58" s="83"/>
      <c r="AX58" s="84"/>
      <c r="BC58" s="84"/>
      <c r="BD58" s="84"/>
    </row>
    <row r="59" spans="20:56" x14ac:dyDescent="0.2">
      <c r="AW59" s="84"/>
      <c r="AX59" s="84"/>
      <c r="BC59" s="84"/>
      <c r="BD59" s="84"/>
    </row>
    <row r="60" spans="20:56" x14ac:dyDescent="0.2">
      <c r="AP60" s="84"/>
      <c r="AQ60" s="83"/>
      <c r="AR60" s="84"/>
      <c r="AS60" s="84"/>
      <c r="AT60" s="84"/>
      <c r="AU60" s="84"/>
      <c r="AV60" s="84"/>
      <c r="AW60" s="83"/>
      <c r="AX60" s="83"/>
      <c r="BC60" s="84"/>
      <c r="BD60" s="84"/>
    </row>
    <row r="61" spans="20:56" x14ac:dyDescent="0.2">
      <c r="AP61" s="101"/>
      <c r="AQ61" s="83"/>
      <c r="AR61" s="84"/>
      <c r="AS61" s="84"/>
      <c r="AT61" s="84"/>
      <c r="AU61" s="84"/>
      <c r="AV61" s="84"/>
      <c r="AW61" s="83"/>
      <c r="AX61" s="83"/>
      <c r="BC61" s="84"/>
      <c r="BD61" s="84"/>
    </row>
    <row r="62" spans="20:56" x14ac:dyDescent="0.2">
      <c r="AP62" s="83"/>
      <c r="AQ62" s="83"/>
      <c r="AR62" s="84"/>
      <c r="AS62" s="84"/>
      <c r="AT62" s="84"/>
      <c r="AU62" s="84"/>
      <c r="AV62" s="84"/>
      <c r="AW62" s="83"/>
      <c r="AX62" s="83"/>
      <c r="BC62" s="84"/>
      <c r="BD62" s="84"/>
    </row>
    <row r="63" spans="20:56" x14ac:dyDescent="0.2">
      <c r="AP63" s="83"/>
      <c r="AQ63" s="83"/>
      <c r="AR63" s="84"/>
      <c r="AS63" s="84"/>
      <c r="AT63" s="84"/>
      <c r="AU63" s="84"/>
      <c r="AV63" s="84"/>
      <c r="AW63" s="83"/>
      <c r="AX63" s="84"/>
      <c r="BC63" s="84"/>
      <c r="BD63" s="84"/>
    </row>
    <row r="64" spans="20:56" x14ac:dyDescent="0.2">
      <c r="AP64" s="83"/>
      <c r="AQ64" s="83"/>
      <c r="AR64" s="84"/>
      <c r="AS64" s="84"/>
      <c r="AT64" s="84"/>
      <c r="AU64" s="84"/>
      <c r="AV64" s="84"/>
      <c r="AW64" s="83"/>
      <c r="AX64" s="84"/>
      <c r="BC64" s="84"/>
      <c r="BD64" s="84"/>
    </row>
    <row r="65" spans="42:48" x14ac:dyDescent="0.2">
      <c r="AP65" s="83"/>
      <c r="AQ65" s="83"/>
      <c r="AR65" s="84"/>
      <c r="AS65" s="84"/>
      <c r="AT65" s="84"/>
      <c r="AU65" s="84"/>
      <c r="AV65" s="84"/>
    </row>
    <row r="66" spans="42:48" x14ac:dyDescent="0.2">
      <c r="AP66" s="83"/>
      <c r="AQ66" s="83"/>
      <c r="AR66" s="84"/>
      <c r="AS66" s="84"/>
      <c r="AT66" s="84"/>
      <c r="AU66" s="84"/>
      <c r="AV66" s="84"/>
    </row>
  </sheetData>
  <sheetProtection algorithmName="SHA-512" hashValue="BKZq9vpfpJM+jWvYNYlu9Y/vMqh4OKYy0ss59CovmTjZ0SWvKuopTd9RObqYxaoibiatJ984jFVY/QGgqwjW+A==" saltValue="3Pr+/oWMN/wigrxkmgOYhQ==" spinCount="100000" sheet="1" selectLockedCell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19:F19"/>
    <mergeCell ref="BH4:BK6"/>
    <mergeCell ref="C32:F32"/>
    <mergeCell ref="C33:F33"/>
    <mergeCell ref="C34:F34"/>
    <mergeCell ref="C8:F8"/>
    <mergeCell ref="L8:R39"/>
    <mergeCell ref="C9:F9"/>
    <mergeCell ref="C10:F10"/>
    <mergeCell ref="C11:F11"/>
    <mergeCell ref="C12:F12"/>
    <mergeCell ref="C13:F13"/>
    <mergeCell ref="C14:F14"/>
    <mergeCell ref="C15:F15"/>
    <mergeCell ref="C16:F16"/>
    <mergeCell ref="C30:F30"/>
    <mergeCell ref="C17:F17"/>
    <mergeCell ref="Q6:R6"/>
    <mergeCell ref="C31:F31"/>
    <mergeCell ref="C39:F39"/>
    <mergeCell ref="B7:F7"/>
    <mergeCell ref="L7:R7"/>
    <mergeCell ref="C18:F18"/>
    <mergeCell ref="B6:E6"/>
    <mergeCell ref="F6:G6"/>
    <mergeCell ref="H6:L6"/>
    <mergeCell ref="M6:N6"/>
    <mergeCell ref="O6:P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s>
  <conditionalFormatting sqref="B8:F39">
    <cfRule type="expression" dxfId="155" priority="8" stopIfTrue="1">
      <formula>IF($Z8=1,TRUE,FALSE)</formula>
    </cfRule>
    <cfRule type="expression" dxfId="154" priority="9">
      <formula>IF($Z8=2,TRUE,FALSE)</formula>
    </cfRule>
  </conditionalFormatting>
  <conditionalFormatting sqref="C8:F39">
    <cfRule type="expression" dxfId="153" priority="1" stopIfTrue="1">
      <formula>IF($AF8=FALSE,TRUE,FALSE)</formula>
    </cfRule>
  </conditionalFormatting>
  <conditionalFormatting sqref="F5:G6 M5:P6">
    <cfRule type="expression" dxfId="152" priority="4" stopIfTrue="1">
      <formula>NOT($AU$4)</formula>
    </cfRule>
  </conditionalFormatting>
  <conditionalFormatting sqref="F6:G6">
    <cfRule type="cellIs" dxfId="151" priority="3" operator="equal">
      <formula>""</formula>
    </cfRule>
  </conditionalFormatting>
  <conditionalFormatting sqref="G8:K39">
    <cfRule type="expression" dxfId="150" priority="6" stopIfTrue="1">
      <formula>IF($Z8=1,TRUE,FALSE)</formula>
    </cfRule>
    <cfRule type="expression" dxfId="149" priority="7" stopIfTrue="1">
      <formula>IF($Z8=2,TRUE,FALSE)</formula>
    </cfRule>
  </conditionalFormatting>
  <conditionalFormatting sqref="H8:H39">
    <cfRule type="expression" dxfId="148" priority="10" stopIfTrue="1">
      <formula>IF($AB8=0,TRUE,FALSE)</formula>
    </cfRule>
  </conditionalFormatting>
  <conditionalFormatting sqref="H40:I41">
    <cfRule type="expression" dxfId="147" priority="2" stopIfTrue="1">
      <formula>IF($H$41="N/A",TRUE,FALSE)</formula>
    </cfRule>
  </conditionalFormatting>
  <conditionalFormatting sqref="H6:P6 O4:R4 B6 L8 L41 O41:R41">
    <cfRule type="containsBlanks" dxfId="146" priority="5">
      <formula>LEN(TRIM(B4))=0</formula>
    </cfRule>
  </conditionalFormatting>
  <conditionalFormatting sqref="J8:J39">
    <cfRule type="expression" dxfId="145" priority="14">
      <formula>IF($Z8=1,FALSE,OR($BE8,$BD8))</formula>
    </cfRule>
  </conditionalFormatting>
  <conditionalFormatting sqref="J8:K39 C8:F39">
    <cfRule type="expression" dxfId="144" priority="13">
      <formula>IF($Z8=1,FALSE,OR($AW8,$AX8,$AY8,$AZ8))</formula>
    </cfRule>
  </conditionalFormatting>
  <conditionalFormatting sqref="J8:K39">
    <cfRule type="expression" dxfId="143" priority="11" stopIfTrue="1">
      <formula>IF(ISNA($Z8),TRUE,FALSE)</formula>
    </cfRule>
  </conditionalFormatting>
  <conditionalFormatting sqref="K8:K39">
    <cfRule type="expression" dxfId="142" priority="12">
      <formula>IF(OR($Z8=1,$Z8=2),FALSE,OR($BC8,$BE8,$BF8))</formula>
    </cfRule>
  </conditionalFormatting>
  <dataValidations count="6">
    <dataValidation type="list" allowBlank="1" showInputMessage="1" showErrorMessage="1" sqref="F6:G6" xr:uid="{6FA59F09-C30F-4234-B2F1-CEDEFF9817FE}">
      <formula1>"No,Yes"</formula1>
    </dataValidation>
    <dataValidation type="list" allowBlank="1" showInputMessage="1" showErrorMessage="1" sqref="J8:J39" xr:uid="{0AAF0641-84FA-4A3B-809E-EC343099050C}">
      <formula1>"NA,0,1,2,3,4,5,6,7,8,9,10,11,12,13,14,15"</formula1>
    </dataValidation>
    <dataValidation type="list" allowBlank="1" showInputMessage="1" showErrorMessage="1" sqref="K8:K39" xr:uid="{35A36C1E-965D-4B8A-80A0-AC6A3BA16AB6}">
      <formula1>"D,0,1,2,3,4"</formula1>
    </dataValidation>
    <dataValidation showInputMessage="1" showErrorMessage="1" sqref="O41:R41" xr:uid="{CFBEC2D1-6B0B-476D-A546-96D2C99C077F}"/>
    <dataValidation type="decimal" allowBlank="1" showInputMessage="1" showErrorMessage="1" sqref="O6:P6" xr:uid="{04B31F77-4031-483F-8101-B5090BEA0D96}">
      <formula1>0</formula1>
      <formula2>10</formula2>
    </dataValidation>
    <dataValidation type="date" allowBlank="1" showInputMessage="1" showErrorMessage="1" sqref="Q4:R4" xr:uid="{EDCEA570-643F-4037-B02C-C8230647E1A1}">
      <formula1>41151</formula1>
      <formula2>77433</formula2>
    </dataValidation>
  </dataValidations>
  <hyperlinks>
    <hyperlink ref="BP3" location="PF!A1" display="PF phase Summary Page" xr:uid="{FD7191DB-AE33-4CD2-AFC2-6F59122A4D91}"/>
    <hyperlink ref="BP3:BU4" location="TF!A1" display="TF Summary Page" xr:uid="{0CC1317D-D90C-4C31-A74D-403D2B2E901A}"/>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1618"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1619"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11620"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1621"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11622"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D676-A278-4EEC-8A6C-21B8ABB825C8}">
  <sheetPr codeName="Sheet35">
    <tabColor rgb="FFFFFF00"/>
    <pageSetUpPr autoPageBreaks="0"/>
  </sheetPr>
  <dimension ref="B1:BU66"/>
  <sheetViews>
    <sheetView showGridLines="0" showRowColHeaders="0" topLeftCell="A2" zoomScaleNormal="100" zoomScaleSheetLayoutView="100" workbookViewId="0">
      <selection activeCell="Q4" sqref="Q4:R4"/>
    </sheetView>
  </sheetViews>
  <sheetFormatPr defaultColWidth="9.140625" defaultRowHeight="12.75" x14ac:dyDescent="0.2"/>
  <cols>
    <col min="1" max="1" width="1.5703125" style="103" customWidth="1"/>
    <col min="2" max="2" width="3.5703125" style="103" customWidth="1"/>
    <col min="3" max="3" width="5.5703125" style="103" customWidth="1"/>
    <col min="4" max="4" width="9.140625" style="103" customWidth="1"/>
    <col min="5" max="5" width="14" style="103" customWidth="1"/>
    <col min="6" max="6" width="7.85546875" style="103" customWidth="1"/>
    <col min="7" max="11" width="5.140625" style="103" customWidth="1"/>
    <col min="12" max="12" width="21.5703125" style="103" customWidth="1"/>
    <col min="13" max="13" width="6.5703125" style="103" customWidth="1"/>
    <col min="14" max="14" width="12.5703125" style="103" customWidth="1"/>
    <col min="15" max="15" width="7.85546875" style="103" customWidth="1"/>
    <col min="16" max="16" width="2.7109375" style="103" customWidth="1"/>
    <col min="17" max="17" width="4.85546875" style="103" customWidth="1"/>
    <col min="18" max="18" width="7.28515625" style="103" customWidth="1"/>
    <col min="19" max="19" width="1.7109375" style="103" customWidth="1"/>
    <col min="20" max="20" width="19.140625" style="110" hidden="1" customWidth="1"/>
    <col min="21" max="21" width="31.140625" style="110" hidden="1" customWidth="1"/>
    <col min="22" max="22" width="5.140625" style="110" hidden="1" customWidth="1"/>
    <col min="23" max="24" width="6.28515625" style="110" hidden="1" customWidth="1"/>
    <col min="25" max="25" width="8.42578125" style="110" hidden="1" customWidth="1"/>
    <col min="26" max="26" width="7.85546875" style="110" hidden="1" customWidth="1"/>
    <col min="27" max="27" width="10.7109375" style="110" hidden="1" customWidth="1"/>
    <col min="28" max="28" width="8" style="110" hidden="1" customWidth="1"/>
    <col min="29" max="31" width="5.140625" style="110" hidden="1" customWidth="1"/>
    <col min="32" max="34" width="5.85546875" style="110" hidden="1" customWidth="1"/>
    <col min="35" max="35" width="8.5703125" style="111" hidden="1" customWidth="1"/>
    <col min="36" max="36" width="7" style="110" hidden="1" customWidth="1"/>
    <col min="37" max="38" width="5.28515625" style="110" hidden="1" customWidth="1"/>
    <col min="39" max="40" width="7" style="110" hidden="1" customWidth="1"/>
    <col min="41" max="41" width="5.140625" style="110" hidden="1" customWidth="1"/>
    <col min="42" max="42" width="11.28515625" style="110" hidden="1" customWidth="1"/>
    <col min="43" max="43" width="6.42578125" style="110" hidden="1" customWidth="1"/>
    <col min="44" max="44" width="8.28515625" style="110" hidden="1" customWidth="1"/>
    <col min="45" max="45" width="8.85546875" style="110" hidden="1" customWidth="1"/>
    <col min="46" max="46" width="10.7109375" style="110" hidden="1" customWidth="1"/>
    <col min="47" max="47" width="8.85546875" style="110" hidden="1" customWidth="1"/>
    <col min="48" max="48" width="6.28515625" style="110" hidden="1" customWidth="1"/>
    <col min="49" max="49" width="10" style="110" hidden="1" customWidth="1"/>
    <col min="50" max="50" width="7.5703125" style="110" hidden="1" customWidth="1"/>
    <col min="51" max="51" width="7" style="110" hidden="1" customWidth="1"/>
    <col min="52" max="52" width="8.140625" style="110" hidden="1" customWidth="1"/>
    <col min="53" max="53" width="12.5703125" style="110" hidden="1" customWidth="1"/>
    <col min="54" max="54" width="7.7109375" style="110" hidden="1" customWidth="1"/>
    <col min="55" max="55" width="12.7109375" style="110" hidden="1" customWidth="1"/>
    <col min="56" max="56" width="7" style="110" hidden="1" customWidth="1"/>
    <col min="57" max="57" width="15.5703125" style="110" hidden="1" customWidth="1"/>
    <col min="58" max="58" width="9.140625" style="110" hidden="1" customWidth="1"/>
    <col min="59" max="59" width="10" style="110" hidden="1" customWidth="1"/>
    <col min="60" max="60" width="5.28515625" style="110" hidden="1" customWidth="1"/>
    <col min="61" max="61" width="4" style="110" hidden="1" customWidth="1"/>
    <col min="62" max="62" width="4.7109375" style="110" hidden="1" customWidth="1"/>
    <col min="63" max="63" width="5.5703125" style="110" hidden="1" customWidth="1"/>
    <col min="64" max="64" width="5.28515625" style="110" hidden="1" customWidth="1"/>
    <col min="65" max="65" width="4" style="110" hidden="1" customWidth="1"/>
    <col min="66" max="66" width="5.5703125" style="110" hidden="1" customWidth="1"/>
    <col min="67" max="67" width="5.140625" style="106" customWidth="1"/>
    <col min="68" max="73" width="5.140625" style="103" customWidth="1"/>
    <col min="74" max="16384" width="9.140625" style="103"/>
  </cols>
  <sheetData>
    <row r="1" spans="2:73" s="107" customFormat="1" ht="12" hidden="1" x14ac:dyDescent="0.2">
      <c r="T1" s="108"/>
      <c r="U1" s="108"/>
      <c r="V1" s="108"/>
      <c r="W1" s="108"/>
      <c r="X1" s="108"/>
      <c r="Y1" s="108"/>
      <c r="Z1" s="108"/>
      <c r="AA1" s="108"/>
      <c r="AB1" s="108"/>
      <c r="AC1" s="108"/>
      <c r="AD1" s="108"/>
      <c r="AE1" s="108"/>
      <c r="AF1" s="108"/>
      <c r="AG1" s="108"/>
      <c r="AH1" s="108"/>
      <c r="AI1" s="109"/>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row>
    <row r="2" spans="2:73" ht="13.5" thickBot="1" x14ac:dyDescent="0.25"/>
    <row r="3" spans="2:73" ht="13.5" customHeight="1" thickTop="1" x14ac:dyDescent="0.2">
      <c r="B3" s="1421" t="s">
        <v>141</v>
      </c>
      <c r="C3" s="1422"/>
      <c r="D3" s="1422"/>
      <c r="E3" s="1422"/>
      <c r="F3" s="1422"/>
      <c r="G3" s="1423"/>
      <c r="H3" s="1424" t="s">
        <v>298</v>
      </c>
      <c r="I3" s="1425"/>
      <c r="J3" s="1425"/>
      <c r="K3" s="1425"/>
      <c r="L3" s="1425"/>
      <c r="M3" s="1425"/>
      <c r="N3" s="1426"/>
      <c r="O3" s="1427" t="s">
        <v>142</v>
      </c>
      <c r="P3" s="1428"/>
      <c r="Q3" s="1427" t="s">
        <v>143</v>
      </c>
      <c r="R3" s="1429"/>
      <c r="S3" s="112"/>
      <c r="T3" s="113"/>
      <c r="U3" s="113"/>
      <c r="V3" s="113"/>
      <c r="W3" s="113"/>
      <c r="X3" s="113"/>
      <c r="Y3" s="113"/>
      <c r="Z3" s="113"/>
      <c r="AA3" s="113"/>
      <c r="AB3" s="113"/>
      <c r="AC3" s="113"/>
      <c r="AD3" s="113"/>
      <c r="AE3" s="113"/>
      <c r="AF3" s="113"/>
      <c r="AG3" s="113"/>
      <c r="AH3" s="113"/>
      <c r="AI3" s="114"/>
      <c r="AJ3" s="113"/>
      <c r="AK3" s="113"/>
      <c r="AL3" s="113"/>
      <c r="AM3" s="113"/>
      <c r="AN3" s="113"/>
      <c r="AO3" s="113"/>
      <c r="AP3" s="113"/>
      <c r="AQ3" s="108"/>
      <c r="AR3" s="108"/>
      <c r="AW3" s="110" t="s">
        <v>144</v>
      </c>
      <c r="AX3" s="110" t="s">
        <v>145</v>
      </c>
      <c r="AY3" s="110" t="s">
        <v>146</v>
      </c>
      <c r="AZ3" s="110" t="s">
        <v>147</v>
      </c>
      <c r="BA3" s="110" t="s">
        <v>148</v>
      </c>
      <c r="BB3" s="110" t="s">
        <v>149</v>
      </c>
      <c r="BP3" s="1652" t="s">
        <v>313</v>
      </c>
      <c r="BQ3" s="1652"/>
      <c r="BR3" s="1652"/>
      <c r="BS3" s="1652"/>
      <c r="BT3" s="1652"/>
      <c r="BU3" s="1652"/>
    </row>
    <row r="4" spans="2:73" s="105" customFormat="1" ht="15.75" customHeight="1" x14ac:dyDescent="0.2">
      <c r="B4" s="1431" t="s">
        <v>150</v>
      </c>
      <c r="C4" s="1432"/>
      <c r="D4" s="1432"/>
      <c r="E4" s="1432"/>
      <c r="F4" s="1432"/>
      <c r="G4" s="1433"/>
      <c r="H4" s="1434" t="s">
        <v>316</v>
      </c>
      <c r="I4" s="1435"/>
      <c r="J4" s="1435"/>
      <c r="K4" s="1435"/>
      <c r="L4" s="1435"/>
      <c r="M4" s="1435"/>
      <c r="N4" s="1436"/>
      <c r="O4" s="1437"/>
      <c r="P4" s="1438"/>
      <c r="Q4" s="1439"/>
      <c r="R4" s="1440"/>
      <c r="S4" s="115"/>
      <c r="T4" s="116"/>
      <c r="U4" s="116"/>
      <c r="V4" s="116"/>
      <c r="W4" s="116"/>
      <c r="X4" s="116"/>
      <c r="Y4" s="116"/>
      <c r="Z4" s="116"/>
      <c r="AA4" s="116"/>
      <c r="AB4" s="116"/>
      <c r="AC4" s="116"/>
      <c r="AD4" s="116"/>
      <c r="AE4" s="116"/>
      <c r="AF4" s="116"/>
      <c r="AG4" s="116"/>
      <c r="AH4" s="116"/>
      <c r="AI4" s="117"/>
      <c r="AJ4" s="116"/>
      <c r="AK4" s="116"/>
      <c r="AL4" s="116"/>
      <c r="AM4" s="116"/>
      <c r="AN4" s="116"/>
      <c r="AO4" s="116"/>
      <c r="AP4" s="116"/>
      <c r="AQ4" s="118"/>
      <c r="AR4" s="118"/>
      <c r="AS4" s="119"/>
      <c r="AT4" s="120" t="s">
        <v>151</v>
      </c>
      <c r="AU4" s="121" t="b">
        <v>1</v>
      </c>
      <c r="AV4" s="119">
        <v>5</v>
      </c>
      <c r="AW4" s="119" t="b">
        <f>IF(ISERR(OR(AW8:AW39)),"UNK",IF(AND(graded_aca_events&gt;=1,input_test),FALSE,OR(AW8:AW39)))</f>
        <v>1</v>
      </c>
      <c r="AX4" s="119" t="b">
        <f>IF(ISERR(OR(AX8:AX39)),"UNK",IF(AND(graded_aca_events&gt;=1,input_test),FALSE,OR(AX8:AX39)))</f>
        <v>1</v>
      </c>
      <c r="AY4" s="119" t="b">
        <f>IF(ISERR(OR(AY8:AY39)),"UNK",OR(AY8:AY39))</f>
        <v>0</v>
      </c>
      <c r="AZ4" s="119" t="b">
        <f>IF(ISERR(OR(AZ8:AZ39)),"UNK",OR(AZ8:AZ39))</f>
        <v>0</v>
      </c>
      <c r="BA4" s="119" t="b">
        <f>IF(ISERR(OR(BA8:BA39)),"UNK",OR(BA8:BA39))</f>
        <v>0</v>
      </c>
      <c r="BB4" s="119" t="b">
        <f>IF(ISERR(OR(BB8:BB39)),"UNK",OR(BB8:BB39))</f>
        <v>0</v>
      </c>
      <c r="BC4" s="122" t="b">
        <f>OR(BC8:BC39)</f>
        <v>0</v>
      </c>
      <c r="BD4" s="122" t="b">
        <f>OR(BD8:BD39)</f>
        <v>0</v>
      </c>
      <c r="BE4" s="122" t="b">
        <f>OR(BE8:BE39)</f>
        <v>0</v>
      </c>
      <c r="BF4" s="122"/>
      <c r="BG4" s="119"/>
      <c r="BH4" s="1441" t="s">
        <v>152</v>
      </c>
      <c r="BI4" s="1441"/>
      <c r="BJ4" s="1441"/>
      <c r="BK4" s="1441"/>
      <c r="BL4" s="1393" t="s">
        <v>153</v>
      </c>
      <c r="BM4" s="1393"/>
      <c r="BN4" s="1393"/>
      <c r="BO4" s="106"/>
      <c r="BP4" s="1652"/>
      <c r="BQ4" s="1652"/>
      <c r="BR4" s="1652"/>
      <c r="BS4" s="1652"/>
      <c r="BT4" s="1652"/>
      <c r="BU4" s="1652"/>
    </row>
    <row r="5" spans="2:73" s="112" customFormat="1" ht="7.5" customHeight="1" x14ac:dyDescent="0.25">
      <c r="B5" s="1394" t="s">
        <v>154</v>
      </c>
      <c r="C5" s="1395"/>
      <c r="D5" s="1395"/>
      <c r="E5" s="1396"/>
      <c r="F5" s="1397" t="s">
        <v>155</v>
      </c>
      <c r="G5" s="1396"/>
      <c r="H5" s="1397" t="s">
        <v>156</v>
      </c>
      <c r="I5" s="1395"/>
      <c r="J5" s="1395"/>
      <c r="K5" s="1395"/>
      <c r="L5" s="1396"/>
      <c r="M5" s="1398" t="s">
        <v>157</v>
      </c>
      <c r="N5" s="1399"/>
      <c r="O5" s="1400" t="s">
        <v>158</v>
      </c>
      <c r="P5" s="1401"/>
      <c r="Q5" s="1397" t="str">
        <f>IF(AU41=0,"GRADE","GRADE (inc. bonus)")</f>
        <v>GRADE</v>
      </c>
      <c r="R5" s="1402"/>
      <c r="T5" s="113"/>
      <c r="U5" s="113"/>
      <c r="V5" s="113"/>
      <c r="W5" s="113"/>
      <c r="X5" s="113"/>
      <c r="Y5" s="113"/>
      <c r="Z5" s="113"/>
      <c r="AA5" s="113"/>
      <c r="AB5" s="113"/>
      <c r="AC5" s="113"/>
      <c r="AD5" s="113"/>
      <c r="AE5" s="113"/>
      <c r="AF5" s="113"/>
      <c r="AG5" s="113"/>
      <c r="AH5" s="113"/>
      <c r="AI5" s="114"/>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441"/>
      <c r="BI5" s="1441"/>
      <c r="BJ5" s="1441"/>
      <c r="BK5" s="1441"/>
      <c r="BL5" s="1393"/>
      <c r="BM5" s="1393"/>
      <c r="BN5" s="1393"/>
      <c r="BO5" s="123"/>
    </row>
    <row r="6" spans="2:73" s="105" customFormat="1" ht="15.75" customHeight="1" thickBot="1" x14ac:dyDescent="0.25">
      <c r="B6" s="1403"/>
      <c r="C6" s="1404"/>
      <c r="D6" s="1404"/>
      <c r="E6" s="1405"/>
      <c r="F6" s="1406" t="s">
        <v>270</v>
      </c>
      <c r="G6" s="1407"/>
      <c r="H6" s="1408"/>
      <c r="I6" s="1409"/>
      <c r="J6" s="1409"/>
      <c r="K6" s="1409"/>
      <c r="L6" s="1407"/>
      <c r="M6" s="1410"/>
      <c r="N6" s="1411"/>
      <c r="O6" s="1412"/>
      <c r="P6" s="1413"/>
      <c r="Q6" s="1414" t="str">
        <f>IF((graded_aca_events+graded_amn_events)&lt;1,"0",IF(ISERROR(AR46),"",IF(F41&lt;&gt;"COMPLETE","INCOMPLETE",AR46)))</f>
        <v>0</v>
      </c>
      <c r="R6" s="1415"/>
      <c r="S6" s="103"/>
      <c r="T6" s="119"/>
      <c r="U6" s="119">
        <v>2</v>
      </c>
      <c r="V6" s="119">
        <v>3</v>
      </c>
      <c r="W6" s="119">
        <v>6</v>
      </c>
      <c r="X6" s="119">
        <v>7</v>
      </c>
      <c r="Y6" s="119">
        <v>11</v>
      </c>
      <c r="Z6" s="119">
        <v>8</v>
      </c>
      <c r="AA6" s="119">
        <v>9</v>
      </c>
      <c r="AB6" s="119">
        <v>10</v>
      </c>
      <c r="AC6" s="119">
        <v>5</v>
      </c>
      <c r="AD6" s="119">
        <v>4</v>
      </c>
      <c r="AE6" s="119">
        <v>12</v>
      </c>
      <c r="AF6" s="119">
        <v>13</v>
      </c>
      <c r="AG6" s="119"/>
      <c r="AH6" s="119"/>
      <c r="AI6" s="124"/>
      <c r="AJ6" s="125"/>
      <c r="AK6" s="125"/>
      <c r="AL6" s="125"/>
      <c r="AM6" s="125" t="b">
        <f>IF(COUNT(AM8:AM39)&gt;0,TRUE,FALSE)</f>
        <v>0</v>
      </c>
      <c r="AN6" s="125" t="b">
        <f>IF(COUNT(AN8:AN39)&gt;0,TRUE,FALSE)</f>
        <v>0</v>
      </c>
      <c r="AO6" s="119"/>
      <c r="AP6" s="119"/>
      <c r="AQ6" s="118"/>
      <c r="AR6" s="118"/>
      <c r="AS6" s="119"/>
      <c r="AT6" s="85">
        <v>0.05</v>
      </c>
      <c r="AU6" s="119"/>
      <c r="AV6" s="126">
        <f>0.01*input_maxb</f>
        <v>0.05</v>
      </c>
      <c r="AW6" s="127" t="s">
        <v>159</v>
      </c>
      <c r="AX6" s="128"/>
      <c r="AY6" s="127" t="s">
        <v>160</v>
      </c>
      <c r="AZ6" s="128"/>
      <c r="BA6" s="129" t="s">
        <v>161</v>
      </c>
      <c r="BB6" s="129"/>
      <c r="BC6" s="127" t="s">
        <v>162</v>
      </c>
      <c r="BD6" s="129"/>
      <c r="BE6" s="130"/>
      <c r="BF6" s="131"/>
      <c r="BG6" s="119" t="s">
        <v>163</v>
      </c>
      <c r="BH6" s="1441"/>
      <c r="BI6" s="1441"/>
      <c r="BJ6" s="1441"/>
      <c r="BK6" s="1441"/>
      <c r="BL6" s="1393"/>
      <c r="BM6" s="1393"/>
      <c r="BN6" s="1393"/>
      <c r="BO6" s="106"/>
    </row>
    <row r="7" spans="2:73" ht="27" customHeight="1" thickBot="1" x14ac:dyDescent="0.25">
      <c r="B7" s="1416" t="s">
        <v>164</v>
      </c>
      <c r="C7" s="1417"/>
      <c r="D7" s="1417"/>
      <c r="E7" s="1417"/>
      <c r="F7" s="1418"/>
      <c r="G7" s="132" t="s">
        <v>165</v>
      </c>
      <c r="H7" s="133" t="s">
        <v>166</v>
      </c>
      <c r="I7" s="134" t="s">
        <v>167</v>
      </c>
      <c r="J7" s="135" t="s">
        <v>168</v>
      </c>
      <c r="K7" s="136" t="s">
        <v>169</v>
      </c>
      <c r="L7" s="1419" t="s">
        <v>170</v>
      </c>
      <c r="M7" s="1417"/>
      <c r="N7" s="1417"/>
      <c r="O7" s="1417"/>
      <c r="P7" s="1417"/>
      <c r="Q7" s="1417"/>
      <c r="R7" s="1420"/>
      <c r="T7" s="137" t="s">
        <v>171</v>
      </c>
      <c r="U7" s="137"/>
      <c r="V7" s="137" t="s">
        <v>172</v>
      </c>
      <c r="W7" s="137" t="s">
        <v>173</v>
      </c>
      <c r="X7" s="137" t="s">
        <v>174</v>
      </c>
      <c r="Y7" s="137" t="s">
        <v>175</v>
      </c>
      <c r="Z7" s="137" t="s">
        <v>176</v>
      </c>
      <c r="AA7" s="137" t="s">
        <v>177</v>
      </c>
      <c r="AB7" s="137" t="s">
        <v>178</v>
      </c>
      <c r="AC7" s="137" t="s">
        <v>179</v>
      </c>
      <c r="AD7" s="137" t="s">
        <v>180</v>
      </c>
      <c r="AE7" s="137" t="s">
        <v>181</v>
      </c>
      <c r="AF7" s="137" t="s">
        <v>182</v>
      </c>
      <c r="AG7" s="137" t="s">
        <v>183</v>
      </c>
      <c r="AH7" s="137" t="s">
        <v>184</v>
      </c>
      <c r="AI7" s="138" t="s">
        <v>185</v>
      </c>
      <c r="AJ7" s="139" t="s">
        <v>186</v>
      </c>
      <c r="AK7" s="140" t="s">
        <v>187</v>
      </c>
      <c r="AL7" s="140" t="s">
        <v>188</v>
      </c>
      <c r="AM7" s="140" t="s">
        <v>189</v>
      </c>
      <c r="AN7" s="140" t="s">
        <v>190</v>
      </c>
      <c r="AO7" s="139" t="s">
        <v>191</v>
      </c>
      <c r="AP7" s="139" t="s">
        <v>192</v>
      </c>
      <c r="AQ7" s="141" t="s">
        <v>193</v>
      </c>
      <c r="AR7" s="142" t="s">
        <v>1</v>
      </c>
      <c r="AS7" s="141" t="s">
        <v>194</v>
      </c>
      <c r="AT7" s="142" t="s">
        <v>1</v>
      </c>
      <c r="AU7" s="141" t="s">
        <v>195</v>
      </c>
      <c r="AV7" s="143" t="s">
        <v>196</v>
      </c>
      <c r="AW7" s="144" t="s">
        <v>197</v>
      </c>
      <c r="AX7" s="145" t="s">
        <v>198</v>
      </c>
      <c r="AY7" s="144" t="s">
        <v>199</v>
      </c>
      <c r="AZ7" s="145" t="s">
        <v>200</v>
      </c>
      <c r="BA7" s="146" t="s">
        <v>201</v>
      </c>
      <c r="BB7" s="146" t="s">
        <v>202</v>
      </c>
      <c r="BC7" s="147" t="s">
        <v>203</v>
      </c>
      <c r="BD7" s="148" t="s">
        <v>204</v>
      </c>
      <c r="BE7" s="149" t="s">
        <v>205</v>
      </c>
      <c r="BF7" s="150" t="s">
        <v>206</v>
      </c>
      <c r="BH7" s="110" t="s">
        <v>207</v>
      </c>
      <c r="BI7" s="110" t="s">
        <v>208</v>
      </c>
      <c r="BJ7" s="137" t="s">
        <v>209</v>
      </c>
      <c r="BK7" s="110" t="s">
        <v>210</v>
      </c>
      <c r="BL7" s="110" t="s">
        <v>207</v>
      </c>
      <c r="BM7" s="110" t="s">
        <v>208</v>
      </c>
      <c r="BN7" s="110" t="s">
        <v>210</v>
      </c>
    </row>
    <row r="8" spans="2:73" ht="12.95" customHeight="1" x14ac:dyDescent="0.2">
      <c r="B8" s="151" t="str">
        <f>IF(ISNA(Z8),"",IF(OR(Z8=1,Z8=2),"",1))</f>
        <v/>
      </c>
      <c r="C8" s="1391" t="str">
        <f t="shared" ref="C8:C36" si="0">IF(ISNA(Z8),"",CONCATENATE($U8,IF(ISNUMBER(AI8),TEXT(ROUND($AI8,3)," (0.0%)"),""),IF(AU8&gt;0," Bonus","")))</f>
        <v>Airmanship Tasks (5.0%)</v>
      </c>
      <c r="D8" s="1391"/>
      <c r="E8" s="1391"/>
      <c r="F8" s="1392"/>
      <c r="G8" s="152" t="str">
        <f t="shared" ref="G8:G39" si="1">BH8</f>
        <v/>
      </c>
      <c r="H8" s="153" t="str">
        <f t="shared" ref="H8:I39" si="2">BJ8</f>
        <v/>
      </c>
      <c r="I8" s="154" t="str">
        <f t="shared" si="2"/>
        <v/>
      </c>
      <c r="J8" s="155"/>
      <c r="K8" s="156"/>
      <c r="L8" s="1072"/>
      <c r="M8" s="1073"/>
      <c r="N8" s="1073"/>
      <c r="O8" s="1073"/>
      <c r="P8" s="1073"/>
      <c r="Q8" s="1073"/>
      <c r="R8" s="1074"/>
      <c r="T8" s="110">
        <v>1</v>
      </c>
      <c r="U8" s="110" t="s">
        <v>211</v>
      </c>
      <c r="V8" s="206" t="s">
        <v>212</v>
      </c>
      <c r="W8" s="206" t="s">
        <v>212</v>
      </c>
      <c r="X8" s="206" t="s">
        <v>212</v>
      </c>
      <c r="Y8" s="206" t="s">
        <v>212</v>
      </c>
      <c r="Z8" s="206">
        <v>1</v>
      </c>
      <c r="AA8" s="206">
        <v>0</v>
      </c>
      <c r="AB8" s="206">
        <v>0</v>
      </c>
      <c r="AC8" s="206" t="s">
        <v>212</v>
      </c>
      <c r="AD8" s="206" t="s">
        <v>212</v>
      </c>
      <c r="AE8" s="206">
        <v>0</v>
      </c>
      <c r="AF8" s="206" t="s">
        <v>212</v>
      </c>
      <c r="AG8" s="206" t="str">
        <f t="shared" ref="AG8:AG39" si="3">IF(CrewSoloQual="Yes",$AC8,$AD8)</f>
        <v/>
      </c>
      <c r="AH8" s="206" t="str">
        <f t="shared" ref="AH8:AH39" si="4">IF(ISNUMBER(AC8),IF(CrewSoloQual="Yes",$AC8-1,$AD8-1),"")</f>
        <v/>
      </c>
      <c r="AI8" s="86">
        <f>IF(NOT(OR(Z8=1,Z8=2)),IF(AQ8&gt;0,$AR$44*AQ8/SUMIF($AQ$8:$AQ$39,"&gt;0"),IF(AU8&gt;0,$AV$44*AU8/SUMIF($AU$8:$AU$39,"&gt;0"),IF(AS8&gt;0,$AT$44*AS8/SUMIF($AS$8:$AS$39,"&gt;0"),""))),IF(SUMIF(AJ9:$AJ$39,"=" &amp; AJ8,AI9:$AI$39)=0,"",SUMIF(AJ9:$AJ$39,"=" &amp; AJ8,AI9:$AI$39)))</f>
        <v>0.05</v>
      </c>
      <c r="AJ8" s="87">
        <f>0</f>
        <v>0</v>
      </c>
      <c r="AK8" s="206" t="str">
        <f>BI8</f>
        <v/>
      </c>
      <c r="AL8" s="206" t="str">
        <f>IF(ISBLANK(K8),"",K8)</f>
        <v/>
      </c>
      <c r="AM8" s="206" t="str">
        <f>IF(ISNUMBER(AK8),IF(ISNUMBER(AL8),1,""),"")</f>
        <v/>
      </c>
      <c r="AN8" s="206" t="str">
        <f t="shared" ref="AN8:AN36" si="5">IF(ISNUMBER(AH8),IF(AND(AB8=0,ISNUMBER(AC8),ISNUMBER(AL8)),1,""),"")</f>
        <v/>
      </c>
      <c r="AO8" s="206" t="str">
        <f t="shared" ref="AO8:AO39" si="6">IF(AB8=0,IF(CrewSoloQual="No",BI8,BK8),"")</f>
        <v/>
      </c>
      <c r="AP8" s="206" t="str">
        <f t="shared" ref="AP8:AP39" si="7">IF(ISNA(Z8),"",IF(AND(ISNUMBER(B8),G8&gt;=1,H8&lt;&gt;"NG"),IF(K8&lt;BK8,TRUE,FALSE),IF(AND(G8&gt;=1,J8="NA"),TRUE,IF(AND(AM8=1,G8=0,AL8&lt;BI8),TRUE,""))))</f>
        <v/>
      </c>
      <c r="AQ8" s="157">
        <f>IF(ISNA(Z8),0,IF(OR(J8="NA",W8="",AB8=0),0,W8))</f>
        <v>0</v>
      </c>
      <c r="AR8" s="88" t="str">
        <f t="shared" ref="AR8:AR39" si="8">IF(ISNA(Z8),"",IF(AND(NOT(OR(Z8=1,Z8=2,AK8="NG",AB8=0)),IF(ISNUMBER(AL8),AL8&gt;=0,FALSE)),VLOOKUP((10*AD8+AC8),$AQ$50:$AV$58,2+AL8,FALSE),IF(AND(input_test=TRUE,ISNUMBER(AD8),V8&lt;&gt;0),VLOOKUP((10*AD8+AC8),$AQ$50:$AV$58,2,FALSE),"")))</f>
        <v/>
      </c>
      <c r="AS8" s="89">
        <f>IF(ISNA(Z8),0,IF(OR(J8="NA",X8="",AB8=1),0,X8))</f>
        <v>0</v>
      </c>
      <c r="AT8" s="88" t="str">
        <f t="shared" ref="AT8:AT39" si="9">IF(ISNA(Z8),"",IF(AND(NOT(OR(Z8=1,Z8=2,AK8="NG",AB8=1)),IF(ISNUMBER(AL8),AL8&gt;=0,FALSE)),VLOOKUP((10*AH8+AG8),$AQ$50:$AV$58,2+AL8,FALSE),IF(AND(input_test=TRUE,ISNUMBER(AD8),V8&lt;&gt;0),VLOOKUP((10*AH8+AG8),$AQ$50:$AV$58,2,FALSE),"")))</f>
        <v/>
      </c>
      <c r="AU8" s="158">
        <f t="shared" ref="AU8:AU39" si="10">IF(ISNA(Z8),0,IF(OR(J8="NA",Y8=""),0,Y8))</f>
        <v>0</v>
      </c>
      <c r="AV8" s="90" t="str">
        <f t="shared" ref="AV8:AV39" si="11">AR8</f>
        <v/>
      </c>
      <c r="AW8" s="158" t="b">
        <f t="shared" ref="AW8:AW39" si="12">IF(ISNA(Z8),FALSE,IF(OR(AB8=1,G8=0,Z8=1,Z8=2),FALSE,IF(OR(J8="NA",J8&gt;=G8),FALSE,TRUE)))</f>
        <v>0</v>
      </c>
      <c r="AX8" s="159" t="b">
        <f t="shared" ref="AX8:AX39" si="13">IF(ISNA(Z8),FALSE,IF(OR(AB8=0,G8=0,Z8=1,Z8=2,J8="NA"),FALSE,IF(AK8="NG",IF(NOT(ISBLANK(K8)),FALSE,TRUE),IF(J8&gt;=G8,FALSE,TRUE))))</f>
        <v>0</v>
      </c>
      <c r="AY8" s="158" t="b">
        <f t="shared" ref="AY8:AY39" si="14">IF(ISNA(Z8),FALSE,IF(OR(AB8=1,G8&lt;1,Z8=1,Z8=2,AE8=0,ISBLANK(K8)),FALSE,IF(OR(J8="NA",K8&gt;=BI8),FALSE,TRUE)))</f>
        <v>0</v>
      </c>
      <c r="AZ8" s="159" t="b">
        <f t="shared" ref="AZ8:AZ39" si="15">IF(ISNA(Z8),FALSE,IF(OR(AB8=0,G8=0,Z8=1,Z8=2,AE8=0,BI8="NG",K8="",ISBLANK(K8)),FALSE,IF(OR(J8="NA",K8&gt;=AK8),FALSE,TRUE)))</f>
        <v>0</v>
      </c>
      <c r="BA8" s="206" t="b">
        <f t="shared" ref="BA8:BA39" si="16">IF(ISNA(Z8),FALSE,IF(OR(AB8=1,G8&lt;1,Z8=1,Z8=2,AE8=0),FALSE,IF(J8="NA",TRUE,FALSE)))</f>
        <v>0</v>
      </c>
      <c r="BB8" s="206" t="b">
        <f t="shared" ref="BB8:BB39" si="17">IF(ISNA(Z8),FALSE,IF(OR(AB8=0,G8=0,Z8=1,Z8=2),FALSE,IF(J8="NA",TRUE,FALSE)))</f>
        <v>0</v>
      </c>
      <c r="BC8" s="158" t="b">
        <f t="shared" ref="BC8:BC39" si="18">IF(OR(ISNA($Z8),ISNUMBER($Z8),NOT(ISNUMBER($J8)),K8="D"),FALSE,IF(AND(NOT(ISNUMBER($K8)),J8&gt;0),TRUE,FALSE))</f>
        <v>0</v>
      </c>
      <c r="BD8" s="160" t="b">
        <f>IF(OR(ISNA($Z8),ISNUMBER($Z8),NOT(ISNUMBER(K8))),FALSE,OR(NOT(ISNUMBER(J8)),J8=0,AND(J8=0,K8&lt;&gt;0)))</f>
        <v>0</v>
      </c>
      <c r="BE8" s="159" t="b">
        <f t="shared" ref="BE8:BE21" si="19">IF(OR(ISNA($Z8),K8&lt;&gt;"D"),FALSE,IF(OR(AND(H8="NG",J8=0),AND(H8&lt;&gt;"NG",NOT(OR(J8="NA",J8=0)))),TRUE,FALSE))</f>
        <v>0</v>
      </c>
      <c r="BF8" s="161" t="b">
        <f t="shared" ref="BF8:BF30" si="20">IF(OR(ISNA($Z8),H8&lt;&gt;"NG"),FALSE,IF(AND(J8="NA",K8&lt;&gt;""),TRUE,FALSE))</f>
        <v>0</v>
      </c>
      <c r="BG8" s="206" t="b">
        <f t="shared" ref="BG8:BG21" si="21">IF(ISNA($Z8),"NA",IF(OR(AZ8,AY8,AX8,AW8,AP8,BA8,BB8),TRUE,FALSE))</f>
        <v>0</v>
      </c>
      <c r="BH8" s="162" t="str">
        <f>IF(ISNA($Z8),"",IF(OR($Z8=1,$Z8=2),"",$V8))</f>
        <v/>
      </c>
      <c r="BI8" s="206" t="str">
        <f t="shared" ref="BI8:BI39" si="22">IF(ISNA($Z8),"",IF(OR($Z8=1,$Z8=2,$G8=""),"",IF(AB8=0,AH8,$AD8)))</f>
        <v/>
      </c>
      <c r="BJ8" s="206" t="str">
        <f t="shared" ref="BJ8:BJ39" si="23">IF(ISNA(AE8),"",IF(OR(Z8=1,Z8=2),"",IF(OR(AE8=0,AD8="NG"),TEXT(BI8,"0"),CONCATENATE(TEXT(BI8,"0"),"*"))))</f>
        <v/>
      </c>
      <c r="BK8" s="206" t="str">
        <f t="shared" ref="BK8:BK39" si="24">IF(ISNA($Z8),"",IF(OR($Z8=1,$Z8=2,$G8=""),"",IF(AB8=0,AG8,$AC8)))</f>
        <v/>
      </c>
      <c r="BL8" s="162" t="str">
        <f>IF(ISBLANK(BH8),"",IF(BH8=0,"",BH8))</f>
        <v/>
      </c>
      <c r="BM8" s="206" t="str">
        <f t="shared" ref="BM8:BM39" si="25">IF($BH8=0,"",IF($BI8="NG","D",$BI8))</f>
        <v/>
      </c>
      <c r="BN8" s="206" t="str">
        <f t="shared" ref="BN8:BN39" si="26">IF(ISNA(U8),"",IF($BH8=0,"",IF($BI8="NG","D",BK8)))</f>
        <v/>
      </c>
      <c r="BO8" s="163" t="s">
        <v>213</v>
      </c>
      <c r="BP8" s="164"/>
    </row>
    <row r="9" spans="2:73" s="105" customFormat="1" ht="12.95" customHeight="1" x14ac:dyDescent="0.2">
      <c r="B9" s="165">
        <f>IF(ISNA(Z9),"",IF(OR(Z9=1,Z9=2),"    ",MAX($B$8:B8)+1))</f>
        <v>1</v>
      </c>
      <c r="C9" s="1375" t="str">
        <f t="shared" si="0"/>
        <v>Basic Aircraft Knowledge/Operations  (1.3%)</v>
      </c>
      <c r="D9" s="1375"/>
      <c r="E9" s="1375"/>
      <c r="F9" s="1376"/>
      <c r="G9" s="152">
        <f t="shared" si="1"/>
        <v>1</v>
      </c>
      <c r="H9" s="153" t="str">
        <f t="shared" si="2"/>
        <v>0*</v>
      </c>
      <c r="I9" s="166">
        <f t="shared" si="2"/>
        <v>1</v>
      </c>
      <c r="J9" s="167"/>
      <c r="K9" s="168"/>
      <c r="L9" s="1075"/>
      <c r="M9" s="1076"/>
      <c r="N9" s="1076"/>
      <c r="O9" s="1076"/>
      <c r="P9" s="1076"/>
      <c r="Q9" s="1076"/>
      <c r="R9" s="1077"/>
      <c r="T9" s="119">
        <v>2</v>
      </c>
      <c r="U9" s="110" t="s">
        <v>271</v>
      </c>
      <c r="V9" s="206">
        <v>1</v>
      </c>
      <c r="W9" s="206" t="s">
        <v>212</v>
      </c>
      <c r="X9" s="206">
        <v>1</v>
      </c>
      <c r="Y9" s="206" t="s">
        <v>212</v>
      </c>
      <c r="Z9" s="160" t="s">
        <v>212</v>
      </c>
      <c r="AA9" s="160">
        <v>1</v>
      </c>
      <c r="AB9" s="160">
        <v>0</v>
      </c>
      <c r="AC9" s="206">
        <v>2</v>
      </c>
      <c r="AD9" s="206">
        <v>1</v>
      </c>
      <c r="AE9" s="206">
        <v>1</v>
      </c>
      <c r="AF9" s="206" t="b">
        <v>1</v>
      </c>
      <c r="AG9" s="206">
        <f t="shared" si="3"/>
        <v>1</v>
      </c>
      <c r="AH9" s="206">
        <f t="shared" si="4"/>
        <v>0</v>
      </c>
      <c r="AI9" s="86">
        <f>IF(NOT(OR(Z9=1,Z9=2)),IF(AQ9&gt;0,$AR$44*AQ9/SUMIF($AQ$8:$AQ$39,"&gt;0"),IF(AU9&gt;0,$AV$44*AU9/SUMIF($AU$8:$AU$39,"&gt;0"),IF(AS9&gt;0,$AT$44*AS9/SUMIF($AS$8:$AS$39,"&gt;0"),""))),IF(SUMIF(AJ10:$AJ$39,"=" &amp; AJ9,AI10:$AI$39)=0,"",SUMIF(AJ10:$AJ$39,"=" &amp; AJ9,AI10:$AI$39)))</f>
        <v>1.2500000000000001E-2</v>
      </c>
      <c r="AJ9" s="87">
        <f>IF(OR(Z9=1,Z9=2,AA9&lt;AA8),AJ8+1,AJ8)</f>
        <v>0</v>
      </c>
      <c r="AK9" s="206">
        <f t="shared" ref="AK9:AK39" si="27">BI9</f>
        <v>0</v>
      </c>
      <c r="AL9" s="160" t="str">
        <f t="shared" ref="AL9:AL39" si="28">IF(ISBLANK(K9),"",K9)</f>
        <v/>
      </c>
      <c r="AM9" s="160" t="str">
        <f>IF(ISNUMBER(AK9),IF(ISNUMBER(AL9),1,""),"")</f>
        <v/>
      </c>
      <c r="AN9" s="160" t="str">
        <f t="shared" si="5"/>
        <v/>
      </c>
      <c r="AO9" s="160">
        <f t="shared" si="6"/>
        <v>0</v>
      </c>
      <c r="AP9" s="206" t="b">
        <f>IF(ISNA(Z9),"",IF(AND(ISNUMBER(B9),G9&gt;=1,H9&lt;&gt;"NG"),IF(K9&lt;BK9,TRUE,FALSE),IF(AND(G9&gt;=1,J9="NA"),TRUE,IF(AND(AM9=1,G9=0,AL9&lt;BI9),TRUE,""))))</f>
        <v>1</v>
      </c>
      <c r="AQ9" s="157">
        <f t="shared" ref="AQ9:AQ39" si="29">IF(ISNA(Z9),0,IF(OR(J9="NA",W9="",AB9=0),0,W9))</f>
        <v>0</v>
      </c>
      <c r="AR9" s="88" t="str">
        <f>IF(ISNA(Z9),"",IF(AND(NOT(OR(Z9=1,Z9=2,AK9="NG",AB9=0)),IF(ISNUMBER(AL9),AL9&gt;=0,FALSE)),VLOOKUP((10*AD9+AC9),$AQ$50:$AV$58,2+AL9,FALSE),IF(AND(input_test=TRUE,ISNUMBER(AD9),V9&lt;&gt;0),VLOOKUP((10*AD9+AC9),$AQ$50:$AV$58,2,FALSE),"")))</f>
        <v/>
      </c>
      <c r="AS9" s="89">
        <f t="shared" ref="AS9:AS39" si="30">IF(ISNA(Z9),0,IF(OR(J9="NA",X9="",AB9=1),0,X9))</f>
        <v>1</v>
      </c>
      <c r="AT9" s="88" t="str">
        <f>IF(ISNA(Z9),"",IF(AND(NOT(OR(Z9=1,Z9=2,AK9="NG",AB9=1)),IF(ISNUMBER(AL9),AL9&gt;=0,FALSE)),VLOOKUP((10*AH9+AG9),$AQ$50:$AV$58,2+AL9,FALSE),IF(AND(input_test=TRUE,ISNUMBER(AD9),V9&lt;&gt;0),VLOOKUP((10*AH9+AG9),$AQ$50:$AV$58,2,FALSE),"")))</f>
        <v/>
      </c>
      <c r="AU9" s="158">
        <f t="shared" si="10"/>
        <v>0</v>
      </c>
      <c r="AV9" s="90" t="str">
        <f t="shared" si="11"/>
        <v/>
      </c>
      <c r="AW9" s="158" t="b">
        <f t="shared" si="12"/>
        <v>1</v>
      </c>
      <c r="AX9" s="159" t="b">
        <f t="shared" si="13"/>
        <v>0</v>
      </c>
      <c r="AY9" s="158" t="b">
        <f t="shared" si="14"/>
        <v>0</v>
      </c>
      <c r="AZ9" s="159" t="b">
        <f t="shared" si="15"/>
        <v>0</v>
      </c>
      <c r="BA9" s="206" t="b">
        <f t="shared" si="16"/>
        <v>0</v>
      </c>
      <c r="BB9" s="206" t="b">
        <f t="shared" si="17"/>
        <v>0</v>
      </c>
      <c r="BC9" s="158" t="b">
        <f t="shared" si="18"/>
        <v>0</v>
      </c>
      <c r="BD9" s="160" t="b">
        <f t="shared" ref="BD9:BD39" si="31">IF(OR(ISNA($Z9),ISNUMBER($Z9),NOT(ISNUMBER(K9))),FALSE,OR(NOT(ISNUMBER(J9)),J9=0,AND(J9=0,K9&lt;&gt;0)))</f>
        <v>0</v>
      </c>
      <c r="BE9" s="159" t="b">
        <f t="shared" si="19"/>
        <v>0</v>
      </c>
      <c r="BF9" s="161" t="b">
        <f t="shared" si="20"/>
        <v>0</v>
      </c>
      <c r="BG9" s="206" t="b">
        <f t="shared" si="21"/>
        <v>1</v>
      </c>
      <c r="BH9" s="206">
        <f t="shared" ref="BH9:BH39" si="32">IF(ISNA($Z9),"",IF(OR($Z9=1,$Z9=2),"",$V9))</f>
        <v>1</v>
      </c>
      <c r="BI9" s="206">
        <f t="shared" si="22"/>
        <v>0</v>
      </c>
      <c r="BJ9" s="206" t="str">
        <f t="shared" si="23"/>
        <v>0*</v>
      </c>
      <c r="BK9" s="206">
        <f t="shared" si="24"/>
        <v>1</v>
      </c>
      <c r="BL9" s="162">
        <f t="shared" ref="BL9:BL39" si="33">IF(ISBLANK(BH9),"",IF(BH9=0,"",BH9))</f>
        <v>1</v>
      </c>
      <c r="BM9" s="206">
        <f t="shared" si="25"/>
        <v>0</v>
      </c>
      <c r="BN9" s="206">
        <f t="shared" si="26"/>
        <v>1</v>
      </c>
      <c r="BO9" s="169" t="s">
        <v>214</v>
      </c>
      <c r="BP9" s="170" t="s">
        <v>215</v>
      </c>
    </row>
    <row r="10" spans="2:73" s="105" customFormat="1" ht="12.95" customHeight="1" x14ac:dyDescent="0.2">
      <c r="B10" s="165">
        <f>IF(ISNA(Z10),"",IF(OR(Z10=1,Z10=2),"    ",MAX($B$8:B9)+1))</f>
        <v>2</v>
      </c>
      <c r="C10" s="1375" t="str">
        <f t="shared" si="0"/>
        <v>Basic Comm/Airspace Mechanics (1.3%)</v>
      </c>
      <c r="D10" s="1375"/>
      <c r="E10" s="1375"/>
      <c r="F10" s="1376"/>
      <c r="G10" s="152">
        <f t="shared" si="1"/>
        <v>1</v>
      </c>
      <c r="H10" s="153" t="str">
        <f t="shared" si="2"/>
        <v>0*</v>
      </c>
      <c r="I10" s="166">
        <f t="shared" si="2"/>
        <v>1</v>
      </c>
      <c r="J10" s="171"/>
      <c r="K10" s="168"/>
      <c r="L10" s="1075"/>
      <c r="M10" s="1076"/>
      <c r="N10" s="1076"/>
      <c r="O10" s="1076"/>
      <c r="P10" s="1076"/>
      <c r="Q10" s="1076"/>
      <c r="R10" s="1077"/>
      <c r="T10" s="119">
        <v>3</v>
      </c>
      <c r="U10" s="110" t="s">
        <v>272</v>
      </c>
      <c r="V10" s="206">
        <v>1</v>
      </c>
      <c r="W10" s="206" t="s">
        <v>212</v>
      </c>
      <c r="X10" s="206">
        <v>1</v>
      </c>
      <c r="Y10" s="206" t="s">
        <v>212</v>
      </c>
      <c r="Z10" s="160" t="s">
        <v>212</v>
      </c>
      <c r="AA10" s="160">
        <v>1</v>
      </c>
      <c r="AB10" s="160">
        <v>0</v>
      </c>
      <c r="AC10" s="206">
        <v>2</v>
      </c>
      <c r="AD10" s="206">
        <v>1</v>
      </c>
      <c r="AE10" s="206">
        <v>1</v>
      </c>
      <c r="AF10" s="206" t="b">
        <v>1</v>
      </c>
      <c r="AG10" s="206">
        <f t="shared" si="3"/>
        <v>1</v>
      </c>
      <c r="AH10" s="206">
        <f t="shared" si="4"/>
        <v>0</v>
      </c>
      <c r="AI10" s="86">
        <f>IF(NOT(OR(Z10=1,Z10=2)),IF(AQ10&gt;0,$AR$44*AQ10/SUMIF($AQ$8:$AQ$39,"&gt;0"),IF(AU10&gt;0,$AV$44*AU10/SUMIF($AU$8:$AU$39,"&gt;0"),IF(AS10&gt;0,$AT$44*AS10/SUMIF($AS$8:$AS$39,"&gt;0"),""))),IF(SUMIF(AJ11:$AJ$39,"=" &amp; AJ10,AI11:$AI$39)=0,"",SUMIF(AJ11:$AJ$39,"=" &amp; AJ10,AI11:$AI$39)))</f>
        <v>1.2500000000000001E-2</v>
      </c>
      <c r="AJ10" s="87">
        <f t="shared" ref="AJ10:AJ39" si="34">IF(OR(Z10=1,Z10=2,AA10&lt;AA9),AJ9+1,AJ9)</f>
        <v>0</v>
      </c>
      <c r="AK10" s="206">
        <f t="shared" si="27"/>
        <v>0</v>
      </c>
      <c r="AL10" s="160" t="str">
        <f t="shared" si="28"/>
        <v/>
      </c>
      <c r="AM10" s="160" t="str">
        <f t="shared" ref="AM10:AM39" si="35">IF(ISNUMBER(AK10),IF(ISNUMBER(AL10),1,""),"")</f>
        <v/>
      </c>
      <c r="AN10" s="160" t="str">
        <f t="shared" si="5"/>
        <v/>
      </c>
      <c r="AO10" s="160">
        <f t="shared" si="6"/>
        <v>0</v>
      </c>
      <c r="AP10" s="206" t="b">
        <f t="shared" si="7"/>
        <v>1</v>
      </c>
      <c r="AQ10" s="157">
        <f t="shared" si="29"/>
        <v>0</v>
      </c>
      <c r="AR10" s="88" t="str">
        <f t="shared" si="8"/>
        <v/>
      </c>
      <c r="AS10" s="89">
        <f t="shared" si="30"/>
        <v>1</v>
      </c>
      <c r="AT10" s="88" t="str">
        <f t="shared" si="9"/>
        <v/>
      </c>
      <c r="AU10" s="158">
        <f t="shared" si="10"/>
        <v>0</v>
      </c>
      <c r="AV10" s="90" t="str">
        <f t="shared" si="11"/>
        <v/>
      </c>
      <c r="AW10" s="158" t="b">
        <f t="shared" si="12"/>
        <v>1</v>
      </c>
      <c r="AX10" s="159" t="b">
        <f t="shared" si="13"/>
        <v>0</v>
      </c>
      <c r="AY10" s="158" t="b">
        <f t="shared" si="14"/>
        <v>0</v>
      </c>
      <c r="AZ10" s="159" t="b">
        <f t="shared" si="15"/>
        <v>0</v>
      </c>
      <c r="BA10" s="206" t="b">
        <f t="shared" si="16"/>
        <v>0</v>
      </c>
      <c r="BB10" s="206" t="b">
        <f t="shared" si="17"/>
        <v>0</v>
      </c>
      <c r="BC10" s="158" t="b">
        <f t="shared" si="18"/>
        <v>0</v>
      </c>
      <c r="BD10" s="160" t="b">
        <f t="shared" si="31"/>
        <v>0</v>
      </c>
      <c r="BE10" s="159" t="b">
        <f t="shared" si="19"/>
        <v>0</v>
      </c>
      <c r="BF10" s="161" t="b">
        <f t="shared" si="20"/>
        <v>0</v>
      </c>
      <c r="BG10" s="206" t="b">
        <f t="shared" si="21"/>
        <v>1</v>
      </c>
      <c r="BH10" s="206">
        <f t="shared" si="32"/>
        <v>1</v>
      </c>
      <c r="BI10" s="206">
        <f t="shared" si="22"/>
        <v>0</v>
      </c>
      <c r="BJ10" s="206" t="str">
        <f t="shared" si="23"/>
        <v>0*</v>
      </c>
      <c r="BK10" s="206">
        <f t="shared" si="24"/>
        <v>1</v>
      </c>
      <c r="BL10" s="162">
        <f t="shared" si="33"/>
        <v>1</v>
      </c>
      <c r="BM10" s="206">
        <f t="shared" si="25"/>
        <v>0</v>
      </c>
      <c r="BN10" s="206">
        <f t="shared" si="26"/>
        <v>1</v>
      </c>
      <c r="BO10" s="169">
        <v>0</v>
      </c>
      <c r="BP10" s="170" t="s">
        <v>216</v>
      </c>
    </row>
    <row r="11" spans="2:73" s="105" customFormat="1" ht="12.95" customHeight="1" x14ac:dyDescent="0.2">
      <c r="B11" s="165">
        <f>IF(ISNA(Z11),"",IF(OR(Z11=1,Z11=2),"    ",MAX($B$8:B10)+1))</f>
        <v>3</v>
      </c>
      <c r="C11" s="1375" t="str">
        <f t="shared" si="0"/>
        <v>Basic SA/Judgement (2.5%)</v>
      </c>
      <c r="D11" s="1375"/>
      <c r="E11" s="1375"/>
      <c r="F11" s="1376"/>
      <c r="G11" s="152">
        <f t="shared" si="1"/>
        <v>1</v>
      </c>
      <c r="H11" s="153" t="str">
        <f t="shared" si="2"/>
        <v>1*</v>
      </c>
      <c r="I11" s="166">
        <f t="shared" si="2"/>
        <v>2</v>
      </c>
      <c r="J11" s="171"/>
      <c r="K11" s="168"/>
      <c r="L11" s="1075"/>
      <c r="M11" s="1076"/>
      <c r="N11" s="1076"/>
      <c r="O11" s="1076"/>
      <c r="P11" s="1076"/>
      <c r="Q11" s="1076"/>
      <c r="R11" s="1077"/>
      <c r="T11" s="119">
        <v>4</v>
      </c>
      <c r="U11" s="110" t="s">
        <v>273</v>
      </c>
      <c r="V11" s="206">
        <v>1</v>
      </c>
      <c r="W11" s="206" t="s">
        <v>212</v>
      </c>
      <c r="X11" s="206">
        <v>2</v>
      </c>
      <c r="Y11" s="206" t="s">
        <v>212</v>
      </c>
      <c r="Z11" s="160" t="s">
        <v>212</v>
      </c>
      <c r="AA11" s="160">
        <v>1</v>
      </c>
      <c r="AB11" s="160">
        <v>0</v>
      </c>
      <c r="AC11" s="206">
        <v>2</v>
      </c>
      <c r="AD11" s="206">
        <v>2</v>
      </c>
      <c r="AE11" s="206">
        <v>1</v>
      </c>
      <c r="AF11" s="206" t="b">
        <v>1</v>
      </c>
      <c r="AG11" s="206">
        <f t="shared" si="3"/>
        <v>2</v>
      </c>
      <c r="AH11" s="206">
        <f t="shared" si="4"/>
        <v>1</v>
      </c>
      <c r="AI11" s="86">
        <f>IF(NOT(OR(Z11=1,Z11=2)),IF(AQ11&gt;0,$AR$44*AQ11/SUMIF($AQ$8:$AQ$39,"&gt;0"),IF(AU11&gt;0,$AV$44*AU11/SUMIF($AU$8:$AU$39,"&gt;0"),IF(AS11&gt;0,$AT$44*AS11/SUMIF($AS$8:$AS$39,"&gt;0"),""))),IF(SUMIF(AJ12:$AJ$39,"=" &amp; AJ11,AI12:$AI$39)=0,"",SUMIF(AJ12:$AJ$39,"=" &amp; AJ11,AI12:$AI$39)))</f>
        <v>2.5000000000000001E-2</v>
      </c>
      <c r="AJ11" s="87">
        <f t="shared" si="34"/>
        <v>0</v>
      </c>
      <c r="AK11" s="206">
        <f t="shared" si="27"/>
        <v>1</v>
      </c>
      <c r="AL11" s="160" t="str">
        <f t="shared" si="28"/>
        <v/>
      </c>
      <c r="AM11" s="160" t="str">
        <f t="shared" si="35"/>
        <v/>
      </c>
      <c r="AN11" s="160" t="str">
        <f t="shared" si="5"/>
        <v/>
      </c>
      <c r="AO11" s="160">
        <f t="shared" si="6"/>
        <v>1</v>
      </c>
      <c r="AP11" s="206" t="b">
        <f t="shared" si="7"/>
        <v>1</v>
      </c>
      <c r="AQ11" s="157">
        <f t="shared" si="29"/>
        <v>0</v>
      </c>
      <c r="AR11" s="88" t="str">
        <f t="shared" si="8"/>
        <v/>
      </c>
      <c r="AS11" s="89">
        <f t="shared" si="30"/>
        <v>2</v>
      </c>
      <c r="AT11" s="88" t="str">
        <f t="shared" si="9"/>
        <v/>
      </c>
      <c r="AU11" s="158">
        <f t="shared" si="10"/>
        <v>0</v>
      </c>
      <c r="AV11" s="90" t="str">
        <f t="shared" si="11"/>
        <v/>
      </c>
      <c r="AW11" s="158" t="b">
        <f t="shared" si="12"/>
        <v>1</v>
      </c>
      <c r="AX11" s="159" t="b">
        <f t="shared" si="13"/>
        <v>0</v>
      </c>
      <c r="AY11" s="158" t="b">
        <f t="shared" si="14"/>
        <v>0</v>
      </c>
      <c r="AZ11" s="159" t="b">
        <f t="shared" si="15"/>
        <v>0</v>
      </c>
      <c r="BA11" s="206" t="b">
        <f t="shared" si="16"/>
        <v>0</v>
      </c>
      <c r="BB11" s="206" t="b">
        <f t="shared" si="17"/>
        <v>0</v>
      </c>
      <c r="BC11" s="158" t="b">
        <f t="shared" si="18"/>
        <v>0</v>
      </c>
      <c r="BD11" s="160" t="b">
        <f t="shared" si="31"/>
        <v>0</v>
      </c>
      <c r="BE11" s="159" t="b">
        <f t="shared" si="19"/>
        <v>0</v>
      </c>
      <c r="BF11" s="161" t="b">
        <f t="shared" si="20"/>
        <v>0</v>
      </c>
      <c r="BG11" s="206" t="b">
        <f t="shared" si="21"/>
        <v>1</v>
      </c>
      <c r="BH11" s="206">
        <f t="shared" si="32"/>
        <v>1</v>
      </c>
      <c r="BI11" s="206">
        <f t="shared" si="22"/>
        <v>1</v>
      </c>
      <c r="BJ11" s="206" t="str">
        <f t="shared" si="23"/>
        <v>1*</v>
      </c>
      <c r="BK11" s="206">
        <f t="shared" si="24"/>
        <v>2</v>
      </c>
      <c r="BL11" s="162">
        <f t="shared" si="33"/>
        <v>1</v>
      </c>
      <c r="BM11" s="206">
        <f t="shared" si="25"/>
        <v>1</v>
      </c>
      <c r="BN11" s="206">
        <f t="shared" si="26"/>
        <v>2</v>
      </c>
      <c r="BO11" s="169">
        <v>1</v>
      </c>
      <c r="BP11" s="170" t="s">
        <v>217</v>
      </c>
    </row>
    <row r="12" spans="2:73" s="105" customFormat="1" ht="12.95" customHeight="1" x14ac:dyDescent="0.2">
      <c r="B12" s="165" t="str">
        <f>IF(ISNA(Z12),"",IF(OR(Z12=1,Z12=2),"    ",MAX($B$8:B11)+1))</f>
        <v xml:space="preserve">    </v>
      </c>
      <c r="C12" s="1375" t="str">
        <f t="shared" si="0"/>
        <v>Academic Tasks</v>
      </c>
      <c r="D12" s="1375"/>
      <c r="E12" s="1375"/>
      <c r="F12" s="1376"/>
      <c r="G12" s="152" t="str">
        <f t="shared" si="1"/>
        <v/>
      </c>
      <c r="H12" s="153" t="str">
        <f t="shared" si="2"/>
        <v/>
      </c>
      <c r="I12" s="166" t="str">
        <f t="shared" si="2"/>
        <v/>
      </c>
      <c r="J12" s="172"/>
      <c r="K12" s="173"/>
      <c r="L12" s="1075"/>
      <c r="M12" s="1076"/>
      <c r="N12" s="1076"/>
      <c r="O12" s="1076"/>
      <c r="P12" s="1076"/>
      <c r="Q12" s="1076"/>
      <c r="R12" s="1077"/>
      <c r="T12" s="119">
        <v>5</v>
      </c>
      <c r="U12" s="110" t="s">
        <v>219</v>
      </c>
      <c r="V12" s="206" t="s">
        <v>212</v>
      </c>
      <c r="W12" s="206" t="s">
        <v>212</v>
      </c>
      <c r="X12" s="206" t="s">
        <v>212</v>
      </c>
      <c r="Y12" s="206" t="s">
        <v>212</v>
      </c>
      <c r="Z12" s="160">
        <v>1</v>
      </c>
      <c r="AA12" s="160">
        <v>0</v>
      </c>
      <c r="AB12" s="160">
        <v>1</v>
      </c>
      <c r="AC12" s="206" t="s">
        <v>212</v>
      </c>
      <c r="AD12" s="206" t="s">
        <v>212</v>
      </c>
      <c r="AE12" s="206">
        <v>0</v>
      </c>
      <c r="AF12" s="206" t="s">
        <v>212</v>
      </c>
      <c r="AG12" s="206" t="str">
        <f t="shared" si="3"/>
        <v/>
      </c>
      <c r="AH12" s="206" t="str">
        <f t="shared" si="4"/>
        <v/>
      </c>
      <c r="AI12" s="86" t="str">
        <f>IF(NOT(OR(Z12=1,Z12=2)),IF(AQ12&gt;0,$AR$44*AQ12/SUMIF($AQ$8:$AQ$39,"&gt;0"),IF(AU12&gt;0,$AV$44*AU12/SUMIF($AU$8:$AU$39,"&gt;0"),IF(AS12&gt;0,$AT$44*AS12/SUMIF($AS$8:$AS$39,"&gt;0"),""))),IF(SUMIF(AJ13:$AJ$39,"=" &amp; AJ12,AI13:$AI$39)=0,"",SUMIF(AJ13:$AJ$39,"=" &amp; AJ12,AI13:$AI$39)))</f>
        <v/>
      </c>
      <c r="AJ12" s="87">
        <f t="shared" si="34"/>
        <v>1</v>
      </c>
      <c r="AK12" s="206" t="str">
        <f t="shared" si="27"/>
        <v/>
      </c>
      <c r="AL12" s="160" t="str">
        <f t="shared" si="28"/>
        <v/>
      </c>
      <c r="AM12" s="160" t="str">
        <f t="shared" si="35"/>
        <v/>
      </c>
      <c r="AN12" s="160" t="str">
        <f t="shared" si="5"/>
        <v/>
      </c>
      <c r="AO12" s="160" t="str">
        <f t="shared" si="6"/>
        <v/>
      </c>
      <c r="AP12" s="206" t="str">
        <f t="shared" si="7"/>
        <v/>
      </c>
      <c r="AQ12" s="157">
        <f t="shared" si="29"/>
        <v>0</v>
      </c>
      <c r="AR12" s="88" t="str">
        <f t="shared" si="8"/>
        <v/>
      </c>
      <c r="AS12" s="89">
        <f t="shared" si="30"/>
        <v>0</v>
      </c>
      <c r="AT12" s="88" t="str">
        <f t="shared" si="9"/>
        <v/>
      </c>
      <c r="AU12" s="158">
        <f t="shared" si="10"/>
        <v>0</v>
      </c>
      <c r="AV12" s="90" t="str">
        <f t="shared" si="11"/>
        <v/>
      </c>
      <c r="AW12" s="158" t="b">
        <f t="shared" si="12"/>
        <v>0</v>
      </c>
      <c r="AX12" s="159" t="b">
        <f t="shared" si="13"/>
        <v>0</v>
      </c>
      <c r="AY12" s="158" t="b">
        <f t="shared" si="14"/>
        <v>0</v>
      </c>
      <c r="AZ12" s="159" t="b">
        <f t="shared" si="15"/>
        <v>0</v>
      </c>
      <c r="BA12" s="206" t="b">
        <f t="shared" si="16"/>
        <v>0</v>
      </c>
      <c r="BB12" s="206" t="b">
        <f t="shared" si="17"/>
        <v>0</v>
      </c>
      <c r="BC12" s="158" t="b">
        <f t="shared" si="18"/>
        <v>0</v>
      </c>
      <c r="BD12" s="160" t="b">
        <f t="shared" si="31"/>
        <v>0</v>
      </c>
      <c r="BE12" s="159" t="b">
        <f t="shared" si="19"/>
        <v>0</v>
      </c>
      <c r="BF12" s="161" t="b">
        <f t="shared" si="20"/>
        <v>0</v>
      </c>
      <c r="BG12" s="206" t="b">
        <f t="shared" si="21"/>
        <v>0</v>
      </c>
      <c r="BH12" s="206" t="str">
        <f t="shared" si="32"/>
        <v/>
      </c>
      <c r="BI12" s="206" t="str">
        <f t="shared" si="22"/>
        <v/>
      </c>
      <c r="BJ12" s="206" t="str">
        <f t="shared" si="23"/>
        <v/>
      </c>
      <c r="BK12" s="206" t="str">
        <f t="shared" si="24"/>
        <v/>
      </c>
      <c r="BL12" s="162" t="str">
        <f t="shared" si="33"/>
        <v/>
      </c>
      <c r="BM12" s="206" t="str">
        <f t="shared" si="25"/>
        <v/>
      </c>
      <c r="BN12" s="206" t="str">
        <f t="shared" si="26"/>
        <v/>
      </c>
      <c r="BO12" s="169">
        <v>2</v>
      </c>
      <c r="BP12" s="170" t="s">
        <v>218</v>
      </c>
    </row>
    <row r="13" spans="2:73" s="105" customFormat="1" ht="12.95" customHeight="1" x14ac:dyDescent="0.2">
      <c r="B13" s="165" t="str">
        <f>IF(ISNA(Z13),"",IF(OR(Z13=1,Z13=2),"    ",MAX($B$8:B12)+1))</f>
        <v xml:space="preserve">    </v>
      </c>
      <c r="C13" s="1375" t="str">
        <f t="shared" si="0"/>
        <v>Test Conduct (95.0%)</v>
      </c>
      <c r="D13" s="1375"/>
      <c r="E13" s="1375"/>
      <c r="F13" s="1376"/>
      <c r="G13" s="152" t="str">
        <f t="shared" si="1"/>
        <v/>
      </c>
      <c r="H13" s="153" t="str">
        <f t="shared" si="2"/>
        <v/>
      </c>
      <c r="I13" s="166" t="str">
        <f t="shared" si="2"/>
        <v/>
      </c>
      <c r="J13" s="172"/>
      <c r="K13" s="173"/>
      <c r="L13" s="1075"/>
      <c r="M13" s="1076"/>
      <c r="N13" s="1076"/>
      <c r="O13" s="1076"/>
      <c r="P13" s="1076"/>
      <c r="Q13" s="1076"/>
      <c r="R13" s="1077"/>
      <c r="T13" s="119">
        <v>6</v>
      </c>
      <c r="U13" s="110" t="s">
        <v>221</v>
      </c>
      <c r="V13" s="206" t="s">
        <v>212</v>
      </c>
      <c r="W13" s="206" t="s">
        <v>212</v>
      </c>
      <c r="X13" s="206" t="s">
        <v>212</v>
      </c>
      <c r="Y13" s="206" t="s">
        <v>212</v>
      </c>
      <c r="Z13" s="160">
        <v>2</v>
      </c>
      <c r="AA13" s="160">
        <v>1</v>
      </c>
      <c r="AB13" s="160">
        <v>1</v>
      </c>
      <c r="AC13" s="206" t="s">
        <v>212</v>
      </c>
      <c r="AD13" s="206" t="s">
        <v>212</v>
      </c>
      <c r="AE13" s="206" t="s">
        <v>212</v>
      </c>
      <c r="AF13" s="206" t="s">
        <v>212</v>
      </c>
      <c r="AG13" s="206" t="str">
        <f t="shared" si="3"/>
        <v/>
      </c>
      <c r="AH13" s="206" t="str">
        <f t="shared" si="4"/>
        <v/>
      </c>
      <c r="AI13" s="86">
        <f>IF(NOT(OR(Z13=1,Z13=2)),IF(AQ13&gt;0,$AR$44*AQ13/SUMIF($AQ$8:$AQ$39,"&gt;0"),IF(AU13&gt;0,$AV$44*AU13/SUMIF($AU$8:$AU$39,"&gt;0"),IF(AS13&gt;0,$AT$44*AS13/SUMIF($AS$8:$AS$39,"&gt;0"),""))),IF(SUMIF(AJ14:$AJ$39,"=" &amp; AJ13,AI14:$AI$39)=0,"",SUMIF(AJ14:$AJ$39,"=" &amp; AJ13,AI14:$AI$39)))</f>
        <v>0.95</v>
      </c>
      <c r="AJ13" s="87">
        <f t="shared" si="34"/>
        <v>2</v>
      </c>
      <c r="AK13" s="206" t="str">
        <f t="shared" si="27"/>
        <v/>
      </c>
      <c r="AL13" s="160" t="str">
        <f t="shared" si="28"/>
        <v/>
      </c>
      <c r="AM13" s="160" t="str">
        <f t="shared" si="35"/>
        <v/>
      </c>
      <c r="AN13" s="160" t="str">
        <f t="shared" si="5"/>
        <v/>
      </c>
      <c r="AO13" s="160" t="str">
        <f t="shared" si="6"/>
        <v/>
      </c>
      <c r="AP13" s="206" t="str">
        <f t="shared" si="7"/>
        <v/>
      </c>
      <c r="AQ13" s="157">
        <f t="shared" si="29"/>
        <v>0</v>
      </c>
      <c r="AR13" s="88" t="str">
        <f t="shared" si="8"/>
        <v/>
      </c>
      <c r="AS13" s="89">
        <f t="shared" si="30"/>
        <v>0</v>
      </c>
      <c r="AT13" s="88" t="str">
        <f t="shared" si="9"/>
        <v/>
      </c>
      <c r="AU13" s="158">
        <f t="shared" si="10"/>
        <v>0</v>
      </c>
      <c r="AV13" s="90" t="str">
        <f t="shared" si="11"/>
        <v/>
      </c>
      <c r="AW13" s="158" t="b">
        <f t="shared" si="12"/>
        <v>0</v>
      </c>
      <c r="AX13" s="159" t="b">
        <f t="shared" si="13"/>
        <v>0</v>
      </c>
      <c r="AY13" s="158" t="b">
        <f t="shared" si="14"/>
        <v>0</v>
      </c>
      <c r="AZ13" s="159" t="b">
        <f t="shared" si="15"/>
        <v>0</v>
      </c>
      <c r="BA13" s="206" t="b">
        <f t="shared" si="16"/>
        <v>0</v>
      </c>
      <c r="BB13" s="206" t="b">
        <f t="shared" si="17"/>
        <v>0</v>
      </c>
      <c r="BC13" s="158" t="b">
        <f t="shared" si="18"/>
        <v>0</v>
      </c>
      <c r="BD13" s="160" t="b">
        <f t="shared" si="31"/>
        <v>0</v>
      </c>
      <c r="BE13" s="159" t="b">
        <f t="shared" si="19"/>
        <v>0</v>
      </c>
      <c r="BF13" s="161" t="b">
        <f t="shared" si="20"/>
        <v>0</v>
      </c>
      <c r="BG13" s="206" t="b">
        <f t="shared" si="21"/>
        <v>0</v>
      </c>
      <c r="BH13" s="206" t="str">
        <f t="shared" si="32"/>
        <v/>
      </c>
      <c r="BI13" s="206" t="str">
        <f t="shared" si="22"/>
        <v/>
      </c>
      <c r="BJ13" s="206" t="str">
        <f t="shared" si="23"/>
        <v/>
      </c>
      <c r="BK13" s="206" t="str">
        <f t="shared" si="24"/>
        <v/>
      </c>
      <c r="BL13" s="162" t="str">
        <f t="shared" si="33"/>
        <v/>
      </c>
      <c r="BM13" s="206" t="str">
        <f t="shared" si="25"/>
        <v/>
      </c>
      <c r="BN13" s="206" t="str">
        <f t="shared" si="26"/>
        <v/>
      </c>
      <c r="BO13" s="169">
        <v>3</v>
      </c>
      <c r="BP13" s="170" t="s">
        <v>220</v>
      </c>
    </row>
    <row r="14" spans="2:73" s="105" customFormat="1" ht="12.95" customHeight="1" x14ac:dyDescent="0.2">
      <c r="B14" s="165">
        <f>IF(ISNA(Z14),"",IF(OR(Z14=1,Z14=2),"    ",MAX($B$8:B13)+1))</f>
        <v>4</v>
      </c>
      <c r="C14" s="1375" t="str">
        <f t="shared" si="0"/>
        <v xml:space="preserve">      - Mission Materials/Briefing</v>
      </c>
      <c r="D14" s="1375"/>
      <c r="E14" s="1375"/>
      <c r="F14" s="1376"/>
      <c r="G14" s="152">
        <f t="shared" si="1"/>
        <v>1</v>
      </c>
      <c r="H14" s="153" t="str">
        <f t="shared" si="2"/>
        <v>NG</v>
      </c>
      <c r="I14" s="166" t="str">
        <f t="shared" si="2"/>
        <v/>
      </c>
      <c r="J14" s="171"/>
      <c r="K14" s="168"/>
      <c r="L14" s="1075"/>
      <c r="M14" s="1076"/>
      <c r="N14" s="1076"/>
      <c r="O14" s="1076"/>
      <c r="P14" s="1076"/>
      <c r="Q14" s="1076"/>
      <c r="R14" s="1077"/>
      <c r="T14" s="119">
        <v>7</v>
      </c>
      <c r="U14" s="110" t="s">
        <v>274</v>
      </c>
      <c r="V14" s="206">
        <v>1</v>
      </c>
      <c r="W14" s="206" t="s">
        <v>212</v>
      </c>
      <c r="X14" s="206" t="s">
        <v>212</v>
      </c>
      <c r="Y14" s="206" t="s">
        <v>212</v>
      </c>
      <c r="Z14" s="160" t="s">
        <v>212</v>
      </c>
      <c r="AA14" s="160">
        <v>2</v>
      </c>
      <c r="AB14" s="160">
        <v>1</v>
      </c>
      <c r="AC14" s="206" t="s">
        <v>212</v>
      </c>
      <c r="AD14" s="206" t="s">
        <v>225</v>
      </c>
      <c r="AE14" s="206" t="s">
        <v>212</v>
      </c>
      <c r="AF14" s="206" t="b">
        <v>1</v>
      </c>
      <c r="AG14" s="206" t="str">
        <f t="shared" si="3"/>
        <v>NG</v>
      </c>
      <c r="AH14" s="206" t="str">
        <f t="shared" si="4"/>
        <v/>
      </c>
      <c r="AI14" s="86" t="str">
        <f>IF(NOT(OR(Z14=1,Z14=2)),IF(AQ14&gt;0,$AR$44*AQ14/SUMIF($AQ$8:$AQ$39,"&gt;0"),IF(AU14&gt;0,$AV$44*AU14/SUMIF($AU$8:$AU$39,"&gt;0"),IF(AS14&gt;0,$AT$44*AS14/SUMIF($AS$8:$AS$39,"&gt;0"),""))),IF(SUMIF(AJ15:$AJ$39,"=" &amp; AJ14,AI15:$AI$39)=0,"",SUMIF(AJ15:$AJ$39,"=" &amp; AJ14,AI15:$AI$39)))</f>
        <v/>
      </c>
      <c r="AJ14" s="87">
        <f t="shared" si="34"/>
        <v>2</v>
      </c>
      <c r="AK14" s="206" t="str">
        <f t="shared" si="27"/>
        <v>NG</v>
      </c>
      <c r="AL14" s="160" t="str">
        <f t="shared" si="28"/>
        <v/>
      </c>
      <c r="AM14" s="160" t="str">
        <f t="shared" si="35"/>
        <v/>
      </c>
      <c r="AN14" s="160" t="str">
        <f t="shared" si="5"/>
        <v/>
      </c>
      <c r="AO14" s="160" t="str">
        <f t="shared" si="6"/>
        <v/>
      </c>
      <c r="AP14" s="206" t="str">
        <f t="shared" si="7"/>
        <v/>
      </c>
      <c r="AQ14" s="157">
        <f t="shared" si="29"/>
        <v>0</v>
      </c>
      <c r="AR14" s="88" t="str">
        <f t="shared" si="8"/>
        <v/>
      </c>
      <c r="AS14" s="89">
        <f t="shared" si="30"/>
        <v>0</v>
      </c>
      <c r="AT14" s="88" t="str">
        <f t="shared" si="9"/>
        <v/>
      </c>
      <c r="AU14" s="158">
        <f t="shared" si="10"/>
        <v>0</v>
      </c>
      <c r="AV14" s="90" t="str">
        <f t="shared" si="11"/>
        <v/>
      </c>
      <c r="AW14" s="158" t="b">
        <f t="shared" si="12"/>
        <v>0</v>
      </c>
      <c r="AX14" s="159" t="b">
        <f t="shared" si="13"/>
        <v>1</v>
      </c>
      <c r="AY14" s="158" t="b">
        <f t="shared" si="14"/>
        <v>0</v>
      </c>
      <c r="AZ14" s="159" t="b">
        <f t="shared" si="15"/>
        <v>0</v>
      </c>
      <c r="BA14" s="206" t="b">
        <f t="shared" si="16"/>
        <v>0</v>
      </c>
      <c r="BB14" s="206" t="b">
        <f t="shared" si="17"/>
        <v>0</v>
      </c>
      <c r="BC14" s="158" t="b">
        <f t="shared" si="18"/>
        <v>0</v>
      </c>
      <c r="BD14" s="160" t="b">
        <f t="shared" si="31"/>
        <v>0</v>
      </c>
      <c r="BE14" s="159" t="b">
        <f t="shared" si="19"/>
        <v>0</v>
      </c>
      <c r="BF14" s="161" t="b">
        <f t="shared" si="20"/>
        <v>0</v>
      </c>
      <c r="BG14" s="206" t="b">
        <f t="shared" si="21"/>
        <v>1</v>
      </c>
      <c r="BH14" s="206">
        <f t="shared" si="32"/>
        <v>1</v>
      </c>
      <c r="BI14" s="206" t="str">
        <f t="shared" si="22"/>
        <v>NG</v>
      </c>
      <c r="BJ14" s="206" t="str">
        <f t="shared" si="23"/>
        <v>NG</v>
      </c>
      <c r="BK14" s="206" t="str">
        <f t="shared" si="24"/>
        <v/>
      </c>
      <c r="BL14" s="162">
        <f t="shared" si="33"/>
        <v>1</v>
      </c>
      <c r="BM14" s="206" t="str">
        <f t="shared" si="25"/>
        <v>D</v>
      </c>
      <c r="BN14" s="206" t="str">
        <f t="shared" si="26"/>
        <v>D</v>
      </c>
      <c r="BO14" s="169">
        <v>4</v>
      </c>
      <c r="BP14" s="170" t="s">
        <v>222</v>
      </c>
    </row>
    <row r="15" spans="2:73" s="105" customFormat="1" ht="12.95" customHeight="1" x14ac:dyDescent="0.2">
      <c r="B15" s="165">
        <f>IF(ISNA(Z15),"",IF(OR(Z15=1,Z15=2),"    ",MAX($B$8:B14)+1))</f>
        <v>5</v>
      </c>
      <c r="C15" s="1375" t="str">
        <f t="shared" si="0"/>
        <v xml:space="preserve">      - Mission Management/Adaptability (14.6%)</v>
      </c>
      <c r="D15" s="1375"/>
      <c r="E15" s="1375"/>
      <c r="F15" s="1376"/>
      <c r="G15" s="152">
        <f t="shared" si="1"/>
        <v>1</v>
      </c>
      <c r="H15" s="153" t="str">
        <f t="shared" si="2"/>
        <v>1</v>
      </c>
      <c r="I15" s="166">
        <f t="shared" si="2"/>
        <v>2</v>
      </c>
      <c r="J15" s="171"/>
      <c r="K15" s="168"/>
      <c r="L15" s="1075"/>
      <c r="M15" s="1076"/>
      <c r="N15" s="1076"/>
      <c r="O15" s="1076"/>
      <c r="P15" s="1076"/>
      <c r="Q15" s="1076"/>
      <c r="R15" s="1077"/>
      <c r="T15" s="119">
        <v>8</v>
      </c>
      <c r="U15" s="110" t="s">
        <v>275</v>
      </c>
      <c r="V15" s="206">
        <v>1</v>
      </c>
      <c r="W15" s="206">
        <v>1</v>
      </c>
      <c r="X15" s="206" t="s">
        <v>212</v>
      </c>
      <c r="Y15" s="206" t="s">
        <v>212</v>
      </c>
      <c r="Z15" s="160" t="s">
        <v>212</v>
      </c>
      <c r="AA15" s="160">
        <v>2</v>
      </c>
      <c r="AB15" s="160">
        <v>1</v>
      </c>
      <c r="AC15" s="206">
        <v>2</v>
      </c>
      <c r="AD15" s="206">
        <v>1</v>
      </c>
      <c r="AE15" s="206">
        <v>0</v>
      </c>
      <c r="AF15" s="206" t="b">
        <v>1</v>
      </c>
      <c r="AG15" s="206">
        <f t="shared" si="3"/>
        <v>1</v>
      </c>
      <c r="AH15" s="206">
        <f t="shared" si="4"/>
        <v>0</v>
      </c>
      <c r="AI15" s="86">
        <f>IF(NOT(OR(Z15=1,Z15=2)),IF(AQ15&gt;0,$AR$44*AQ15/SUMIF($AQ$8:$AQ$39,"&gt;0"),IF(AU15&gt;0,$AV$44*AU15/SUMIF($AU$8:$AU$39,"&gt;0"),IF(AS15&gt;0,$AT$44*AS15/SUMIF($AS$8:$AS$39,"&gt;0"),""))),IF(SUMIF(AJ16:$AJ$39,"=" &amp; AJ15,AI16:$AI$39)=0,"",SUMIF(AJ16:$AJ$39,"=" &amp; AJ15,AI16:$AI$39)))</f>
        <v>0.14615384615384613</v>
      </c>
      <c r="AJ15" s="87">
        <f t="shared" si="34"/>
        <v>2</v>
      </c>
      <c r="AK15" s="206">
        <f t="shared" si="27"/>
        <v>1</v>
      </c>
      <c r="AL15" s="160" t="str">
        <f t="shared" si="28"/>
        <v/>
      </c>
      <c r="AM15" s="160" t="str">
        <f t="shared" si="35"/>
        <v/>
      </c>
      <c r="AN15" s="160" t="str">
        <f t="shared" si="5"/>
        <v/>
      </c>
      <c r="AO15" s="160" t="str">
        <f t="shared" si="6"/>
        <v/>
      </c>
      <c r="AP15" s="206" t="b">
        <f t="shared" si="7"/>
        <v>1</v>
      </c>
      <c r="AQ15" s="157">
        <f t="shared" si="29"/>
        <v>1</v>
      </c>
      <c r="AR15" s="88" t="str">
        <f t="shared" si="8"/>
        <v/>
      </c>
      <c r="AS15" s="89">
        <f t="shared" si="30"/>
        <v>0</v>
      </c>
      <c r="AT15" s="88" t="str">
        <f t="shared" si="9"/>
        <v/>
      </c>
      <c r="AU15" s="158">
        <f t="shared" si="10"/>
        <v>0</v>
      </c>
      <c r="AV15" s="90" t="str">
        <f t="shared" si="11"/>
        <v/>
      </c>
      <c r="AW15" s="158" t="b">
        <f t="shared" si="12"/>
        <v>0</v>
      </c>
      <c r="AX15" s="159" t="b">
        <f t="shared" si="13"/>
        <v>1</v>
      </c>
      <c r="AY15" s="158" t="b">
        <f t="shared" si="14"/>
        <v>0</v>
      </c>
      <c r="AZ15" s="159" t="b">
        <f t="shared" si="15"/>
        <v>0</v>
      </c>
      <c r="BA15" s="206" t="b">
        <f t="shared" si="16"/>
        <v>0</v>
      </c>
      <c r="BB15" s="206" t="b">
        <f t="shared" si="17"/>
        <v>0</v>
      </c>
      <c r="BC15" s="158" t="b">
        <f t="shared" si="18"/>
        <v>0</v>
      </c>
      <c r="BD15" s="160" t="b">
        <f t="shared" si="31"/>
        <v>0</v>
      </c>
      <c r="BE15" s="159" t="b">
        <f t="shared" si="19"/>
        <v>0</v>
      </c>
      <c r="BF15" s="161" t="b">
        <f t="shared" si="20"/>
        <v>0</v>
      </c>
      <c r="BG15" s="206" t="b">
        <f t="shared" si="21"/>
        <v>1</v>
      </c>
      <c r="BH15" s="206">
        <f t="shared" si="32"/>
        <v>1</v>
      </c>
      <c r="BI15" s="206">
        <f t="shared" si="22"/>
        <v>1</v>
      </c>
      <c r="BJ15" s="206" t="str">
        <f t="shared" si="23"/>
        <v>1</v>
      </c>
      <c r="BK15" s="206">
        <f t="shared" si="24"/>
        <v>2</v>
      </c>
      <c r="BL15" s="162">
        <f t="shared" si="33"/>
        <v>1</v>
      </c>
      <c r="BM15" s="206">
        <f t="shared" si="25"/>
        <v>1</v>
      </c>
      <c r="BN15" s="206">
        <f t="shared" si="26"/>
        <v>2</v>
      </c>
      <c r="BO15" s="106"/>
    </row>
    <row r="16" spans="2:73" s="105" customFormat="1" ht="12.95" customHeight="1" x14ac:dyDescent="0.2">
      <c r="B16" s="165">
        <f>IF(ISNA(Z16),"",IF(OR(Z16=1,Z16=2),"    ",MAX($B$8:B15)+1))</f>
        <v>6</v>
      </c>
      <c r="C16" s="1375" t="str">
        <f t="shared" si="0"/>
        <v xml:space="preserve">      - Test Plan/Card Adherence (21.9%)</v>
      </c>
      <c r="D16" s="1375"/>
      <c r="E16" s="1375"/>
      <c r="F16" s="1376"/>
      <c r="G16" s="152">
        <f t="shared" si="1"/>
        <v>1</v>
      </c>
      <c r="H16" s="153" t="str">
        <f t="shared" si="2"/>
        <v>1*</v>
      </c>
      <c r="I16" s="166">
        <f t="shared" si="2"/>
        <v>2</v>
      </c>
      <c r="J16" s="171"/>
      <c r="K16" s="168"/>
      <c r="L16" s="1075"/>
      <c r="M16" s="1076"/>
      <c r="N16" s="1076"/>
      <c r="O16" s="1076"/>
      <c r="P16" s="1076"/>
      <c r="Q16" s="1076"/>
      <c r="R16" s="1077"/>
      <c r="T16" s="119">
        <v>9</v>
      </c>
      <c r="U16" s="110" t="s">
        <v>276</v>
      </c>
      <c r="V16" s="206">
        <v>1</v>
      </c>
      <c r="W16" s="206">
        <v>1.5</v>
      </c>
      <c r="X16" s="206" t="s">
        <v>212</v>
      </c>
      <c r="Y16" s="206" t="s">
        <v>212</v>
      </c>
      <c r="Z16" s="160" t="s">
        <v>212</v>
      </c>
      <c r="AA16" s="160">
        <v>2</v>
      </c>
      <c r="AB16" s="160">
        <v>1</v>
      </c>
      <c r="AC16" s="206">
        <v>2</v>
      </c>
      <c r="AD16" s="206">
        <v>1</v>
      </c>
      <c r="AE16" s="206">
        <v>1</v>
      </c>
      <c r="AF16" s="206" t="b">
        <v>1</v>
      </c>
      <c r="AG16" s="206">
        <f t="shared" si="3"/>
        <v>1</v>
      </c>
      <c r="AH16" s="206">
        <f t="shared" si="4"/>
        <v>0</v>
      </c>
      <c r="AI16" s="86">
        <f>IF(NOT(OR(Z16=1,Z16=2)),IF(AQ16&gt;0,$AR$44*AQ16/SUMIF($AQ$8:$AQ$39,"&gt;0"),IF(AU16&gt;0,$AV$44*AU16/SUMIF($AU$8:$AU$39,"&gt;0"),IF(AS16&gt;0,$AT$44*AS16/SUMIF($AS$8:$AS$39,"&gt;0"),""))),IF(SUMIF(AJ17:$AJ$39,"=" &amp; AJ16,AI17:$AI$39)=0,"",SUMIF(AJ17:$AJ$39,"=" &amp; AJ16,AI17:$AI$39)))</f>
        <v>0.2192307692307692</v>
      </c>
      <c r="AJ16" s="87">
        <f t="shared" si="34"/>
        <v>2</v>
      </c>
      <c r="AK16" s="206">
        <f t="shared" si="27"/>
        <v>1</v>
      </c>
      <c r="AL16" s="160" t="str">
        <f t="shared" si="28"/>
        <v/>
      </c>
      <c r="AM16" s="160" t="str">
        <f t="shared" si="35"/>
        <v/>
      </c>
      <c r="AN16" s="160" t="str">
        <f t="shared" si="5"/>
        <v/>
      </c>
      <c r="AO16" s="160" t="str">
        <f t="shared" si="6"/>
        <v/>
      </c>
      <c r="AP16" s="206" t="b">
        <f t="shared" si="7"/>
        <v>1</v>
      </c>
      <c r="AQ16" s="157">
        <f t="shared" si="29"/>
        <v>1.5</v>
      </c>
      <c r="AR16" s="88" t="str">
        <f t="shared" si="8"/>
        <v/>
      </c>
      <c r="AS16" s="89">
        <f t="shared" si="30"/>
        <v>0</v>
      </c>
      <c r="AT16" s="88" t="str">
        <f t="shared" si="9"/>
        <v/>
      </c>
      <c r="AU16" s="158">
        <f t="shared" si="10"/>
        <v>0</v>
      </c>
      <c r="AV16" s="90" t="str">
        <f t="shared" si="11"/>
        <v/>
      </c>
      <c r="AW16" s="158" t="b">
        <f t="shared" si="12"/>
        <v>0</v>
      </c>
      <c r="AX16" s="159" t="b">
        <f t="shared" si="13"/>
        <v>1</v>
      </c>
      <c r="AY16" s="158" t="b">
        <f t="shared" si="14"/>
        <v>0</v>
      </c>
      <c r="AZ16" s="159" t="b">
        <f t="shared" si="15"/>
        <v>0</v>
      </c>
      <c r="BA16" s="206" t="b">
        <f t="shared" si="16"/>
        <v>0</v>
      </c>
      <c r="BB16" s="206" t="b">
        <f t="shared" si="17"/>
        <v>0</v>
      </c>
      <c r="BC16" s="158" t="b">
        <f t="shared" si="18"/>
        <v>0</v>
      </c>
      <c r="BD16" s="160" t="b">
        <f t="shared" si="31"/>
        <v>0</v>
      </c>
      <c r="BE16" s="159" t="b">
        <f t="shared" si="19"/>
        <v>0</v>
      </c>
      <c r="BF16" s="161" t="b">
        <f t="shared" si="20"/>
        <v>0</v>
      </c>
      <c r="BG16" s="206" t="b">
        <f t="shared" si="21"/>
        <v>1</v>
      </c>
      <c r="BH16" s="206">
        <f t="shared" si="32"/>
        <v>1</v>
      </c>
      <c r="BI16" s="206">
        <f t="shared" si="22"/>
        <v>1</v>
      </c>
      <c r="BJ16" s="206" t="str">
        <f t="shared" si="23"/>
        <v>1*</v>
      </c>
      <c r="BK16" s="206">
        <f t="shared" si="24"/>
        <v>2</v>
      </c>
      <c r="BL16" s="162">
        <f t="shared" si="33"/>
        <v>1</v>
      </c>
      <c r="BM16" s="206">
        <f t="shared" si="25"/>
        <v>1</v>
      </c>
      <c r="BN16" s="206">
        <f t="shared" si="26"/>
        <v>2</v>
      </c>
      <c r="BO16" s="169"/>
      <c r="BP16" s="174"/>
    </row>
    <row r="17" spans="2:73" s="105" customFormat="1" ht="12.95" customHeight="1" x14ac:dyDescent="0.2">
      <c r="B17" s="165">
        <f>IF(ISNA(Z17),"",IF(OR(Z17=1,Z17=2),"    ",MAX($B$8:B16)+1))</f>
        <v>7</v>
      </c>
      <c r="C17" s="1375" t="str">
        <f t="shared" si="0"/>
        <v xml:space="preserve">      - Test Specific Comm/CRM (21.9%)</v>
      </c>
      <c r="D17" s="1375"/>
      <c r="E17" s="1375"/>
      <c r="F17" s="1376"/>
      <c r="G17" s="152">
        <f t="shared" si="1"/>
        <v>1</v>
      </c>
      <c r="H17" s="153" t="str">
        <f t="shared" si="2"/>
        <v>1*</v>
      </c>
      <c r="I17" s="166">
        <f t="shared" si="2"/>
        <v>2</v>
      </c>
      <c r="J17" s="171"/>
      <c r="K17" s="168"/>
      <c r="L17" s="1075"/>
      <c r="M17" s="1076"/>
      <c r="N17" s="1076"/>
      <c r="O17" s="1076"/>
      <c r="P17" s="1076"/>
      <c r="Q17" s="1076"/>
      <c r="R17" s="1077"/>
      <c r="T17" s="119">
        <v>10</v>
      </c>
      <c r="U17" s="110" t="s">
        <v>277</v>
      </c>
      <c r="V17" s="206">
        <v>1</v>
      </c>
      <c r="W17" s="206">
        <v>1.5</v>
      </c>
      <c r="X17" s="206" t="s">
        <v>212</v>
      </c>
      <c r="Y17" s="206" t="s">
        <v>212</v>
      </c>
      <c r="Z17" s="160" t="s">
        <v>212</v>
      </c>
      <c r="AA17" s="160">
        <v>2</v>
      </c>
      <c r="AB17" s="160">
        <v>1</v>
      </c>
      <c r="AC17" s="206">
        <v>2</v>
      </c>
      <c r="AD17" s="206">
        <v>1</v>
      </c>
      <c r="AE17" s="206">
        <v>1</v>
      </c>
      <c r="AF17" s="206" t="b">
        <v>1</v>
      </c>
      <c r="AG17" s="206">
        <f t="shared" si="3"/>
        <v>1</v>
      </c>
      <c r="AH17" s="206">
        <f t="shared" si="4"/>
        <v>0</v>
      </c>
      <c r="AI17" s="86">
        <f>IF(NOT(OR(Z17=1,Z17=2)),IF(AQ17&gt;0,$AR$44*AQ17/SUMIF($AQ$8:$AQ$39,"&gt;0"),IF(AU17&gt;0,$AV$44*AU17/SUMIF($AU$8:$AU$39,"&gt;0"),IF(AS17&gt;0,$AT$44*AS17/SUMIF($AS$8:$AS$39,"&gt;0"),""))),IF(SUMIF(AJ18:$AJ$39,"=" &amp; AJ17,AI18:$AI$39)=0,"",SUMIF(AJ18:$AJ$39,"=" &amp; AJ17,AI18:$AI$39)))</f>
        <v>0.2192307692307692</v>
      </c>
      <c r="AJ17" s="87">
        <f t="shared" si="34"/>
        <v>2</v>
      </c>
      <c r="AK17" s="206">
        <f t="shared" si="27"/>
        <v>1</v>
      </c>
      <c r="AL17" s="160" t="str">
        <f t="shared" si="28"/>
        <v/>
      </c>
      <c r="AM17" s="160" t="str">
        <f t="shared" si="35"/>
        <v/>
      </c>
      <c r="AN17" s="160" t="str">
        <f t="shared" si="5"/>
        <v/>
      </c>
      <c r="AO17" s="160" t="str">
        <f t="shared" si="6"/>
        <v/>
      </c>
      <c r="AP17" s="206" t="b">
        <f t="shared" si="7"/>
        <v>1</v>
      </c>
      <c r="AQ17" s="157">
        <f t="shared" si="29"/>
        <v>1.5</v>
      </c>
      <c r="AR17" s="88" t="str">
        <f t="shared" si="8"/>
        <v/>
      </c>
      <c r="AS17" s="89">
        <f t="shared" si="30"/>
        <v>0</v>
      </c>
      <c r="AT17" s="88" t="str">
        <f t="shared" si="9"/>
        <v/>
      </c>
      <c r="AU17" s="158">
        <f t="shared" si="10"/>
        <v>0</v>
      </c>
      <c r="AV17" s="90" t="str">
        <f t="shared" si="11"/>
        <v/>
      </c>
      <c r="AW17" s="158" t="b">
        <f t="shared" si="12"/>
        <v>0</v>
      </c>
      <c r="AX17" s="159" t="b">
        <f t="shared" si="13"/>
        <v>1</v>
      </c>
      <c r="AY17" s="158" t="b">
        <f t="shared" si="14"/>
        <v>0</v>
      </c>
      <c r="AZ17" s="159" t="b">
        <f t="shared" si="15"/>
        <v>0</v>
      </c>
      <c r="BA17" s="206" t="b">
        <f t="shared" si="16"/>
        <v>0</v>
      </c>
      <c r="BB17" s="206" t="b">
        <f t="shared" si="17"/>
        <v>0</v>
      </c>
      <c r="BC17" s="158" t="b">
        <f t="shared" si="18"/>
        <v>0</v>
      </c>
      <c r="BD17" s="160" t="b">
        <f t="shared" si="31"/>
        <v>0</v>
      </c>
      <c r="BE17" s="159" t="b">
        <f t="shared" si="19"/>
        <v>0</v>
      </c>
      <c r="BF17" s="161" t="b">
        <f t="shared" si="20"/>
        <v>0</v>
      </c>
      <c r="BG17" s="206" t="b">
        <f t="shared" si="21"/>
        <v>1</v>
      </c>
      <c r="BH17" s="206">
        <f t="shared" si="32"/>
        <v>1</v>
      </c>
      <c r="BI17" s="206">
        <f t="shared" si="22"/>
        <v>1</v>
      </c>
      <c r="BJ17" s="206" t="str">
        <f t="shared" si="23"/>
        <v>1*</v>
      </c>
      <c r="BK17" s="206">
        <f t="shared" si="24"/>
        <v>2</v>
      </c>
      <c r="BL17" s="162">
        <f t="shared" si="33"/>
        <v>1</v>
      </c>
      <c r="BM17" s="206">
        <f t="shared" si="25"/>
        <v>1</v>
      </c>
      <c r="BN17" s="206">
        <f t="shared" si="26"/>
        <v>2</v>
      </c>
      <c r="BO17" s="106"/>
    </row>
    <row r="18" spans="2:73" s="105" customFormat="1" ht="12.95" customHeight="1" x14ac:dyDescent="0.2">
      <c r="B18" s="165">
        <f>IF(ISNA(Z18),"",IF(OR(Z18=1,Z18=2),"    ",MAX($B$8:B17)+1))</f>
        <v>8</v>
      </c>
      <c r="C18" s="1375" t="str">
        <f t="shared" si="0"/>
        <v xml:space="preserve">      - Limit Adherence  (21.9%)</v>
      </c>
      <c r="D18" s="1375"/>
      <c r="E18" s="1375"/>
      <c r="F18" s="1376"/>
      <c r="G18" s="152">
        <f t="shared" si="1"/>
        <v>1</v>
      </c>
      <c r="H18" s="153" t="str">
        <f t="shared" si="2"/>
        <v>1*</v>
      </c>
      <c r="I18" s="166">
        <f t="shared" si="2"/>
        <v>2</v>
      </c>
      <c r="J18" s="171"/>
      <c r="K18" s="168"/>
      <c r="L18" s="1075"/>
      <c r="M18" s="1076"/>
      <c r="N18" s="1076"/>
      <c r="O18" s="1076"/>
      <c r="P18" s="1076"/>
      <c r="Q18" s="1076"/>
      <c r="R18" s="1077"/>
      <c r="T18" s="119">
        <v>11</v>
      </c>
      <c r="U18" s="110" t="s">
        <v>296</v>
      </c>
      <c r="V18" s="206">
        <v>1</v>
      </c>
      <c r="W18" s="206">
        <v>1.5</v>
      </c>
      <c r="X18" s="206" t="s">
        <v>212</v>
      </c>
      <c r="Y18" s="206" t="s">
        <v>212</v>
      </c>
      <c r="Z18" s="160" t="s">
        <v>212</v>
      </c>
      <c r="AA18" s="160">
        <v>2</v>
      </c>
      <c r="AB18" s="160">
        <v>1</v>
      </c>
      <c r="AC18" s="206">
        <v>2</v>
      </c>
      <c r="AD18" s="206">
        <v>1</v>
      </c>
      <c r="AE18" s="206">
        <v>1</v>
      </c>
      <c r="AF18" s="206" t="b">
        <v>1</v>
      </c>
      <c r="AG18" s="206">
        <f t="shared" si="3"/>
        <v>1</v>
      </c>
      <c r="AH18" s="206">
        <f t="shared" si="4"/>
        <v>0</v>
      </c>
      <c r="AI18" s="86">
        <f>IF(NOT(OR(Z18=1,Z18=2)),IF(AQ18&gt;0,$AR$44*AQ18/SUMIF($AQ$8:$AQ$39,"&gt;0"),IF(AU18&gt;0,$AV$44*AU18/SUMIF($AU$8:$AU$39,"&gt;0"),IF(AS18&gt;0,$AT$44*AS18/SUMIF($AS$8:$AS$39,"&gt;0"),""))),IF(SUMIF(AJ19:$AJ$39,"=" &amp; AJ18,AI19:$AI$39)=0,"",SUMIF(AJ19:$AJ$39,"=" &amp; AJ18,AI19:$AI$39)))</f>
        <v>0.2192307692307692</v>
      </c>
      <c r="AJ18" s="87">
        <f t="shared" si="34"/>
        <v>2</v>
      </c>
      <c r="AK18" s="206">
        <f t="shared" si="27"/>
        <v>1</v>
      </c>
      <c r="AL18" s="160" t="str">
        <f t="shared" si="28"/>
        <v/>
      </c>
      <c r="AM18" s="160" t="str">
        <f t="shared" si="35"/>
        <v/>
      </c>
      <c r="AN18" s="160" t="str">
        <f t="shared" si="5"/>
        <v/>
      </c>
      <c r="AO18" s="160" t="str">
        <f t="shared" si="6"/>
        <v/>
      </c>
      <c r="AP18" s="206" t="b">
        <f t="shared" si="7"/>
        <v>1</v>
      </c>
      <c r="AQ18" s="157">
        <f t="shared" si="29"/>
        <v>1.5</v>
      </c>
      <c r="AR18" s="88" t="str">
        <f t="shared" si="8"/>
        <v/>
      </c>
      <c r="AS18" s="89">
        <f t="shared" si="30"/>
        <v>0</v>
      </c>
      <c r="AT18" s="88" t="str">
        <f t="shared" si="9"/>
        <v/>
      </c>
      <c r="AU18" s="158">
        <f t="shared" si="10"/>
        <v>0</v>
      </c>
      <c r="AV18" s="90" t="str">
        <f t="shared" si="11"/>
        <v/>
      </c>
      <c r="AW18" s="158" t="b">
        <f t="shared" si="12"/>
        <v>0</v>
      </c>
      <c r="AX18" s="159" t="b">
        <f t="shared" si="13"/>
        <v>1</v>
      </c>
      <c r="AY18" s="158" t="b">
        <f t="shared" si="14"/>
        <v>0</v>
      </c>
      <c r="AZ18" s="159" t="b">
        <f t="shared" si="15"/>
        <v>0</v>
      </c>
      <c r="BA18" s="206" t="b">
        <f t="shared" si="16"/>
        <v>0</v>
      </c>
      <c r="BB18" s="206" t="b">
        <f t="shared" si="17"/>
        <v>0</v>
      </c>
      <c r="BC18" s="158" t="b">
        <f t="shared" si="18"/>
        <v>0</v>
      </c>
      <c r="BD18" s="160" t="b">
        <f t="shared" si="31"/>
        <v>0</v>
      </c>
      <c r="BE18" s="159" t="b">
        <f t="shared" si="19"/>
        <v>0</v>
      </c>
      <c r="BF18" s="161" t="b">
        <f t="shared" si="20"/>
        <v>0</v>
      </c>
      <c r="BG18" s="206" t="b">
        <f t="shared" si="21"/>
        <v>1</v>
      </c>
      <c r="BH18" s="206">
        <f t="shared" si="32"/>
        <v>1</v>
      </c>
      <c r="BI18" s="206">
        <f t="shared" si="22"/>
        <v>1</v>
      </c>
      <c r="BJ18" s="206" t="str">
        <f t="shared" si="23"/>
        <v>1*</v>
      </c>
      <c r="BK18" s="206">
        <f t="shared" si="24"/>
        <v>2</v>
      </c>
      <c r="BL18" s="162">
        <f t="shared" si="33"/>
        <v>1</v>
      </c>
      <c r="BM18" s="206">
        <f t="shared" si="25"/>
        <v>1</v>
      </c>
      <c r="BN18" s="206">
        <f t="shared" si="26"/>
        <v>2</v>
      </c>
      <c r="BO18" s="104"/>
      <c r="BP18" s="174" t="s">
        <v>223</v>
      </c>
      <c r="BQ18" s="175"/>
      <c r="BR18" s="175"/>
      <c r="BS18" s="175"/>
      <c r="BT18" s="175"/>
      <c r="BU18" s="175"/>
    </row>
    <row r="19" spans="2:73" s="105" customFormat="1" ht="12.95" customHeight="1" x14ac:dyDescent="0.2">
      <c r="B19" s="165">
        <f>IF(ISNA(Z19),"",IF(OR(Z19=1,Z19=2),"    ",MAX($B$8:B18)+1))</f>
        <v>9</v>
      </c>
      <c r="C19" s="1375" t="str">
        <f t="shared" si="0"/>
        <v xml:space="preserve">      - Data Collection (14.6%)</v>
      </c>
      <c r="D19" s="1375"/>
      <c r="E19" s="1375"/>
      <c r="F19" s="1376"/>
      <c r="G19" s="152">
        <f t="shared" si="1"/>
        <v>1</v>
      </c>
      <c r="H19" s="153" t="str">
        <f t="shared" si="2"/>
        <v>1</v>
      </c>
      <c r="I19" s="166">
        <f t="shared" si="2"/>
        <v>2</v>
      </c>
      <c r="J19" s="171"/>
      <c r="K19" s="168"/>
      <c r="L19" s="1075"/>
      <c r="M19" s="1076"/>
      <c r="N19" s="1076"/>
      <c r="O19" s="1076"/>
      <c r="P19" s="1076"/>
      <c r="Q19" s="1076"/>
      <c r="R19" s="1077"/>
      <c r="T19" s="119">
        <v>12</v>
      </c>
      <c r="U19" s="110" t="s">
        <v>279</v>
      </c>
      <c r="V19" s="206">
        <v>1</v>
      </c>
      <c r="W19" s="206">
        <v>1</v>
      </c>
      <c r="X19" s="206" t="s">
        <v>212</v>
      </c>
      <c r="Y19" s="206" t="s">
        <v>212</v>
      </c>
      <c r="Z19" s="160" t="s">
        <v>212</v>
      </c>
      <c r="AA19" s="160">
        <v>2</v>
      </c>
      <c r="AB19" s="160">
        <v>1</v>
      </c>
      <c r="AC19" s="206">
        <v>2</v>
      </c>
      <c r="AD19" s="206">
        <v>1</v>
      </c>
      <c r="AE19" s="206">
        <v>0</v>
      </c>
      <c r="AF19" s="206" t="b">
        <v>1</v>
      </c>
      <c r="AG19" s="206">
        <f t="shared" si="3"/>
        <v>1</v>
      </c>
      <c r="AH19" s="206">
        <f t="shared" si="4"/>
        <v>0</v>
      </c>
      <c r="AI19" s="86">
        <f>IF(NOT(OR(Z19=1,Z19=2)),IF(AQ19&gt;0,$AR$44*AQ19/SUMIF($AQ$8:$AQ$39,"&gt;0"),IF(AU19&gt;0,$AV$44*AU19/SUMIF($AU$8:$AU$39,"&gt;0"),IF(AS19&gt;0,$AT$44*AS19/SUMIF($AS$8:$AS$39,"&gt;0"),""))),IF(SUMIF(AJ20:$AJ$39,"=" &amp; AJ19,AI20:$AI$39)=0,"",SUMIF(AJ20:$AJ$39,"=" &amp; AJ19,AI20:$AI$39)))</f>
        <v>0.14615384615384613</v>
      </c>
      <c r="AJ19" s="87">
        <f t="shared" si="34"/>
        <v>2</v>
      </c>
      <c r="AK19" s="206">
        <f t="shared" si="27"/>
        <v>1</v>
      </c>
      <c r="AL19" s="160" t="str">
        <f t="shared" si="28"/>
        <v/>
      </c>
      <c r="AM19" s="160" t="str">
        <f t="shared" si="35"/>
        <v/>
      </c>
      <c r="AN19" s="160" t="str">
        <f t="shared" si="5"/>
        <v/>
      </c>
      <c r="AO19" s="160" t="str">
        <f t="shared" si="6"/>
        <v/>
      </c>
      <c r="AP19" s="206" t="b">
        <f t="shared" si="7"/>
        <v>1</v>
      </c>
      <c r="AQ19" s="157">
        <f t="shared" si="29"/>
        <v>1</v>
      </c>
      <c r="AR19" s="88" t="str">
        <f t="shared" si="8"/>
        <v/>
      </c>
      <c r="AS19" s="89">
        <f t="shared" si="30"/>
        <v>0</v>
      </c>
      <c r="AT19" s="88" t="str">
        <f t="shared" si="9"/>
        <v/>
      </c>
      <c r="AU19" s="158">
        <f t="shared" si="10"/>
        <v>0</v>
      </c>
      <c r="AV19" s="90" t="str">
        <f t="shared" si="11"/>
        <v/>
      </c>
      <c r="AW19" s="158" t="b">
        <f t="shared" si="12"/>
        <v>0</v>
      </c>
      <c r="AX19" s="159" t="b">
        <f t="shared" si="13"/>
        <v>1</v>
      </c>
      <c r="AY19" s="158" t="b">
        <f t="shared" si="14"/>
        <v>0</v>
      </c>
      <c r="AZ19" s="159" t="b">
        <f t="shared" si="15"/>
        <v>0</v>
      </c>
      <c r="BA19" s="206" t="b">
        <f t="shared" si="16"/>
        <v>0</v>
      </c>
      <c r="BB19" s="206" t="b">
        <f t="shared" si="17"/>
        <v>0</v>
      </c>
      <c r="BC19" s="158" t="b">
        <f t="shared" si="18"/>
        <v>0</v>
      </c>
      <c r="BD19" s="160" t="b">
        <f t="shared" si="31"/>
        <v>0</v>
      </c>
      <c r="BE19" s="159" t="b">
        <f t="shared" si="19"/>
        <v>0</v>
      </c>
      <c r="BF19" s="161" t="b">
        <f t="shared" si="20"/>
        <v>0</v>
      </c>
      <c r="BG19" s="206" t="b">
        <f t="shared" si="21"/>
        <v>1</v>
      </c>
      <c r="BH19" s="206">
        <f t="shared" si="32"/>
        <v>1</v>
      </c>
      <c r="BI19" s="206">
        <f t="shared" si="22"/>
        <v>1</v>
      </c>
      <c r="BJ19" s="206" t="str">
        <f t="shared" si="23"/>
        <v>1</v>
      </c>
      <c r="BK19" s="206">
        <f t="shared" si="24"/>
        <v>2</v>
      </c>
      <c r="BL19" s="162">
        <f t="shared" si="33"/>
        <v>1</v>
      </c>
      <c r="BM19" s="206">
        <f t="shared" si="25"/>
        <v>1</v>
      </c>
      <c r="BN19" s="206">
        <f t="shared" si="26"/>
        <v>2</v>
      </c>
      <c r="BO19" s="104"/>
      <c r="BP19" s="164"/>
      <c r="BQ19" s="1386" t="s">
        <v>224</v>
      </c>
      <c r="BR19" s="1386"/>
      <c r="BS19" s="1386"/>
      <c r="BT19" s="1386"/>
      <c r="BU19" s="1386"/>
    </row>
    <row r="20" spans="2:73" s="105" customFormat="1" ht="12.95" customHeight="1" x14ac:dyDescent="0.2">
      <c r="B20" s="165">
        <f>IF(ISNA(Z20),"",IF(OR(Z20=1,Z20=2),"    ",MAX($B$8:B19)+1))</f>
        <v>10</v>
      </c>
      <c r="C20" s="1375" t="str">
        <f t="shared" si="0"/>
        <v xml:space="preserve">      - Debrief</v>
      </c>
      <c r="D20" s="1375"/>
      <c r="E20" s="1375"/>
      <c r="F20" s="1376"/>
      <c r="G20" s="152">
        <f t="shared" si="1"/>
        <v>1</v>
      </c>
      <c r="H20" s="153" t="str">
        <f t="shared" si="2"/>
        <v>NG</v>
      </c>
      <c r="I20" s="166" t="str">
        <f t="shared" si="2"/>
        <v/>
      </c>
      <c r="J20" s="171"/>
      <c r="K20" s="168"/>
      <c r="L20" s="1075"/>
      <c r="M20" s="1076"/>
      <c r="N20" s="1076"/>
      <c r="O20" s="1076"/>
      <c r="P20" s="1076"/>
      <c r="Q20" s="1076"/>
      <c r="R20" s="1077"/>
      <c r="T20" s="119">
        <v>13</v>
      </c>
      <c r="U20" s="110" t="s">
        <v>280</v>
      </c>
      <c r="V20" s="206">
        <v>1</v>
      </c>
      <c r="W20" s="206" t="s">
        <v>212</v>
      </c>
      <c r="X20" s="206" t="s">
        <v>212</v>
      </c>
      <c r="Y20" s="206" t="s">
        <v>212</v>
      </c>
      <c r="Z20" s="160" t="s">
        <v>212</v>
      </c>
      <c r="AA20" s="160">
        <v>2</v>
      </c>
      <c r="AB20" s="160">
        <v>1</v>
      </c>
      <c r="AC20" s="206" t="s">
        <v>212</v>
      </c>
      <c r="AD20" s="206" t="s">
        <v>225</v>
      </c>
      <c r="AE20" s="206" t="s">
        <v>212</v>
      </c>
      <c r="AF20" s="206" t="b">
        <v>1</v>
      </c>
      <c r="AG20" s="206" t="str">
        <f t="shared" si="3"/>
        <v>NG</v>
      </c>
      <c r="AH20" s="206" t="str">
        <f t="shared" si="4"/>
        <v/>
      </c>
      <c r="AI20" s="86" t="str">
        <f>IF(NOT(OR(Z20=1,Z20=2)),IF(AQ20&gt;0,$AR$44*AQ20/SUMIF($AQ$8:$AQ$39,"&gt;0"),IF(AU20&gt;0,$AV$44*AU20/SUMIF($AU$8:$AU$39,"&gt;0"),IF(AS20&gt;0,$AT$44*AS20/SUMIF($AS$8:$AS$39,"&gt;0"),""))),IF(SUMIF(AJ21:$AJ$39,"=" &amp; AJ20,AI21:$AI$39)=0,"",SUMIF(AJ21:$AJ$39,"=" &amp; AJ20,AI21:$AI$39)))</f>
        <v/>
      </c>
      <c r="AJ20" s="87">
        <f t="shared" si="34"/>
        <v>2</v>
      </c>
      <c r="AK20" s="206" t="str">
        <f t="shared" si="27"/>
        <v>NG</v>
      </c>
      <c r="AL20" s="160" t="str">
        <f t="shared" si="28"/>
        <v/>
      </c>
      <c r="AM20" s="160" t="str">
        <f t="shared" si="35"/>
        <v/>
      </c>
      <c r="AN20" s="160" t="str">
        <f t="shared" si="5"/>
        <v/>
      </c>
      <c r="AO20" s="160" t="str">
        <f t="shared" si="6"/>
        <v/>
      </c>
      <c r="AP20" s="206" t="str">
        <f t="shared" si="7"/>
        <v/>
      </c>
      <c r="AQ20" s="157">
        <f t="shared" si="29"/>
        <v>0</v>
      </c>
      <c r="AR20" s="88" t="str">
        <f t="shared" si="8"/>
        <v/>
      </c>
      <c r="AS20" s="89">
        <f t="shared" si="30"/>
        <v>0</v>
      </c>
      <c r="AT20" s="88" t="str">
        <f t="shared" si="9"/>
        <v/>
      </c>
      <c r="AU20" s="158">
        <f t="shared" si="10"/>
        <v>0</v>
      </c>
      <c r="AV20" s="90" t="str">
        <f t="shared" si="11"/>
        <v/>
      </c>
      <c r="AW20" s="158" t="b">
        <f t="shared" si="12"/>
        <v>0</v>
      </c>
      <c r="AX20" s="159" t="b">
        <f t="shared" si="13"/>
        <v>1</v>
      </c>
      <c r="AY20" s="158" t="b">
        <f t="shared" si="14"/>
        <v>0</v>
      </c>
      <c r="AZ20" s="159" t="b">
        <f t="shared" si="15"/>
        <v>0</v>
      </c>
      <c r="BA20" s="206" t="b">
        <f t="shared" si="16"/>
        <v>0</v>
      </c>
      <c r="BB20" s="206" t="b">
        <f t="shared" si="17"/>
        <v>0</v>
      </c>
      <c r="BC20" s="158" t="b">
        <f t="shared" si="18"/>
        <v>0</v>
      </c>
      <c r="BD20" s="160" t="b">
        <f t="shared" si="31"/>
        <v>0</v>
      </c>
      <c r="BE20" s="159" t="b">
        <f t="shared" si="19"/>
        <v>0</v>
      </c>
      <c r="BF20" s="161" t="b">
        <f t="shared" si="20"/>
        <v>0</v>
      </c>
      <c r="BG20" s="206" t="b">
        <f t="shared" si="21"/>
        <v>1</v>
      </c>
      <c r="BH20" s="206">
        <f t="shared" si="32"/>
        <v>1</v>
      </c>
      <c r="BI20" s="206" t="str">
        <f t="shared" si="22"/>
        <v>NG</v>
      </c>
      <c r="BJ20" s="206" t="str">
        <f t="shared" si="23"/>
        <v>NG</v>
      </c>
      <c r="BK20" s="206" t="str">
        <f t="shared" si="24"/>
        <v/>
      </c>
      <c r="BL20" s="162">
        <f t="shared" si="33"/>
        <v>1</v>
      </c>
      <c r="BM20" s="206" t="str">
        <f t="shared" si="25"/>
        <v>D</v>
      </c>
      <c r="BN20" s="206" t="str">
        <f t="shared" si="26"/>
        <v>D</v>
      </c>
      <c r="BO20" s="104"/>
      <c r="BP20" s="104"/>
      <c r="BQ20" s="104">
        <v>0</v>
      </c>
      <c r="BR20" s="104">
        <v>1</v>
      </c>
      <c r="BS20" s="104">
        <v>2</v>
      </c>
      <c r="BT20" s="104">
        <v>3</v>
      </c>
      <c r="BU20" s="104">
        <v>4</v>
      </c>
    </row>
    <row r="21" spans="2:73" s="105" customFormat="1" ht="12.95" customHeight="1" x14ac:dyDescent="0.2">
      <c r="B21" s="165" t="str">
        <f>IF(ISNA(Z21),"",IF(OR(Z21=1,Z21=2),"    ",MAX($B$8:B20)+1))</f>
        <v/>
      </c>
      <c r="C21" s="1375" t="str">
        <f t="shared" si="0"/>
        <v/>
      </c>
      <c r="D21" s="1375"/>
      <c r="E21" s="1375"/>
      <c r="F21" s="1376"/>
      <c r="G21" s="152" t="str">
        <f t="shared" si="1"/>
        <v/>
      </c>
      <c r="H21" s="153" t="str">
        <f t="shared" si="2"/>
        <v/>
      </c>
      <c r="I21" s="166" t="str">
        <f t="shared" si="2"/>
        <v/>
      </c>
      <c r="J21" s="172"/>
      <c r="K21" s="173"/>
      <c r="L21" s="1075"/>
      <c r="M21" s="1076"/>
      <c r="N21" s="1076"/>
      <c r="O21" s="1076"/>
      <c r="P21" s="1076"/>
      <c r="Q21" s="1076"/>
      <c r="R21" s="1077"/>
      <c r="T21" s="119">
        <v>14</v>
      </c>
      <c r="U21" s="110" t="e">
        <v>#N/A</v>
      </c>
      <c r="V21" s="206" t="e">
        <v>#N/A</v>
      </c>
      <c r="W21" s="206" t="e">
        <v>#N/A</v>
      </c>
      <c r="X21" s="206" t="e">
        <v>#N/A</v>
      </c>
      <c r="Y21" s="206" t="e">
        <v>#N/A</v>
      </c>
      <c r="Z21" s="160" t="e">
        <v>#N/A</v>
      </c>
      <c r="AA21" s="160" t="e">
        <v>#N/A</v>
      </c>
      <c r="AB21" s="160" t="e">
        <v>#N/A</v>
      </c>
      <c r="AC21" s="206" t="e">
        <v>#N/A</v>
      </c>
      <c r="AD21" s="206" t="e">
        <v>#N/A</v>
      </c>
      <c r="AE21" s="206" t="e">
        <v>#N/A</v>
      </c>
      <c r="AF21" s="206" t="e">
        <v>#N/A</v>
      </c>
      <c r="AG21" s="206" t="e">
        <f t="shared" si="3"/>
        <v>#N/A</v>
      </c>
      <c r="AH21" s="206" t="str">
        <f t="shared" si="4"/>
        <v/>
      </c>
      <c r="AI21" s="86" t="e">
        <f>IF(NOT(OR(Z21=1,Z21=2)),IF(AQ21&gt;0,$AR$44*AQ21/SUMIF($AQ$8:$AQ$39,"&gt;0"),IF(AU21&gt;0,$AV$44*AU21/SUMIF($AU$8:$AU$39,"&gt;0"),IF(AS21&gt;0,$AT$44*AS21/SUMIF($AS$8:$AS$39,"&gt;0"),""))),IF(SUMIF(AJ22:$AJ$39,"=" &amp; AJ21,AI22:$AI$39)=0,"",SUMIF(AJ22:$AJ$39,"=" &amp; AJ21,AI22:$AI$39)))</f>
        <v>#N/A</v>
      </c>
      <c r="AJ21" s="87" t="e">
        <f t="shared" si="34"/>
        <v>#N/A</v>
      </c>
      <c r="AK21" s="206" t="str">
        <f t="shared" si="27"/>
        <v/>
      </c>
      <c r="AL21" s="160" t="str">
        <f t="shared" si="28"/>
        <v/>
      </c>
      <c r="AM21" s="160" t="str">
        <f t="shared" si="35"/>
        <v/>
      </c>
      <c r="AN21" s="160" t="str">
        <f t="shared" si="5"/>
        <v/>
      </c>
      <c r="AO21" s="160" t="e">
        <f t="shared" si="6"/>
        <v>#N/A</v>
      </c>
      <c r="AP21" s="206" t="str">
        <f t="shared" si="7"/>
        <v/>
      </c>
      <c r="AQ21" s="157">
        <f t="shared" si="29"/>
        <v>0</v>
      </c>
      <c r="AR21" s="88" t="str">
        <f t="shared" si="8"/>
        <v/>
      </c>
      <c r="AS21" s="89">
        <f t="shared" si="30"/>
        <v>0</v>
      </c>
      <c r="AT21" s="88" t="str">
        <f t="shared" si="9"/>
        <v/>
      </c>
      <c r="AU21" s="158">
        <f t="shared" si="10"/>
        <v>0</v>
      </c>
      <c r="AV21" s="90" t="str">
        <f t="shared" si="11"/>
        <v/>
      </c>
      <c r="AW21" s="158" t="b">
        <f t="shared" si="12"/>
        <v>0</v>
      </c>
      <c r="AX21" s="159" t="b">
        <f t="shared" si="13"/>
        <v>0</v>
      </c>
      <c r="AY21" s="158" t="b">
        <f t="shared" si="14"/>
        <v>0</v>
      </c>
      <c r="AZ21" s="159" t="b">
        <f t="shared" si="15"/>
        <v>0</v>
      </c>
      <c r="BA21" s="206" t="b">
        <f t="shared" si="16"/>
        <v>0</v>
      </c>
      <c r="BB21" s="206" t="b">
        <f t="shared" si="17"/>
        <v>0</v>
      </c>
      <c r="BC21" s="158" t="b">
        <f t="shared" si="18"/>
        <v>0</v>
      </c>
      <c r="BD21" s="160" t="b">
        <f t="shared" si="31"/>
        <v>0</v>
      </c>
      <c r="BE21" s="159" t="b">
        <f t="shared" si="19"/>
        <v>0</v>
      </c>
      <c r="BF21" s="161" t="b">
        <f t="shared" si="20"/>
        <v>0</v>
      </c>
      <c r="BG21" s="206" t="str">
        <f t="shared" si="21"/>
        <v>NA</v>
      </c>
      <c r="BH21" s="206" t="str">
        <f t="shared" si="32"/>
        <v/>
      </c>
      <c r="BI21" s="206" t="str">
        <f t="shared" si="22"/>
        <v/>
      </c>
      <c r="BJ21" s="206" t="str">
        <f t="shared" si="23"/>
        <v/>
      </c>
      <c r="BK21" s="206" t="str">
        <f t="shared" si="24"/>
        <v/>
      </c>
      <c r="BL21" s="162" t="str">
        <f t="shared" si="33"/>
        <v/>
      </c>
      <c r="BM21" s="206" t="str">
        <f t="shared" si="25"/>
        <v/>
      </c>
      <c r="BN21" s="206" t="str">
        <f t="shared" si="26"/>
        <v/>
      </c>
      <c r="BO21" s="1387" t="s">
        <v>226</v>
      </c>
      <c r="BP21" s="104" t="s">
        <v>227</v>
      </c>
      <c r="BQ21" s="91">
        <f t="shared" ref="BQ21:BU29" si="36">AR50</f>
        <v>0.7</v>
      </c>
      <c r="BR21" s="92">
        <f t="shared" si="36"/>
        <v>0.9</v>
      </c>
      <c r="BS21" s="92">
        <f t="shared" si="36"/>
        <v>0.93330000000000002</v>
      </c>
      <c r="BT21" s="92">
        <f t="shared" si="36"/>
        <v>0.9667</v>
      </c>
      <c r="BU21" s="93">
        <f t="shared" si="36"/>
        <v>1</v>
      </c>
    </row>
    <row r="22" spans="2:73" s="105" customFormat="1" ht="12.95" customHeight="1" x14ac:dyDescent="0.2">
      <c r="B22" s="165" t="str">
        <f>IF(ISNA(Z22),"",IF(OR(Z22=1,Z22=2),"    ",MAX($B$8:B21)+1))</f>
        <v/>
      </c>
      <c r="C22" s="1375" t="str">
        <f t="shared" si="0"/>
        <v/>
      </c>
      <c r="D22" s="1375"/>
      <c r="E22" s="1375"/>
      <c r="F22" s="1376"/>
      <c r="G22" s="152" t="str">
        <f t="shared" si="1"/>
        <v/>
      </c>
      <c r="H22" s="153" t="str">
        <f t="shared" si="2"/>
        <v/>
      </c>
      <c r="I22" s="166" t="str">
        <f t="shared" si="2"/>
        <v/>
      </c>
      <c r="J22" s="172"/>
      <c r="K22" s="173"/>
      <c r="L22" s="1075"/>
      <c r="M22" s="1076"/>
      <c r="N22" s="1076"/>
      <c r="O22" s="1076"/>
      <c r="P22" s="1076"/>
      <c r="Q22" s="1076"/>
      <c r="R22" s="1077"/>
      <c r="T22" s="119">
        <v>15</v>
      </c>
      <c r="U22" s="110" t="e">
        <v>#N/A</v>
      </c>
      <c r="V22" s="206" t="e">
        <v>#N/A</v>
      </c>
      <c r="W22" s="206" t="e">
        <v>#N/A</v>
      </c>
      <c r="X22" s="206" t="e">
        <v>#N/A</v>
      </c>
      <c r="Y22" s="206" t="e">
        <v>#N/A</v>
      </c>
      <c r="Z22" s="160" t="e">
        <v>#N/A</v>
      </c>
      <c r="AA22" s="160" t="e">
        <v>#N/A</v>
      </c>
      <c r="AB22" s="160" t="e">
        <v>#N/A</v>
      </c>
      <c r="AC22" s="206" t="e">
        <v>#N/A</v>
      </c>
      <c r="AD22" s="206" t="e">
        <v>#N/A</v>
      </c>
      <c r="AE22" s="206" t="e">
        <v>#N/A</v>
      </c>
      <c r="AF22" s="206" t="e">
        <v>#N/A</v>
      </c>
      <c r="AG22" s="206" t="e">
        <f t="shared" si="3"/>
        <v>#N/A</v>
      </c>
      <c r="AH22" s="206" t="str">
        <f t="shared" si="4"/>
        <v/>
      </c>
      <c r="AI22" s="86" t="e">
        <f>IF(NOT(OR(Z22=1,Z22=2)),IF(AQ22&gt;0,$AR$44*AQ22/SUMIF($AQ$8:$AQ$39,"&gt;0"),IF(AU22&gt;0,$AV$44*AU22/SUMIF($AU$8:$AU$39,"&gt;0"),IF(AS22&gt;0,$AT$44*AS22/SUMIF($AS$8:$AS$39,"&gt;0"),""))),IF(SUMIF(AJ23:$AJ$39,"=" &amp; AJ22,AI23:$AI$39)=0,"",SUMIF(AJ23:$AJ$39,"=" &amp; AJ22,AI23:$AI$39)))</f>
        <v>#N/A</v>
      </c>
      <c r="AJ22" s="87" t="e">
        <f t="shared" si="34"/>
        <v>#N/A</v>
      </c>
      <c r="AK22" s="206" t="str">
        <f t="shared" si="27"/>
        <v/>
      </c>
      <c r="AL22" s="160" t="str">
        <f t="shared" si="28"/>
        <v/>
      </c>
      <c r="AM22" s="160" t="str">
        <f t="shared" si="35"/>
        <v/>
      </c>
      <c r="AN22" s="160" t="str">
        <f t="shared" si="5"/>
        <v/>
      </c>
      <c r="AO22" s="160" t="e">
        <f t="shared" si="6"/>
        <v>#N/A</v>
      </c>
      <c r="AP22" s="206" t="str">
        <f t="shared" si="7"/>
        <v/>
      </c>
      <c r="AQ22" s="157">
        <f t="shared" si="29"/>
        <v>0</v>
      </c>
      <c r="AR22" s="88" t="str">
        <f t="shared" si="8"/>
        <v/>
      </c>
      <c r="AS22" s="89">
        <f t="shared" si="30"/>
        <v>0</v>
      </c>
      <c r="AT22" s="88" t="str">
        <f t="shared" si="9"/>
        <v/>
      </c>
      <c r="AU22" s="158">
        <f t="shared" si="10"/>
        <v>0</v>
      </c>
      <c r="AV22" s="90" t="str">
        <f t="shared" si="11"/>
        <v/>
      </c>
      <c r="AW22" s="158" t="b">
        <f t="shared" si="12"/>
        <v>0</v>
      </c>
      <c r="AX22" s="159" t="b">
        <f t="shared" si="13"/>
        <v>0</v>
      </c>
      <c r="AY22" s="158" t="b">
        <f t="shared" si="14"/>
        <v>0</v>
      </c>
      <c r="AZ22" s="159" t="b">
        <f t="shared" si="15"/>
        <v>0</v>
      </c>
      <c r="BA22" s="206" t="b">
        <f t="shared" si="16"/>
        <v>0</v>
      </c>
      <c r="BB22" s="206" t="b">
        <f t="shared" si="17"/>
        <v>0</v>
      </c>
      <c r="BC22" s="158" t="b">
        <f t="shared" si="18"/>
        <v>0</v>
      </c>
      <c r="BD22" s="160" t="b">
        <f t="shared" si="31"/>
        <v>0</v>
      </c>
      <c r="BE22" s="159" t="b">
        <f>IF(OR(ISNA($Z22),K22&lt;&gt;"D"),FALSE,IF(OR(AND(H22="NG",J22=0),AND(H22&lt;&gt;"NG",NOT(OR(J22="NA",J22=0)))),TRUE,FALSE))</f>
        <v>0</v>
      </c>
      <c r="BF22" s="161" t="b">
        <f t="shared" si="20"/>
        <v>0</v>
      </c>
      <c r="BG22" s="206" t="str">
        <f>IF(ISNA($Z22),"NA",IF(OR(AZ22,AY22,AX22,AW22,AP22,BA22,BB22),TRUE,FALSE))</f>
        <v>NA</v>
      </c>
      <c r="BH22" s="206" t="str">
        <f t="shared" si="32"/>
        <v/>
      </c>
      <c r="BI22" s="206" t="str">
        <f t="shared" si="22"/>
        <v/>
      </c>
      <c r="BJ22" s="206" t="str">
        <f t="shared" si="23"/>
        <v/>
      </c>
      <c r="BK22" s="206" t="str">
        <f t="shared" si="24"/>
        <v/>
      </c>
      <c r="BL22" s="162" t="str">
        <f t="shared" si="33"/>
        <v/>
      </c>
      <c r="BM22" s="206" t="str">
        <f t="shared" si="25"/>
        <v/>
      </c>
      <c r="BN22" s="206" t="str">
        <f t="shared" si="26"/>
        <v/>
      </c>
      <c r="BO22" s="1387"/>
      <c r="BP22" s="104" t="s">
        <v>228</v>
      </c>
      <c r="BQ22" s="94">
        <f t="shared" si="36"/>
        <v>0.7</v>
      </c>
      <c r="BR22" s="95">
        <f t="shared" si="36"/>
        <v>0.8</v>
      </c>
      <c r="BS22" s="95">
        <f t="shared" si="36"/>
        <v>0.9</v>
      </c>
      <c r="BT22" s="95">
        <f t="shared" si="36"/>
        <v>0.95</v>
      </c>
      <c r="BU22" s="96">
        <f t="shared" si="36"/>
        <v>1</v>
      </c>
    </row>
    <row r="23" spans="2:73" s="105" customFormat="1" ht="12.95" customHeight="1" x14ac:dyDescent="0.2">
      <c r="B23" s="165" t="str">
        <f>IF(ISNA(Z23),"",IF(OR(Z23=1,Z23=2),"    ",MAX($B$8:B22)+1))</f>
        <v/>
      </c>
      <c r="C23" s="1375" t="str">
        <f t="shared" si="0"/>
        <v/>
      </c>
      <c r="D23" s="1375"/>
      <c r="E23" s="1375"/>
      <c r="F23" s="1376"/>
      <c r="G23" s="152" t="str">
        <f t="shared" si="1"/>
        <v/>
      </c>
      <c r="H23" s="153" t="str">
        <f t="shared" si="2"/>
        <v/>
      </c>
      <c r="I23" s="166" t="str">
        <f t="shared" si="2"/>
        <v/>
      </c>
      <c r="J23" s="172"/>
      <c r="K23" s="173"/>
      <c r="L23" s="1075"/>
      <c r="M23" s="1076"/>
      <c r="N23" s="1076"/>
      <c r="O23" s="1076"/>
      <c r="P23" s="1076"/>
      <c r="Q23" s="1076"/>
      <c r="R23" s="1077"/>
      <c r="T23" s="119">
        <v>16</v>
      </c>
      <c r="U23" s="110" t="e">
        <v>#N/A</v>
      </c>
      <c r="V23" s="206" t="e">
        <v>#N/A</v>
      </c>
      <c r="W23" s="206" t="e">
        <v>#N/A</v>
      </c>
      <c r="X23" s="206" t="e">
        <v>#N/A</v>
      </c>
      <c r="Y23" s="206" t="e">
        <v>#N/A</v>
      </c>
      <c r="Z23" s="160" t="e">
        <v>#N/A</v>
      </c>
      <c r="AA23" s="160" t="e">
        <v>#N/A</v>
      </c>
      <c r="AB23" s="160" t="e">
        <v>#N/A</v>
      </c>
      <c r="AC23" s="206" t="e">
        <v>#N/A</v>
      </c>
      <c r="AD23" s="206" t="e">
        <v>#N/A</v>
      </c>
      <c r="AE23" s="206" t="e">
        <v>#N/A</v>
      </c>
      <c r="AF23" s="206" t="e">
        <v>#N/A</v>
      </c>
      <c r="AG23" s="206" t="e">
        <f t="shared" si="3"/>
        <v>#N/A</v>
      </c>
      <c r="AH23" s="206" t="str">
        <f t="shared" si="4"/>
        <v/>
      </c>
      <c r="AI23" s="86" t="e">
        <f>IF(NOT(OR(Z23=1,Z23=2)),IF(AQ23&gt;0,$AR$44*AQ23/SUMIF($AQ$8:$AQ$39,"&gt;0"),IF(AU23&gt;0,$AV$44*AU23/SUMIF($AU$8:$AU$39,"&gt;0"),IF(AS23&gt;0,$AT$44*AS23/SUMIF($AS$8:$AS$39,"&gt;0"),""))),IF(SUMIF(AJ24:$AJ$39,"=" &amp; AJ23,AI24:$AI$39)=0,"",SUMIF(AJ24:$AJ$39,"=" &amp; AJ23,AI24:$AI$39)))</f>
        <v>#N/A</v>
      </c>
      <c r="AJ23" s="87" t="e">
        <f t="shared" si="34"/>
        <v>#N/A</v>
      </c>
      <c r="AK23" s="206" t="str">
        <f t="shared" si="27"/>
        <v/>
      </c>
      <c r="AL23" s="160" t="str">
        <f t="shared" si="28"/>
        <v/>
      </c>
      <c r="AM23" s="160" t="str">
        <f t="shared" si="35"/>
        <v/>
      </c>
      <c r="AN23" s="160" t="str">
        <f t="shared" si="5"/>
        <v/>
      </c>
      <c r="AO23" s="160" t="e">
        <f t="shared" si="6"/>
        <v>#N/A</v>
      </c>
      <c r="AP23" s="206" t="str">
        <f t="shared" si="7"/>
        <v/>
      </c>
      <c r="AQ23" s="157">
        <f t="shared" si="29"/>
        <v>0</v>
      </c>
      <c r="AR23" s="88" t="str">
        <f t="shared" si="8"/>
        <v/>
      </c>
      <c r="AS23" s="89">
        <f t="shared" si="30"/>
        <v>0</v>
      </c>
      <c r="AT23" s="88" t="str">
        <f t="shared" si="9"/>
        <v/>
      </c>
      <c r="AU23" s="158">
        <f t="shared" si="10"/>
        <v>0</v>
      </c>
      <c r="AV23" s="90" t="str">
        <f t="shared" si="11"/>
        <v/>
      </c>
      <c r="AW23" s="158" t="b">
        <f t="shared" si="12"/>
        <v>0</v>
      </c>
      <c r="AX23" s="159" t="b">
        <f t="shared" si="13"/>
        <v>0</v>
      </c>
      <c r="AY23" s="158" t="b">
        <f t="shared" si="14"/>
        <v>0</v>
      </c>
      <c r="AZ23" s="159" t="b">
        <f t="shared" si="15"/>
        <v>0</v>
      </c>
      <c r="BA23" s="206" t="b">
        <f t="shared" si="16"/>
        <v>0</v>
      </c>
      <c r="BB23" s="206" t="b">
        <f t="shared" si="17"/>
        <v>0</v>
      </c>
      <c r="BC23" s="158" t="b">
        <f t="shared" si="18"/>
        <v>0</v>
      </c>
      <c r="BD23" s="160" t="b">
        <f t="shared" si="31"/>
        <v>0</v>
      </c>
      <c r="BE23" s="159" t="b">
        <f t="shared" ref="BE23:BE39" si="37">IF(OR(ISNA($Z23),K23&lt;&gt;"D"),FALSE,IF(OR(AND(H23="NG",J23=0),AND(H23&lt;&gt;"NG",NOT(OR(J23="NA",J23=0)))),TRUE,FALSE))</f>
        <v>0</v>
      </c>
      <c r="BF23" s="161" t="b">
        <f t="shared" si="20"/>
        <v>0</v>
      </c>
      <c r="BG23" s="206" t="str">
        <f t="shared" ref="BG23:BG39" si="38">IF(ISNA($Z23),"NA",IF(OR(AZ23,AY23,AX23,AW23,AP23,BA23,BB23),TRUE,FALSE))</f>
        <v>NA</v>
      </c>
      <c r="BH23" s="206" t="str">
        <f t="shared" si="32"/>
        <v/>
      </c>
      <c r="BI23" s="206" t="str">
        <f t="shared" si="22"/>
        <v/>
      </c>
      <c r="BJ23" s="206" t="str">
        <f t="shared" si="23"/>
        <v/>
      </c>
      <c r="BK23" s="206" t="str">
        <f t="shared" si="24"/>
        <v/>
      </c>
      <c r="BL23" s="162" t="str">
        <f t="shared" si="33"/>
        <v/>
      </c>
      <c r="BM23" s="206" t="str">
        <f t="shared" si="25"/>
        <v/>
      </c>
      <c r="BN23" s="206" t="str">
        <f t="shared" si="26"/>
        <v/>
      </c>
      <c r="BO23" s="1387"/>
      <c r="BP23" s="104" t="s">
        <v>229</v>
      </c>
      <c r="BQ23" s="94">
        <f t="shared" si="36"/>
        <v>0.7</v>
      </c>
      <c r="BR23" s="95">
        <f t="shared" si="36"/>
        <v>0.76670000000000005</v>
      </c>
      <c r="BS23" s="95">
        <f t="shared" si="36"/>
        <v>0.83330000000000004</v>
      </c>
      <c r="BT23" s="95">
        <f t="shared" si="36"/>
        <v>0.9</v>
      </c>
      <c r="BU23" s="96">
        <f t="shared" si="36"/>
        <v>1</v>
      </c>
    </row>
    <row r="24" spans="2:73" s="105" customFormat="1" ht="12.95" customHeight="1" x14ac:dyDescent="0.2">
      <c r="B24" s="165" t="str">
        <f>IF(ISNA(Z24),"",IF(OR(Z24=1,Z24=2),"    ",MAX($B$8:B23)+1))</f>
        <v/>
      </c>
      <c r="C24" s="1375" t="str">
        <f t="shared" si="0"/>
        <v/>
      </c>
      <c r="D24" s="1375"/>
      <c r="E24" s="1375"/>
      <c r="F24" s="1376"/>
      <c r="G24" s="152" t="str">
        <f t="shared" si="1"/>
        <v/>
      </c>
      <c r="H24" s="153" t="str">
        <f t="shared" si="2"/>
        <v/>
      </c>
      <c r="I24" s="166" t="str">
        <f t="shared" si="2"/>
        <v/>
      </c>
      <c r="J24" s="172"/>
      <c r="K24" s="173"/>
      <c r="L24" s="1075"/>
      <c r="M24" s="1076"/>
      <c r="N24" s="1076"/>
      <c r="O24" s="1076"/>
      <c r="P24" s="1076"/>
      <c r="Q24" s="1076"/>
      <c r="R24" s="1077"/>
      <c r="T24" s="119">
        <v>17</v>
      </c>
      <c r="U24" s="110" t="e">
        <v>#N/A</v>
      </c>
      <c r="V24" s="206" t="e">
        <v>#N/A</v>
      </c>
      <c r="W24" s="206" t="e">
        <v>#N/A</v>
      </c>
      <c r="X24" s="206" t="e">
        <v>#N/A</v>
      </c>
      <c r="Y24" s="206" t="e">
        <v>#N/A</v>
      </c>
      <c r="Z24" s="160" t="e">
        <v>#N/A</v>
      </c>
      <c r="AA24" s="160" t="e">
        <v>#N/A</v>
      </c>
      <c r="AB24" s="160" t="e">
        <v>#N/A</v>
      </c>
      <c r="AC24" s="206" t="e">
        <v>#N/A</v>
      </c>
      <c r="AD24" s="206" t="e">
        <v>#N/A</v>
      </c>
      <c r="AE24" s="206" t="e">
        <v>#N/A</v>
      </c>
      <c r="AF24" s="206" t="e">
        <v>#N/A</v>
      </c>
      <c r="AG24" s="206" t="e">
        <f t="shared" si="3"/>
        <v>#N/A</v>
      </c>
      <c r="AH24" s="206" t="str">
        <f t="shared" si="4"/>
        <v/>
      </c>
      <c r="AI24" s="86" t="e">
        <f>IF(NOT(OR(Z24=1,Z24=2)),IF(AQ24&gt;0,$AR$44*AQ24/SUMIF($AQ$8:$AQ$39,"&gt;0"),IF(AU24&gt;0,$AV$44*AU24/SUMIF($AU$8:$AU$39,"&gt;0"),IF(AS24&gt;0,$AT$44*AS24/SUMIF($AS$8:$AS$39,"&gt;0"),""))),IF(SUMIF(AJ25:$AJ$39,"=" &amp; AJ24,AI25:$AI$39)=0,"",SUMIF(AJ25:$AJ$39,"=" &amp; AJ24,AI25:$AI$39)))</f>
        <v>#N/A</v>
      </c>
      <c r="AJ24" s="87" t="e">
        <f t="shared" si="34"/>
        <v>#N/A</v>
      </c>
      <c r="AK24" s="206" t="str">
        <f t="shared" si="27"/>
        <v/>
      </c>
      <c r="AL24" s="160" t="str">
        <f t="shared" si="28"/>
        <v/>
      </c>
      <c r="AM24" s="160" t="str">
        <f t="shared" si="35"/>
        <v/>
      </c>
      <c r="AN24" s="160" t="str">
        <f t="shared" si="5"/>
        <v/>
      </c>
      <c r="AO24" s="160" t="e">
        <f t="shared" si="6"/>
        <v>#N/A</v>
      </c>
      <c r="AP24" s="206" t="str">
        <f t="shared" si="7"/>
        <v/>
      </c>
      <c r="AQ24" s="157">
        <f t="shared" si="29"/>
        <v>0</v>
      </c>
      <c r="AR24" s="88" t="str">
        <f t="shared" si="8"/>
        <v/>
      </c>
      <c r="AS24" s="89">
        <f t="shared" si="30"/>
        <v>0</v>
      </c>
      <c r="AT24" s="88" t="str">
        <f t="shared" si="9"/>
        <v/>
      </c>
      <c r="AU24" s="158">
        <f t="shared" si="10"/>
        <v>0</v>
      </c>
      <c r="AV24" s="90" t="str">
        <f t="shared" si="11"/>
        <v/>
      </c>
      <c r="AW24" s="158" t="b">
        <f t="shared" si="12"/>
        <v>0</v>
      </c>
      <c r="AX24" s="159" t="b">
        <f t="shared" si="13"/>
        <v>0</v>
      </c>
      <c r="AY24" s="158" t="b">
        <f t="shared" si="14"/>
        <v>0</v>
      </c>
      <c r="AZ24" s="159" t="b">
        <f t="shared" si="15"/>
        <v>0</v>
      </c>
      <c r="BA24" s="206" t="b">
        <f t="shared" si="16"/>
        <v>0</v>
      </c>
      <c r="BB24" s="206" t="b">
        <f t="shared" si="17"/>
        <v>0</v>
      </c>
      <c r="BC24" s="158" t="b">
        <f t="shared" si="18"/>
        <v>0</v>
      </c>
      <c r="BD24" s="160" t="b">
        <f t="shared" si="31"/>
        <v>0</v>
      </c>
      <c r="BE24" s="159" t="b">
        <f t="shared" si="37"/>
        <v>0</v>
      </c>
      <c r="BF24" s="161" t="b">
        <f t="shared" si="20"/>
        <v>0</v>
      </c>
      <c r="BG24" s="206" t="str">
        <f t="shared" si="38"/>
        <v>NA</v>
      </c>
      <c r="BH24" s="206" t="str">
        <f t="shared" si="32"/>
        <v/>
      </c>
      <c r="BI24" s="206" t="str">
        <f t="shared" si="22"/>
        <v/>
      </c>
      <c r="BJ24" s="206" t="str">
        <f t="shared" si="23"/>
        <v/>
      </c>
      <c r="BK24" s="206" t="str">
        <f t="shared" si="24"/>
        <v/>
      </c>
      <c r="BL24" s="162" t="str">
        <f t="shared" si="33"/>
        <v/>
      </c>
      <c r="BM24" s="206" t="str">
        <f t="shared" si="25"/>
        <v/>
      </c>
      <c r="BN24" s="206" t="str">
        <f t="shared" si="26"/>
        <v/>
      </c>
      <c r="BO24" s="1387"/>
      <c r="BP24" s="104" t="s">
        <v>230</v>
      </c>
      <c r="BQ24" s="94">
        <f t="shared" si="36"/>
        <v>0.6</v>
      </c>
      <c r="BR24" s="95">
        <f t="shared" si="36"/>
        <v>0.9</v>
      </c>
      <c r="BS24" s="95">
        <f t="shared" si="36"/>
        <v>0.93330000000000002</v>
      </c>
      <c r="BT24" s="95">
        <f t="shared" si="36"/>
        <v>0.9667</v>
      </c>
      <c r="BU24" s="96">
        <f t="shared" si="36"/>
        <v>1</v>
      </c>
    </row>
    <row r="25" spans="2:73" s="105" customFormat="1" ht="12.95" customHeight="1" x14ac:dyDescent="0.2">
      <c r="B25" s="165" t="str">
        <f>IF(ISNA(Z25),"",IF(OR(Z25=1,Z25=2),"    ",MAX($B$8:B24)+1))</f>
        <v/>
      </c>
      <c r="C25" s="1375" t="str">
        <f t="shared" si="0"/>
        <v/>
      </c>
      <c r="D25" s="1375"/>
      <c r="E25" s="1375"/>
      <c r="F25" s="1376"/>
      <c r="G25" s="152" t="str">
        <f t="shared" si="1"/>
        <v/>
      </c>
      <c r="H25" s="153" t="str">
        <f t="shared" si="2"/>
        <v/>
      </c>
      <c r="I25" s="166" t="str">
        <f t="shared" si="2"/>
        <v/>
      </c>
      <c r="J25" s="172"/>
      <c r="K25" s="173"/>
      <c r="L25" s="1075"/>
      <c r="M25" s="1076"/>
      <c r="N25" s="1076"/>
      <c r="O25" s="1076"/>
      <c r="P25" s="1076"/>
      <c r="Q25" s="1076"/>
      <c r="R25" s="1077"/>
      <c r="T25" s="119">
        <v>18</v>
      </c>
      <c r="U25" s="110" t="e">
        <v>#N/A</v>
      </c>
      <c r="V25" s="206" t="e">
        <v>#N/A</v>
      </c>
      <c r="W25" s="206" t="e">
        <v>#N/A</v>
      </c>
      <c r="X25" s="206" t="e">
        <v>#N/A</v>
      </c>
      <c r="Y25" s="206" t="e">
        <v>#N/A</v>
      </c>
      <c r="Z25" s="160" t="e">
        <v>#N/A</v>
      </c>
      <c r="AA25" s="160" t="e">
        <v>#N/A</v>
      </c>
      <c r="AB25" s="160" t="e">
        <v>#N/A</v>
      </c>
      <c r="AC25" s="206" t="e">
        <v>#N/A</v>
      </c>
      <c r="AD25" s="206" t="e">
        <v>#N/A</v>
      </c>
      <c r="AE25" s="206" t="e">
        <v>#N/A</v>
      </c>
      <c r="AF25" s="206" t="e">
        <v>#N/A</v>
      </c>
      <c r="AG25" s="206" t="e">
        <f t="shared" si="3"/>
        <v>#N/A</v>
      </c>
      <c r="AH25" s="206" t="str">
        <f t="shared" si="4"/>
        <v/>
      </c>
      <c r="AI25" s="86" t="e">
        <f>IF(NOT(OR(Z25=1,Z25=2)),IF(AQ25&gt;0,$AR$44*AQ25/SUMIF($AQ$8:$AQ$39,"&gt;0"),IF(AU25&gt;0,$AV$44*AU25/SUMIF($AU$8:$AU$39,"&gt;0"),IF(AS25&gt;0,$AT$44*AS25/SUMIF($AS$8:$AS$39,"&gt;0"),""))),IF(SUMIF(AJ26:$AJ$39,"=" &amp; AJ25,AI26:$AI$39)=0,"",SUMIF(AJ26:$AJ$39,"=" &amp; AJ25,AI26:$AI$39)))</f>
        <v>#N/A</v>
      </c>
      <c r="AJ25" s="87" t="e">
        <f t="shared" si="34"/>
        <v>#N/A</v>
      </c>
      <c r="AK25" s="206" t="str">
        <f t="shared" si="27"/>
        <v/>
      </c>
      <c r="AL25" s="160" t="str">
        <f t="shared" si="28"/>
        <v/>
      </c>
      <c r="AM25" s="160" t="str">
        <f t="shared" si="35"/>
        <v/>
      </c>
      <c r="AN25" s="160" t="str">
        <f t="shared" si="5"/>
        <v/>
      </c>
      <c r="AO25" s="160" t="e">
        <f t="shared" si="6"/>
        <v>#N/A</v>
      </c>
      <c r="AP25" s="206" t="str">
        <f t="shared" si="7"/>
        <v/>
      </c>
      <c r="AQ25" s="157">
        <f t="shared" si="29"/>
        <v>0</v>
      </c>
      <c r="AR25" s="88" t="str">
        <f t="shared" si="8"/>
        <v/>
      </c>
      <c r="AS25" s="89">
        <f t="shared" si="30"/>
        <v>0</v>
      </c>
      <c r="AT25" s="88" t="str">
        <f t="shared" si="9"/>
        <v/>
      </c>
      <c r="AU25" s="158">
        <f t="shared" si="10"/>
        <v>0</v>
      </c>
      <c r="AV25" s="90" t="str">
        <f t="shared" si="11"/>
        <v/>
      </c>
      <c r="AW25" s="158" t="b">
        <f t="shared" si="12"/>
        <v>0</v>
      </c>
      <c r="AX25" s="159" t="b">
        <f t="shared" si="13"/>
        <v>0</v>
      </c>
      <c r="AY25" s="158" t="b">
        <f t="shared" si="14"/>
        <v>0</v>
      </c>
      <c r="AZ25" s="159" t="b">
        <f t="shared" si="15"/>
        <v>0</v>
      </c>
      <c r="BA25" s="206" t="b">
        <f t="shared" si="16"/>
        <v>0</v>
      </c>
      <c r="BB25" s="206" t="b">
        <f t="shared" si="17"/>
        <v>0</v>
      </c>
      <c r="BC25" s="158" t="b">
        <f t="shared" si="18"/>
        <v>0</v>
      </c>
      <c r="BD25" s="160" t="b">
        <f t="shared" si="31"/>
        <v>0</v>
      </c>
      <c r="BE25" s="159" t="b">
        <f t="shared" si="37"/>
        <v>0</v>
      </c>
      <c r="BF25" s="161" t="b">
        <f t="shared" si="20"/>
        <v>0</v>
      </c>
      <c r="BG25" s="206" t="str">
        <f t="shared" si="38"/>
        <v>NA</v>
      </c>
      <c r="BH25" s="206" t="str">
        <f t="shared" si="32"/>
        <v/>
      </c>
      <c r="BI25" s="206" t="str">
        <f t="shared" si="22"/>
        <v/>
      </c>
      <c r="BJ25" s="206" t="str">
        <f t="shared" si="23"/>
        <v/>
      </c>
      <c r="BK25" s="206" t="str">
        <f t="shared" si="24"/>
        <v/>
      </c>
      <c r="BL25" s="162" t="str">
        <f t="shared" si="33"/>
        <v/>
      </c>
      <c r="BM25" s="206" t="str">
        <f t="shared" si="25"/>
        <v/>
      </c>
      <c r="BN25" s="206" t="str">
        <f t="shared" si="26"/>
        <v/>
      </c>
      <c r="BO25" s="1387"/>
      <c r="BP25" s="104" t="s">
        <v>231</v>
      </c>
      <c r="BQ25" s="94">
        <f t="shared" si="36"/>
        <v>0.6</v>
      </c>
      <c r="BR25" s="95">
        <f t="shared" si="36"/>
        <v>0.7</v>
      </c>
      <c r="BS25" s="95">
        <f t="shared" si="36"/>
        <v>0.9</v>
      </c>
      <c r="BT25" s="95">
        <f t="shared" si="36"/>
        <v>0.95</v>
      </c>
      <c r="BU25" s="96">
        <f t="shared" si="36"/>
        <v>1</v>
      </c>
    </row>
    <row r="26" spans="2:73" s="105" customFormat="1" ht="12.95" customHeight="1" x14ac:dyDescent="0.2">
      <c r="B26" s="165" t="str">
        <f>IF(ISNA(Z26),"",IF(OR(Z26=1,Z26=2),"    ",MAX($B$8:B25)+1))</f>
        <v/>
      </c>
      <c r="C26" s="1375" t="str">
        <f t="shared" si="0"/>
        <v/>
      </c>
      <c r="D26" s="1375"/>
      <c r="E26" s="1375"/>
      <c r="F26" s="1376"/>
      <c r="G26" s="152" t="str">
        <f t="shared" si="1"/>
        <v/>
      </c>
      <c r="H26" s="153" t="str">
        <f t="shared" si="2"/>
        <v/>
      </c>
      <c r="I26" s="166" t="str">
        <f t="shared" si="2"/>
        <v/>
      </c>
      <c r="J26" s="172"/>
      <c r="K26" s="173"/>
      <c r="L26" s="1075"/>
      <c r="M26" s="1076"/>
      <c r="N26" s="1076"/>
      <c r="O26" s="1076"/>
      <c r="P26" s="1076"/>
      <c r="Q26" s="1076"/>
      <c r="R26" s="1077"/>
      <c r="T26" s="119">
        <v>19</v>
      </c>
      <c r="U26" s="110" t="e">
        <v>#N/A</v>
      </c>
      <c r="V26" s="206" t="e">
        <v>#N/A</v>
      </c>
      <c r="W26" s="206" t="e">
        <v>#N/A</v>
      </c>
      <c r="X26" s="206" t="e">
        <v>#N/A</v>
      </c>
      <c r="Y26" s="206" t="e">
        <v>#N/A</v>
      </c>
      <c r="Z26" s="160" t="e">
        <v>#N/A</v>
      </c>
      <c r="AA26" s="160" t="e">
        <v>#N/A</v>
      </c>
      <c r="AB26" s="160" t="e">
        <v>#N/A</v>
      </c>
      <c r="AC26" s="206" t="e">
        <v>#N/A</v>
      </c>
      <c r="AD26" s="206" t="e">
        <v>#N/A</v>
      </c>
      <c r="AE26" s="206" t="e">
        <v>#N/A</v>
      </c>
      <c r="AF26" s="206" t="e">
        <v>#N/A</v>
      </c>
      <c r="AG26" s="206" t="e">
        <f t="shared" si="3"/>
        <v>#N/A</v>
      </c>
      <c r="AH26" s="206" t="str">
        <f t="shared" si="4"/>
        <v/>
      </c>
      <c r="AI26" s="86" t="e">
        <f>IF(NOT(OR(Z26=1,Z26=2)),IF(AQ26&gt;0,$AR$44*AQ26/SUMIF($AQ$8:$AQ$39,"&gt;0"),IF(AU26&gt;0,$AV$44*AU26/SUMIF($AU$8:$AU$39,"&gt;0"),IF(AS26&gt;0,$AT$44*AS26/SUMIF($AS$8:$AS$39,"&gt;0"),""))),IF(SUMIF(AJ27:$AJ$39,"=" &amp; AJ26,AI27:$AI$39)=0,"",SUMIF(AJ27:$AJ$39,"=" &amp; AJ26,AI27:$AI$39)))</f>
        <v>#N/A</v>
      </c>
      <c r="AJ26" s="87" t="e">
        <f t="shared" si="34"/>
        <v>#N/A</v>
      </c>
      <c r="AK26" s="206" t="str">
        <f t="shared" si="27"/>
        <v/>
      </c>
      <c r="AL26" s="160" t="str">
        <f t="shared" si="28"/>
        <v/>
      </c>
      <c r="AM26" s="160" t="str">
        <f t="shared" si="35"/>
        <v/>
      </c>
      <c r="AN26" s="160" t="str">
        <f t="shared" si="5"/>
        <v/>
      </c>
      <c r="AO26" s="160" t="e">
        <f t="shared" si="6"/>
        <v>#N/A</v>
      </c>
      <c r="AP26" s="206" t="str">
        <f t="shared" si="7"/>
        <v/>
      </c>
      <c r="AQ26" s="157">
        <f t="shared" si="29"/>
        <v>0</v>
      </c>
      <c r="AR26" s="88" t="str">
        <f t="shared" si="8"/>
        <v/>
      </c>
      <c r="AS26" s="89">
        <f t="shared" si="30"/>
        <v>0</v>
      </c>
      <c r="AT26" s="88" t="str">
        <f t="shared" si="9"/>
        <v/>
      </c>
      <c r="AU26" s="158">
        <f t="shared" si="10"/>
        <v>0</v>
      </c>
      <c r="AV26" s="90" t="str">
        <f t="shared" si="11"/>
        <v/>
      </c>
      <c r="AW26" s="158" t="b">
        <f t="shared" si="12"/>
        <v>0</v>
      </c>
      <c r="AX26" s="159" t="b">
        <f t="shared" si="13"/>
        <v>0</v>
      </c>
      <c r="AY26" s="158" t="b">
        <f t="shared" si="14"/>
        <v>0</v>
      </c>
      <c r="AZ26" s="159" t="b">
        <f t="shared" si="15"/>
        <v>0</v>
      </c>
      <c r="BA26" s="206" t="b">
        <f t="shared" si="16"/>
        <v>0</v>
      </c>
      <c r="BB26" s="206" t="b">
        <f t="shared" si="17"/>
        <v>0</v>
      </c>
      <c r="BC26" s="158" t="b">
        <f t="shared" si="18"/>
        <v>0</v>
      </c>
      <c r="BD26" s="160" t="b">
        <f t="shared" si="31"/>
        <v>0</v>
      </c>
      <c r="BE26" s="159" t="b">
        <f t="shared" si="37"/>
        <v>0</v>
      </c>
      <c r="BF26" s="161" t="b">
        <f t="shared" si="20"/>
        <v>0</v>
      </c>
      <c r="BG26" s="206" t="str">
        <f t="shared" si="38"/>
        <v>NA</v>
      </c>
      <c r="BH26" s="206" t="str">
        <f t="shared" si="32"/>
        <v/>
      </c>
      <c r="BI26" s="206" t="str">
        <f t="shared" si="22"/>
        <v/>
      </c>
      <c r="BJ26" s="206" t="str">
        <f t="shared" si="23"/>
        <v/>
      </c>
      <c r="BK26" s="206" t="str">
        <f t="shared" si="24"/>
        <v/>
      </c>
      <c r="BL26" s="162" t="str">
        <f t="shared" si="33"/>
        <v/>
      </c>
      <c r="BM26" s="206" t="str">
        <f t="shared" si="25"/>
        <v/>
      </c>
      <c r="BN26" s="206" t="str">
        <f t="shared" si="26"/>
        <v/>
      </c>
      <c r="BO26" s="1387"/>
      <c r="BP26" s="104" t="s">
        <v>232</v>
      </c>
      <c r="BQ26" s="94">
        <f t="shared" si="36"/>
        <v>0.6</v>
      </c>
      <c r="BR26" s="95">
        <f t="shared" si="36"/>
        <v>0.7</v>
      </c>
      <c r="BS26" s="95">
        <f t="shared" si="36"/>
        <v>0.8</v>
      </c>
      <c r="BT26" s="95">
        <f t="shared" si="36"/>
        <v>0.9</v>
      </c>
      <c r="BU26" s="96">
        <f t="shared" si="36"/>
        <v>1</v>
      </c>
    </row>
    <row r="27" spans="2:73" s="105" customFormat="1" ht="12.95" customHeight="1" x14ac:dyDescent="0.2">
      <c r="B27" s="165" t="str">
        <f>IF(ISNA(Z27),"",IF(OR(Z27=1,Z27=2),"    ",MAX($B$8:B26)+1))</f>
        <v/>
      </c>
      <c r="C27" s="1375" t="str">
        <f t="shared" si="0"/>
        <v/>
      </c>
      <c r="D27" s="1375"/>
      <c r="E27" s="1375"/>
      <c r="F27" s="1376"/>
      <c r="G27" s="152" t="str">
        <f t="shared" si="1"/>
        <v/>
      </c>
      <c r="H27" s="153" t="str">
        <f t="shared" si="2"/>
        <v/>
      </c>
      <c r="I27" s="166" t="str">
        <f t="shared" si="2"/>
        <v/>
      </c>
      <c r="J27" s="172"/>
      <c r="K27" s="173"/>
      <c r="L27" s="1075"/>
      <c r="M27" s="1076"/>
      <c r="N27" s="1076"/>
      <c r="O27" s="1076"/>
      <c r="P27" s="1076"/>
      <c r="Q27" s="1076"/>
      <c r="R27" s="1077"/>
      <c r="T27" s="119">
        <v>20</v>
      </c>
      <c r="U27" s="110" t="e">
        <v>#N/A</v>
      </c>
      <c r="V27" s="206" t="e">
        <v>#N/A</v>
      </c>
      <c r="W27" s="206" t="e">
        <v>#N/A</v>
      </c>
      <c r="X27" s="206" t="e">
        <v>#N/A</v>
      </c>
      <c r="Y27" s="206" t="e">
        <v>#N/A</v>
      </c>
      <c r="Z27" s="160" t="e">
        <v>#N/A</v>
      </c>
      <c r="AA27" s="160" t="e">
        <v>#N/A</v>
      </c>
      <c r="AB27" s="160" t="e">
        <v>#N/A</v>
      </c>
      <c r="AC27" s="206" t="e">
        <v>#N/A</v>
      </c>
      <c r="AD27" s="206" t="e">
        <v>#N/A</v>
      </c>
      <c r="AE27" s="206" t="e">
        <v>#N/A</v>
      </c>
      <c r="AF27" s="206" t="e">
        <v>#N/A</v>
      </c>
      <c r="AG27" s="206" t="e">
        <f t="shared" si="3"/>
        <v>#N/A</v>
      </c>
      <c r="AH27" s="206" t="str">
        <f t="shared" si="4"/>
        <v/>
      </c>
      <c r="AI27" s="86" t="e">
        <f>IF(NOT(OR(Z27=1,Z27=2)),IF(AQ27&gt;0,$AR$44*AQ27/SUMIF($AQ$8:$AQ$39,"&gt;0"),IF(AU27&gt;0,$AV$44*AU27/SUMIF($AU$8:$AU$39,"&gt;0"),IF(AS27&gt;0,$AT$44*AS27/SUMIF($AS$8:$AS$39,"&gt;0"),""))),IF(SUMIF(AJ28:$AJ$39,"=" &amp; AJ27,AI28:$AI$39)=0,"",SUMIF(AJ28:$AJ$39,"=" &amp; AJ27,AI28:$AI$39)))</f>
        <v>#N/A</v>
      </c>
      <c r="AJ27" s="87" t="e">
        <f t="shared" si="34"/>
        <v>#N/A</v>
      </c>
      <c r="AK27" s="206" t="str">
        <f t="shared" si="27"/>
        <v/>
      </c>
      <c r="AL27" s="160" t="str">
        <f t="shared" si="28"/>
        <v/>
      </c>
      <c r="AM27" s="160" t="str">
        <f t="shared" si="35"/>
        <v/>
      </c>
      <c r="AN27" s="160" t="str">
        <f t="shared" si="5"/>
        <v/>
      </c>
      <c r="AO27" s="160" t="e">
        <f t="shared" si="6"/>
        <v>#N/A</v>
      </c>
      <c r="AP27" s="206" t="str">
        <f t="shared" si="7"/>
        <v/>
      </c>
      <c r="AQ27" s="157">
        <f t="shared" si="29"/>
        <v>0</v>
      </c>
      <c r="AR27" s="88" t="str">
        <f t="shared" si="8"/>
        <v/>
      </c>
      <c r="AS27" s="89">
        <f t="shared" si="30"/>
        <v>0</v>
      </c>
      <c r="AT27" s="88" t="str">
        <f t="shared" si="9"/>
        <v/>
      </c>
      <c r="AU27" s="158">
        <f t="shared" si="10"/>
        <v>0</v>
      </c>
      <c r="AV27" s="90" t="str">
        <f t="shared" si="11"/>
        <v/>
      </c>
      <c r="AW27" s="158" t="b">
        <f t="shared" si="12"/>
        <v>0</v>
      </c>
      <c r="AX27" s="159" t="b">
        <f t="shared" si="13"/>
        <v>0</v>
      </c>
      <c r="AY27" s="158" t="b">
        <f t="shared" si="14"/>
        <v>0</v>
      </c>
      <c r="AZ27" s="159" t="b">
        <f t="shared" si="15"/>
        <v>0</v>
      </c>
      <c r="BA27" s="206" t="b">
        <f t="shared" si="16"/>
        <v>0</v>
      </c>
      <c r="BB27" s="206" t="b">
        <f t="shared" si="17"/>
        <v>0</v>
      </c>
      <c r="BC27" s="158" t="b">
        <f t="shared" si="18"/>
        <v>0</v>
      </c>
      <c r="BD27" s="160" t="b">
        <f t="shared" si="31"/>
        <v>0</v>
      </c>
      <c r="BE27" s="159" t="b">
        <f t="shared" si="37"/>
        <v>0</v>
      </c>
      <c r="BF27" s="161" t="b">
        <f t="shared" si="20"/>
        <v>0</v>
      </c>
      <c r="BG27" s="206" t="str">
        <f t="shared" si="38"/>
        <v>NA</v>
      </c>
      <c r="BH27" s="206" t="str">
        <f t="shared" si="32"/>
        <v/>
      </c>
      <c r="BI27" s="206" t="str">
        <f t="shared" si="22"/>
        <v/>
      </c>
      <c r="BJ27" s="206" t="str">
        <f t="shared" si="23"/>
        <v/>
      </c>
      <c r="BK27" s="206" t="str">
        <f t="shared" si="24"/>
        <v/>
      </c>
      <c r="BL27" s="162" t="str">
        <f t="shared" si="33"/>
        <v/>
      </c>
      <c r="BM27" s="206" t="str">
        <f t="shared" si="25"/>
        <v/>
      </c>
      <c r="BN27" s="206" t="str">
        <f t="shared" si="26"/>
        <v/>
      </c>
      <c r="BO27" s="1387"/>
      <c r="BP27" s="104" t="s">
        <v>233</v>
      </c>
      <c r="BQ27" s="94">
        <f t="shared" si="36"/>
        <v>0.3</v>
      </c>
      <c r="BR27" s="95">
        <f t="shared" si="36"/>
        <v>0.6</v>
      </c>
      <c r="BS27" s="95">
        <f t="shared" si="36"/>
        <v>0.9</v>
      </c>
      <c r="BT27" s="95">
        <f t="shared" si="36"/>
        <v>0.95</v>
      </c>
      <c r="BU27" s="96">
        <f t="shared" si="36"/>
        <v>1</v>
      </c>
    </row>
    <row r="28" spans="2:73" s="105" customFormat="1" ht="12.95" customHeight="1" x14ac:dyDescent="0.2">
      <c r="B28" s="165" t="str">
        <f>IF(ISNA(Z28),"",IF(OR(Z28=1,Z28=2),"    ",MAX($B$8:B27)+1))</f>
        <v/>
      </c>
      <c r="C28" s="1375" t="str">
        <f t="shared" si="0"/>
        <v/>
      </c>
      <c r="D28" s="1375"/>
      <c r="E28" s="1375"/>
      <c r="F28" s="1376"/>
      <c r="G28" s="152" t="str">
        <f t="shared" si="1"/>
        <v/>
      </c>
      <c r="H28" s="153" t="str">
        <f t="shared" si="2"/>
        <v/>
      </c>
      <c r="I28" s="166" t="str">
        <f t="shared" si="2"/>
        <v/>
      </c>
      <c r="J28" s="172"/>
      <c r="K28" s="173"/>
      <c r="L28" s="1075"/>
      <c r="M28" s="1076"/>
      <c r="N28" s="1076"/>
      <c r="O28" s="1076"/>
      <c r="P28" s="1076"/>
      <c r="Q28" s="1076"/>
      <c r="R28" s="1077"/>
      <c r="T28" s="119">
        <v>21</v>
      </c>
      <c r="U28" s="110" t="e">
        <v>#N/A</v>
      </c>
      <c r="V28" s="206" t="e">
        <v>#N/A</v>
      </c>
      <c r="W28" s="206" t="e">
        <v>#N/A</v>
      </c>
      <c r="X28" s="206" t="e">
        <v>#N/A</v>
      </c>
      <c r="Y28" s="206" t="e">
        <v>#N/A</v>
      </c>
      <c r="Z28" s="160" t="e">
        <v>#N/A</v>
      </c>
      <c r="AA28" s="160" t="e">
        <v>#N/A</v>
      </c>
      <c r="AB28" s="160" t="e">
        <v>#N/A</v>
      </c>
      <c r="AC28" s="206" t="e">
        <v>#N/A</v>
      </c>
      <c r="AD28" s="206" t="e">
        <v>#N/A</v>
      </c>
      <c r="AE28" s="206" t="e">
        <v>#N/A</v>
      </c>
      <c r="AF28" s="206" t="e">
        <v>#N/A</v>
      </c>
      <c r="AG28" s="206" t="e">
        <f t="shared" si="3"/>
        <v>#N/A</v>
      </c>
      <c r="AH28" s="206" t="str">
        <f t="shared" si="4"/>
        <v/>
      </c>
      <c r="AI28" s="86" t="e">
        <f>IF(NOT(OR(Z28=1,Z28=2)),IF(AQ28&gt;0,$AR$44*AQ28/SUMIF($AQ$8:$AQ$39,"&gt;0"),IF(AU28&gt;0,$AV$44*AU28/SUMIF($AU$8:$AU$39,"&gt;0"),IF(AS28&gt;0,$AT$44*AS28/SUMIF($AS$8:$AS$39,"&gt;0"),""))),IF(SUMIF(AJ29:$AJ$39,"=" &amp; AJ28,AI29:$AI$39)=0,"",SUMIF(AJ29:$AJ$39,"=" &amp; AJ28,AI29:$AI$39)))</f>
        <v>#N/A</v>
      </c>
      <c r="AJ28" s="87" t="e">
        <f t="shared" si="34"/>
        <v>#N/A</v>
      </c>
      <c r="AK28" s="206" t="str">
        <f t="shared" si="27"/>
        <v/>
      </c>
      <c r="AL28" s="160" t="str">
        <f t="shared" si="28"/>
        <v/>
      </c>
      <c r="AM28" s="160" t="str">
        <f t="shared" si="35"/>
        <v/>
      </c>
      <c r="AN28" s="160" t="str">
        <f t="shared" si="5"/>
        <v/>
      </c>
      <c r="AO28" s="160" t="e">
        <f t="shared" si="6"/>
        <v>#N/A</v>
      </c>
      <c r="AP28" s="206" t="str">
        <f t="shared" si="7"/>
        <v/>
      </c>
      <c r="AQ28" s="157">
        <f t="shared" si="29"/>
        <v>0</v>
      </c>
      <c r="AR28" s="88" t="str">
        <f t="shared" si="8"/>
        <v/>
      </c>
      <c r="AS28" s="89">
        <f t="shared" si="30"/>
        <v>0</v>
      </c>
      <c r="AT28" s="88" t="str">
        <f t="shared" si="9"/>
        <v/>
      </c>
      <c r="AU28" s="158">
        <f t="shared" si="10"/>
        <v>0</v>
      </c>
      <c r="AV28" s="90" t="str">
        <f t="shared" si="11"/>
        <v/>
      </c>
      <c r="AW28" s="158" t="b">
        <f t="shared" si="12"/>
        <v>0</v>
      </c>
      <c r="AX28" s="159" t="b">
        <f t="shared" si="13"/>
        <v>0</v>
      </c>
      <c r="AY28" s="158" t="b">
        <f t="shared" si="14"/>
        <v>0</v>
      </c>
      <c r="AZ28" s="159" t="b">
        <f t="shared" si="15"/>
        <v>0</v>
      </c>
      <c r="BA28" s="206" t="b">
        <f t="shared" si="16"/>
        <v>0</v>
      </c>
      <c r="BB28" s="206" t="b">
        <f t="shared" si="17"/>
        <v>0</v>
      </c>
      <c r="BC28" s="158" t="b">
        <f t="shared" si="18"/>
        <v>0</v>
      </c>
      <c r="BD28" s="160" t="b">
        <f t="shared" si="31"/>
        <v>0</v>
      </c>
      <c r="BE28" s="159" t="b">
        <f t="shared" si="37"/>
        <v>0</v>
      </c>
      <c r="BF28" s="161" t="b">
        <f t="shared" si="20"/>
        <v>0</v>
      </c>
      <c r="BG28" s="206" t="str">
        <f t="shared" si="38"/>
        <v>NA</v>
      </c>
      <c r="BH28" s="206" t="str">
        <f t="shared" si="32"/>
        <v/>
      </c>
      <c r="BI28" s="206" t="str">
        <f t="shared" si="22"/>
        <v/>
      </c>
      <c r="BJ28" s="206" t="str">
        <f t="shared" si="23"/>
        <v/>
      </c>
      <c r="BK28" s="206" t="str">
        <f t="shared" si="24"/>
        <v/>
      </c>
      <c r="BL28" s="162" t="str">
        <f t="shared" si="33"/>
        <v/>
      </c>
      <c r="BM28" s="206" t="str">
        <f t="shared" si="25"/>
        <v/>
      </c>
      <c r="BN28" s="206" t="str">
        <f t="shared" si="26"/>
        <v/>
      </c>
      <c r="BO28" s="1387"/>
      <c r="BP28" s="104" t="s">
        <v>234</v>
      </c>
      <c r="BQ28" s="94">
        <f t="shared" si="36"/>
        <v>0.3</v>
      </c>
      <c r="BR28" s="95">
        <f t="shared" si="36"/>
        <v>0.6</v>
      </c>
      <c r="BS28" s="95">
        <f t="shared" si="36"/>
        <v>0.7</v>
      </c>
      <c r="BT28" s="95">
        <f t="shared" si="36"/>
        <v>0.9</v>
      </c>
      <c r="BU28" s="96">
        <f t="shared" si="36"/>
        <v>1</v>
      </c>
    </row>
    <row r="29" spans="2:73" s="105" customFormat="1" ht="12.95" customHeight="1" x14ac:dyDescent="0.2">
      <c r="B29" s="165" t="str">
        <f>IF(ISNA(Z29),"",IF(OR(Z29=1,Z29=2),"    ",MAX($B$8:B28)+1))</f>
        <v/>
      </c>
      <c r="C29" s="1375" t="str">
        <f t="shared" si="0"/>
        <v/>
      </c>
      <c r="D29" s="1375"/>
      <c r="E29" s="1375"/>
      <c r="F29" s="1376"/>
      <c r="G29" s="152" t="str">
        <f t="shared" si="1"/>
        <v/>
      </c>
      <c r="H29" s="153" t="str">
        <f t="shared" si="2"/>
        <v/>
      </c>
      <c r="I29" s="166" t="str">
        <f t="shared" si="2"/>
        <v/>
      </c>
      <c r="J29" s="172"/>
      <c r="K29" s="173"/>
      <c r="L29" s="1075"/>
      <c r="M29" s="1076"/>
      <c r="N29" s="1076"/>
      <c r="O29" s="1076"/>
      <c r="P29" s="1076"/>
      <c r="Q29" s="1076"/>
      <c r="R29" s="1077"/>
      <c r="T29" s="119">
        <v>22</v>
      </c>
      <c r="U29" s="110" t="e">
        <v>#N/A</v>
      </c>
      <c r="V29" s="206" t="e">
        <v>#N/A</v>
      </c>
      <c r="W29" s="206" t="e">
        <v>#N/A</v>
      </c>
      <c r="X29" s="206" t="e">
        <v>#N/A</v>
      </c>
      <c r="Y29" s="206" t="e">
        <v>#N/A</v>
      </c>
      <c r="Z29" s="160" t="e">
        <v>#N/A</v>
      </c>
      <c r="AA29" s="160" t="e">
        <v>#N/A</v>
      </c>
      <c r="AB29" s="160" t="e">
        <v>#N/A</v>
      </c>
      <c r="AC29" s="206" t="e">
        <v>#N/A</v>
      </c>
      <c r="AD29" s="206" t="e">
        <v>#N/A</v>
      </c>
      <c r="AE29" s="206" t="e">
        <v>#N/A</v>
      </c>
      <c r="AF29" s="206" t="e">
        <v>#N/A</v>
      </c>
      <c r="AG29" s="206" t="e">
        <f t="shared" si="3"/>
        <v>#N/A</v>
      </c>
      <c r="AH29" s="206" t="str">
        <f t="shared" si="4"/>
        <v/>
      </c>
      <c r="AI29" s="86" t="e">
        <f>IF(NOT(OR(Z29=1,Z29=2)),IF(AQ29&gt;0,$AR$44*AQ29/SUMIF($AQ$8:$AQ$39,"&gt;0"),IF(AU29&gt;0,$AV$44*AU29/SUMIF($AU$8:$AU$39,"&gt;0"),IF(AS29&gt;0,$AT$44*AS29/SUMIF($AS$8:$AS$39,"&gt;0"),""))),IF(SUMIF(AJ30:$AJ$39,"=" &amp; AJ29,AI30:$AI$39)=0,"",SUMIF(AJ30:$AJ$39,"=" &amp; AJ29,AI30:$AI$39)))</f>
        <v>#N/A</v>
      </c>
      <c r="AJ29" s="87" t="e">
        <f t="shared" si="34"/>
        <v>#N/A</v>
      </c>
      <c r="AK29" s="206" t="str">
        <f t="shared" si="27"/>
        <v/>
      </c>
      <c r="AL29" s="160" t="str">
        <f t="shared" si="28"/>
        <v/>
      </c>
      <c r="AM29" s="160" t="str">
        <f t="shared" si="35"/>
        <v/>
      </c>
      <c r="AN29" s="160" t="str">
        <f t="shared" si="5"/>
        <v/>
      </c>
      <c r="AO29" s="160" t="e">
        <f t="shared" si="6"/>
        <v>#N/A</v>
      </c>
      <c r="AP29" s="206" t="str">
        <f t="shared" si="7"/>
        <v/>
      </c>
      <c r="AQ29" s="157">
        <f t="shared" si="29"/>
        <v>0</v>
      </c>
      <c r="AR29" s="88" t="str">
        <f t="shared" si="8"/>
        <v/>
      </c>
      <c r="AS29" s="89">
        <f t="shared" si="30"/>
        <v>0</v>
      </c>
      <c r="AT29" s="88" t="str">
        <f t="shared" si="9"/>
        <v/>
      </c>
      <c r="AU29" s="158">
        <f t="shared" si="10"/>
        <v>0</v>
      </c>
      <c r="AV29" s="90" t="str">
        <f t="shared" si="11"/>
        <v/>
      </c>
      <c r="AW29" s="158" t="b">
        <f t="shared" si="12"/>
        <v>0</v>
      </c>
      <c r="AX29" s="159" t="b">
        <f t="shared" si="13"/>
        <v>0</v>
      </c>
      <c r="AY29" s="158" t="b">
        <f t="shared" si="14"/>
        <v>0</v>
      </c>
      <c r="AZ29" s="159" t="b">
        <f t="shared" si="15"/>
        <v>0</v>
      </c>
      <c r="BA29" s="206" t="b">
        <f t="shared" si="16"/>
        <v>0</v>
      </c>
      <c r="BB29" s="206" t="b">
        <f t="shared" si="17"/>
        <v>0</v>
      </c>
      <c r="BC29" s="158" t="b">
        <f t="shared" si="18"/>
        <v>0</v>
      </c>
      <c r="BD29" s="160" t="b">
        <f t="shared" si="31"/>
        <v>0</v>
      </c>
      <c r="BE29" s="159" t="b">
        <f t="shared" si="37"/>
        <v>0</v>
      </c>
      <c r="BF29" s="161" t="b">
        <f t="shared" si="20"/>
        <v>0</v>
      </c>
      <c r="BG29" s="206" t="str">
        <f t="shared" si="38"/>
        <v>NA</v>
      </c>
      <c r="BH29" s="206" t="str">
        <f t="shared" si="32"/>
        <v/>
      </c>
      <c r="BI29" s="206" t="str">
        <f t="shared" si="22"/>
        <v/>
      </c>
      <c r="BJ29" s="206" t="str">
        <f t="shared" si="23"/>
        <v/>
      </c>
      <c r="BK29" s="206" t="str">
        <f t="shared" si="24"/>
        <v/>
      </c>
      <c r="BL29" s="162" t="str">
        <f t="shared" si="33"/>
        <v/>
      </c>
      <c r="BM29" s="206" t="str">
        <f t="shared" si="25"/>
        <v/>
      </c>
      <c r="BN29" s="206" t="str">
        <f t="shared" si="26"/>
        <v/>
      </c>
      <c r="BO29" s="1387"/>
      <c r="BP29" s="104" t="s">
        <v>235</v>
      </c>
      <c r="BQ29" s="97">
        <f t="shared" si="36"/>
        <v>0</v>
      </c>
      <c r="BR29" s="98">
        <f t="shared" si="36"/>
        <v>0.3</v>
      </c>
      <c r="BS29" s="98">
        <f t="shared" si="36"/>
        <v>0.6</v>
      </c>
      <c r="BT29" s="98">
        <f t="shared" si="36"/>
        <v>0.9</v>
      </c>
      <c r="BU29" s="99">
        <f t="shared" si="36"/>
        <v>1</v>
      </c>
    </row>
    <row r="30" spans="2:73" s="105" customFormat="1" ht="12.95" customHeight="1" x14ac:dyDescent="0.2">
      <c r="B30" s="165" t="str">
        <f>IF(ISNA(Z30),"",IF(OR(Z30=1,Z30=2),"    ",MAX($B$8:B29)+1))</f>
        <v/>
      </c>
      <c r="C30" s="1375" t="str">
        <f t="shared" si="0"/>
        <v/>
      </c>
      <c r="D30" s="1375"/>
      <c r="E30" s="1375"/>
      <c r="F30" s="1376"/>
      <c r="G30" s="152" t="str">
        <f t="shared" si="1"/>
        <v/>
      </c>
      <c r="H30" s="153" t="str">
        <f t="shared" si="2"/>
        <v/>
      </c>
      <c r="I30" s="166" t="str">
        <f t="shared" si="2"/>
        <v/>
      </c>
      <c r="J30" s="172"/>
      <c r="K30" s="173"/>
      <c r="L30" s="1075"/>
      <c r="M30" s="1076"/>
      <c r="N30" s="1076"/>
      <c r="O30" s="1076"/>
      <c r="P30" s="1076"/>
      <c r="Q30" s="1076"/>
      <c r="R30" s="1077"/>
      <c r="T30" s="119">
        <v>23</v>
      </c>
      <c r="U30" s="110" t="e">
        <v>#N/A</v>
      </c>
      <c r="V30" s="206" t="e">
        <v>#N/A</v>
      </c>
      <c r="W30" s="206" t="e">
        <v>#N/A</v>
      </c>
      <c r="X30" s="206" t="e">
        <v>#N/A</v>
      </c>
      <c r="Y30" s="206" t="e">
        <v>#N/A</v>
      </c>
      <c r="Z30" s="160" t="e">
        <v>#N/A</v>
      </c>
      <c r="AA30" s="160" t="e">
        <v>#N/A</v>
      </c>
      <c r="AB30" s="160" t="e">
        <v>#N/A</v>
      </c>
      <c r="AC30" s="206" t="e">
        <v>#N/A</v>
      </c>
      <c r="AD30" s="206" t="e">
        <v>#N/A</v>
      </c>
      <c r="AE30" s="206" t="e">
        <v>#N/A</v>
      </c>
      <c r="AF30" s="206" t="e">
        <v>#N/A</v>
      </c>
      <c r="AG30" s="206" t="e">
        <f t="shared" si="3"/>
        <v>#N/A</v>
      </c>
      <c r="AH30" s="206" t="str">
        <f t="shared" si="4"/>
        <v/>
      </c>
      <c r="AI30" s="86" t="e">
        <f>IF(NOT(OR(Z30=1,Z30=2)),IF(AQ30&gt;0,$AR$44*AQ30/SUMIF($AQ$8:$AQ$39,"&gt;0"),IF(AU30&gt;0,$AV$44*AU30/SUMIF($AU$8:$AU$39,"&gt;0"),IF(AS30&gt;0,$AT$44*AS30/SUMIF($AS$8:$AS$39,"&gt;0"),""))),IF(SUMIF(AJ31:$AJ$39,"=" &amp; AJ30,AI31:$AI$39)=0,"",SUMIF(AJ31:$AJ$39,"=" &amp; AJ30,AI31:$AI$39)))</f>
        <v>#N/A</v>
      </c>
      <c r="AJ30" s="87" t="e">
        <f t="shared" si="34"/>
        <v>#N/A</v>
      </c>
      <c r="AK30" s="206" t="str">
        <f t="shared" si="27"/>
        <v/>
      </c>
      <c r="AL30" s="160" t="str">
        <f t="shared" si="28"/>
        <v/>
      </c>
      <c r="AM30" s="160" t="str">
        <f t="shared" si="35"/>
        <v/>
      </c>
      <c r="AN30" s="160" t="str">
        <f t="shared" si="5"/>
        <v/>
      </c>
      <c r="AO30" s="160" t="e">
        <f t="shared" si="6"/>
        <v>#N/A</v>
      </c>
      <c r="AP30" s="206" t="str">
        <f t="shared" si="7"/>
        <v/>
      </c>
      <c r="AQ30" s="157">
        <f t="shared" si="29"/>
        <v>0</v>
      </c>
      <c r="AR30" s="88" t="str">
        <f t="shared" si="8"/>
        <v/>
      </c>
      <c r="AS30" s="89">
        <f t="shared" si="30"/>
        <v>0</v>
      </c>
      <c r="AT30" s="88" t="str">
        <f t="shared" si="9"/>
        <v/>
      </c>
      <c r="AU30" s="158">
        <f t="shared" si="10"/>
        <v>0</v>
      </c>
      <c r="AV30" s="90" t="str">
        <f t="shared" si="11"/>
        <v/>
      </c>
      <c r="AW30" s="158" t="b">
        <f t="shared" si="12"/>
        <v>0</v>
      </c>
      <c r="AX30" s="159" t="b">
        <f t="shared" si="13"/>
        <v>0</v>
      </c>
      <c r="AY30" s="158" t="b">
        <f t="shared" si="14"/>
        <v>0</v>
      </c>
      <c r="AZ30" s="159" t="b">
        <f t="shared" si="15"/>
        <v>0</v>
      </c>
      <c r="BA30" s="206" t="b">
        <f t="shared" si="16"/>
        <v>0</v>
      </c>
      <c r="BB30" s="206" t="b">
        <f t="shared" si="17"/>
        <v>0</v>
      </c>
      <c r="BC30" s="158" t="b">
        <f t="shared" si="18"/>
        <v>0</v>
      </c>
      <c r="BD30" s="160" t="b">
        <f t="shared" si="31"/>
        <v>0</v>
      </c>
      <c r="BE30" s="159" t="b">
        <f t="shared" si="37"/>
        <v>0</v>
      </c>
      <c r="BF30" s="161" t="b">
        <f t="shared" si="20"/>
        <v>0</v>
      </c>
      <c r="BG30" s="206" t="str">
        <f t="shared" si="38"/>
        <v>NA</v>
      </c>
      <c r="BH30" s="206" t="str">
        <f t="shared" si="32"/>
        <v/>
      </c>
      <c r="BI30" s="206" t="str">
        <f t="shared" si="22"/>
        <v/>
      </c>
      <c r="BJ30" s="206" t="str">
        <f t="shared" si="23"/>
        <v/>
      </c>
      <c r="BK30" s="206" t="str">
        <f t="shared" si="24"/>
        <v/>
      </c>
      <c r="BL30" s="162" t="str">
        <f t="shared" si="33"/>
        <v/>
      </c>
      <c r="BM30" s="206" t="str">
        <f t="shared" si="25"/>
        <v/>
      </c>
      <c r="BN30" s="206" t="str">
        <f t="shared" si="26"/>
        <v/>
      </c>
      <c r="BO30" s="106"/>
    </row>
    <row r="31" spans="2:73" s="105" customFormat="1" ht="12.95" customHeight="1" x14ac:dyDescent="0.2">
      <c r="B31" s="165" t="str">
        <f>IF(ISNA(Z31),"",IF(OR(Z31=1,Z31=2),"    ",MAX($B$8:B30)+1))</f>
        <v/>
      </c>
      <c r="C31" s="1375" t="str">
        <f t="shared" si="0"/>
        <v/>
      </c>
      <c r="D31" s="1375"/>
      <c r="E31" s="1375"/>
      <c r="F31" s="1376"/>
      <c r="G31" s="152" t="str">
        <f t="shared" si="1"/>
        <v/>
      </c>
      <c r="H31" s="153" t="str">
        <f t="shared" si="2"/>
        <v/>
      </c>
      <c r="I31" s="166" t="str">
        <f t="shared" si="2"/>
        <v/>
      </c>
      <c r="J31" s="172"/>
      <c r="K31" s="173"/>
      <c r="L31" s="1075"/>
      <c r="M31" s="1076"/>
      <c r="N31" s="1076"/>
      <c r="O31" s="1076"/>
      <c r="P31" s="1076"/>
      <c r="Q31" s="1076"/>
      <c r="R31" s="1077"/>
      <c r="T31" s="119">
        <v>24</v>
      </c>
      <c r="U31" s="110" t="e">
        <v>#N/A</v>
      </c>
      <c r="V31" s="206" t="e">
        <v>#N/A</v>
      </c>
      <c r="W31" s="206" t="e">
        <v>#N/A</v>
      </c>
      <c r="X31" s="206" t="e">
        <v>#N/A</v>
      </c>
      <c r="Y31" s="206" t="e">
        <v>#N/A</v>
      </c>
      <c r="Z31" s="160" t="e">
        <v>#N/A</v>
      </c>
      <c r="AA31" s="160" t="e">
        <v>#N/A</v>
      </c>
      <c r="AB31" s="160" t="e">
        <v>#N/A</v>
      </c>
      <c r="AC31" s="206" t="e">
        <v>#N/A</v>
      </c>
      <c r="AD31" s="206" t="e">
        <v>#N/A</v>
      </c>
      <c r="AE31" s="206" t="e">
        <v>#N/A</v>
      </c>
      <c r="AF31" s="206" t="e">
        <v>#N/A</v>
      </c>
      <c r="AG31" s="206" t="e">
        <f t="shared" si="3"/>
        <v>#N/A</v>
      </c>
      <c r="AH31" s="206" t="str">
        <f t="shared" si="4"/>
        <v/>
      </c>
      <c r="AI31" s="86" t="e">
        <f>IF(NOT(OR(Z31=1,Z31=2)),IF(AQ31&gt;0,$AR$44*AQ31/SUMIF($AQ$8:$AQ$39,"&gt;0"),IF(AU31&gt;0,$AV$44*AU31/SUMIF($AU$8:$AU$39,"&gt;0"),IF(AS31&gt;0,$AT$44*AS31/SUMIF($AS$8:$AS$39,"&gt;0"),""))),IF(SUMIF(AJ32:$AJ$39,"=" &amp; AJ31,AI32:$AI$39)=0,"",SUMIF(AJ32:$AJ$39,"=" &amp; AJ31,AI32:$AI$39)))</f>
        <v>#N/A</v>
      </c>
      <c r="AJ31" s="87" t="e">
        <f t="shared" si="34"/>
        <v>#N/A</v>
      </c>
      <c r="AK31" s="206" t="str">
        <f t="shared" si="27"/>
        <v/>
      </c>
      <c r="AL31" s="160" t="str">
        <f t="shared" si="28"/>
        <v/>
      </c>
      <c r="AM31" s="160" t="str">
        <f t="shared" si="35"/>
        <v/>
      </c>
      <c r="AN31" s="160" t="str">
        <f t="shared" si="5"/>
        <v/>
      </c>
      <c r="AO31" s="160" t="e">
        <f t="shared" si="6"/>
        <v>#N/A</v>
      </c>
      <c r="AP31" s="206" t="str">
        <f t="shared" si="7"/>
        <v/>
      </c>
      <c r="AQ31" s="157">
        <f t="shared" si="29"/>
        <v>0</v>
      </c>
      <c r="AR31" s="88" t="str">
        <f t="shared" si="8"/>
        <v/>
      </c>
      <c r="AS31" s="89">
        <f t="shared" si="30"/>
        <v>0</v>
      </c>
      <c r="AT31" s="88" t="str">
        <f t="shared" si="9"/>
        <v/>
      </c>
      <c r="AU31" s="158">
        <f t="shared" si="10"/>
        <v>0</v>
      </c>
      <c r="AV31" s="90" t="str">
        <f t="shared" si="11"/>
        <v/>
      </c>
      <c r="AW31" s="158" t="b">
        <f t="shared" si="12"/>
        <v>0</v>
      </c>
      <c r="AX31" s="159" t="b">
        <f t="shared" si="13"/>
        <v>0</v>
      </c>
      <c r="AY31" s="158" t="b">
        <f t="shared" si="14"/>
        <v>0</v>
      </c>
      <c r="AZ31" s="159" t="b">
        <f t="shared" si="15"/>
        <v>0</v>
      </c>
      <c r="BA31" s="206" t="b">
        <f t="shared" si="16"/>
        <v>0</v>
      </c>
      <c r="BB31" s="206" t="b">
        <f t="shared" si="17"/>
        <v>0</v>
      </c>
      <c r="BC31" s="158" t="b">
        <f t="shared" si="18"/>
        <v>0</v>
      </c>
      <c r="BD31" s="160" t="b">
        <f>IF(OR(ISNA($Z31),ISNUMBER($Z31),NOT(ISNUMBER(K31))),FALSE,OR(NOT(ISNUMBER(J31)),J31=0,AND(J31=0,K31&lt;&gt;0)))</f>
        <v>0</v>
      </c>
      <c r="BE31" s="159" t="b">
        <f t="shared" si="37"/>
        <v>0</v>
      </c>
      <c r="BF31" s="161" t="b">
        <f>IF(OR(ISNA($Z31),H31&lt;&gt;"NG"),FALSE,IF(AND(J31="NA",K31&lt;&gt;""),TRUE,FALSE))</f>
        <v>0</v>
      </c>
      <c r="BG31" s="206" t="str">
        <f t="shared" si="38"/>
        <v>NA</v>
      </c>
      <c r="BH31" s="206" t="str">
        <f t="shared" si="32"/>
        <v/>
      </c>
      <c r="BI31" s="206" t="str">
        <f t="shared" si="22"/>
        <v/>
      </c>
      <c r="BJ31" s="206" t="str">
        <f t="shared" si="23"/>
        <v/>
      </c>
      <c r="BK31" s="206" t="str">
        <f t="shared" si="24"/>
        <v/>
      </c>
      <c r="BL31" s="162" t="str">
        <f t="shared" si="33"/>
        <v/>
      </c>
      <c r="BM31" s="206" t="str">
        <f t="shared" si="25"/>
        <v/>
      </c>
      <c r="BN31" s="206" t="str">
        <f t="shared" si="26"/>
        <v/>
      </c>
      <c r="BO31" s="169" t="s">
        <v>236</v>
      </c>
      <c r="BP31" s="175" t="s">
        <v>237</v>
      </c>
    </row>
    <row r="32" spans="2:73" s="105" customFormat="1" ht="12.95" customHeight="1" x14ac:dyDescent="0.2">
      <c r="B32" s="165" t="str">
        <f>IF(ISNA(Z32),"",IF(OR(Z32=1,Z32=2),"    ",MAX($B$8:B31)+1))</f>
        <v/>
      </c>
      <c r="C32" s="1375" t="str">
        <f t="shared" si="0"/>
        <v/>
      </c>
      <c r="D32" s="1375"/>
      <c r="E32" s="1375"/>
      <c r="F32" s="1376"/>
      <c r="G32" s="152" t="str">
        <f t="shared" si="1"/>
        <v/>
      </c>
      <c r="H32" s="153" t="str">
        <f t="shared" si="2"/>
        <v/>
      </c>
      <c r="I32" s="166" t="str">
        <f t="shared" si="2"/>
        <v/>
      </c>
      <c r="J32" s="172"/>
      <c r="K32" s="173"/>
      <c r="L32" s="1075"/>
      <c r="M32" s="1076"/>
      <c r="N32" s="1076"/>
      <c r="O32" s="1076"/>
      <c r="P32" s="1076"/>
      <c r="Q32" s="1076"/>
      <c r="R32" s="1077"/>
      <c r="T32" s="119">
        <v>25</v>
      </c>
      <c r="U32" s="110" t="e">
        <v>#N/A</v>
      </c>
      <c r="V32" s="206" t="e">
        <v>#N/A</v>
      </c>
      <c r="W32" s="206" t="e">
        <v>#N/A</v>
      </c>
      <c r="X32" s="206" t="e">
        <v>#N/A</v>
      </c>
      <c r="Y32" s="206" t="e">
        <v>#N/A</v>
      </c>
      <c r="Z32" s="160" t="e">
        <v>#N/A</v>
      </c>
      <c r="AA32" s="160" t="e">
        <v>#N/A</v>
      </c>
      <c r="AB32" s="160" t="e">
        <v>#N/A</v>
      </c>
      <c r="AC32" s="206" t="e">
        <v>#N/A</v>
      </c>
      <c r="AD32" s="206" t="e">
        <v>#N/A</v>
      </c>
      <c r="AE32" s="206" t="e">
        <v>#N/A</v>
      </c>
      <c r="AF32" s="206" t="e">
        <v>#N/A</v>
      </c>
      <c r="AG32" s="206" t="e">
        <f t="shared" si="3"/>
        <v>#N/A</v>
      </c>
      <c r="AH32" s="206" t="str">
        <f t="shared" si="4"/>
        <v/>
      </c>
      <c r="AI32" s="86" t="e">
        <f>IF(NOT(OR(Z32=1,Z32=2)),IF(AQ32&gt;0,$AR$44*AQ32/SUMIF($AQ$8:$AQ$39,"&gt;0"),IF(AU32&gt;0,$AV$44*AU32/SUMIF($AU$8:$AU$39,"&gt;0"),IF(AS32&gt;0,$AT$44*AS32/SUMIF($AS$8:$AS$39,"&gt;0"),""))),IF(SUMIF(AJ33:$AJ$39,"=" &amp; AJ32,AI33:$AI$39)=0,"",SUMIF(AJ33:$AJ$39,"=" &amp; AJ32,AI33:$AI$39)))</f>
        <v>#N/A</v>
      </c>
      <c r="AJ32" s="87" t="e">
        <f t="shared" si="34"/>
        <v>#N/A</v>
      </c>
      <c r="AK32" s="206" t="str">
        <f t="shared" si="27"/>
        <v/>
      </c>
      <c r="AL32" s="160" t="str">
        <f t="shared" si="28"/>
        <v/>
      </c>
      <c r="AM32" s="160" t="str">
        <f t="shared" si="35"/>
        <v/>
      </c>
      <c r="AN32" s="160" t="str">
        <f t="shared" si="5"/>
        <v/>
      </c>
      <c r="AO32" s="160" t="e">
        <f t="shared" si="6"/>
        <v>#N/A</v>
      </c>
      <c r="AP32" s="206" t="str">
        <f t="shared" si="7"/>
        <v/>
      </c>
      <c r="AQ32" s="157">
        <f t="shared" si="29"/>
        <v>0</v>
      </c>
      <c r="AR32" s="88" t="str">
        <f t="shared" si="8"/>
        <v/>
      </c>
      <c r="AS32" s="89">
        <f t="shared" si="30"/>
        <v>0</v>
      </c>
      <c r="AT32" s="88" t="str">
        <f t="shared" si="9"/>
        <v/>
      </c>
      <c r="AU32" s="158">
        <f t="shared" si="10"/>
        <v>0</v>
      </c>
      <c r="AV32" s="90" t="str">
        <f t="shared" si="11"/>
        <v/>
      </c>
      <c r="AW32" s="158" t="b">
        <f t="shared" si="12"/>
        <v>0</v>
      </c>
      <c r="AX32" s="159" t="b">
        <f t="shared" si="13"/>
        <v>0</v>
      </c>
      <c r="AY32" s="158" t="b">
        <f t="shared" si="14"/>
        <v>0</v>
      </c>
      <c r="AZ32" s="159" t="b">
        <f t="shared" si="15"/>
        <v>0</v>
      </c>
      <c r="BA32" s="206" t="b">
        <f t="shared" si="16"/>
        <v>0</v>
      </c>
      <c r="BB32" s="206" t="b">
        <f t="shared" si="17"/>
        <v>0</v>
      </c>
      <c r="BC32" s="158" t="b">
        <f t="shared" si="18"/>
        <v>0</v>
      </c>
      <c r="BD32" s="160" t="b">
        <f t="shared" si="31"/>
        <v>0</v>
      </c>
      <c r="BE32" s="159" t="b">
        <f t="shared" si="37"/>
        <v>0</v>
      </c>
      <c r="BF32" s="161" t="b">
        <f t="shared" ref="BF32:BF39" si="39">IF(OR(ISNA($Z32),H32&lt;&gt;"NG"),FALSE,IF(AND(J32="NA",K32&lt;&gt;""),TRUE,FALSE))</f>
        <v>0</v>
      </c>
      <c r="BG32" s="206" t="str">
        <f t="shared" si="38"/>
        <v>NA</v>
      </c>
      <c r="BH32" s="206" t="str">
        <f t="shared" si="32"/>
        <v/>
      </c>
      <c r="BI32" s="206" t="str">
        <f t="shared" si="22"/>
        <v/>
      </c>
      <c r="BJ32" s="206" t="str">
        <f t="shared" si="23"/>
        <v/>
      </c>
      <c r="BK32" s="206" t="str">
        <f t="shared" si="24"/>
        <v/>
      </c>
      <c r="BL32" s="162" t="str">
        <f t="shared" si="33"/>
        <v/>
      </c>
      <c r="BM32" s="206" t="str">
        <f t="shared" si="25"/>
        <v/>
      </c>
      <c r="BN32" s="206" t="str">
        <f t="shared" si="26"/>
        <v/>
      </c>
      <c r="BO32" s="169" t="s">
        <v>238</v>
      </c>
      <c r="BP32" s="175" t="s">
        <v>239</v>
      </c>
    </row>
    <row r="33" spans="2:73" s="105" customFormat="1" ht="12.95" customHeight="1" x14ac:dyDescent="0.2">
      <c r="B33" s="165" t="str">
        <f>IF(ISNA(Z33),"",IF(OR(Z33=1,Z33=2),"    ",MAX($B$8:B32)+1))</f>
        <v/>
      </c>
      <c r="C33" s="1375" t="str">
        <f t="shared" si="0"/>
        <v/>
      </c>
      <c r="D33" s="1375"/>
      <c r="E33" s="1375"/>
      <c r="F33" s="1376"/>
      <c r="G33" s="152" t="str">
        <f t="shared" si="1"/>
        <v/>
      </c>
      <c r="H33" s="153" t="str">
        <f t="shared" si="2"/>
        <v/>
      </c>
      <c r="I33" s="166" t="str">
        <f t="shared" si="2"/>
        <v/>
      </c>
      <c r="J33" s="172"/>
      <c r="K33" s="173"/>
      <c r="L33" s="1075"/>
      <c r="M33" s="1076"/>
      <c r="N33" s="1076"/>
      <c r="O33" s="1076"/>
      <c r="P33" s="1076"/>
      <c r="Q33" s="1076"/>
      <c r="R33" s="1077"/>
      <c r="T33" s="119">
        <v>26</v>
      </c>
      <c r="U33" s="110" t="e">
        <v>#N/A</v>
      </c>
      <c r="V33" s="206" t="e">
        <v>#N/A</v>
      </c>
      <c r="W33" s="206" t="e">
        <v>#N/A</v>
      </c>
      <c r="X33" s="206" t="e">
        <v>#N/A</v>
      </c>
      <c r="Y33" s="206" t="e">
        <v>#N/A</v>
      </c>
      <c r="Z33" s="160" t="e">
        <v>#N/A</v>
      </c>
      <c r="AA33" s="160" t="e">
        <v>#N/A</v>
      </c>
      <c r="AB33" s="160" t="e">
        <v>#N/A</v>
      </c>
      <c r="AC33" s="206" t="e">
        <v>#N/A</v>
      </c>
      <c r="AD33" s="206" t="e">
        <v>#N/A</v>
      </c>
      <c r="AE33" s="206" t="e">
        <v>#N/A</v>
      </c>
      <c r="AF33" s="206" t="e">
        <v>#N/A</v>
      </c>
      <c r="AG33" s="206" t="e">
        <f t="shared" si="3"/>
        <v>#N/A</v>
      </c>
      <c r="AH33" s="206" t="str">
        <f t="shared" si="4"/>
        <v/>
      </c>
      <c r="AI33" s="86" t="e">
        <f>IF(NOT(OR(Z33=1,Z33=2)),IF(AQ33&gt;0,$AR$44*AQ33/SUMIF($AQ$8:$AQ$39,"&gt;0"),IF(AU33&gt;0,$AV$44*AU33/SUMIF($AU$8:$AU$39,"&gt;0"),IF(AS33&gt;0,$AT$44*AS33/SUMIF($AS$8:$AS$39,"&gt;0"),""))),IF(SUMIF(AJ34:$AJ$39,"=" &amp; AJ33,AI34:$AI$39)=0,"",SUMIF(AJ34:$AJ$39,"=" &amp; AJ33,AI34:$AI$39)))</f>
        <v>#N/A</v>
      </c>
      <c r="AJ33" s="87" t="e">
        <f t="shared" si="34"/>
        <v>#N/A</v>
      </c>
      <c r="AK33" s="206" t="str">
        <f t="shared" si="27"/>
        <v/>
      </c>
      <c r="AL33" s="160" t="str">
        <f t="shared" si="28"/>
        <v/>
      </c>
      <c r="AM33" s="160" t="str">
        <f t="shared" si="35"/>
        <v/>
      </c>
      <c r="AN33" s="160" t="str">
        <f t="shared" si="5"/>
        <v/>
      </c>
      <c r="AO33" s="160" t="e">
        <f t="shared" si="6"/>
        <v>#N/A</v>
      </c>
      <c r="AP33" s="206" t="str">
        <f t="shared" si="7"/>
        <v/>
      </c>
      <c r="AQ33" s="157">
        <f t="shared" si="29"/>
        <v>0</v>
      </c>
      <c r="AR33" s="88" t="str">
        <f t="shared" si="8"/>
        <v/>
      </c>
      <c r="AS33" s="89">
        <f t="shared" si="30"/>
        <v>0</v>
      </c>
      <c r="AT33" s="88" t="str">
        <f t="shared" si="9"/>
        <v/>
      </c>
      <c r="AU33" s="158">
        <f t="shared" si="10"/>
        <v>0</v>
      </c>
      <c r="AV33" s="90" t="str">
        <f t="shared" si="11"/>
        <v/>
      </c>
      <c r="AW33" s="158" t="b">
        <f t="shared" si="12"/>
        <v>0</v>
      </c>
      <c r="AX33" s="159" t="b">
        <f t="shared" si="13"/>
        <v>0</v>
      </c>
      <c r="AY33" s="158" t="b">
        <f t="shared" si="14"/>
        <v>0</v>
      </c>
      <c r="AZ33" s="159" t="b">
        <f t="shared" si="15"/>
        <v>0</v>
      </c>
      <c r="BA33" s="206" t="b">
        <f t="shared" si="16"/>
        <v>0</v>
      </c>
      <c r="BB33" s="206" t="b">
        <f t="shared" si="17"/>
        <v>0</v>
      </c>
      <c r="BC33" s="158" t="b">
        <f t="shared" si="18"/>
        <v>0</v>
      </c>
      <c r="BD33" s="160" t="b">
        <f t="shared" si="31"/>
        <v>0</v>
      </c>
      <c r="BE33" s="159" t="b">
        <f t="shared" si="37"/>
        <v>0</v>
      </c>
      <c r="BF33" s="161" t="b">
        <f t="shared" si="39"/>
        <v>0</v>
      </c>
      <c r="BG33" s="206" t="str">
        <f t="shared" si="38"/>
        <v>NA</v>
      </c>
      <c r="BH33" s="206" t="str">
        <f t="shared" si="32"/>
        <v/>
      </c>
      <c r="BI33" s="206" t="str">
        <f t="shared" si="22"/>
        <v/>
      </c>
      <c r="BJ33" s="206" t="str">
        <f t="shared" si="23"/>
        <v/>
      </c>
      <c r="BK33" s="206" t="str">
        <f t="shared" si="24"/>
        <v/>
      </c>
      <c r="BL33" s="162" t="str">
        <f t="shared" si="33"/>
        <v/>
      </c>
      <c r="BM33" s="206" t="str">
        <f t="shared" si="25"/>
        <v/>
      </c>
      <c r="BN33" s="206" t="str">
        <f t="shared" si="26"/>
        <v/>
      </c>
      <c r="BO33" s="164" t="s">
        <v>240</v>
      </c>
      <c r="BP33" s="175"/>
      <c r="BQ33" s="175"/>
      <c r="BR33" s="175"/>
      <c r="BS33" s="175"/>
      <c r="BT33" s="175"/>
      <c r="BU33" s="175"/>
    </row>
    <row r="34" spans="2:73" s="105" customFormat="1" ht="12.95" customHeight="1" x14ac:dyDescent="0.2">
      <c r="B34" s="165" t="str">
        <f>IF(ISNA(Z34),"",IF(OR(Z34=1,Z34=2),"    ",MAX($B$8:B33)+1))</f>
        <v/>
      </c>
      <c r="C34" s="1375" t="str">
        <f t="shared" si="0"/>
        <v/>
      </c>
      <c r="D34" s="1375"/>
      <c r="E34" s="1375"/>
      <c r="F34" s="1376"/>
      <c r="G34" s="152" t="str">
        <f t="shared" si="1"/>
        <v/>
      </c>
      <c r="H34" s="153" t="str">
        <f t="shared" si="2"/>
        <v/>
      </c>
      <c r="I34" s="166" t="str">
        <f t="shared" si="2"/>
        <v/>
      </c>
      <c r="J34" s="172"/>
      <c r="K34" s="173"/>
      <c r="L34" s="1075"/>
      <c r="M34" s="1076"/>
      <c r="N34" s="1076"/>
      <c r="O34" s="1076"/>
      <c r="P34" s="1076"/>
      <c r="Q34" s="1076"/>
      <c r="R34" s="1077"/>
      <c r="T34" s="119">
        <v>27</v>
      </c>
      <c r="U34" s="110" t="e">
        <v>#N/A</v>
      </c>
      <c r="V34" s="206" t="e">
        <v>#N/A</v>
      </c>
      <c r="W34" s="206" t="e">
        <v>#N/A</v>
      </c>
      <c r="X34" s="206" t="e">
        <v>#N/A</v>
      </c>
      <c r="Y34" s="206" t="e">
        <v>#N/A</v>
      </c>
      <c r="Z34" s="160" t="e">
        <v>#N/A</v>
      </c>
      <c r="AA34" s="160" t="e">
        <v>#N/A</v>
      </c>
      <c r="AB34" s="160" t="e">
        <v>#N/A</v>
      </c>
      <c r="AC34" s="206" t="e">
        <v>#N/A</v>
      </c>
      <c r="AD34" s="206" t="e">
        <v>#N/A</v>
      </c>
      <c r="AE34" s="206" t="e">
        <v>#N/A</v>
      </c>
      <c r="AF34" s="206" t="e">
        <v>#N/A</v>
      </c>
      <c r="AG34" s="206" t="e">
        <f t="shared" si="3"/>
        <v>#N/A</v>
      </c>
      <c r="AH34" s="206" t="str">
        <f t="shared" si="4"/>
        <v/>
      </c>
      <c r="AI34" s="86" t="e">
        <f>IF(NOT(OR(Z34=1,Z34=2)),IF(AQ34&gt;0,$AR$44*AQ34/SUMIF($AQ$8:$AQ$39,"&gt;0"),IF(AU34&gt;0,$AV$44*AU34/SUMIF($AU$8:$AU$39,"&gt;0"),IF(AS34&gt;0,$AT$44*AS34/SUMIF($AS$8:$AS$39,"&gt;0"),""))),IF(SUMIF(AJ35:$AJ$39,"=" &amp; AJ34,AI35:$AI$39)=0,"",SUMIF(AJ35:$AJ$39,"=" &amp; AJ34,AI35:$AI$39)))</f>
        <v>#N/A</v>
      </c>
      <c r="AJ34" s="87" t="e">
        <f t="shared" si="34"/>
        <v>#N/A</v>
      </c>
      <c r="AK34" s="206" t="str">
        <f t="shared" si="27"/>
        <v/>
      </c>
      <c r="AL34" s="160" t="str">
        <f t="shared" si="28"/>
        <v/>
      </c>
      <c r="AM34" s="160" t="str">
        <f t="shared" si="35"/>
        <v/>
      </c>
      <c r="AN34" s="160" t="str">
        <f t="shared" si="5"/>
        <v/>
      </c>
      <c r="AO34" s="160" t="e">
        <f t="shared" si="6"/>
        <v>#N/A</v>
      </c>
      <c r="AP34" s="206" t="str">
        <f t="shared" si="7"/>
        <v/>
      </c>
      <c r="AQ34" s="157">
        <f t="shared" si="29"/>
        <v>0</v>
      </c>
      <c r="AR34" s="88" t="str">
        <f t="shared" si="8"/>
        <v/>
      </c>
      <c r="AS34" s="89">
        <f t="shared" si="30"/>
        <v>0</v>
      </c>
      <c r="AT34" s="88" t="str">
        <f t="shared" si="9"/>
        <v/>
      </c>
      <c r="AU34" s="158">
        <f t="shared" si="10"/>
        <v>0</v>
      </c>
      <c r="AV34" s="90" t="str">
        <f t="shared" si="11"/>
        <v/>
      </c>
      <c r="AW34" s="158" t="b">
        <f t="shared" si="12"/>
        <v>0</v>
      </c>
      <c r="AX34" s="159" t="b">
        <f t="shared" si="13"/>
        <v>0</v>
      </c>
      <c r="AY34" s="158" t="b">
        <f t="shared" si="14"/>
        <v>0</v>
      </c>
      <c r="AZ34" s="159" t="b">
        <f t="shared" si="15"/>
        <v>0</v>
      </c>
      <c r="BA34" s="206" t="b">
        <f t="shared" si="16"/>
        <v>0</v>
      </c>
      <c r="BB34" s="206" t="b">
        <f t="shared" si="17"/>
        <v>0</v>
      </c>
      <c r="BC34" s="158" t="b">
        <f t="shared" si="18"/>
        <v>0</v>
      </c>
      <c r="BD34" s="160" t="b">
        <f t="shared" si="31"/>
        <v>0</v>
      </c>
      <c r="BE34" s="159" t="b">
        <f t="shared" si="37"/>
        <v>0</v>
      </c>
      <c r="BF34" s="161" t="b">
        <f t="shared" si="39"/>
        <v>0</v>
      </c>
      <c r="BG34" s="206" t="str">
        <f t="shared" si="38"/>
        <v>NA</v>
      </c>
      <c r="BH34" s="206" t="str">
        <f t="shared" si="32"/>
        <v/>
      </c>
      <c r="BI34" s="206" t="str">
        <f t="shared" si="22"/>
        <v/>
      </c>
      <c r="BJ34" s="206" t="str">
        <f t="shared" si="23"/>
        <v/>
      </c>
      <c r="BK34" s="206" t="str">
        <f t="shared" si="24"/>
        <v/>
      </c>
      <c r="BL34" s="162" t="str">
        <f t="shared" si="33"/>
        <v/>
      </c>
      <c r="BM34" s="206" t="str">
        <f t="shared" si="25"/>
        <v/>
      </c>
      <c r="BN34" s="206" t="str">
        <f t="shared" si="26"/>
        <v/>
      </c>
      <c r="BO34" s="1346"/>
      <c r="BP34" s="1347"/>
      <c r="BQ34" s="1347"/>
      <c r="BR34" s="1347"/>
      <c r="BS34" s="1347"/>
      <c r="BT34" s="1347"/>
      <c r="BU34" s="1348"/>
    </row>
    <row r="35" spans="2:73" s="105" customFormat="1" ht="12.95" customHeight="1" x14ac:dyDescent="0.2">
      <c r="B35" s="165" t="str">
        <f>IF(ISNA(Z35),"",IF(OR(Z35=1,Z35=2),"    ",MAX($B$8:B34)+1))</f>
        <v/>
      </c>
      <c r="C35" s="1375" t="str">
        <f t="shared" si="0"/>
        <v/>
      </c>
      <c r="D35" s="1375"/>
      <c r="E35" s="1375"/>
      <c r="F35" s="1376"/>
      <c r="G35" s="152" t="str">
        <f t="shared" si="1"/>
        <v/>
      </c>
      <c r="H35" s="153" t="str">
        <f t="shared" si="2"/>
        <v/>
      </c>
      <c r="I35" s="166" t="str">
        <f t="shared" si="2"/>
        <v/>
      </c>
      <c r="J35" s="172"/>
      <c r="K35" s="173"/>
      <c r="L35" s="1075"/>
      <c r="M35" s="1076"/>
      <c r="N35" s="1076"/>
      <c r="O35" s="1076"/>
      <c r="P35" s="1076"/>
      <c r="Q35" s="1076"/>
      <c r="R35" s="1077"/>
      <c r="T35" s="119">
        <v>28</v>
      </c>
      <c r="U35" s="110" t="e">
        <v>#N/A</v>
      </c>
      <c r="V35" s="206" t="e">
        <v>#N/A</v>
      </c>
      <c r="W35" s="206" t="e">
        <v>#N/A</v>
      </c>
      <c r="X35" s="206" t="e">
        <v>#N/A</v>
      </c>
      <c r="Y35" s="206" t="e">
        <v>#N/A</v>
      </c>
      <c r="Z35" s="160" t="e">
        <v>#N/A</v>
      </c>
      <c r="AA35" s="160" t="e">
        <v>#N/A</v>
      </c>
      <c r="AB35" s="160" t="e">
        <v>#N/A</v>
      </c>
      <c r="AC35" s="206" t="e">
        <v>#N/A</v>
      </c>
      <c r="AD35" s="206" t="e">
        <v>#N/A</v>
      </c>
      <c r="AE35" s="206" t="e">
        <v>#N/A</v>
      </c>
      <c r="AF35" s="206" t="e">
        <v>#N/A</v>
      </c>
      <c r="AG35" s="206" t="e">
        <f t="shared" si="3"/>
        <v>#N/A</v>
      </c>
      <c r="AH35" s="206" t="str">
        <f t="shared" si="4"/>
        <v/>
      </c>
      <c r="AI35" s="86" t="e">
        <f>IF(NOT(OR(Z35=1,Z35=2)),IF(AQ35&gt;0,$AR$44*AQ35/SUMIF($AQ$8:$AQ$39,"&gt;0"),IF(AU35&gt;0,$AV$44*AU35/SUMIF($AU$8:$AU$39,"&gt;0"),IF(AS35&gt;0,$AT$44*AS35/SUMIF($AS$8:$AS$39,"&gt;0"),""))),IF(SUMIF(AJ36:$AJ$39,"=" &amp; AJ35,AI36:$AI$39)=0,"",SUMIF(AJ36:$AJ$39,"=" &amp; AJ35,AI36:$AI$39)))</f>
        <v>#N/A</v>
      </c>
      <c r="AJ35" s="87" t="e">
        <f t="shared" si="34"/>
        <v>#N/A</v>
      </c>
      <c r="AK35" s="206" t="str">
        <f t="shared" si="27"/>
        <v/>
      </c>
      <c r="AL35" s="160" t="str">
        <f t="shared" si="28"/>
        <v/>
      </c>
      <c r="AM35" s="160" t="str">
        <f t="shared" si="35"/>
        <v/>
      </c>
      <c r="AN35" s="160" t="str">
        <f t="shared" si="5"/>
        <v/>
      </c>
      <c r="AO35" s="160" t="e">
        <f t="shared" si="6"/>
        <v>#N/A</v>
      </c>
      <c r="AP35" s="206" t="str">
        <f t="shared" si="7"/>
        <v/>
      </c>
      <c r="AQ35" s="157">
        <f t="shared" si="29"/>
        <v>0</v>
      </c>
      <c r="AR35" s="88" t="str">
        <f t="shared" si="8"/>
        <v/>
      </c>
      <c r="AS35" s="89">
        <f t="shared" si="30"/>
        <v>0</v>
      </c>
      <c r="AT35" s="88" t="str">
        <f t="shared" si="9"/>
        <v/>
      </c>
      <c r="AU35" s="158">
        <f t="shared" si="10"/>
        <v>0</v>
      </c>
      <c r="AV35" s="90" t="str">
        <f t="shared" si="11"/>
        <v/>
      </c>
      <c r="AW35" s="158" t="b">
        <f t="shared" si="12"/>
        <v>0</v>
      </c>
      <c r="AX35" s="159" t="b">
        <f t="shared" si="13"/>
        <v>0</v>
      </c>
      <c r="AY35" s="158" t="b">
        <f t="shared" si="14"/>
        <v>0</v>
      </c>
      <c r="AZ35" s="159" t="b">
        <f t="shared" si="15"/>
        <v>0</v>
      </c>
      <c r="BA35" s="206" t="b">
        <f t="shared" si="16"/>
        <v>0</v>
      </c>
      <c r="BB35" s="206" t="b">
        <f t="shared" si="17"/>
        <v>0</v>
      </c>
      <c r="BC35" s="158" t="b">
        <f t="shared" si="18"/>
        <v>0</v>
      </c>
      <c r="BD35" s="160" t="b">
        <f t="shared" si="31"/>
        <v>0</v>
      </c>
      <c r="BE35" s="159" t="b">
        <f t="shared" si="37"/>
        <v>0</v>
      </c>
      <c r="BF35" s="161" t="b">
        <f t="shared" si="39"/>
        <v>0</v>
      </c>
      <c r="BG35" s="206" t="str">
        <f t="shared" si="38"/>
        <v>NA</v>
      </c>
      <c r="BH35" s="206" t="str">
        <f t="shared" si="32"/>
        <v/>
      </c>
      <c r="BI35" s="206" t="str">
        <f t="shared" si="22"/>
        <v/>
      </c>
      <c r="BJ35" s="206" t="str">
        <f t="shared" si="23"/>
        <v/>
      </c>
      <c r="BK35" s="206" t="str">
        <f t="shared" si="24"/>
        <v/>
      </c>
      <c r="BL35" s="162" t="str">
        <f t="shared" si="33"/>
        <v/>
      </c>
      <c r="BM35" s="206" t="str">
        <f t="shared" si="25"/>
        <v/>
      </c>
      <c r="BN35" s="206" t="str">
        <f t="shared" si="26"/>
        <v/>
      </c>
      <c r="BO35" s="1349"/>
      <c r="BP35" s="1350"/>
      <c r="BQ35" s="1350"/>
      <c r="BR35" s="1350"/>
      <c r="BS35" s="1350"/>
      <c r="BT35" s="1350"/>
      <c r="BU35" s="1351"/>
    </row>
    <row r="36" spans="2:73" s="105" customFormat="1" ht="12.95" customHeight="1" x14ac:dyDescent="0.2">
      <c r="B36" s="165" t="str">
        <f>IF(ISNA(Z36),"",IF(OR(Z36=1,Z36=2),"    ",MAX($B$8:B35)+1))</f>
        <v/>
      </c>
      <c r="C36" s="1375" t="str">
        <f t="shared" si="0"/>
        <v/>
      </c>
      <c r="D36" s="1375"/>
      <c r="E36" s="1375"/>
      <c r="F36" s="1376"/>
      <c r="G36" s="152" t="str">
        <f t="shared" si="1"/>
        <v/>
      </c>
      <c r="H36" s="153" t="str">
        <f t="shared" si="2"/>
        <v/>
      </c>
      <c r="I36" s="166" t="str">
        <f t="shared" si="2"/>
        <v/>
      </c>
      <c r="J36" s="172"/>
      <c r="K36" s="173"/>
      <c r="L36" s="1075"/>
      <c r="M36" s="1076"/>
      <c r="N36" s="1076"/>
      <c r="O36" s="1076"/>
      <c r="P36" s="1076"/>
      <c r="Q36" s="1076"/>
      <c r="R36" s="1077"/>
      <c r="T36" s="119">
        <v>29</v>
      </c>
      <c r="U36" s="110" t="e">
        <v>#N/A</v>
      </c>
      <c r="V36" s="206" t="e">
        <v>#N/A</v>
      </c>
      <c r="W36" s="206" t="e">
        <v>#N/A</v>
      </c>
      <c r="X36" s="206" t="e">
        <v>#N/A</v>
      </c>
      <c r="Y36" s="206" t="e">
        <v>#N/A</v>
      </c>
      <c r="Z36" s="160" t="e">
        <v>#N/A</v>
      </c>
      <c r="AA36" s="160" t="e">
        <v>#N/A</v>
      </c>
      <c r="AB36" s="160" t="e">
        <v>#N/A</v>
      </c>
      <c r="AC36" s="206" t="e">
        <v>#N/A</v>
      </c>
      <c r="AD36" s="206" t="e">
        <v>#N/A</v>
      </c>
      <c r="AE36" s="206" t="e">
        <v>#N/A</v>
      </c>
      <c r="AF36" s="206" t="e">
        <v>#N/A</v>
      </c>
      <c r="AG36" s="206" t="e">
        <f t="shared" si="3"/>
        <v>#N/A</v>
      </c>
      <c r="AH36" s="206" t="str">
        <f t="shared" si="4"/>
        <v/>
      </c>
      <c r="AI36" s="86" t="e">
        <f>IF(NOT(OR(Z36=1,Z36=2)),IF(AQ36&gt;0,$AR$44*AQ36/SUMIF($AQ$8:$AQ$39,"&gt;0"),IF(AU36&gt;0,$AV$44*AU36/SUMIF($AU$8:$AU$39,"&gt;0"),IF(AS36&gt;0,$AT$44*AS36/SUMIF($AS$8:$AS$39,"&gt;0"),""))),IF(SUMIF(AJ37:$AJ$39,"=" &amp; AJ36,AI37:$AI$39)=0,"",SUMIF(AJ37:$AJ$39,"=" &amp; AJ36,AI37:$AI$39)))</f>
        <v>#N/A</v>
      </c>
      <c r="AJ36" s="87" t="e">
        <f t="shared" si="34"/>
        <v>#N/A</v>
      </c>
      <c r="AK36" s="206" t="str">
        <f t="shared" si="27"/>
        <v/>
      </c>
      <c r="AL36" s="160" t="str">
        <f t="shared" si="28"/>
        <v/>
      </c>
      <c r="AM36" s="160" t="str">
        <f t="shared" si="35"/>
        <v/>
      </c>
      <c r="AN36" s="160" t="str">
        <f t="shared" si="5"/>
        <v/>
      </c>
      <c r="AO36" s="160" t="e">
        <f t="shared" si="6"/>
        <v>#N/A</v>
      </c>
      <c r="AP36" s="206" t="str">
        <f t="shared" si="7"/>
        <v/>
      </c>
      <c r="AQ36" s="157">
        <f t="shared" si="29"/>
        <v>0</v>
      </c>
      <c r="AR36" s="88" t="str">
        <f t="shared" si="8"/>
        <v/>
      </c>
      <c r="AS36" s="89">
        <f t="shared" si="30"/>
        <v>0</v>
      </c>
      <c r="AT36" s="88" t="str">
        <f t="shared" si="9"/>
        <v/>
      </c>
      <c r="AU36" s="158">
        <f t="shared" si="10"/>
        <v>0</v>
      </c>
      <c r="AV36" s="90" t="str">
        <f t="shared" si="11"/>
        <v/>
      </c>
      <c r="AW36" s="158" t="b">
        <f t="shared" si="12"/>
        <v>0</v>
      </c>
      <c r="AX36" s="159" t="b">
        <f t="shared" si="13"/>
        <v>0</v>
      </c>
      <c r="AY36" s="158" t="b">
        <f t="shared" si="14"/>
        <v>0</v>
      </c>
      <c r="AZ36" s="159" t="b">
        <f t="shared" si="15"/>
        <v>0</v>
      </c>
      <c r="BA36" s="206" t="b">
        <f t="shared" si="16"/>
        <v>0</v>
      </c>
      <c r="BB36" s="206" t="b">
        <f t="shared" si="17"/>
        <v>0</v>
      </c>
      <c r="BC36" s="158" t="b">
        <f t="shared" si="18"/>
        <v>0</v>
      </c>
      <c r="BD36" s="160" t="b">
        <f t="shared" si="31"/>
        <v>0</v>
      </c>
      <c r="BE36" s="159" t="b">
        <f t="shared" si="37"/>
        <v>0</v>
      </c>
      <c r="BF36" s="161" t="b">
        <f t="shared" si="39"/>
        <v>0</v>
      </c>
      <c r="BG36" s="206" t="str">
        <f t="shared" si="38"/>
        <v>NA</v>
      </c>
      <c r="BH36" s="206" t="str">
        <f t="shared" si="32"/>
        <v/>
      </c>
      <c r="BI36" s="206" t="str">
        <f t="shared" si="22"/>
        <v/>
      </c>
      <c r="BJ36" s="206" t="str">
        <f t="shared" si="23"/>
        <v/>
      </c>
      <c r="BK36" s="206" t="str">
        <f t="shared" si="24"/>
        <v/>
      </c>
      <c r="BL36" s="162" t="str">
        <f t="shared" si="33"/>
        <v/>
      </c>
      <c r="BM36" s="206" t="str">
        <f t="shared" si="25"/>
        <v/>
      </c>
      <c r="BN36" s="206" t="str">
        <f t="shared" si="26"/>
        <v/>
      </c>
      <c r="BO36" s="1349"/>
      <c r="BP36" s="1350"/>
      <c r="BQ36" s="1350"/>
      <c r="BR36" s="1350"/>
      <c r="BS36" s="1350"/>
      <c r="BT36" s="1350"/>
      <c r="BU36" s="1351"/>
    </row>
    <row r="37" spans="2:73" s="105" customFormat="1" ht="12.95" customHeight="1" x14ac:dyDescent="0.2">
      <c r="B37" s="165" t="str">
        <f>IF(ISNA(Z37),"",IF(OR(Z37=1,Z37=2),"    ",MAX($B$8:B36)+1))</f>
        <v/>
      </c>
      <c r="C37" s="1375" t="str">
        <f>IF(ISNA(Z37),"",CONCATENATE($U37,IF(ISNUMBER(AI37),TEXT(ROUND($AI37,3)," (0.0%)"),""),IF(AU37&gt;0," Bonus","")))</f>
        <v/>
      </c>
      <c r="D37" s="1375"/>
      <c r="E37" s="1375"/>
      <c r="F37" s="1376"/>
      <c r="G37" s="152" t="str">
        <f t="shared" si="1"/>
        <v/>
      </c>
      <c r="H37" s="153" t="str">
        <f t="shared" si="2"/>
        <v/>
      </c>
      <c r="I37" s="166" t="str">
        <f t="shared" si="2"/>
        <v/>
      </c>
      <c r="J37" s="172"/>
      <c r="K37" s="173"/>
      <c r="L37" s="1075"/>
      <c r="M37" s="1076"/>
      <c r="N37" s="1076"/>
      <c r="O37" s="1076"/>
      <c r="P37" s="1076"/>
      <c r="Q37" s="1076"/>
      <c r="R37" s="1077"/>
      <c r="T37" s="119">
        <v>30</v>
      </c>
      <c r="U37" s="110" t="e">
        <v>#N/A</v>
      </c>
      <c r="V37" s="206" t="e">
        <v>#N/A</v>
      </c>
      <c r="W37" s="206" t="e">
        <v>#N/A</v>
      </c>
      <c r="X37" s="206" t="e">
        <v>#N/A</v>
      </c>
      <c r="Y37" s="206" t="e">
        <v>#N/A</v>
      </c>
      <c r="Z37" s="160" t="e">
        <v>#N/A</v>
      </c>
      <c r="AA37" s="160" t="e">
        <v>#N/A</v>
      </c>
      <c r="AB37" s="160" t="e">
        <v>#N/A</v>
      </c>
      <c r="AC37" s="206" t="e">
        <v>#N/A</v>
      </c>
      <c r="AD37" s="206" t="e">
        <v>#N/A</v>
      </c>
      <c r="AE37" s="206" t="e">
        <v>#N/A</v>
      </c>
      <c r="AF37" s="206" t="e">
        <v>#N/A</v>
      </c>
      <c r="AG37" s="206" t="e">
        <f t="shared" si="3"/>
        <v>#N/A</v>
      </c>
      <c r="AH37" s="206" t="str">
        <f t="shared" si="4"/>
        <v/>
      </c>
      <c r="AI37" s="86" t="e">
        <f>IF(NOT(OR(Z37=1,Z37=2)),IF(AQ37&gt;0,$AR$44*AQ37/SUMIF($AQ$8:$AQ$39,"&gt;0"),IF(AU37&gt;0,$AV$44*AU37/SUMIF($AU$8:$AU$39,"&gt;0"),IF(AS37&gt;0,$AT$44*AS37/SUMIF($AS$8:$AS$39,"&gt;0"),""))),IF(SUMIF(AJ38:$AJ$39,"=" &amp; AJ37,AI38:$AI$39)=0,"",SUMIF(AJ38:$AJ$39,"=" &amp; AJ37,AI38:$AI$39)))</f>
        <v>#N/A</v>
      </c>
      <c r="AJ37" s="87" t="e">
        <f t="shared" si="34"/>
        <v>#N/A</v>
      </c>
      <c r="AK37" s="206" t="str">
        <f t="shared" si="27"/>
        <v/>
      </c>
      <c r="AL37" s="160" t="str">
        <f t="shared" si="28"/>
        <v/>
      </c>
      <c r="AM37" s="160" t="str">
        <f t="shared" si="35"/>
        <v/>
      </c>
      <c r="AN37" s="160" t="str">
        <f>IF(ISNUMBER(AH37),IF(AND(AB37=0,ISNUMBER(AC37),ISNUMBER(AL37)),1,""),"")</f>
        <v/>
      </c>
      <c r="AO37" s="160" t="e">
        <f t="shared" si="6"/>
        <v>#N/A</v>
      </c>
      <c r="AP37" s="206" t="str">
        <f t="shared" si="7"/>
        <v/>
      </c>
      <c r="AQ37" s="157">
        <f t="shared" si="29"/>
        <v>0</v>
      </c>
      <c r="AR37" s="88" t="str">
        <f t="shared" si="8"/>
        <v/>
      </c>
      <c r="AS37" s="89">
        <f t="shared" si="30"/>
        <v>0</v>
      </c>
      <c r="AT37" s="88" t="str">
        <f t="shared" si="9"/>
        <v/>
      </c>
      <c r="AU37" s="158">
        <f t="shared" si="10"/>
        <v>0</v>
      </c>
      <c r="AV37" s="90" t="str">
        <f t="shared" si="11"/>
        <v/>
      </c>
      <c r="AW37" s="158" t="b">
        <f t="shared" si="12"/>
        <v>0</v>
      </c>
      <c r="AX37" s="159" t="b">
        <f t="shared" si="13"/>
        <v>0</v>
      </c>
      <c r="AY37" s="158" t="b">
        <f t="shared" si="14"/>
        <v>0</v>
      </c>
      <c r="AZ37" s="159" t="b">
        <f t="shared" si="15"/>
        <v>0</v>
      </c>
      <c r="BA37" s="206" t="b">
        <f t="shared" si="16"/>
        <v>0</v>
      </c>
      <c r="BB37" s="206" t="b">
        <f t="shared" si="17"/>
        <v>0</v>
      </c>
      <c r="BC37" s="158" t="b">
        <f t="shared" si="18"/>
        <v>0</v>
      </c>
      <c r="BD37" s="160" t="b">
        <f t="shared" si="31"/>
        <v>0</v>
      </c>
      <c r="BE37" s="159" t="b">
        <f t="shared" si="37"/>
        <v>0</v>
      </c>
      <c r="BF37" s="161" t="b">
        <f t="shared" si="39"/>
        <v>0</v>
      </c>
      <c r="BG37" s="206" t="str">
        <f t="shared" si="38"/>
        <v>NA</v>
      </c>
      <c r="BH37" s="206" t="str">
        <f t="shared" si="32"/>
        <v/>
      </c>
      <c r="BI37" s="206" t="str">
        <f t="shared" si="22"/>
        <v/>
      </c>
      <c r="BJ37" s="206" t="str">
        <f t="shared" si="23"/>
        <v/>
      </c>
      <c r="BK37" s="206" t="str">
        <f t="shared" si="24"/>
        <v/>
      </c>
      <c r="BL37" s="162" t="str">
        <f t="shared" si="33"/>
        <v/>
      </c>
      <c r="BM37" s="206" t="str">
        <f t="shared" si="25"/>
        <v/>
      </c>
      <c r="BN37" s="206" t="str">
        <f t="shared" si="26"/>
        <v/>
      </c>
      <c r="BO37" s="1352"/>
      <c r="BP37" s="1353"/>
      <c r="BQ37" s="1353"/>
      <c r="BR37" s="1353"/>
      <c r="BS37" s="1353"/>
      <c r="BT37" s="1353"/>
      <c r="BU37" s="1354"/>
    </row>
    <row r="38" spans="2:73" s="105" customFormat="1" ht="12.95" customHeight="1" x14ac:dyDescent="0.2">
      <c r="B38" s="165" t="str">
        <f>IF(ISNA(Z38),"",IF(OR(Z38=1,Z38=2),"    ",MAX($B$8:B37)+1))</f>
        <v/>
      </c>
      <c r="C38" s="1375" t="str">
        <f t="shared" ref="C38:C39" si="40">IF(ISNA(Z38),"",CONCATENATE($U38,IF(ISNUMBER(AI38),TEXT(ROUND($AI38,3)," (0.0%)"),""),IF(AU38&gt;0," Bonus","")))</f>
        <v/>
      </c>
      <c r="D38" s="1375"/>
      <c r="E38" s="1375"/>
      <c r="F38" s="1376"/>
      <c r="G38" s="152" t="str">
        <f t="shared" si="1"/>
        <v/>
      </c>
      <c r="H38" s="153" t="str">
        <f t="shared" si="2"/>
        <v/>
      </c>
      <c r="I38" s="166" t="str">
        <f t="shared" si="2"/>
        <v/>
      </c>
      <c r="J38" s="172"/>
      <c r="K38" s="173"/>
      <c r="L38" s="1075"/>
      <c r="M38" s="1076"/>
      <c r="N38" s="1076"/>
      <c r="O38" s="1076"/>
      <c r="P38" s="1076"/>
      <c r="Q38" s="1076"/>
      <c r="R38" s="1077"/>
      <c r="T38" s="119">
        <v>31</v>
      </c>
      <c r="U38" s="110" t="e">
        <v>#N/A</v>
      </c>
      <c r="V38" s="206" t="e">
        <v>#N/A</v>
      </c>
      <c r="W38" s="206" t="e">
        <v>#N/A</v>
      </c>
      <c r="X38" s="206" t="e">
        <v>#N/A</v>
      </c>
      <c r="Y38" s="206" t="e">
        <v>#N/A</v>
      </c>
      <c r="Z38" s="160" t="e">
        <v>#N/A</v>
      </c>
      <c r="AA38" s="160" t="e">
        <v>#N/A</v>
      </c>
      <c r="AB38" s="160" t="e">
        <v>#N/A</v>
      </c>
      <c r="AC38" s="206" t="e">
        <v>#N/A</v>
      </c>
      <c r="AD38" s="206" t="e">
        <v>#N/A</v>
      </c>
      <c r="AE38" s="206" t="e">
        <v>#N/A</v>
      </c>
      <c r="AF38" s="206" t="e">
        <v>#N/A</v>
      </c>
      <c r="AG38" s="206" t="e">
        <f t="shared" si="3"/>
        <v>#N/A</v>
      </c>
      <c r="AH38" s="206" t="str">
        <f t="shared" si="4"/>
        <v/>
      </c>
      <c r="AI38" s="86" t="e">
        <f>IF(NOT(OR(Z38=1,Z38=2)),IF(AQ38&gt;0,$AR$44*AQ38/SUMIF($AQ$8:$AQ$39,"&gt;0"),IF(AU38&gt;0,$AV$44*AU38/SUMIF($AU$8:$AU$39,"&gt;0"),IF(AS38&gt;0,$AT$44*AS38/SUMIF($AS$8:$AS$39,"&gt;0"),""))),IF(SUMIF(AJ39:$AJ$39,"=" &amp; AJ38,AI39:$AI$39)=0,"",SUMIF(AJ39:$AJ$39,"=" &amp; AJ38,AI39:$AI$39)))</f>
        <v>#N/A</v>
      </c>
      <c r="AJ38" s="87" t="e">
        <f t="shared" si="34"/>
        <v>#N/A</v>
      </c>
      <c r="AK38" s="206" t="str">
        <f t="shared" si="27"/>
        <v/>
      </c>
      <c r="AL38" s="160" t="str">
        <f t="shared" si="28"/>
        <v/>
      </c>
      <c r="AM38" s="160" t="str">
        <f t="shared" si="35"/>
        <v/>
      </c>
      <c r="AN38" s="160" t="str">
        <f>IF(ISNUMBER(AH38),IF(AND(AB38=0,ISNUMBER(AC38),ISNUMBER(AL38)),1,""),"")</f>
        <v/>
      </c>
      <c r="AO38" s="160" t="e">
        <f t="shared" si="6"/>
        <v>#N/A</v>
      </c>
      <c r="AP38" s="206" t="str">
        <f t="shared" si="7"/>
        <v/>
      </c>
      <c r="AQ38" s="157">
        <f t="shared" si="29"/>
        <v>0</v>
      </c>
      <c r="AR38" s="88" t="str">
        <f t="shared" si="8"/>
        <v/>
      </c>
      <c r="AS38" s="89">
        <f t="shared" si="30"/>
        <v>0</v>
      </c>
      <c r="AT38" s="88" t="str">
        <f t="shared" si="9"/>
        <v/>
      </c>
      <c r="AU38" s="158">
        <f t="shared" si="10"/>
        <v>0</v>
      </c>
      <c r="AV38" s="90" t="str">
        <f t="shared" si="11"/>
        <v/>
      </c>
      <c r="AW38" s="158" t="b">
        <f t="shared" si="12"/>
        <v>0</v>
      </c>
      <c r="AX38" s="159" t="b">
        <f t="shared" si="13"/>
        <v>0</v>
      </c>
      <c r="AY38" s="158" t="b">
        <f t="shared" si="14"/>
        <v>0</v>
      </c>
      <c r="AZ38" s="159" t="b">
        <f t="shared" si="15"/>
        <v>0</v>
      </c>
      <c r="BA38" s="206" t="b">
        <f t="shared" si="16"/>
        <v>0</v>
      </c>
      <c r="BB38" s="206" t="b">
        <f t="shared" si="17"/>
        <v>0</v>
      </c>
      <c r="BC38" s="158" t="b">
        <f t="shared" si="18"/>
        <v>0</v>
      </c>
      <c r="BD38" s="160" t="b">
        <f t="shared" si="31"/>
        <v>0</v>
      </c>
      <c r="BE38" s="159" t="b">
        <f t="shared" si="37"/>
        <v>0</v>
      </c>
      <c r="BF38" s="161" t="b">
        <f t="shared" si="39"/>
        <v>0</v>
      </c>
      <c r="BG38" s="206" t="str">
        <f t="shared" si="38"/>
        <v>NA</v>
      </c>
      <c r="BH38" s="206" t="str">
        <f t="shared" si="32"/>
        <v/>
      </c>
      <c r="BI38" s="206" t="str">
        <f t="shared" si="22"/>
        <v/>
      </c>
      <c r="BJ38" s="206" t="str">
        <f t="shared" si="23"/>
        <v/>
      </c>
      <c r="BK38" s="206" t="str">
        <f t="shared" si="24"/>
        <v/>
      </c>
      <c r="BL38" s="162" t="str">
        <f t="shared" si="33"/>
        <v/>
      </c>
      <c r="BM38" s="206" t="str">
        <f t="shared" si="25"/>
        <v/>
      </c>
      <c r="BN38" s="206" t="str">
        <f t="shared" si="26"/>
        <v/>
      </c>
      <c r="BO38" s="164" t="s">
        <v>241</v>
      </c>
      <c r="BP38" s="164"/>
      <c r="BQ38" s="164"/>
      <c r="BR38" s="164"/>
      <c r="BS38" s="164"/>
      <c r="BT38" s="164"/>
      <c r="BU38" s="164"/>
    </row>
    <row r="39" spans="2:73" s="105" customFormat="1" ht="12.95" customHeight="1" thickBot="1" x14ac:dyDescent="0.25">
      <c r="B39" s="165" t="str">
        <f>IF(ISNA(Z39),"",IF(OR(Z39=1,Z39=2),"    ",MAX($B$8:B38)+1))</f>
        <v/>
      </c>
      <c r="C39" s="1375" t="str">
        <f t="shared" si="40"/>
        <v/>
      </c>
      <c r="D39" s="1375"/>
      <c r="E39" s="1375"/>
      <c r="F39" s="1376"/>
      <c r="G39" s="176" t="str">
        <f t="shared" si="1"/>
        <v/>
      </c>
      <c r="H39" s="153" t="str">
        <f t="shared" si="2"/>
        <v/>
      </c>
      <c r="I39" s="177" t="str">
        <f t="shared" si="2"/>
        <v/>
      </c>
      <c r="J39" s="178"/>
      <c r="K39" s="179"/>
      <c r="L39" s="1078"/>
      <c r="M39" s="1079"/>
      <c r="N39" s="1079"/>
      <c r="O39" s="1079"/>
      <c r="P39" s="1079"/>
      <c r="Q39" s="1079"/>
      <c r="R39" s="1080"/>
      <c r="T39" s="119">
        <v>32</v>
      </c>
      <c r="U39" s="110" t="e">
        <v>#N/A</v>
      </c>
      <c r="V39" s="206" t="e">
        <v>#N/A</v>
      </c>
      <c r="W39" s="206" t="e">
        <v>#N/A</v>
      </c>
      <c r="X39" s="206" t="e">
        <v>#N/A</v>
      </c>
      <c r="Y39" s="206" t="e">
        <v>#N/A</v>
      </c>
      <c r="Z39" s="160" t="e">
        <v>#N/A</v>
      </c>
      <c r="AA39" s="160" t="e">
        <v>#N/A</v>
      </c>
      <c r="AB39" s="160" t="e">
        <v>#N/A</v>
      </c>
      <c r="AC39" s="206" t="e">
        <v>#N/A</v>
      </c>
      <c r="AD39" s="206" t="e">
        <v>#N/A</v>
      </c>
      <c r="AE39" s="206" t="e">
        <v>#N/A</v>
      </c>
      <c r="AF39" s="206" t="e">
        <v>#N/A</v>
      </c>
      <c r="AG39" s="206" t="e">
        <f t="shared" si="3"/>
        <v>#N/A</v>
      </c>
      <c r="AH39" s="206" t="str">
        <f t="shared" si="4"/>
        <v/>
      </c>
      <c r="AI39" s="86" t="e">
        <f>IF(NOT(OR(Z39=1,Z39=2)),IF(AQ39&gt;0,$AR$44*AQ39/SUMIF($AQ$8:$AQ$39,"&gt;0"),IF(AU39&gt;0,$AV$44*AU39/SUMIF($AU$8:$AU$39,"&gt;0"),IF(AS39&gt;0,$AT$44*AS39/SUMIF($AS$8:$AS$39,"&gt;0"),""))),IF(SUMIF(AJ$39:$AJ40,"=" &amp; AJ39,AI$39:$AI40)=0,"",SUMIF(AJ$39:$AJ40,"=" &amp; AJ39,AI$39:$AI40)))</f>
        <v>#N/A</v>
      </c>
      <c r="AJ39" s="87" t="e">
        <f t="shared" si="34"/>
        <v>#N/A</v>
      </c>
      <c r="AK39" s="206" t="str">
        <f t="shared" si="27"/>
        <v/>
      </c>
      <c r="AL39" s="160" t="str">
        <f t="shared" si="28"/>
        <v/>
      </c>
      <c r="AM39" s="160" t="str">
        <f t="shared" si="35"/>
        <v/>
      </c>
      <c r="AN39" s="160" t="str">
        <f>IF(ISNUMBER(AH39),IF(AND(AB39=0,ISNUMBER(AC39),ISNUMBER(AL39)),1,""),"")</f>
        <v/>
      </c>
      <c r="AO39" s="160" t="e">
        <f t="shared" si="6"/>
        <v>#N/A</v>
      </c>
      <c r="AP39" s="206" t="str">
        <f t="shared" si="7"/>
        <v/>
      </c>
      <c r="AQ39" s="157">
        <f t="shared" si="29"/>
        <v>0</v>
      </c>
      <c r="AR39" s="88" t="str">
        <f t="shared" si="8"/>
        <v/>
      </c>
      <c r="AS39" s="89">
        <f t="shared" si="30"/>
        <v>0</v>
      </c>
      <c r="AT39" s="88" t="str">
        <f t="shared" si="9"/>
        <v/>
      </c>
      <c r="AU39" s="158">
        <f t="shared" si="10"/>
        <v>0</v>
      </c>
      <c r="AV39" s="90" t="str">
        <f t="shared" si="11"/>
        <v/>
      </c>
      <c r="AW39" s="158" t="b">
        <f t="shared" si="12"/>
        <v>0</v>
      </c>
      <c r="AX39" s="159" t="b">
        <f t="shared" si="13"/>
        <v>0</v>
      </c>
      <c r="AY39" s="158" t="b">
        <f t="shared" si="14"/>
        <v>0</v>
      </c>
      <c r="AZ39" s="159" t="b">
        <f t="shared" si="15"/>
        <v>0</v>
      </c>
      <c r="BA39" s="206" t="b">
        <f t="shared" si="16"/>
        <v>0</v>
      </c>
      <c r="BB39" s="206" t="b">
        <f t="shared" si="17"/>
        <v>0</v>
      </c>
      <c r="BC39" s="158" t="b">
        <f t="shared" si="18"/>
        <v>0</v>
      </c>
      <c r="BD39" s="160" t="b">
        <f t="shared" si="31"/>
        <v>0</v>
      </c>
      <c r="BE39" s="159" t="b">
        <f t="shared" si="37"/>
        <v>0</v>
      </c>
      <c r="BF39" s="161" t="b">
        <f t="shared" si="39"/>
        <v>0</v>
      </c>
      <c r="BG39" s="206" t="str">
        <f t="shared" si="38"/>
        <v>NA</v>
      </c>
      <c r="BH39" s="206" t="str">
        <f t="shared" si="32"/>
        <v/>
      </c>
      <c r="BI39" s="206" t="str">
        <f t="shared" si="22"/>
        <v/>
      </c>
      <c r="BJ39" s="206" t="str">
        <f t="shared" si="23"/>
        <v/>
      </c>
      <c r="BK39" s="206" t="str">
        <f t="shared" si="24"/>
        <v/>
      </c>
      <c r="BL39" s="206" t="str">
        <f t="shared" si="33"/>
        <v/>
      </c>
      <c r="BM39" s="206" t="str">
        <f t="shared" si="25"/>
        <v/>
      </c>
      <c r="BN39" s="206" t="str">
        <f t="shared" si="26"/>
        <v/>
      </c>
      <c r="BO39" s="1346"/>
      <c r="BP39" s="1347"/>
      <c r="BQ39" s="1347"/>
      <c r="BR39" s="1347"/>
      <c r="BS39" s="1347"/>
      <c r="BT39" s="1347"/>
      <c r="BU39" s="1348"/>
    </row>
    <row r="40" spans="2:73" s="112" customFormat="1" ht="8.25" customHeight="1" x14ac:dyDescent="0.2">
      <c r="B40" s="1355" t="s">
        <v>242</v>
      </c>
      <c r="C40" s="1356"/>
      <c r="D40" s="1357"/>
      <c r="E40" s="205" t="s">
        <v>243</v>
      </c>
      <c r="F40" s="1358" t="s">
        <v>244</v>
      </c>
      <c r="G40" s="1359"/>
      <c r="H40" s="1359" t="s">
        <v>245</v>
      </c>
      <c r="I40" s="1359"/>
      <c r="J40" s="1360" t="s">
        <v>246</v>
      </c>
      <c r="K40" s="1361"/>
      <c r="L40" s="180" t="s">
        <v>247</v>
      </c>
      <c r="M40" s="1362" t="s">
        <v>248</v>
      </c>
      <c r="N40" s="1362"/>
      <c r="O40" s="1363" t="str">
        <f>IF(U44,"DO REVIEW","DO REV N/A")</f>
        <v>DO REVIEW</v>
      </c>
      <c r="P40" s="1364"/>
      <c r="Q40" s="181" t="str">
        <f>IF(U45,"ED REVIEW","ED REV N/A")</f>
        <v>ED REVIEW</v>
      </c>
      <c r="R40" s="182"/>
      <c r="S40" s="183">
        <v>0</v>
      </c>
      <c r="AI40" s="184"/>
      <c r="AJ40" s="113"/>
      <c r="AK40" s="113"/>
      <c r="AL40" s="113"/>
      <c r="AM40" s="113"/>
      <c r="AN40" s="113"/>
      <c r="AO40" s="110"/>
      <c r="AP40" s="113"/>
      <c r="AQ40" s="185"/>
      <c r="AR40" s="113"/>
      <c r="AS40" s="185"/>
      <c r="AT40" s="113"/>
      <c r="AU40" s="185"/>
      <c r="AV40" s="186"/>
      <c r="AW40" s="113"/>
      <c r="AX40" s="113"/>
      <c r="AY40" s="113"/>
      <c r="AZ40" s="113"/>
      <c r="BA40" s="113"/>
      <c r="BB40" s="113"/>
      <c r="BC40" s="113"/>
      <c r="BD40" s="113"/>
      <c r="BE40" s="113"/>
      <c r="BF40" s="113"/>
      <c r="BG40" s="113"/>
      <c r="BH40" s="110"/>
      <c r="BI40" s="110"/>
      <c r="BJ40" s="110"/>
      <c r="BK40" s="110"/>
      <c r="BL40" s="110"/>
      <c r="BM40" s="110"/>
      <c r="BN40" s="110"/>
      <c r="BO40" s="1349"/>
      <c r="BP40" s="1350"/>
      <c r="BQ40" s="1350"/>
      <c r="BR40" s="1350"/>
      <c r="BS40" s="1350"/>
      <c r="BT40" s="1350"/>
      <c r="BU40" s="1351"/>
    </row>
    <row r="41" spans="2:73" ht="18.75" customHeight="1" thickBot="1" x14ac:dyDescent="0.25">
      <c r="B41" s="1365" t="str">
        <f>IF(ISERROR(AR46),"",TEXT(AR45,"0.0%"))</f>
        <v>0.0%</v>
      </c>
      <c r="C41" s="1366"/>
      <c r="D41" s="1367"/>
      <c r="E41" s="187" t="str">
        <f>IF(AU41=0,"N/A",CONCATENATE(TEXT(AV45,"0.0%")," of ",TEXT(AV44,"0.0%")))</f>
        <v>N/A</v>
      </c>
      <c r="F41" s="1369" t="str">
        <f>IF((graded_aca_events+graded_amn_events)&lt;1,"---",IF(AND(AW4,AX4),"INCOMPLETE",IF(AND(NOT(AW4),AX4),"ACA INC",IF(AND(AW4,NOT(AX4)),"AMN INC","COMPLETE"))))</f>
        <v>---</v>
      </c>
      <c r="G41" s="1369"/>
      <c r="H41" s="1369" t="str">
        <f>IF(AU4,IF(OR(AY4="UNK",NOT(AN6)),"---",IF(AY4,"UNSAT",IF(AVERAGEIFS(AT8:AT39,AS8:AS39,"&gt;0")&lt;0.9,"MARG","SAT"))),"N/A")</f>
        <v>---</v>
      </c>
      <c r="I41" s="1369"/>
      <c r="J41" s="1370" t="str">
        <f>IF(OR(AZ4="UNK",NOT(AM6)),"---",IF(OR(AZ4,AR45&lt;0.7),"FAIL","PASS"))</f>
        <v>---</v>
      </c>
      <c r="K41" s="1371"/>
      <c r="L41" s="188"/>
      <c r="M41" s="1372"/>
      <c r="N41" s="1372"/>
      <c r="O41" s="1373" t="s">
        <v>139</v>
      </c>
      <c r="P41" s="1373"/>
      <c r="Q41" s="1373" t="s">
        <v>139</v>
      </c>
      <c r="R41" s="1374"/>
      <c r="S41" s="189"/>
      <c r="T41" s="119" t="s">
        <v>249</v>
      </c>
      <c r="U41" s="160" t="s">
        <v>250</v>
      </c>
      <c r="V41" s="190"/>
      <c r="W41" s="190"/>
      <c r="X41" s="190"/>
      <c r="Y41" s="190"/>
      <c r="Z41" s="190"/>
      <c r="AA41" s="190"/>
      <c r="AB41" s="190"/>
      <c r="AC41" s="190"/>
      <c r="AD41" s="190"/>
      <c r="AE41" s="190"/>
      <c r="AF41" s="190"/>
      <c r="AG41" s="190"/>
      <c r="AH41" s="190"/>
      <c r="AI41" s="109"/>
      <c r="AJ41" s="108"/>
      <c r="AK41" s="190"/>
      <c r="AL41" s="190"/>
      <c r="AM41" s="190">
        <f>SUM(AM8:AM39)</f>
        <v>0</v>
      </c>
      <c r="AN41" s="190">
        <f>SUM(AN8:AN39)</f>
        <v>0</v>
      </c>
      <c r="AO41" s="119"/>
      <c r="AP41" s="108"/>
      <c r="AQ41" s="191">
        <f>SUMIF(AQ8:AQ39,"&gt;0")</f>
        <v>6.5</v>
      </c>
      <c r="AR41" s="192">
        <f>IF(AQ41=0,0,SUMPRODUCT($AQ$8:$AQ$39,AR8:AR39)/SUM($AQ$8:$AQ$39))</f>
        <v>0</v>
      </c>
      <c r="AS41" s="193">
        <f>SUMIF(AS8:AS39,"&gt;0")</f>
        <v>4</v>
      </c>
      <c r="AT41" s="192">
        <f>IF(AS41=0,0,SUMPRODUCT($AS$8:$AS$39,AT8:AT39)/SUM($AS$8:$AS$39))</f>
        <v>0</v>
      </c>
      <c r="AU41" s="193">
        <f>SUM(AU9:AU39)</f>
        <v>0</v>
      </c>
      <c r="AV41" s="192">
        <f>IF(AU41=0,0,SUMPRODUCT($AU$8:$AU$39,AV8:AV39)/SUM($AU$8:$AU$39))</f>
        <v>0</v>
      </c>
      <c r="AW41" s="194"/>
      <c r="AX41" s="194"/>
      <c r="AY41" s="194"/>
      <c r="AZ41" s="194"/>
      <c r="BA41" s="194"/>
      <c r="BB41" s="194"/>
      <c r="BC41" s="110" t="s">
        <v>251</v>
      </c>
      <c r="BD41" s="110" t="s">
        <v>252</v>
      </c>
      <c r="BE41" s="110" t="s">
        <v>253</v>
      </c>
      <c r="BO41" s="1349"/>
      <c r="BP41" s="1350"/>
      <c r="BQ41" s="1350"/>
      <c r="BR41" s="1350"/>
      <c r="BS41" s="1350"/>
      <c r="BT41" s="1350"/>
      <c r="BU41" s="1351"/>
    </row>
    <row r="42" spans="2:73" ht="7.5" customHeight="1" thickTop="1" x14ac:dyDescent="0.2">
      <c r="L42" s="1368" t="s">
        <v>282</v>
      </c>
      <c r="M42" s="1368"/>
      <c r="N42" s="1368"/>
      <c r="O42" s="1368"/>
      <c r="P42" s="1368"/>
      <c r="Q42" s="1368"/>
      <c r="R42" s="1368"/>
      <c r="AP42" s="190"/>
      <c r="AQ42" s="108"/>
      <c r="AR42" s="108"/>
      <c r="AT42" s="192"/>
      <c r="AU42" s="192"/>
      <c r="AV42" s="192"/>
      <c r="AW42" s="108"/>
      <c r="AX42" s="192"/>
      <c r="BO42" s="1352"/>
      <c r="BP42" s="1353"/>
      <c r="BQ42" s="1353"/>
      <c r="BR42" s="1353"/>
      <c r="BS42" s="1353"/>
      <c r="BT42" s="1353"/>
      <c r="BU42" s="1354"/>
    </row>
    <row r="43" spans="2:73" ht="30.75" customHeight="1" x14ac:dyDescent="0.2">
      <c r="T43" s="195" t="s">
        <v>254</v>
      </c>
      <c r="U43" s="160" t="b">
        <v>0</v>
      </c>
      <c r="AI43" s="111">
        <f ca="1">SUMIF(AJ8:$AJ$39,"=" &amp; AJ8,AI9:$AI$39)</f>
        <v>0.05</v>
      </c>
      <c r="AO43" s="196"/>
      <c r="AS43" s="137" t="s">
        <v>255</v>
      </c>
      <c r="AT43" s="197">
        <f>SUMIF(X8:X39,"&gt;0")/SUMIF(W8:W39,"&gt;0")</f>
        <v>0.61538461538461542</v>
      </c>
      <c r="AU43" s="137" t="s">
        <v>256</v>
      </c>
      <c r="AV43" s="100">
        <f>SUMIF(AU8:AU39,"&gt;0")/SUMIF(AQ8:AQ39,"&gt;0")</f>
        <v>0</v>
      </c>
      <c r="AW43" s="198"/>
      <c r="BE43" s="110" t="b">
        <f>AND(ISBLANK($K30),J30&gt;0)</f>
        <v>0</v>
      </c>
      <c r="BO43" s="110"/>
      <c r="BP43" s="110"/>
      <c r="BQ43" s="106"/>
    </row>
    <row r="44" spans="2:73" ht="30.75" customHeight="1" x14ac:dyDescent="0.2">
      <c r="J44" s="199"/>
      <c r="T44" s="200" t="s">
        <v>257</v>
      </c>
      <c r="U44" s="110" t="b">
        <f>IF(AND(Flight?,OR(AW4,AY4,BA4,AZ4,AR45&lt;0.7,H41="MARG")),TRUE,FALSE)</f>
        <v>1</v>
      </c>
      <c r="AO44" s="201"/>
      <c r="AQ44" s="137" t="s">
        <v>258</v>
      </c>
      <c r="AR44" s="197">
        <f>1-AT44</f>
        <v>0.95</v>
      </c>
      <c r="AS44" s="137" t="s">
        <v>259</v>
      </c>
      <c r="AT44" s="197">
        <f>MIN(AT43,AT6)</f>
        <v>0.05</v>
      </c>
      <c r="AU44" s="137" t="s">
        <v>260</v>
      </c>
      <c r="AV44" s="111">
        <f>MIN(AV43,AV6)</f>
        <v>0</v>
      </c>
      <c r="BO44" s="110"/>
      <c r="BP44" s="110"/>
      <c r="BQ44" s="106"/>
    </row>
    <row r="45" spans="2:73" ht="25.5" x14ac:dyDescent="0.2">
      <c r="T45" s="200" t="s">
        <v>261</v>
      </c>
      <c r="U45" s="110" t="b">
        <f>IF(OR(AX4,AY4,AZ4,BB4,AR45&lt;0.7),TRUE,FALSE)</f>
        <v>1</v>
      </c>
      <c r="AO45" s="202"/>
      <c r="AQ45" s="137" t="s">
        <v>262</v>
      </c>
      <c r="AR45" s="111">
        <f>AR41*(1-AT44)+(AT41*AT44)</f>
        <v>0</v>
      </c>
      <c r="AU45" s="110" t="s">
        <v>196</v>
      </c>
      <c r="AV45" s="111">
        <f>AV41*AV44</f>
        <v>0</v>
      </c>
      <c r="BO45" s="110"/>
      <c r="BP45" s="110"/>
      <c r="BQ45" s="106"/>
    </row>
    <row r="46" spans="2:73" ht="25.5" x14ac:dyDescent="0.2">
      <c r="T46" s="200" t="s">
        <v>263</v>
      </c>
      <c r="U46" s="110" t="b">
        <v>0</v>
      </c>
      <c r="AO46" s="202"/>
      <c r="AQ46" s="137" t="s">
        <v>264</v>
      </c>
      <c r="AR46" s="111">
        <f>MIN(1,IF(NOT(OR(AY4,AZ4)),AR45+AV45,MIN(0.69,AR45+AV45)))</f>
        <v>0</v>
      </c>
      <c r="BO46" s="110"/>
      <c r="BP46" s="110"/>
      <c r="BQ46" s="106"/>
    </row>
    <row r="47" spans="2:73" x14ac:dyDescent="0.2">
      <c r="T47" s="200" t="s">
        <v>265</v>
      </c>
      <c r="U47" s="110" t="b">
        <f>IF(NOT(Flight?),TRUE,NOT(OR(ISBLANK(comments),ISBLANK(hdr_class),ISBLANK(hdr_date),ISBLANK(hdr_stud),ISBLANK(hdr_instr),ISBLANK(hdr_acft),ISBLANK(hdr_time),F41="---")))</f>
        <v>0</v>
      </c>
      <c r="AO47" s="202"/>
      <c r="AR47" s="137"/>
      <c r="AS47" s="111"/>
    </row>
    <row r="48" spans="2:73" x14ac:dyDescent="0.2">
      <c r="T48" s="200" t="s">
        <v>266</v>
      </c>
      <c r="U48" s="110" t="b">
        <f>IF(Flight?,TRUE,NOT(OR(ISBLANK(comments),ISBLANK(hdr_class),ISBLANK(hdr_date),ISBLANK(hdr_stud),ISBLANK(hdr_instr),F41="---")))</f>
        <v>1</v>
      </c>
      <c r="AO48" s="201"/>
      <c r="AP48" s="108" t="s">
        <v>267</v>
      </c>
      <c r="AQ48" s="108"/>
      <c r="AR48" s="108"/>
      <c r="AS48" s="108"/>
      <c r="AT48" s="108"/>
    </row>
    <row r="49" spans="20:56" x14ac:dyDescent="0.2">
      <c r="T49" s="200" t="s">
        <v>268</v>
      </c>
      <c r="U49" s="110" t="b">
        <f>AND(U47:U48)</f>
        <v>0</v>
      </c>
      <c r="AO49" s="201"/>
      <c r="AP49" s="108"/>
      <c r="AQ49" s="108"/>
      <c r="AR49" s="108">
        <v>0</v>
      </c>
      <c r="AS49" s="108">
        <v>1</v>
      </c>
      <c r="AT49" s="108">
        <v>2</v>
      </c>
      <c r="AU49" s="108">
        <v>3</v>
      </c>
      <c r="AV49" s="108">
        <v>4</v>
      </c>
    </row>
    <row r="50" spans="20:56" x14ac:dyDescent="0.2">
      <c r="AO50" s="201"/>
      <c r="AP50" s="108" t="s">
        <v>227</v>
      </c>
      <c r="AQ50" s="108">
        <v>1</v>
      </c>
      <c r="AR50" s="203">
        <v>0.7</v>
      </c>
      <c r="AS50" s="203">
        <v>0.9</v>
      </c>
      <c r="AT50" s="203">
        <v>0.93330000000000002</v>
      </c>
      <c r="AU50" s="203">
        <v>0.9667</v>
      </c>
      <c r="AV50" s="203">
        <v>1</v>
      </c>
    </row>
    <row r="51" spans="20:56" x14ac:dyDescent="0.2">
      <c r="AO51" s="201"/>
      <c r="AP51" s="108" t="s">
        <v>228</v>
      </c>
      <c r="AQ51" s="108">
        <v>2</v>
      </c>
      <c r="AR51" s="203">
        <v>0.7</v>
      </c>
      <c r="AS51" s="203">
        <v>0.8</v>
      </c>
      <c r="AT51" s="203">
        <v>0.9</v>
      </c>
      <c r="AU51" s="203">
        <v>0.95</v>
      </c>
      <c r="AV51" s="203">
        <v>1</v>
      </c>
    </row>
    <row r="52" spans="20:56" x14ac:dyDescent="0.2">
      <c r="AO52" s="201"/>
      <c r="AP52" s="108" t="s">
        <v>229</v>
      </c>
      <c r="AQ52" s="108">
        <v>3</v>
      </c>
      <c r="AR52" s="203">
        <v>0.7</v>
      </c>
      <c r="AS52" s="203">
        <v>0.76670000000000005</v>
      </c>
      <c r="AT52" s="203">
        <v>0.83330000000000004</v>
      </c>
      <c r="AU52" s="203">
        <v>0.9</v>
      </c>
      <c r="AV52" s="203">
        <v>1</v>
      </c>
    </row>
    <row r="53" spans="20:56" x14ac:dyDescent="0.2">
      <c r="AP53" s="204" t="s">
        <v>230</v>
      </c>
      <c r="AQ53" s="108">
        <v>11</v>
      </c>
      <c r="AR53" s="203">
        <v>0.6</v>
      </c>
      <c r="AS53" s="203">
        <v>0.9</v>
      </c>
      <c r="AT53" s="203">
        <v>0.93330000000000002</v>
      </c>
      <c r="AU53" s="203">
        <v>0.9667</v>
      </c>
      <c r="AV53" s="203">
        <v>1</v>
      </c>
    </row>
    <row r="54" spans="20:56" x14ac:dyDescent="0.2">
      <c r="AP54" s="204" t="s">
        <v>231</v>
      </c>
      <c r="AQ54" s="108">
        <v>12</v>
      </c>
      <c r="AR54" s="203">
        <v>0.6</v>
      </c>
      <c r="AS54" s="203">
        <v>0.7</v>
      </c>
      <c r="AT54" s="203">
        <v>0.9</v>
      </c>
      <c r="AU54" s="203">
        <v>0.95</v>
      </c>
      <c r="AV54" s="203">
        <v>1</v>
      </c>
    </row>
    <row r="55" spans="20:56" x14ac:dyDescent="0.2">
      <c r="AP55" s="204" t="s">
        <v>232</v>
      </c>
      <c r="AQ55" s="108">
        <v>13</v>
      </c>
      <c r="AR55" s="203">
        <v>0.6</v>
      </c>
      <c r="AS55" s="203">
        <v>0.7</v>
      </c>
      <c r="AT55" s="203">
        <v>0.8</v>
      </c>
      <c r="AU55" s="203">
        <v>0.9</v>
      </c>
      <c r="AV55" s="203">
        <v>1</v>
      </c>
    </row>
    <row r="56" spans="20:56" x14ac:dyDescent="0.2">
      <c r="AP56" s="204" t="s">
        <v>233</v>
      </c>
      <c r="AQ56" s="108">
        <v>22</v>
      </c>
      <c r="AR56" s="203">
        <v>0.3</v>
      </c>
      <c r="AS56" s="203">
        <v>0.6</v>
      </c>
      <c r="AT56" s="203">
        <v>0.9</v>
      </c>
      <c r="AU56" s="203">
        <v>0.95</v>
      </c>
      <c r="AV56" s="203">
        <v>1</v>
      </c>
    </row>
    <row r="57" spans="20:56" x14ac:dyDescent="0.2">
      <c r="AP57" s="204" t="s">
        <v>234</v>
      </c>
      <c r="AQ57" s="108">
        <v>23</v>
      </c>
      <c r="AR57" s="203">
        <v>0.3</v>
      </c>
      <c r="AS57" s="203">
        <v>0.6</v>
      </c>
      <c r="AT57" s="203">
        <v>0.7</v>
      </c>
      <c r="AU57" s="203">
        <v>0.9</v>
      </c>
      <c r="AV57" s="203">
        <v>1</v>
      </c>
    </row>
    <row r="58" spans="20:56" x14ac:dyDescent="0.2">
      <c r="AP58" s="204" t="s">
        <v>235</v>
      </c>
      <c r="AQ58" s="108">
        <v>33</v>
      </c>
      <c r="AR58" s="203">
        <v>0</v>
      </c>
      <c r="AS58" s="203">
        <v>0.3</v>
      </c>
      <c r="AT58" s="203">
        <v>0.6</v>
      </c>
      <c r="AU58" s="203">
        <v>0.9</v>
      </c>
      <c r="AV58" s="203">
        <v>1</v>
      </c>
      <c r="AW58" s="83"/>
      <c r="AX58" s="84"/>
      <c r="BC58" s="84"/>
      <c r="BD58" s="84"/>
    </row>
    <row r="59" spans="20:56" x14ac:dyDescent="0.2">
      <c r="AW59" s="84"/>
      <c r="AX59" s="84"/>
      <c r="BC59" s="84"/>
      <c r="BD59" s="84"/>
    </row>
    <row r="60" spans="20:56" x14ac:dyDescent="0.2">
      <c r="AP60" s="84"/>
      <c r="AQ60" s="83"/>
      <c r="AR60" s="84"/>
      <c r="AS60" s="84"/>
      <c r="AT60" s="84"/>
      <c r="AU60" s="84"/>
      <c r="AV60" s="84"/>
      <c r="AW60" s="83"/>
      <c r="AX60" s="83"/>
      <c r="BC60" s="84"/>
      <c r="BD60" s="84"/>
    </row>
    <row r="61" spans="20:56" x14ac:dyDescent="0.2">
      <c r="AP61" s="101"/>
      <c r="AQ61" s="83"/>
      <c r="AR61" s="84"/>
      <c r="AS61" s="84"/>
      <c r="AT61" s="84"/>
      <c r="AU61" s="84"/>
      <c r="AV61" s="84"/>
      <c r="AW61" s="83"/>
      <c r="AX61" s="83"/>
      <c r="BC61" s="84"/>
      <c r="BD61" s="84"/>
    </row>
    <row r="62" spans="20:56" x14ac:dyDescent="0.2">
      <c r="AP62" s="83"/>
      <c r="AQ62" s="83"/>
      <c r="AR62" s="84"/>
      <c r="AS62" s="84"/>
      <c r="AT62" s="84"/>
      <c r="AU62" s="84"/>
      <c r="AV62" s="84"/>
      <c r="AW62" s="83"/>
      <c r="AX62" s="83"/>
      <c r="BC62" s="84"/>
      <c r="BD62" s="84"/>
    </row>
    <row r="63" spans="20:56" x14ac:dyDescent="0.2">
      <c r="AP63" s="83"/>
      <c r="AQ63" s="83"/>
      <c r="AR63" s="84"/>
      <c r="AS63" s="84"/>
      <c r="AT63" s="84"/>
      <c r="AU63" s="84"/>
      <c r="AV63" s="84"/>
      <c r="AW63" s="83"/>
      <c r="AX63" s="84"/>
      <c r="BC63" s="84"/>
      <c r="BD63" s="84"/>
    </row>
    <row r="64" spans="20:56" x14ac:dyDescent="0.2">
      <c r="AP64" s="83"/>
      <c r="AQ64" s="83"/>
      <c r="AR64" s="84"/>
      <c r="AS64" s="84"/>
      <c r="AT64" s="84"/>
      <c r="AU64" s="84"/>
      <c r="AV64" s="84"/>
      <c r="AW64" s="83"/>
      <c r="AX64" s="84"/>
      <c r="BC64" s="84"/>
      <c r="BD64" s="84"/>
    </row>
    <row r="65" spans="42:48" x14ac:dyDescent="0.2">
      <c r="AP65" s="83"/>
      <c r="AQ65" s="83"/>
      <c r="AR65" s="84"/>
      <c r="AS65" s="84"/>
      <c r="AT65" s="84"/>
      <c r="AU65" s="84"/>
      <c r="AV65" s="84"/>
    </row>
    <row r="66" spans="42:48" x14ac:dyDescent="0.2">
      <c r="AP66" s="83"/>
      <c r="AQ66" s="83"/>
      <c r="AR66" s="84"/>
      <c r="AS66" s="84"/>
      <c r="AT66" s="84"/>
      <c r="AU66" s="84"/>
      <c r="AV66" s="84"/>
    </row>
  </sheetData>
  <sheetProtection algorithmName="SHA-512" hashValue="qsmX3rjYw93QKNMnZ4AgJfBrGgDd02EJo6kS2ZZbdpYCYd/OPpx1QsjOnIHMwbNwoataLO1ogadKy2gwybsICg==" saltValue="bylvGDE7ZMYGyHPfpreaDQ==" spinCount="100000" sheet="1" selectLockedCell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19:F19"/>
    <mergeCell ref="BH4:BK6"/>
    <mergeCell ref="C32:F32"/>
    <mergeCell ref="C33:F33"/>
    <mergeCell ref="C34:F34"/>
    <mergeCell ref="C8:F8"/>
    <mergeCell ref="L8:R39"/>
    <mergeCell ref="C9:F9"/>
    <mergeCell ref="C10:F10"/>
    <mergeCell ref="C11:F11"/>
    <mergeCell ref="C12:F12"/>
    <mergeCell ref="C13:F13"/>
    <mergeCell ref="C14:F14"/>
    <mergeCell ref="C15:F15"/>
    <mergeCell ref="C16:F16"/>
    <mergeCell ref="C30:F30"/>
    <mergeCell ref="C17:F17"/>
    <mergeCell ref="Q6:R6"/>
    <mergeCell ref="C31:F31"/>
    <mergeCell ref="C39:F39"/>
    <mergeCell ref="B7:F7"/>
    <mergeCell ref="L7:R7"/>
    <mergeCell ref="C18:F18"/>
    <mergeCell ref="B6:E6"/>
    <mergeCell ref="F6:G6"/>
    <mergeCell ref="H6:L6"/>
    <mergeCell ref="M6:N6"/>
    <mergeCell ref="O6:P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s>
  <conditionalFormatting sqref="B8:F39">
    <cfRule type="expression" dxfId="141" priority="8" stopIfTrue="1">
      <formula>IF($Z8=1,TRUE,FALSE)</formula>
    </cfRule>
    <cfRule type="expression" dxfId="140" priority="9">
      <formula>IF($Z8=2,TRUE,FALSE)</formula>
    </cfRule>
  </conditionalFormatting>
  <conditionalFormatting sqref="C8:F39">
    <cfRule type="expression" dxfId="139" priority="1" stopIfTrue="1">
      <formula>IF($AF8=FALSE,TRUE,FALSE)</formula>
    </cfRule>
  </conditionalFormatting>
  <conditionalFormatting sqref="F5:G6 M5:P6">
    <cfRule type="expression" dxfId="138" priority="4" stopIfTrue="1">
      <formula>NOT($AU$4)</formula>
    </cfRule>
  </conditionalFormatting>
  <conditionalFormatting sqref="F6:G6">
    <cfRule type="cellIs" dxfId="137" priority="3" operator="equal">
      <formula>""</formula>
    </cfRule>
  </conditionalFormatting>
  <conditionalFormatting sqref="G8:K39">
    <cfRule type="expression" dxfId="136" priority="6" stopIfTrue="1">
      <formula>IF($Z8=1,TRUE,FALSE)</formula>
    </cfRule>
    <cfRule type="expression" dxfId="135" priority="7" stopIfTrue="1">
      <formula>IF($Z8=2,TRUE,FALSE)</formula>
    </cfRule>
  </conditionalFormatting>
  <conditionalFormatting sqref="H8:H39">
    <cfRule type="expression" dxfId="134" priority="10" stopIfTrue="1">
      <formula>IF($AB8=0,TRUE,FALSE)</formula>
    </cfRule>
  </conditionalFormatting>
  <conditionalFormatting sqref="H40:I41">
    <cfRule type="expression" dxfId="133" priority="2" stopIfTrue="1">
      <formula>IF($H$41="N/A",TRUE,FALSE)</formula>
    </cfRule>
  </conditionalFormatting>
  <conditionalFormatting sqref="H6:P6 O4:R4 B6 L8 L41 O41:R41">
    <cfRule type="containsBlanks" dxfId="132" priority="5">
      <formula>LEN(TRIM(B4))=0</formula>
    </cfRule>
  </conditionalFormatting>
  <conditionalFormatting sqref="J8:J39">
    <cfRule type="expression" dxfId="131" priority="14">
      <formula>IF($Z8=1,FALSE,OR($BE8,$BD8))</formula>
    </cfRule>
  </conditionalFormatting>
  <conditionalFormatting sqref="J8:K39 C8:F39">
    <cfRule type="expression" dxfId="130" priority="13">
      <formula>IF($Z8=1,FALSE,OR($AW8,$AX8,$AY8,$AZ8))</formula>
    </cfRule>
  </conditionalFormatting>
  <conditionalFormatting sqref="J8:K39">
    <cfRule type="expression" dxfId="129" priority="11" stopIfTrue="1">
      <formula>IF(ISNA($Z8),TRUE,FALSE)</formula>
    </cfRule>
  </conditionalFormatting>
  <conditionalFormatting sqref="K8:K39">
    <cfRule type="expression" dxfId="128" priority="12">
      <formula>IF(OR($Z8=1,$Z8=2),FALSE,OR($BC8,$BE8,$BF8))</formula>
    </cfRule>
  </conditionalFormatting>
  <dataValidations count="6">
    <dataValidation type="list" allowBlank="1" showInputMessage="1" showErrorMessage="1" sqref="F6:G6" xr:uid="{68EA5B26-677D-4EBC-9299-594E598D013F}">
      <formula1>"No,Yes"</formula1>
    </dataValidation>
    <dataValidation type="list" allowBlank="1" showInputMessage="1" showErrorMessage="1" sqref="J8:J39" xr:uid="{F0BC329F-5FEF-4889-A045-88F2FD17D1E3}">
      <formula1>"NA,0,1,2,3,4,5,6,7,8,9,10,11,12,13,14,15"</formula1>
    </dataValidation>
    <dataValidation type="list" allowBlank="1" showInputMessage="1" showErrorMessage="1" sqref="K8:K39" xr:uid="{137C7A09-067C-4482-A08F-F86AF31E1464}">
      <formula1>"D,0,1,2,3,4"</formula1>
    </dataValidation>
    <dataValidation showInputMessage="1" showErrorMessage="1" sqref="O41:R41" xr:uid="{445F136C-8F3A-4908-A236-BB71BEB82E23}"/>
    <dataValidation type="decimal" allowBlank="1" showInputMessage="1" showErrorMessage="1" sqref="O6:P6" xr:uid="{5EF0710F-E896-4469-AB27-018527838619}">
      <formula1>0</formula1>
      <formula2>10</formula2>
    </dataValidation>
    <dataValidation type="date" allowBlank="1" showInputMessage="1" showErrorMessage="1" sqref="Q4:R4" xr:uid="{29AA902A-50BD-459D-A5EF-60E431A8F94E}">
      <formula1>41151</formula1>
      <formula2>77433</formula2>
    </dataValidation>
  </dataValidations>
  <hyperlinks>
    <hyperlink ref="BP3" location="PF!A1" display="PF phase Summary Page" xr:uid="{4672B42A-B2E2-4F77-91FE-03EC52772628}"/>
    <hyperlink ref="BP3:BU4" location="TF!A1" display="TF Summary Page" xr:uid="{8F44F48C-B69C-4BDA-9410-6ADEC3A56BE8}"/>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4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264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1264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264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1264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417C9-74C6-4C93-A5E4-5EAC3C88AFD4}">
  <sheetPr>
    <tabColor rgb="FFFFFF00"/>
    <pageSetUpPr autoPageBreaks="0"/>
  </sheetPr>
  <dimension ref="A1:AVW69"/>
  <sheetViews>
    <sheetView showGridLines="0" showRowColHeaders="0" topLeftCell="A5" zoomScaleNormal="100" workbookViewId="0">
      <selection activeCell="L11" sqref="L11:R42"/>
    </sheetView>
  </sheetViews>
  <sheetFormatPr defaultColWidth="9.140625" defaultRowHeight="15" x14ac:dyDescent="0.25"/>
  <cols>
    <col min="1" max="1" width="1.5703125" style="376" customWidth="1"/>
    <col min="2" max="2" width="3.5703125" style="376" customWidth="1"/>
    <col min="3" max="3" width="5.5703125" style="371" customWidth="1"/>
    <col min="4" max="4" width="9.140625" style="371"/>
    <col min="5" max="5" width="14" style="371" customWidth="1"/>
    <col min="6" max="6" width="7.85546875" style="371" customWidth="1"/>
    <col min="7" max="11" width="5.140625" style="371" customWidth="1"/>
    <col min="12" max="12" width="21.5703125" style="371" customWidth="1"/>
    <col min="13" max="13" width="6.5703125" style="371" customWidth="1"/>
    <col min="14" max="14" width="12.5703125" style="371" customWidth="1"/>
    <col min="15" max="15" width="7.85546875" style="371" customWidth="1"/>
    <col min="16" max="16" width="2.7109375" style="371" customWidth="1"/>
    <col min="17" max="17" width="4.85546875" style="371" customWidth="1"/>
    <col min="18" max="18" width="7.28515625" style="371" customWidth="1"/>
    <col min="19" max="19" width="1.7109375" style="371" customWidth="1"/>
    <col min="20" max="20" width="19.140625" style="374" hidden="1" customWidth="1"/>
    <col min="21" max="21" width="31.140625" style="374" hidden="1" customWidth="1"/>
    <col min="22" max="22" width="5.140625" style="374" hidden="1" customWidth="1"/>
    <col min="23" max="24" width="6.28515625" style="374" hidden="1" customWidth="1"/>
    <col min="25" max="25" width="8.42578125" style="374" hidden="1" customWidth="1"/>
    <col min="26" max="26" width="7.85546875" style="374" hidden="1" customWidth="1"/>
    <col min="27" max="27" width="10.7109375" style="374" hidden="1" customWidth="1"/>
    <col min="28" max="28" width="8" style="374" hidden="1" customWidth="1"/>
    <col min="29" max="31" width="5.140625" style="374" hidden="1" customWidth="1"/>
    <col min="32" max="34" width="5.85546875" style="374" hidden="1" customWidth="1"/>
    <col min="35" max="35" width="8.5703125" style="375" hidden="1" customWidth="1"/>
    <col min="36" max="36" width="7" style="374" hidden="1" customWidth="1"/>
    <col min="37" max="38" width="5.28515625" style="374" hidden="1" customWidth="1"/>
    <col min="39" max="40" width="7" style="374" hidden="1" customWidth="1"/>
    <col min="41" max="41" width="5.140625" style="374" hidden="1" customWidth="1"/>
    <col min="42" max="42" width="11.28515625" style="374" hidden="1" customWidth="1"/>
    <col min="43" max="43" width="6.42578125" style="374" hidden="1" customWidth="1"/>
    <col min="44" max="44" width="8.28515625" style="374" hidden="1" customWidth="1"/>
    <col min="45" max="45" width="8.85546875" style="374" hidden="1" customWidth="1"/>
    <col min="46" max="46" width="10.7109375" style="374" hidden="1" customWidth="1"/>
    <col min="47" max="47" width="8.85546875" style="374" hidden="1" customWidth="1"/>
    <col min="48" max="48" width="6.28515625" style="374" hidden="1" customWidth="1"/>
    <col min="49" max="49" width="10" style="374" hidden="1" customWidth="1"/>
    <col min="50" max="50" width="7.5703125" style="374" hidden="1" customWidth="1"/>
    <col min="51" max="51" width="7" style="374" hidden="1" customWidth="1"/>
    <col min="52" max="52" width="8.140625" style="374" hidden="1" customWidth="1"/>
    <col min="53" max="53" width="12.5703125" style="374" hidden="1" customWidth="1"/>
    <col min="54" max="54" width="7.7109375" style="374" hidden="1" customWidth="1"/>
    <col min="55" max="55" width="12.7109375" style="374" hidden="1" customWidth="1"/>
    <col min="56" max="56" width="7" style="374" hidden="1" customWidth="1"/>
    <col min="57" max="57" width="15.5703125" style="373" hidden="1" customWidth="1"/>
    <col min="58" max="58" width="9.140625" style="373" hidden="1" customWidth="1"/>
    <col min="59" max="59" width="10" style="374" hidden="1" customWidth="1"/>
    <col min="60" max="60" width="5.28515625" style="373" hidden="1" customWidth="1"/>
    <col min="61" max="61" width="4" style="373" hidden="1" customWidth="1"/>
    <col min="62" max="62" width="4.7109375" style="373" hidden="1" customWidth="1"/>
    <col min="63" max="63" width="5.5703125" style="373" hidden="1" customWidth="1"/>
    <col min="64" max="64" width="5.28515625" style="373" hidden="1" customWidth="1"/>
    <col min="65" max="65" width="4" style="373" hidden="1" customWidth="1"/>
    <col min="66" max="66" width="5.5703125" style="373" hidden="1" customWidth="1"/>
    <col min="67" max="67" width="5.140625" style="372" customWidth="1"/>
    <col min="68" max="73" width="5.140625" style="371" customWidth="1"/>
    <col min="74" max="16384" width="9.140625" style="371"/>
  </cols>
  <sheetData>
    <row r="1" spans="2:73" s="447" customFormat="1" ht="12" hidden="1" x14ac:dyDescent="0.2">
      <c r="T1" s="378"/>
      <c r="U1" s="378"/>
      <c r="V1" s="378"/>
      <c r="W1" s="378"/>
      <c r="X1" s="378"/>
      <c r="Y1" s="378"/>
      <c r="Z1" s="378"/>
      <c r="AA1" s="378"/>
      <c r="AB1" s="378"/>
      <c r="AC1" s="378"/>
      <c r="AD1" s="378"/>
      <c r="AE1" s="378"/>
      <c r="AF1" s="378"/>
      <c r="AG1" s="378"/>
      <c r="AH1" s="378"/>
      <c r="AI1" s="402"/>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row>
    <row r="2" spans="2:73" s="447" customFormat="1" ht="12" hidden="1" x14ac:dyDescent="0.2">
      <c r="T2" s="378"/>
      <c r="U2" s="378"/>
      <c r="V2" s="378"/>
      <c r="W2" s="378"/>
      <c r="X2" s="378"/>
      <c r="Y2" s="378"/>
      <c r="Z2" s="378"/>
      <c r="AA2" s="378"/>
      <c r="AB2" s="378"/>
      <c r="AC2" s="378"/>
      <c r="AD2" s="378"/>
      <c r="AE2" s="378"/>
      <c r="AF2" s="378"/>
      <c r="AG2" s="378"/>
      <c r="AH2" s="378"/>
      <c r="AI2" s="402"/>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row>
    <row r="3" spans="2:73" s="447" customFormat="1" ht="12" hidden="1" x14ac:dyDescent="0.2">
      <c r="T3" s="378"/>
      <c r="U3" s="378"/>
      <c r="V3" s="378"/>
      <c r="W3" s="378"/>
      <c r="X3" s="378"/>
      <c r="Y3" s="378"/>
      <c r="Z3" s="378"/>
      <c r="AA3" s="378"/>
      <c r="AB3" s="378"/>
      <c r="AC3" s="378"/>
      <c r="AD3" s="378"/>
      <c r="AE3" s="378"/>
      <c r="AF3" s="378"/>
      <c r="AG3" s="378"/>
      <c r="AH3" s="378"/>
      <c r="AI3" s="402"/>
      <c r="AJ3" s="378"/>
      <c r="AK3" s="378"/>
      <c r="AL3" s="378"/>
      <c r="AM3" s="378"/>
      <c r="AN3" s="378"/>
      <c r="AO3" s="378"/>
      <c r="AP3" s="378"/>
      <c r="AQ3" s="378"/>
      <c r="AR3" s="378"/>
      <c r="AS3" s="378"/>
      <c r="AT3" s="378"/>
      <c r="AU3" s="378"/>
      <c r="AV3" s="378"/>
      <c r="AW3" s="378"/>
      <c r="AX3" s="378"/>
      <c r="AY3" s="378"/>
      <c r="AZ3" s="378"/>
      <c r="BA3" s="378"/>
      <c r="BB3" s="378"/>
      <c r="BC3" s="378"/>
      <c r="BD3" s="378"/>
      <c r="BE3" s="378"/>
      <c r="BF3" s="378"/>
      <c r="BG3" s="378"/>
      <c r="BH3" s="378"/>
      <c r="BI3" s="378"/>
      <c r="BJ3" s="378"/>
      <c r="BK3" s="378"/>
      <c r="BL3" s="378"/>
      <c r="BM3" s="378"/>
      <c r="BN3" s="378"/>
    </row>
    <row r="4" spans="2:73" s="447" customFormat="1" ht="12" hidden="1" x14ac:dyDescent="0.2">
      <c r="T4" s="378"/>
      <c r="U4" s="378"/>
      <c r="V4" s="378"/>
      <c r="W4" s="378"/>
      <c r="X4" s="378"/>
      <c r="Y4" s="378"/>
      <c r="Z4" s="378"/>
      <c r="AA4" s="378"/>
      <c r="AB4" s="378"/>
      <c r="AC4" s="378"/>
      <c r="AD4" s="378"/>
      <c r="AE4" s="378"/>
      <c r="AF4" s="378"/>
      <c r="AG4" s="378"/>
      <c r="AH4" s="378"/>
      <c r="AI4" s="402"/>
      <c r="AJ4" s="378"/>
      <c r="AK4" s="378"/>
      <c r="AL4" s="378"/>
      <c r="AM4" s="378"/>
      <c r="AN4" s="378"/>
      <c r="AO4" s="378"/>
      <c r="AP4" s="378"/>
      <c r="AQ4" s="378"/>
      <c r="AR4" s="378"/>
      <c r="AS4" s="378"/>
      <c r="AT4" s="378"/>
      <c r="AU4" s="378"/>
      <c r="AV4" s="378"/>
      <c r="AW4" s="378"/>
      <c r="AX4" s="378"/>
      <c r="AY4" s="378"/>
      <c r="AZ4" s="378"/>
      <c r="BA4" s="378"/>
      <c r="BB4" s="378"/>
      <c r="BC4" s="378"/>
      <c r="BD4" s="378"/>
      <c r="BE4" s="378"/>
      <c r="BF4" s="378"/>
      <c r="BG4" s="378"/>
      <c r="BH4" s="378"/>
      <c r="BI4" s="378"/>
      <c r="BJ4" s="378"/>
      <c r="BK4" s="378"/>
      <c r="BL4" s="378"/>
      <c r="BM4" s="378"/>
      <c r="BN4" s="378"/>
    </row>
    <row r="5" spans="2:73" ht="15.75" thickBot="1" x14ac:dyDescent="0.3">
      <c r="BE5" s="374"/>
      <c r="BF5" s="374"/>
      <c r="BG5" s="373"/>
    </row>
    <row r="6" spans="2:73" ht="13.5" customHeight="1" thickTop="1" x14ac:dyDescent="0.25">
      <c r="B6" s="1576" t="s">
        <v>141</v>
      </c>
      <c r="C6" s="1577"/>
      <c r="D6" s="1577"/>
      <c r="E6" s="1577"/>
      <c r="F6" s="1577"/>
      <c r="G6" s="1578"/>
      <c r="H6" s="1589" t="s">
        <v>649</v>
      </c>
      <c r="I6" s="1590"/>
      <c r="J6" s="1590"/>
      <c r="K6" s="1590"/>
      <c r="L6" s="1590"/>
      <c r="M6" s="1590"/>
      <c r="N6" s="1591"/>
      <c r="O6" s="1592" t="s">
        <v>142</v>
      </c>
      <c r="P6" s="1593"/>
      <c r="Q6" s="1592" t="s">
        <v>143</v>
      </c>
      <c r="R6" s="1594"/>
      <c r="S6" s="406"/>
      <c r="T6" s="407"/>
      <c r="U6" s="407"/>
      <c r="V6" s="407"/>
      <c r="W6" s="407"/>
      <c r="X6" s="407"/>
      <c r="Y6" s="407"/>
      <c r="Z6" s="407"/>
      <c r="AA6" s="407"/>
      <c r="AB6" s="407"/>
      <c r="AC6" s="407"/>
      <c r="AD6" s="407"/>
      <c r="AE6" s="407"/>
      <c r="AF6" s="407"/>
      <c r="AG6" s="407"/>
      <c r="AH6" s="407"/>
      <c r="AI6" s="492"/>
      <c r="AJ6" s="407"/>
      <c r="AK6" s="407"/>
      <c r="AL6" s="407"/>
      <c r="AM6" s="407"/>
      <c r="AN6" s="407"/>
      <c r="AO6" s="407"/>
      <c r="AP6" s="407"/>
      <c r="AQ6" s="378"/>
      <c r="AR6" s="378"/>
      <c r="AW6" s="374" t="s">
        <v>144</v>
      </c>
      <c r="AX6" s="374" t="s">
        <v>145</v>
      </c>
      <c r="AY6" s="374" t="s">
        <v>146</v>
      </c>
      <c r="AZ6" s="374" t="s">
        <v>147</v>
      </c>
      <c r="BA6" s="374" t="s">
        <v>148</v>
      </c>
      <c r="BB6" s="374" t="s">
        <v>149</v>
      </c>
      <c r="BE6" s="374"/>
      <c r="BF6" s="374"/>
      <c r="BG6" s="373"/>
      <c r="BP6" s="1668" t="s">
        <v>313</v>
      </c>
      <c r="BQ6" s="1668"/>
      <c r="BR6" s="1668"/>
      <c r="BS6" s="1668"/>
      <c r="BT6" s="1668"/>
      <c r="BU6" s="1668"/>
    </row>
    <row r="7" spans="2:73" s="416" customFormat="1" ht="15.75" customHeight="1" x14ac:dyDescent="0.2">
      <c r="B7" s="1579" t="s">
        <v>293</v>
      </c>
      <c r="C7" s="1580"/>
      <c r="D7" s="1580"/>
      <c r="E7" s="1580"/>
      <c r="F7" s="1580"/>
      <c r="G7" s="1581"/>
      <c r="H7" s="1598" t="s">
        <v>316</v>
      </c>
      <c r="I7" s="1599"/>
      <c r="J7" s="1599"/>
      <c r="K7" s="1599"/>
      <c r="L7" s="1599"/>
      <c r="M7" s="1599"/>
      <c r="N7" s="1600"/>
      <c r="O7" s="1713" t="s">
        <v>668</v>
      </c>
      <c r="P7" s="1714"/>
      <c r="Q7" s="1715">
        <v>46097</v>
      </c>
      <c r="R7" s="1716"/>
      <c r="S7" s="498"/>
      <c r="T7" s="496"/>
      <c r="U7" s="496"/>
      <c r="V7" s="496"/>
      <c r="W7" s="496"/>
      <c r="X7" s="496"/>
      <c r="Y7" s="496"/>
      <c r="Z7" s="496"/>
      <c r="AA7" s="496"/>
      <c r="AB7" s="496"/>
      <c r="AC7" s="496"/>
      <c r="AD7" s="496"/>
      <c r="AE7" s="496"/>
      <c r="AF7" s="496"/>
      <c r="AG7" s="496"/>
      <c r="AH7" s="496"/>
      <c r="AI7" s="497"/>
      <c r="AJ7" s="496"/>
      <c r="AK7" s="496"/>
      <c r="AL7" s="496"/>
      <c r="AM7" s="496"/>
      <c r="AN7" s="496"/>
      <c r="AO7" s="496"/>
      <c r="AP7" s="496"/>
      <c r="AQ7" s="487"/>
      <c r="AR7" s="487"/>
      <c r="AS7" s="401"/>
      <c r="AT7" s="495" t="s">
        <v>151</v>
      </c>
      <c r="AU7" s="494" t="b">
        <v>0</v>
      </c>
      <c r="AV7" s="401">
        <v>0</v>
      </c>
      <c r="AW7" s="401" t="b">
        <f>IF(ISERR(OR(AW11:AW42)),"UNK",IF(AND(graded_aca_events&gt;=1,input_test),FALSE,OR(AW11:AW42)))</f>
        <v>0</v>
      </c>
      <c r="AX7" s="401" t="b">
        <f>IF(ISERR(OR(AX11:AX42)),"UNK",IF(AND(graded_aca_events&gt;=1,input_test),FALSE,OR(AX11:AX42)))</f>
        <v>0</v>
      </c>
      <c r="AY7" s="401" t="b">
        <f>IF(ISERR(OR(AY11:AY42)),"UNK",OR(AY11:AY42))</f>
        <v>0</v>
      </c>
      <c r="AZ7" s="401" t="b">
        <f>IF(ISERR(OR(AZ11:AZ42)),"UNK",OR(AZ11:AZ42))</f>
        <v>0</v>
      </c>
      <c r="BA7" s="401" t="b">
        <f>IF(ISERR(OR(BA11:BA42)),"UNK",OR(BA11:BA42))</f>
        <v>0</v>
      </c>
      <c r="BB7" s="401" t="b">
        <f>IF(ISERR(OR(BB11:BB42)),"UNK",OR(BB11:BB42))</f>
        <v>0</v>
      </c>
      <c r="BC7" s="493" t="b">
        <f>OR(BC11:BC42)</f>
        <v>0</v>
      </c>
      <c r="BD7" s="493" t="b">
        <f>OR(BD11:BD42)</f>
        <v>0</v>
      </c>
      <c r="BE7" s="493" t="b">
        <f>OR(BE11:BE42)</f>
        <v>0</v>
      </c>
      <c r="BF7" s="493"/>
      <c r="BG7" s="401"/>
      <c r="BH7" s="1558" t="s">
        <v>152</v>
      </c>
      <c r="BI7" s="1558"/>
      <c r="BJ7" s="1558"/>
      <c r="BK7" s="1558"/>
      <c r="BL7" s="1559" t="s">
        <v>153</v>
      </c>
      <c r="BM7" s="1559"/>
      <c r="BN7" s="1559"/>
      <c r="BO7" s="372"/>
      <c r="BP7" s="1668"/>
      <c r="BQ7" s="1668"/>
      <c r="BR7" s="1668"/>
      <c r="BS7" s="1668"/>
      <c r="BT7" s="1668"/>
      <c r="BU7" s="1668"/>
    </row>
    <row r="8" spans="2:73" s="406" customFormat="1" ht="7.5" customHeight="1" x14ac:dyDescent="0.25">
      <c r="B8" s="1560" t="s">
        <v>154</v>
      </c>
      <c r="C8" s="1561"/>
      <c r="D8" s="1561"/>
      <c r="E8" s="1562"/>
      <c r="F8" s="1563" t="s">
        <v>155</v>
      </c>
      <c r="G8" s="1562"/>
      <c r="H8" s="1563" t="s">
        <v>156</v>
      </c>
      <c r="I8" s="1561"/>
      <c r="J8" s="1561"/>
      <c r="K8" s="1561"/>
      <c r="L8" s="1562"/>
      <c r="M8" s="1564" t="s">
        <v>157</v>
      </c>
      <c r="N8" s="1565"/>
      <c r="O8" s="1595" t="s">
        <v>158</v>
      </c>
      <c r="P8" s="1596"/>
      <c r="Q8" s="1563" t="str">
        <f>IF(AU44=0,"GRADE","GRADE (inc. bonus)")</f>
        <v>GRADE</v>
      </c>
      <c r="R8" s="1597"/>
      <c r="T8" s="407"/>
      <c r="U8" s="407"/>
      <c r="V8" s="407"/>
      <c r="W8" s="407"/>
      <c r="X8" s="407"/>
      <c r="Y8" s="407"/>
      <c r="Z8" s="407"/>
      <c r="AA8" s="407"/>
      <c r="AB8" s="407"/>
      <c r="AC8" s="407"/>
      <c r="AD8" s="407"/>
      <c r="AE8" s="407"/>
      <c r="AF8" s="407"/>
      <c r="AG8" s="407"/>
      <c r="AH8" s="407"/>
      <c r="AI8" s="492"/>
      <c r="AJ8" s="407"/>
      <c r="AK8" s="407"/>
      <c r="AL8" s="407"/>
      <c r="AM8" s="407"/>
      <c r="AN8" s="407"/>
      <c r="AO8" s="407"/>
      <c r="AP8" s="407"/>
      <c r="AQ8" s="407"/>
      <c r="AR8" s="407"/>
      <c r="AS8" s="407"/>
      <c r="AT8" s="407"/>
      <c r="AU8" s="407"/>
      <c r="AV8" s="407"/>
      <c r="AW8" s="407"/>
      <c r="AX8" s="407"/>
      <c r="AY8" s="407"/>
      <c r="AZ8" s="407"/>
      <c r="BA8" s="407"/>
      <c r="BB8" s="407"/>
      <c r="BC8" s="407"/>
      <c r="BD8" s="407"/>
      <c r="BE8" s="407"/>
      <c r="BF8" s="407"/>
      <c r="BG8" s="407"/>
      <c r="BH8" s="1558"/>
      <c r="BI8" s="1558"/>
      <c r="BJ8" s="1558"/>
      <c r="BK8" s="1558"/>
      <c r="BL8" s="1559"/>
      <c r="BM8" s="1559"/>
      <c r="BN8" s="1559"/>
      <c r="BO8" s="491"/>
    </row>
    <row r="9" spans="2:73" s="416" customFormat="1" ht="15.75" customHeight="1" thickBot="1" x14ac:dyDescent="0.25">
      <c r="B9" s="1707" t="s">
        <v>669</v>
      </c>
      <c r="C9" s="1708"/>
      <c r="D9" s="1708"/>
      <c r="E9" s="1709"/>
      <c r="F9" s="1569" t="s">
        <v>270</v>
      </c>
      <c r="G9" s="1570"/>
      <c r="H9" s="1710" t="s">
        <v>670</v>
      </c>
      <c r="I9" s="1711"/>
      <c r="J9" s="1711"/>
      <c r="K9" s="1711"/>
      <c r="L9" s="1712"/>
      <c r="M9" s="1574"/>
      <c r="N9" s="1575"/>
      <c r="O9" s="1585"/>
      <c r="P9" s="1586"/>
      <c r="Q9" s="1587">
        <f>IF((graded_aca_events+graded_amn_events)&lt;1,"---",IF(ISERROR(AR49),"",IF(F44&lt;&gt;"COMPLETE","INCOMPLETE",AR49)))</f>
        <v>0.95099999942219982</v>
      </c>
      <c r="R9" s="1588"/>
      <c r="S9" s="371"/>
      <c r="T9" s="401"/>
      <c r="U9" s="401">
        <v>2</v>
      </c>
      <c r="V9" s="401">
        <v>3</v>
      </c>
      <c r="W9" s="401">
        <v>6</v>
      </c>
      <c r="X9" s="401">
        <v>7</v>
      </c>
      <c r="Y9" s="401">
        <v>11</v>
      </c>
      <c r="Z9" s="401">
        <v>8</v>
      </c>
      <c r="AA9" s="490">
        <v>9</v>
      </c>
      <c r="AB9" s="490">
        <v>10</v>
      </c>
      <c r="AC9" s="490">
        <v>5</v>
      </c>
      <c r="AD9" s="490">
        <v>4</v>
      </c>
      <c r="AE9" s="490">
        <v>12</v>
      </c>
      <c r="AF9" s="490">
        <v>13</v>
      </c>
      <c r="AG9" s="490"/>
      <c r="AH9" s="490"/>
      <c r="AI9" s="489"/>
      <c r="AJ9" s="488"/>
      <c r="AK9" s="488"/>
      <c r="AL9" s="488"/>
      <c r="AM9" s="488" t="b">
        <f>IF(COUNT(AM11:AM42)&gt;0,TRUE,FALSE)</f>
        <v>1</v>
      </c>
      <c r="AN9" s="488" t="b">
        <f>IF(COUNT(AN11:AN42)&gt;0,TRUE,FALSE)</f>
        <v>0</v>
      </c>
      <c r="AO9" s="401"/>
      <c r="AP9" s="401"/>
      <c r="AQ9" s="487"/>
      <c r="AR9" s="487"/>
      <c r="AS9" s="401"/>
      <c r="AT9" s="486">
        <v>0.2</v>
      </c>
      <c r="AU9" s="401"/>
      <c r="AV9" s="485">
        <f>0.01*input_maxb</f>
        <v>0</v>
      </c>
      <c r="AW9" s="483" t="s">
        <v>159</v>
      </c>
      <c r="AX9" s="484"/>
      <c r="AY9" s="483" t="s">
        <v>160</v>
      </c>
      <c r="AZ9" s="484"/>
      <c r="BA9" s="482" t="s">
        <v>161</v>
      </c>
      <c r="BB9" s="482"/>
      <c r="BC9" s="483" t="s">
        <v>162</v>
      </c>
      <c r="BD9" s="482"/>
      <c r="BE9" s="481"/>
      <c r="BF9" s="480"/>
      <c r="BG9" s="401" t="s">
        <v>163</v>
      </c>
      <c r="BH9" s="1558"/>
      <c r="BI9" s="1558"/>
      <c r="BJ9" s="1558"/>
      <c r="BK9" s="1558"/>
      <c r="BL9" s="1559"/>
      <c r="BM9" s="1559"/>
      <c r="BN9" s="1559"/>
      <c r="BO9" s="372"/>
    </row>
    <row r="10" spans="2:73" ht="27" customHeight="1" thickBot="1" x14ac:dyDescent="0.3">
      <c r="B10" s="1582" t="s">
        <v>164</v>
      </c>
      <c r="C10" s="1583"/>
      <c r="D10" s="1583"/>
      <c r="E10" s="1583"/>
      <c r="F10" s="1584"/>
      <c r="G10" s="479" t="s">
        <v>165</v>
      </c>
      <c r="H10" s="478" t="s">
        <v>166</v>
      </c>
      <c r="I10" s="477" t="s">
        <v>167</v>
      </c>
      <c r="J10" s="476" t="s">
        <v>168</v>
      </c>
      <c r="K10" s="475" t="s">
        <v>169</v>
      </c>
      <c r="L10" s="1605" t="s">
        <v>170</v>
      </c>
      <c r="M10" s="1583"/>
      <c r="N10" s="1583"/>
      <c r="O10" s="1583"/>
      <c r="P10" s="1583"/>
      <c r="Q10" s="1583"/>
      <c r="R10" s="1606"/>
      <c r="S10" s="376"/>
      <c r="T10" s="385" t="s">
        <v>171</v>
      </c>
      <c r="U10" s="385"/>
      <c r="V10" s="385" t="s">
        <v>172</v>
      </c>
      <c r="W10" s="385" t="s">
        <v>173</v>
      </c>
      <c r="X10" s="385" t="s">
        <v>174</v>
      </c>
      <c r="Y10" s="385" t="s">
        <v>175</v>
      </c>
      <c r="Z10" s="385" t="s">
        <v>176</v>
      </c>
      <c r="AA10" s="385" t="s">
        <v>177</v>
      </c>
      <c r="AB10" s="385" t="s">
        <v>178</v>
      </c>
      <c r="AC10" s="385" t="s">
        <v>179</v>
      </c>
      <c r="AD10" s="385" t="s">
        <v>180</v>
      </c>
      <c r="AE10" s="385" t="s">
        <v>181</v>
      </c>
      <c r="AF10" s="385" t="s">
        <v>182</v>
      </c>
      <c r="AG10" s="385" t="s">
        <v>183</v>
      </c>
      <c r="AH10" s="385" t="s">
        <v>184</v>
      </c>
      <c r="AI10" s="474" t="s">
        <v>185</v>
      </c>
      <c r="AJ10" s="472" t="s">
        <v>186</v>
      </c>
      <c r="AK10" s="473" t="s">
        <v>187</v>
      </c>
      <c r="AL10" s="473" t="s">
        <v>188</v>
      </c>
      <c r="AM10" s="473" t="s">
        <v>189</v>
      </c>
      <c r="AN10" s="473" t="s">
        <v>190</v>
      </c>
      <c r="AO10" s="472" t="s">
        <v>191</v>
      </c>
      <c r="AP10" s="472" t="s">
        <v>192</v>
      </c>
      <c r="AQ10" s="470" t="s">
        <v>193</v>
      </c>
      <c r="AR10" s="471" t="s">
        <v>1</v>
      </c>
      <c r="AS10" s="470" t="s">
        <v>194</v>
      </c>
      <c r="AT10" s="471" t="s">
        <v>1</v>
      </c>
      <c r="AU10" s="470" t="s">
        <v>195</v>
      </c>
      <c r="AV10" s="469" t="s">
        <v>196</v>
      </c>
      <c r="AW10" s="468" t="s">
        <v>197</v>
      </c>
      <c r="AX10" s="467" t="s">
        <v>198</v>
      </c>
      <c r="AY10" s="468" t="s">
        <v>199</v>
      </c>
      <c r="AZ10" s="467" t="s">
        <v>200</v>
      </c>
      <c r="BA10" s="466" t="s">
        <v>201</v>
      </c>
      <c r="BB10" s="466" t="s">
        <v>202</v>
      </c>
      <c r="BC10" s="465" t="s">
        <v>203</v>
      </c>
      <c r="BD10" s="464" t="s">
        <v>204</v>
      </c>
      <c r="BE10" s="463" t="s">
        <v>205</v>
      </c>
      <c r="BF10" s="462" t="s">
        <v>206</v>
      </c>
      <c r="BG10" s="373"/>
      <c r="BH10" s="373" t="s">
        <v>207</v>
      </c>
      <c r="BI10" s="373" t="s">
        <v>208</v>
      </c>
      <c r="BJ10" s="385" t="s">
        <v>209</v>
      </c>
      <c r="BK10" s="373" t="s">
        <v>210</v>
      </c>
      <c r="BL10" s="373" t="s">
        <v>207</v>
      </c>
      <c r="BM10" s="373" t="s">
        <v>208</v>
      </c>
      <c r="BN10" s="373" t="s">
        <v>210</v>
      </c>
    </row>
    <row r="11" spans="2:73" ht="12.95" customHeight="1" x14ac:dyDescent="0.25">
      <c r="B11" s="461" t="str">
        <f>IF(ISNA(Z11),"",IF(OR(Z11=1,Z11=2),"",1))</f>
        <v/>
      </c>
      <c r="C11" s="1607" t="str">
        <f t="shared" ref="C11:C42" si="0">IF(ISNA(Z11),"",CONCATENATE($U11,IF(ISNUMBER(AI11),TEXT(ROUND($AI11,3)," (0.0%)"),""),IF(AU11&gt;0," Bonus","")))</f>
        <v>Structure &amp; Logic (30.0%)</v>
      </c>
      <c r="D11" s="1607"/>
      <c r="E11" s="1607"/>
      <c r="F11" s="1608"/>
      <c r="G11" s="437" t="str">
        <f t="shared" ref="G11:G42" si="1">BH11</f>
        <v/>
      </c>
      <c r="H11" s="431" t="str">
        <f t="shared" ref="H11:H42" si="2">BJ11</f>
        <v/>
      </c>
      <c r="I11" s="460" t="str">
        <f t="shared" ref="I11:I42" si="3">BK11</f>
        <v/>
      </c>
      <c r="J11" s="459"/>
      <c r="K11" s="458"/>
      <c r="L11" s="1698" t="s">
        <v>671</v>
      </c>
      <c r="M11" s="1699"/>
      <c r="N11" s="1699"/>
      <c r="O11" s="1699"/>
      <c r="P11" s="1699"/>
      <c r="Q11" s="1699"/>
      <c r="R11" s="1700"/>
      <c r="T11" s="374">
        <v>1</v>
      </c>
      <c r="U11" s="374" t="s">
        <v>646</v>
      </c>
      <c r="V11" s="421" t="s">
        <v>212</v>
      </c>
      <c r="W11" s="421" t="s">
        <v>212</v>
      </c>
      <c r="X11" s="421" t="s">
        <v>212</v>
      </c>
      <c r="Y11" s="421" t="s">
        <v>212</v>
      </c>
      <c r="Z11" s="421">
        <v>2</v>
      </c>
      <c r="AA11" s="421">
        <v>1</v>
      </c>
      <c r="AB11" s="421">
        <v>1</v>
      </c>
      <c r="AC11" s="421" t="s">
        <v>212</v>
      </c>
      <c r="AD11" s="421" t="s">
        <v>212</v>
      </c>
      <c r="AE11" s="421" t="s">
        <v>212</v>
      </c>
      <c r="AF11" s="421" t="s">
        <v>212</v>
      </c>
      <c r="AG11" s="421" t="str">
        <f t="shared" ref="AG11:AG42" si="4">IF(CrewSoloQual="Yes",$AC11,$AD11)</f>
        <v/>
      </c>
      <c r="AH11" s="421" t="str">
        <f t="shared" ref="AH11:AH42" si="5">IF(ISNUMBER(AC11),IF(CrewSoloQual="Yes",$AC11-1,$AD11-1),"")</f>
        <v/>
      </c>
      <c r="AI11" s="427">
        <f>IF(NOT(OR(Z11=1,Z11=2)),IF(AQ11&gt;0,$AR$47*AQ11/SUMIF($AQ$11:$AQ$42,"&gt;0"),IF(AU11&gt;0,$AV$47*AU11/SUMIF($AU$11:$AU$42,"&gt;0"),IF(AS11&gt;0,$AT$47*AS11/SUMIF($AS$11:$AS$42,"&gt;0"),""))),IF(SUMIF(AJ12:$AJ$42,"=" &amp; AJ11,AI12:$AI$42)=0,"",SUMIF(AJ12:$AJ$42,"=" &amp; AJ11,AI12:$AI$42)))</f>
        <v>0.29999997965999931</v>
      </c>
      <c r="AJ11" s="426">
        <f>0</f>
        <v>0</v>
      </c>
      <c r="AK11" s="421" t="str">
        <f t="shared" ref="AK11:AK42" si="6">BI11</f>
        <v/>
      </c>
      <c r="AL11" s="421" t="str">
        <f t="shared" ref="AL11:AL42" si="7">IF(ISBLANK(K11),"",K11)</f>
        <v/>
      </c>
      <c r="AM11" s="421" t="str">
        <f t="shared" ref="AM11:AM42" si="8">IF(ISNUMBER(AK11),IF(ISNUMBER(AL11),1,""),"")</f>
        <v/>
      </c>
      <c r="AN11" s="421" t="str">
        <f t="shared" ref="AN11:AN42" si="9">IF(ISNUMBER(AH11),IF(AND(AB11=0,ISNUMBER(AC11),ISNUMBER(AL11)),1,""),"")</f>
        <v/>
      </c>
      <c r="AO11" s="421" t="str">
        <f t="shared" ref="AO11:AO42" si="10">IF(AB11=0,IF(CrewSoloQual="No",BI11,BK11),"")</f>
        <v/>
      </c>
      <c r="AP11" s="421" t="str">
        <f t="shared" ref="AP11:AP42" si="11">IF(ISNA(Z11),"",IF(AND(ISNUMBER(B11),G11&gt;=1,H11&lt;&gt;"NG"),IF(K11&lt;BK11,TRUE,FALSE),IF(AND(G11&gt;=1,J11="NA"),TRUE,IF(AND(AM11=1,G11=0,AL11&lt;BI11),TRUE,""))))</f>
        <v/>
      </c>
      <c r="AQ11" s="425">
        <f t="shared" ref="AQ11:AQ42" si="12">IF(ISNA(Z11),0,IF(OR(J11="NA",W11="",AB11=0),0,W11))</f>
        <v>0</v>
      </c>
      <c r="AR11" s="423" t="str">
        <f t="shared" ref="AR11:AR42" si="13">IF(ISNA(Z11),"",IF(AND(NOT(OR(Z11=1,Z11=2,AK11="NG",AB11=0)),IF(ISNUMBER(AL11),AL11&gt;=0,FALSE)),VLOOKUP((10*AD11+AC11),$AQ$53:$AV$61,2+AL11,FALSE),IF(AND(input_test=TRUE,ISNUMBER(AD11),V11&lt;&gt;0),VLOOKUP((10*AD11+AC11),$AQ$53:$AV$61,2,FALSE),"")))</f>
        <v/>
      </c>
      <c r="AS11" s="424">
        <f t="shared" ref="AS11:AS42" si="14">IF(ISNA(Z11),0,IF(OR(J11="NA",X11="",AB11=1),0,X11))</f>
        <v>0</v>
      </c>
      <c r="AT11" s="423" t="str">
        <f t="shared" ref="AT11:AT42" si="15">IF(ISNA(Z11),"",IF(AND(NOT(OR(Z11=1,Z11=2,AK11="NG",AB11=1)),IF(ISNUMBER(AL11),AL11&gt;=0,FALSE)),VLOOKUP((10*AH11+AG11),$AQ$53:$AV$61,2+AL11,FALSE),IF(AND(input_test=TRUE,ISNUMBER(AD11),V11&lt;&gt;0),VLOOKUP((10*AH11+AG11),$AQ$53:$AV$61,2,FALSE),"")))</f>
        <v/>
      </c>
      <c r="AU11" s="420">
        <f t="shared" ref="AU11:AU42" si="16">IF(ISNA(Z11),0,IF(OR(J11="NA",Y11=""),0,Y11))</f>
        <v>0</v>
      </c>
      <c r="AV11" s="422" t="str">
        <f t="shared" ref="AV11:AV42" si="17">AR11</f>
        <v/>
      </c>
      <c r="AW11" s="420" t="b">
        <f t="shared" ref="AW11:AW42" si="18">IF(ISNA(Z11),FALSE,IF(OR(AB11=1,G11=0,Z11=1,Z11=2),FALSE,IF(OR(J11="NA",J11&gt;=G11),FALSE,TRUE)))</f>
        <v>0</v>
      </c>
      <c r="AX11" s="419" t="b">
        <f t="shared" ref="AX11:AX42" si="19">IF(ISNA(Z11),FALSE,IF(OR(AB11=0,G11=0,Z11=1,Z11=2,J11="NA"),FALSE,IF(AK11="NG",IF(NOT(ISBLANK(K11)),FALSE,TRUE),IF(J11&gt;=G11,FALSE,TRUE))))</f>
        <v>0</v>
      </c>
      <c r="AY11" s="420" t="b">
        <f t="shared" ref="AY11:AY42" si="20">IF(ISNA(Z11),FALSE,IF(OR(AB11=1,G11&lt;1,Z11=1,Z11=2,AE11=0,ISBLANK(K11)),FALSE,IF(OR(J11="NA",K11&gt;=BI11),FALSE,TRUE)))</f>
        <v>0</v>
      </c>
      <c r="AZ11" s="419" t="b">
        <f t="shared" ref="AZ11:AZ42" si="21">IF(ISNA(Z11),FALSE,IF(OR(AB11=0,G11=0,Z11=1,Z11=2,AE11=0,BI11="NG",K11="",ISBLANK(K11)),FALSE,IF(OR(J11="NA",K11&gt;=AK11),FALSE,TRUE)))</f>
        <v>0</v>
      </c>
      <c r="BA11" s="421" t="b">
        <f t="shared" ref="BA11:BA42" si="22">IF(ISNA(Z11),FALSE,IF(OR(AB11=1,G11&lt;1,Z11=1,Z11=2,AE11=0),FALSE,IF(J11="NA",TRUE,FALSE)))</f>
        <v>0</v>
      </c>
      <c r="BB11" s="421" t="b">
        <f t="shared" ref="BB11:BB42" si="23">IF(ISNA(Z11),FALSE,IF(OR(AB11=0,G11=0,Z11=1,Z11=2),FALSE,IF(J11="NA",TRUE,FALSE)))</f>
        <v>0</v>
      </c>
      <c r="BC11" s="420" t="b">
        <f t="shared" ref="BC11:BC42" si="24">IF(OR(ISNA($Z11),ISNUMBER($Z11),NOT(ISNUMBER($J11)),K11="D"),FALSE,IF(AND(NOT(ISNUMBER($K11)),J11&gt;0),TRUE,FALSE))</f>
        <v>0</v>
      </c>
      <c r="BD11" s="393" t="b">
        <f t="shared" ref="BD11:BD42" si="25">IF(OR(ISNA($Z11),ISNUMBER($Z11),NOT(ISNUMBER(K11))),FALSE,OR(NOT(ISNUMBER(J11)),J11=0,AND(J11=0,K11&lt;&gt;0)))</f>
        <v>0</v>
      </c>
      <c r="BE11" s="419" t="b">
        <f t="shared" ref="BE11:BE42" si="26">IF(OR(ISNA($Z11),K11&lt;&gt;"D"),FALSE,IF(OR(AND(H11="NG",J11=0),AND(H11&lt;&gt;"NG",NOT(OR(J11="NA",J11=0)))),TRUE,FALSE))</f>
        <v>0</v>
      </c>
      <c r="BF11" s="418" t="b">
        <f t="shared" ref="BF11:BF42" si="27">IF(OR(ISNA($Z11),H11&lt;&gt;"NG"),FALSE,IF(AND(J11="NA",K11&lt;&gt;""),TRUE,FALSE))</f>
        <v>0</v>
      </c>
      <c r="BG11" s="417" t="b">
        <f t="shared" ref="BG11:BG42" si="28">IF(ISNA($Z11),"NA",IF(OR(AZ11,AY11,AX11,AW11,AP11,BA11,BB11),TRUE,FALSE))</f>
        <v>0</v>
      </c>
      <c r="BH11" s="435" t="str">
        <f t="shared" ref="BH11:BH42" si="29">IF(ISNA($Z11),"",IF(OR($Z11=1,$Z11=2),"",$V11))</f>
        <v/>
      </c>
      <c r="BI11" s="417" t="str">
        <f t="shared" ref="BI11:BI42" si="30">IF(ISNA($Z11),"",IF(OR($Z11=1,$Z11=2,$G11=""),"",IF(AB11=0,AH11,$AD11)))</f>
        <v/>
      </c>
      <c r="BJ11" s="417" t="str">
        <f t="shared" ref="BJ11:BJ42" si="31">IF(ISNA(AE11),"",IF(OR(Z11=1,Z11=2),"",IF(OR(AE11=0,AD11="NG"),TEXT(BI11,"0"),CONCATENATE(TEXT(BI11,"0"),"*"))))</f>
        <v/>
      </c>
      <c r="BK11" s="417" t="str">
        <f t="shared" ref="BK11:BK42" si="32">IF(ISNA($Z11),"",IF(OR($Z11=1,$Z11=2,$G11=""),"",IF(AB11=0,AG11,$AC11)))</f>
        <v/>
      </c>
      <c r="BL11" s="435" t="str">
        <f t="shared" ref="BL11:BL42" si="33">IF(ISBLANK(BH11),"",IF(BH11=0,"",BH11))</f>
        <v/>
      </c>
      <c r="BM11" s="417" t="str">
        <f t="shared" ref="BM11:BM42" si="34">IF($BH11=0,"",IF($BI11="NG","D",$BI11))</f>
        <v/>
      </c>
      <c r="BN11" s="417" t="str">
        <f t="shared" ref="BN11:BN42" si="35">IF(ISNA(U11),"",IF($BH11=0,"",IF($BI11="NG","D",BK11)))</f>
        <v/>
      </c>
      <c r="BO11" s="457" t="s">
        <v>213</v>
      </c>
      <c r="BP11" s="434"/>
    </row>
    <row r="12" spans="2:73" s="416" customFormat="1" ht="12.95" customHeight="1" x14ac:dyDescent="0.25">
      <c r="B12" s="433">
        <f>IF(ISNA(Z12),"",IF(OR(Z12=1,Z12=2),"    ",MAX($B$11:B11)+1))</f>
        <v>1</v>
      </c>
      <c r="C12" s="1618" t="str">
        <f t="shared" si="0"/>
        <v xml:space="preserve">      - Executive Summary (8.0%)</v>
      </c>
      <c r="D12" s="1618"/>
      <c r="E12" s="1618"/>
      <c r="F12" s="1619"/>
      <c r="G12" s="437">
        <f t="shared" si="1"/>
        <v>1</v>
      </c>
      <c r="H12" s="431" t="str">
        <f t="shared" si="2"/>
        <v>2*</v>
      </c>
      <c r="I12" s="436">
        <f t="shared" si="3"/>
        <v>3</v>
      </c>
      <c r="J12" s="456">
        <v>1</v>
      </c>
      <c r="K12" s="448">
        <v>4</v>
      </c>
      <c r="L12" s="1701"/>
      <c r="M12" s="1702"/>
      <c r="N12" s="1702"/>
      <c r="O12" s="1702"/>
      <c r="P12" s="1702"/>
      <c r="Q12" s="1702"/>
      <c r="R12" s="1703"/>
      <c r="T12" s="401">
        <v>2</v>
      </c>
      <c r="U12" s="374" t="s">
        <v>290</v>
      </c>
      <c r="V12" s="421">
        <v>1</v>
      </c>
      <c r="W12" s="421">
        <v>2.6666660000000002</v>
      </c>
      <c r="X12" s="421" t="s">
        <v>212</v>
      </c>
      <c r="Y12" s="421" t="s">
        <v>212</v>
      </c>
      <c r="Z12" s="393" t="s">
        <v>212</v>
      </c>
      <c r="AA12" s="393">
        <v>2</v>
      </c>
      <c r="AB12" s="393">
        <v>1</v>
      </c>
      <c r="AC12" s="421">
        <v>3</v>
      </c>
      <c r="AD12" s="421">
        <v>2</v>
      </c>
      <c r="AE12" s="421">
        <v>1</v>
      </c>
      <c r="AF12" s="421" t="b">
        <v>1</v>
      </c>
      <c r="AG12" s="421">
        <f t="shared" si="4"/>
        <v>2</v>
      </c>
      <c r="AH12" s="421">
        <f t="shared" si="5"/>
        <v>1</v>
      </c>
      <c r="AI12" s="427">
        <f>IF(NOT(OR(Z12=1,Z12=2)),IF(AQ12&gt;0,$AR$47*AQ12/SUMIF($AQ$11:$AQ$42,"&gt;0"),IF(AU12&gt;0,$AV$47*AU12/SUMIF($AU$11:$AU$42,"&gt;0"),IF(AS12&gt;0,$AT$47*AS12/SUMIF($AS$11:$AS$42,"&gt;0"),""))),IF(SUMIF(AJ13:$AJ$42,"=" &amp; AJ12,AI13:$AI$42)=0,"",SUMIF(AJ13:$AJ$42,"=" &amp; AJ12,AI13:$AI$42)))</f>
        <v>7.9999982575999426E-2</v>
      </c>
      <c r="AJ12" s="426">
        <f t="shared" ref="AJ12:AJ42" si="36">IF(OR(Z12=1,Z12=2,AA12&lt;AA11),AJ11+1,AJ11)</f>
        <v>0</v>
      </c>
      <c r="AK12" s="421">
        <f t="shared" si="6"/>
        <v>2</v>
      </c>
      <c r="AL12" s="393">
        <f t="shared" si="7"/>
        <v>4</v>
      </c>
      <c r="AM12" s="393">
        <f t="shared" si="8"/>
        <v>1</v>
      </c>
      <c r="AN12" s="393" t="str">
        <f t="shared" si="9"/>
        <v/>
      </c>
      <c r="AO12" s="393" t="str">
        <f t="shared" si="10"/>
        <v/>
      </c>
      <c r="AP12" s="421" t="b">
        <f t="shared" si="11"/>
        <v>0</v>
      </c>
      <c r="AQ12" s="425">
        <f t="shared" si="12"/>
        <v>2.6666660000000002</v>
      </c>
      <c r="AR12" s="423">
        <f t="shared" si="13"/>
        <v>1</v>
      </c>
      <c r="AS12" s="424">
        <f t="shared" si="14"/>
        <v>0</v>
      </c>
      <c r="AT12" s="423" t="str">
        <f t="shared" si="15"/>
        <v/>
      </c>
      <c r="AU12" s="420">
        <f t="shared" si="16"/>
        <v>0</v>
      </c>
      <c r="AV12" s="422">
        <f t="shared" si="17"/>
        <v>1</v>
      </c>
      <c r="AW12" s="420" t="b">
        <f t="shared" si="18"/>
        <v>0</v>
      </c>
      <c r="AX12" s="419" t="b">
        <f t="shared" si="19"/>
        <v>0</v>
      </c>
      <c r="AY12" s="420" t="b">
        <f t="shared" si="20"/>
        <v>0</v>
      </c>
      <c r="AZ12" s="419" t="b">
        <f t="shared" si="21"/>
        <v>0</v>
      </c>
      <c r="BA12" s="421" t="b">
        <f t="shared" si="22"/>
        <v>0</v>
      </c>
      <c r="BB12" s="421" t="b">
        <f t="shared" si="23"/>
        <v>0</v>
      </c>
      <c r="BC12" s="420" t="b">
        <f t="shared" si="24"/>
        <v>0</v>
      </c>
      <c r="BD12" s="393" t="b">
        <f t="shared" si="25"/>
        <v>0</v>
      </c>
      <c r="BE12" s="419" t="b">
        <f t="shared" si="26"/>
        <v>0</v>
      </c>
      <c r="BF12" s="418" t="b">
        <f t="shared" si="27"/>
        <v>0</v>
      </c>
      <c r="BG12" s="417" t="b">
        <f t="shared" si="28"/>
        <v>0</v>
      </c>
      <c r="BH12" s="417">
        <f t="shared" si="29"/>
        <v>1</v>
      </c>
      <c r="BI12" s="417">
        <f t="shared" si="30"/>
        <v>2</v>
      </c>
      <c r="BJ12" s="417" t="str">
        <f t="shared" si="31"/>
        <v>2*</v>
      </c>
      <c r="BK12" s="417">
        <f t="shared" si="32"/>
        <v>3</v>
      </c>
      <c r="BL12" s="435">
        <f t="shared" si="33"/>
        <v>1</v>
      </c>
      <c r="BM12" s="417">
        <f t="shared" si="34"/>
        <v>2</v>
      </c>
      <c r="BN12" s="417">
        <f t="shared" si="35"/>
        <v>3</v>
      </c>
      <c r="BO12" s="439" t="s">
        <v>214</v>
      </c>
      <c r="BP12" s="455" t="s">
        <v>139</v>
      </c>
    </row>
    <row r="13" spans="2:73" s="416" customFormat="1" ht="12.95" customHeight="1" x14ac:dyDescent="0.25">
      <c r="B13" s="433">
        <f>IF(ISNA(Z13),"",IF(OR(Z13=1,Z13=2),"    ",MAX($B$11:B12)+1))</f>
        <v>2</v>
      </c>
      <c r="C13" s="1618" t="str">
        <f t="shared" si="0"/>
        <v xml:space="preserve">      - Report Org. &amp; Structure (10.0%)</v>
      </c>
      <c r="D13" s="1618"/>
      <c r="E13" s="1618"/>
      <c r="F13" s="1619"/>
      <c r="G13" s="437">
        <f t="shared" si="1"/>
        <v>1</v>
      </c>
      <c r="H13" s="431" t="str">
        <f t="shared" si="2"/>
        <v>2*</v>
      </c>
      <c r="I13" s="436">
        <f t="shared" si="3"/>
        <v>3</v>
      </c>
      <c r="J13" s="449">
        <v>1</v>
      </c>
      <c r="K13" s="448">
        <v>3</v>
      </c>
      <c r="L13" s="1701"/>
      <c r="M13" s="1702"/>
      <c r="N13" s="1702"/>
      <c r="O13" s="1702"/>
      <c r="P13" s="1702"/>
      <c r="Q13" s="1702"/>
      <c r="R13" s="1703"/>
      <c r="T13" s="401">
        <v>3</v>
      </c>
      <c r="U13" s="374" t="s">
        <v>645</v>
      </c>
      <c r="V13" s="421">
        <v>1</v>
      </c>
      <c r="W13" s="421">
        <v>3.3333330000000001</v>
      </c>
      <c r="X13" s="421" t="s">
        <v>212</v>
      </c>
      <c r="Y13" s="421" t="s">
        <v>212</v>
      </c>
      <c r="Z13" s="393" t="s">
        <v>212</v>
      </c>
      <c r="AA13" s="393">
        <v>2</v>
      </c>
      <c r="AB13" s="393">
        <v>1</v>
      </c>
      <c r="AC13" s="421">
        <v>3</v>
      </c>
      <c r="AD13" s="421">
        <v>2</v>
      </c>
      <c r="AE13" s="421">
        <v>1</v>
      </c>
      <c r="AF13" s="421" t="b">
        <v>1</v>
      </c>
      <c r="AG13" s="421">
        <f t="shared" si="4"/>
        <v>2</v>
      </c>
      <c r="AH13" s="421">
        <f t="shared" si="5"/>
        <v>1</v>
      </c>
      <c r="AI13" s="427">
        <f>IF(NOT(OR(Z13=1,Z13=2)),IF(AQ13&gt;0,$AR$47*AQ13/SUMIF($AQ$11:$AQ$42,"&gt;0"),IF(AU13&gt;0,$AV$47*AU13/SUMIF($AU$11:$AU$42,"&gt;0"),IF(AS13&gt;0,$AT$47*AS13/SUMIF($AS$11:$AS$42,"&gt;0"),""))),IF(SUMIF(AJ14:$AJ$42,"=" &amp; AJ13,AI14:$AI$42)=0,"",SUMIF(AJ14:$AJ$42,"=" &amp; AJ13,AI14:$AI$42)))</f>
        <v>9.9999993219999764E-2</v>
      </c>
      <c r="AJ13" s="426">
        <f t="shared" si="36"/>
        <v>0</v>
      </c>
      <c r="AK13" s="421">
        <f t="shared" si="6"/>
        <v>2</v>
      </c>
      <c r="AL13" s="393">
        <f t="shared" si="7"/>
        <v>3</v>
      </c>
      <c r="AM13" s="393">
        <f t="shared" si="8"/>
        <v>1</v>
      </c>
      <c r="AN13" s="393" t="str">
        <f t="shared" si="9"/>
        <v/>
      </c>
      <c r="AO13" s="393" t="str">
        <f t="shared" si="10"/>
        <v/>
      </c>
      <c r="AP13" s="421" t="b">
        <f t="shared" si="11"/>
        <v>0</v>
      </c>
      <c r="AQ13" s="425">
        <f t="shared" si="12"/>
        <v>3.3333330000000001</v>
      </c>
      <c r="AR13" s="423">
        <f t="shared" si="13"/>
        <v>0.9</v>
      </c>
      <c r="AS13" s="424">
        <f t="shared" si="14"/>
        <v>0</v>
      </c>
      <c r="AT13" s="423" t="str">
        <f t="shared" si="15"/>
        <v/>
      </c>
      <c r="AU13" s="420">
        <f t="shared" si="16"/>
        <v>0</v>
      </c>
      <c r="AV13" s="422">
        <f t="shared" si="17"/>
        <v>0.9</v>
      </c>
      <c r="AW13" s="420" t="b">
        <f t="shared" si="18"/>
        <v>0</v>
      </c>
      <c r="AX13" s="419" t="b">
        <f t="shared" si="19"/>
        <v>0</v>
      </c>
      <c r="AY13" s="420" t="b">
        <f t="shared" si="20"/>
        <v>0</v>
      </c>
      <c r="AZ13" s="419" t="b">
        <f t="shared" si="21"/>
        <v>0</v>
      </c>
      <c r="BA13" s="421" t="b">
        <f t="shared" si="22"/>
        <v>0</v>
      </c>
      <c r="BB13" s="421" t="b">
        <f t="shared" si="23"/>
        <v>0</v>
      </c>
      <c r="BC13" s="420" t="b">
        <f t="shared" si="24"/>
        <v>0</v>
      </c>
      <c r="BD13" s="393" t="b">
        <f t="shared" si="25"/>
        <v>0</v>
      </c>
      <c r="BE13" s="419" t="b">
        <f t="shared" si="26"/>
        <v>0</v>
      </c>
      <c r="BF13" s="418" t="b">
        <f t="shared" si="27"/>
        <v>0</v>
      </c>
      <c r="BG13" s="417" t="b">
        <f t="shared" si="28"/>
        <v>0</v>
      </c>
      <c r="BH13" s="417">
        <f t="shared" si="29"/>
        <v>1</v>
      </c>
      <c r="BI13" s="417">
        <f t="shared" si="30"/>
        <v>2</v>
      </c>
      <c r="BJ13" s="417" t="str">
        <f t="shared" si="31"/>
        <v>2*</v>
      </c>
      <c r="BK13" s="417">
        <f t="shared" si="32"/>
        <v>3</v>
      </c>
      <c r="BL13" s="435">
        <f t="shared" si="33"/>
        <v>1</v>
      </c>
      <c r="BM13" s="417">
        <f t="shared" si="34"/>
        <v>2</v>
      </c>
      <c r="BN13" s="417">
        <f t="shared" si="35"/>
        <v>3</v>
      </c>
      <c r="BO13" s="439">
        <v>0</v>
      </c>
      <c r="BP13" s="455" t="s">
        <v>287</v>
      </c>
    </row>
    <row r="14" spans="2:73" s="416" customFormat="1" ht="12.95" customHeight="1" x14ac:dyDescent="0.25">
      <c r="B14" s="433">
        <f>IF(ISNA(Z14),"",IF(OR(Z14=1,Z14=2),"    ",MAX($B$11:B13)+1))</f>
        <v>3</v>
      </c>
      <c r="C14" s="1618" t="str">
        <f t="shared" si="0"/>
        <v xml:space="preserve">      - Logical Chain of Reasoning (12.0%)</v>
      </c>
      <c r="D14" s="1618"/>
      <c r="E14" s="1618"/>
      <c r="F14" s="1619"/>
      <c r="G14" s="437">
        <f t="shared" si="1"/>
        <v>1</v>
      </c>
      <c r="H14" s="431" t="str">
        <f t="shared" si="2"/>
        <v>2*</v>
      </c>
      <c r="I14" s="436">
        <f t="shared" si="3"/>
        <v>3</v>
      </c>
      <c r="J14" s="449">
        <v>1</v>
      </c>
      <c r="K14" s="448">
        <v>4</v>
      </c>
      <c r="L14" s="1701"/>
      <c r="M14" s="1702"/>
      <c r="N14" s="1702"/>
      <c r="O14" s="1702"/>
      <c r="P14" s="1702"/>
      <c r="Q14" s="1702"/>
      <c r="R14" s="1703"/>
      <c r="T14" s="401">
        <v>4</v>
      </c>
      <c r="U14" s="374" t="s">
        <v>644</v>
      </c>
      <c r="V14" s="421">
        <v>1</v>
      </c>
      <c r="W14" s="421">
        <v>4</v>
      </c>
      <c r="X14" s="421" t="s">
        <v>212</v>
      </c>
      <c r="Y14" s="421" t="s">
        <v>212</v>
      </c>
      <c r="Z14" s="393" t="s">
        <v>212</v>
      </c>
      <c r="AA14" s="393">
        <v>2</v>
      </c>
      <c r="AB14" s="393">
        <v>1</v>
      </c>
      <c r="AC14" s="421">
        <v>3</v>
      </c>
      <c r="AD14" s="421">
        <v>2</v>
      </c>
      <c r="AE14" s="421">
        <v>1</v>
      </c>
      <c r="AF14" s="421" t="b">
        <v>1</v>
      </c>
      <c r="AG14" s="421">
        <f t="shared" si="4"/>
        <v>2</v>
      </c>
      <c r="AH14" s="421">
        <f t="shared" si="5"/>
        <v>1</v>
      </c>
      <c r="AI14" s="427">
        <f>IF(NOT(OR(Z14=1,Z14=2)),IF(AQ14&gt;0,$AR$47*AQ14/SUMIF($AQ$11:$AQ$42,"&gt;0"),IF(AU14&gt;0,$AV$47*AU14/SUMIF($AU$11:$AU$42,"&gt;0"),IF(AS14&gt;0,$AT$47*AS14/SUMIF($AS$11:$AS$42,"&gt;0"),""))),IF(SUMIF(AJ15:$AJ$42,"=" &amp; AJ14,AI15:$AI$42)=0,"",SUMIF(AJ15:$AJ$42,"=" &amp; AJ14,AI15:$AI$42)))</f>
        <v>0.1200000038640001</v>
      </c>
      <c r="AJ14" s="426">
        <f t="shared" si="36"/>
        <v>0</v>
      </c>
      <c r="AK14" s="421">
        <f t="shared" si="6"/>
        <v>2</v>
      </c>
      <c r="AL14" s="393">
        <f t="shared" si="7"/>
        <v>4</v>
      </c>
      <c r="AM14" s="393">
        <f t="shared" si="8"/>
        <v>1</v>
      </c>
      <c r="AN14" s="393" t="str">
        <f t="shared" si="9"/>
        <v/>
      </c>
      <c r="AO14" s="393" t="str">
        <f t="shared" si="10"/>
        <v/>
      </c>
      <c r="AP14" s="421" t="b">
        <f t="shared" si="11"/>
        <v>0</v>
      </c>
      <c r="AQ14" s="425">
        <f t="shared" si="12"/>
        <v>4</v>
      </c>
      <c r="AR14" s="423">
        <f t="shared" si="13"/>
        <v>1</v>
      </c>
      <c r="AS14" s="424">
        <f t="shared" si="14"/>
        <v>0</v>
      </c>
      <c r="AT14" s="423" t="str">
        <f t="shared" si="15"/>
        <v/>
      </c>
      <c r="AU14" s="420">
        <f t="shared" si="16"/>
        <v>0</v>
      </c>
      <c r="AV14" s="422">
        <f t="shared" si="17"/>
        <v>1</v>
      </c>
      <c r="AW14" s="420" t="b">
        <f t="shared" si="18"/>
        <v>0</v>
      </c>
      <c r="AX14" s="419" t="b">
        <f t="shared" si="19"/>
        <v>0</v>
      </c>
      <c r="AY14" s="420" t="b">
        <f t="shared" si="20"/>
        <v>0</v>
      </c>
      <c r="AZ14" s="419" t="b">
        <f t="shared" si="21"/>
        <v>0</v>
      </c>
      <c r="BA14" s="421" t="b">
        <f t="shared" si="22"/>
        <v>0</v>
      </c>
      <c r="BB14" s="421" t="b">
        <f t="shared" si="23"/>
        <v>0</v>
      </c>
      <c r="BC14" s="420" t="b">
        <f t="shared" si="24"/>
        <v>0</v>
      </c>
      <c r="BD14" s="393" t="b">
        <f t="shared" si="25"/>
        <v>0</v>
      </c>
      <c r="BE14" s="419" t="b">
        <f t="shared" si="26"/>
        <v>0</v>
      </c>
      <c r="BF14" s="418" t="b">
        <f t="shared" si="27"/>
        <v>0</v>
      </c>
      <c r="BG14" s="417" t="b">
        <f t="shared" si="28"/>
        <v>0</v>
      </c>
      <c r="BH14" s="417">
        <f t="shared" si="29"/>
        <v>1</v>
      </c>
      <c r="BI14" s="417">
        <f t="shared" si="30"/>
        <v>2</v>
      </c>
      <c r="BJ14" s="417" t="str">
        <f t="shared" si="31"/>
        <v>2*</v>
      </c>
      <c r="BK14" s="417">
        <f t="shared" si="32"/>
        <v>3</v>
      </c>
      <c r="BL14" s="435">
        <f t="shared" si="33"/>
        <v>1</v>
      </c>
      <c r="BM14" s="417">
        <f t="shared" si="34"/>
        <v>2</v>
      </c>
      <c r="BN14" s="417">
        <f t="shared" si="35"/>
        <v>3</v>
      </c>
      <c r="BO14" s="439">
        <v>1</v>
      </c>
      <c r="BP14" s="455" t="s">
        <v>288</v>
      </c>
    </row>
    <row r="15" spans="2:73" s="416" customFormat="1" ht="12.95" customHeight="1" x14ac:dyDescent="0.25">
      <c r="B15" s="433" t="str">
        <f>IF(ISNA(Z15),"",IF(OR(Z15=1,Z15=2),"    ",MAX($B$11:B14)+1))</f>
        <v xml:space="preserve">    </v>
      </c>
      <c r="C15" s="1618" t="str">
        <f t="shared" si="0"/>
        <v>Test and Evaluation  (40.0%)</v>
      </c>
      <c r="D15" s="1618"/>
      <c r="E15" s="1618"/>
      <c r="F15" s="1619"/>
      <c r="G15" s="437" t="str">
        <f t="shared" si="1"/>
        <v/>
      </c>
      <c r="H15" s="431" t="str">
        <f t="shared" si="2"/>
        <v/>
      </c>
      <c r="I15" s="436" t="str">
        <f t="shared" si="3"/>
        <v/>
      </c>
      <c r="J15" s="429"/>
      <c r="K15" s="428"/>
      <c r="L15" s="1701"/>
      <c r="M15" s="1702"/>
      <c r="N15" s="1702"/>
      <c r="O15" s="1702"/>
      <c r="P15" s="1702"/>
      <c r="Q15" s="1702"/>
      <c r="R15" s="1703"/>
      <c r="T15" s="401">
        <v>5</v>
      </c>
      <c r="U15" s="374" t="s">
        <v>643</v>
      </c>
      <c r="V15" s="421" t="s">
        <v>212</v>
      </c>
      <c r="W15" s="421" t="s">
        <v>212</v>
      </c>
      <c r="X15" s="421" t="s">
        <v>212</v>
      </c>
      <c r="Y15" s="421" t="s">
        <v>212</v>
      </c>
      <c r="Z15" s="393">
        <v>2</v>
      </c>
      <c r="AA15" s="393">
        <v>1</v>
      </c>
      <c r="AB15" s="393">
        <v>1</v>
      </c>
      <c r="AC15" s="421" t="s">
        <v>212</v>
      </c>
      <c r="AD15" s="421" t="s">
        <v>212</v>
      </c>
      <c r="AE15" s="421" t="s">
        <v>212</v>
      </c>
      <c r="AF15" s="421" t="s">
        <v>212</v>
      </c>
      <c r="AG15" s="421" t="str">
        <f t="shared" si="4"/>
        <v/>
      </c>
      <c r="AH15" s="421" t="str">
        <f t="shared" si="5"/>
        <v/>
      </c>
      <c r="AI15" s="427">
        <f>IF(NOT(OR(Z15=1,Z15=2)),IF(AQ15&gt;0,$AR$47*AQ15/SUMIF($AQ$11:$AQ$42,"&gt;0"),IF(AU15&gt;0,$AV$47*AU15/SUMIF($AU$11:$AU$42,"&gt;0"),IF(AS15&gt;0,$AT$47*AS15/SUMIF($AS$11:$AS$42,"&gt;0"),""))),IF(SUMIF(AJ16:$AJ$42,"=" &amp; AJ15,AI16:$AI$42)=0,"",SUMIF(AJ16:$AJ$42,"=" &amp; AJ15,AI16:$AI$42)))</f>
        <v>0.40000001188000028</v>
      </c>
      <c r="AJ15" s="426">
        <f t="shared" si="36"/>
        <v>1</v>
      </c>
      <c r="AK15" s="421" t="str">
        <f t="shared" si="6"/>
        <v/>
      </c>
      <c r="AL15" s="393" t="str">
        <f t="shared" si="7"/>
        <v/>
      </c>
      <c r="AM15" s="393" t="str">
        <f t="shared" si="8"/>
        <v/>
      </c>
      <c r="AN15" s="393" t="str">
        <f t="shared" si="9"/>
        <v/>
      </c>
      <c r="AO15" s="393" t="str">
        <f t="shared" si="10"/>
        <v/>
      </c>
      <c r="AP15" s="421" t="str">
        <f t="shared" si="11"/>
        <v/>
      </c>
      <c r="AQ15" s="425">
        <f t="shared" si="12"/>
        <v>0</v>
      </c>
      <c r="AR15" s="423" t="str">
        <f t="shared" si="13"/>
        <v/>
      </c>
      <c r="AS15" s="424">
        <f t="shared" si="14"/>
        <v>0</v>
      </c>
      <c r="AT15" s="423" t="str">
        <f t="shared" si="15"/>
        <v/>
      </c>
      <c r="AU15" s="420">
        <f t="shared" si="16"/>
        <v>0</v>
      </c>
      <c r="AV15" s="422" t="str">
        <f t="shared" si="17"/>
        <v/>
      </c>
      <c r="AW15" s="420" t="b">
        <f t="shared" si="18"/>
        <v>0</v>
      </c>
      <c r="AX15" s="419" t="b">
        <f t="shared" si="19"/>
        <v>0</v>
      </c>
      <c r="AY15" s="420" t="b">
        <f t="shared" si="20"/>
        <v>0</v>
      </c>
      <c r="AZ15" s="419" t="b">
        <f t="shared" si="21"/>
        <v>0</v>
      </c>
      <c r="BA15" s="421" t="b">
        <f t="shared" si="22"/>
        <v>0</v>
      </c>
      <c r="BB15" s="421" t="b">
        <f t="shared" si="23"/>
        <v>0</v>
      </c>
      <c r="BC15" s="420" t="b">
        <f t="shared" si="24"/>
        <v>0</v>
      </c>
      <c r="BD15" s="393" t="b">
        <f t="shared" si="25"/>
        <v>0</v>
      </c>
      <c r="BE15" s="419" t="b">
        <f t="shared" si="26"/>
        <v>0</v>
      </c>
      <c r="BF15" s="418" t="b">
        <f t="shared" si="27"/>
        <v>0</v>
      </c>
      <c r="BG15" s="417" t="b">
        <f t="shared" si="28"/>
        <v>0</v>
      </c>
      <c r="BH15" s="417" t="str">
        <f t="shared" si="29"/>
        <v/>
      </c>
      <c r="BI15" s="417" t="str">
        <f t="shared" si="30"/>
        <v/>
      </c>
      <c r="BJ15" s="417" t="str">
        <f t="shared" si="31"/>
        <v/>
      </c>
      <c r="BK15" s="417" t="str">
        <f t="shared" si="32"/>
        <v/>
      </c>
      <c r="BL15" s="435" t="str">
        <f t="shared" si="33"/>
        <v/>
      </c>
      <c r="BM15" s="417" t="str">
        <f t="shared" si="34"/>
        <v/>
      </c>
      <c r="BN15" s="417" t="str">
        <f t="shared" si="35"/>
        <v/>
      </c>
      <c r="BO15" s="439">
        <v>2</v>
      </c>
      <c r="BP15" s="455" t="s">
        <v>218</v>
      </c>
    </row>
    <row r="16" spans="2:73" s="416" customFormat="1" ht="12.95" customHeight="1" x14ac:dyDescent="0.25">
      <c r="B16" s="433">
        <f>IF(ISNA(Z16),"",IF(OR(Z16=1,Z16=2),"    ",MAX($B$11:B15)+1))</f>
        <v>4</v>
      </c>
      <c r="C16" s="1618" t="str">
        <f t="shared" si="0"/>
        <v xml:space="preserve">      - Test Methods and Conditions (6.0%)</v>
      </c>
      <c r="D16" s="1618"/>
      <c r="E16" s="1618"/>
      <c r="F16" s="1619"/>
      <c r="G16" s="437">
        <f t="shared" si="1"/>
        <v>1</v>
      </c>
      <c r="H16" s="431" t="str">
        <f t="shared" si="2"/>
        <v>2*</v>
      </c>
      <c r="I16" s="436">
        <f t="shared" si="3"/>
        <v>3</v>
      </c>
      <c r="J16" s="449">
        <v>1</v>
      </c>
      <c r="K16" s="448">
        <v>3</v>
      </c>
      <c r="L16" s="1701"/>
      <c r="M16" s="1702"/>
      <c r="N16" s="1702"/>
      <c r="O16" s="1702"/>
      <c r="P16" s="1702"/>
      <c r="Q16" s="1702"/>
      <c r="R16" s="1703"/>
      <c r="T16" s="401">
        <v>6</v>
      </c>
      <c r="U16" s="374" t="s">
        <v>642</v>
      </c>
      <c r="V16" s="421">
        <v>1</v>
      </c>
      <c r="W16" s="421">
        <v>2</v>
      </c>
      <c r="X16" s="421" t="s">
        <v>212</v>
      </c>
      <c r="Y16" s="421" t="s">
        <v>212</v>
      </c>
      <c r="Z16" s="393" t="s">
        <v>212</v>
      </c>
      <c r="AA16" s="393">
        <v>2</v>
      </c>
      <c r="AB16" s="393">
        <v>1</v>
      </c>
      <c r="AC16" s="421">
        <v>3</v>
      </c>
      <c r="AD16" s="421">
        <v>2</v>
      </c>
      <c r="AE16" s="421">
        <v>1</v>
      </c>
      <c r="AF16" s="421" t="b">
        <v>1</v>
      </c>
      <c r="AG16" s="421">
        <f t="shared" si="4"/>
        <v>2</v>
      </c>
      <c r="AH16" s="421">
        <f t="shared" si="5"/>
        <v>1</v>
      </c>
      <c r="AI16" s="427">
        <f>IF(NOT(OR(Z16=1,Z16=2)),IF(AQ16&gt;0,$AR$47*AQ16/SUMIF($AQ$11:$AQ$42,"&gt;0"),IF(AU16&gt;0,$AV$47*AU16/SUMIF($AU$11:$AU$42,"&gt;0"),IF(AS16&gt;0,$AT$47*AS16/SUMIF($AS$11:$AS$42,"&gt;0"),""))),IF(SUMIF(AJ17:$AJ$42,"=" &amp; AJ16,AI17:$AI$42)=0,"",SUMIF(AJ17:$AJ$42,"=" &amp; AJ16,AI17:$AI$42)))</f>
        <v>6.0000001932000051E-2</v>
      </c>
      <c r="AJ16" s="426">
        <f t="shared" si="36"/>
        <v>1</v>
      </c>
      <c r="AK16" s="421">
        <f t="shared" si="6"/>
        <v>2</v>
      </c>
      <c r="AL16" s="393">
        <f t="shared" si="7"/>
        <v>3</v>
      </c>
      <c r="AM16" s="393">
        <f t="shared" si="8"/>
        <v>1</v>
      </c>
      <c r="AN16" s="393" t="str">
        <f t="shared" si="9"/>
        <v/>
      </c>
      <c r="AO16" s="393" t="str">
        <f t="shared" si="10"/>
        <v/>
      </c>
      <c r="AP16" s="421" t="b">
        <f t="shared" si="11"/>
        <v>0</v>
      </c>
      <c r="AQ16" s="425">
        <f t="shared" si="12"/>
        <v>2</v>
      </c>
      <c r="AR16" s="423">
        <f t="shared" si="13"/>
        <v>0.9</v>
      </c>
      <c r="AS16" s="424">
        <f t="shared" si="14"/>
        <v>0</v>
      </c>
      <c r="AT16" s="423" t="str">
        <f t="shared" si="15"/>
        <v/>
      </c>
      <c r="AU16" s="420">
        <f t="shared" si="16"/>
        <v>0</v>
      </c>
      <c r="AV16" s="422">
        <f t="shared" si="17"/>
        <v>0.9</v>
      </c>
      <c r="AW16" s="420" t="b">
        <f t="shared" si="18"/>
        <v>0</v>
      </c>
      <c r="AX16" s="419" t="b">
        <f t="shared" si="19"/>
        <v>0</v>
      </c>
      <c r="AY16" s="420" t="b">
        <f t="shared" si="20"/>
        <v>0</v>
      </c>
      <c r="AZ16" s="419" t="b">
        <f t="shared" si="21"/>
        <v>0</v>
      </c>
      <c r="BA16" s="421" t="b">
        <f t="shared" si="22"/>
        <v>0</v>
      </c>
      <c r="BB16" s="421" t="b">
        <f t="shared" si="23"/>
        <v>0</v>
      </c>
      <c r="BC16" s="420" t="b">
        <f t="shared" si="24"/>
        <v>0</v>
      </c>
      <c r="BD16" s="393" t="b">
        <f t="shared" si="25"/>
        <v>0</v>
      </c>
      <c r="BE16" s="419" t="b">
        <f t="shared" si="26"/>
        <v>0</v>
      </c>
      <c r="BF16" s="418" t="b">
        <f t="shared" si="27"/>
        <v>0</v>
      </c>
      <c r="BG16" s="417" t="b">
        <f t="shared" si="28"/>
        <v>0</v>
      </c>
      <c r="BH16" s="417">
        <f t="shared" si="29"/>
        <v>1</v>
      </c>
      <c r="BI16" s="417">
        <f t="shared" si="30"/>
        <v>2</v>
      </c>
      <c r="BJ16" s="417" t="str">
        <f t="shared" si="31"/>
        <v>2*</v>
      </c>
      <c r="BK16" s="417">
        <f t="shared" si="32"/>
        <v>3</v>
      </c>
      <c r="BL16" s="435">
        <f t="shared" si="33"/>
        <v>1</v>
      </c>
      <c r="BM16" s="417">
        <f t="shared" si="34"/>
        <v>2</v>
      </c>
      <c r="BN16" s="417">
        <f t="shared" si="35"/>
        <v>3</v>
      </c>
      <c r="BO16" s="439">
        <v>3</v>
      </c>
      <c r="BP16" s="455" t="s">
        <v>220</v>
      </c>
    </row>
    <row r="17" spans="2:75" s="416" customFormat="1" ht="12.95" customHeight="1" x14ac:dyDescent="0.25">
      <c r="B17" s="433">
        <f>IF(ISNA(Z17),"",IF(OR(Z17=1,Z17=2),"    ",MAX($B$11:B16)+1))</f>
        <v>5</v>
      </c>
      <c r="C17" s="1618" t="str">
        <f t="shared" si="0"/>
        <v xml:space="preserve">      - Objective Results (12.0%)</v>
      </c>
      <c r="D17" s="1618"/>
      <c r="E17" s="1618"/>
      <c r="F17" s="1619"/>
      <c r="G17" s="437">
        <f t="shared" si="1"/>
        <v>1</v>
      </c>
      <c r="H17" s="431" t="str">
        <f t="shared" si="2"/>
        <v>2*</v>
      </c>
      <c r="I17" s="436">
        <f t="shared" si="3"/>
        <v>3</v>
      </c>
      <c r="J17" s="449">
        <v>1</v>
      </c>
      <c r="K17" s="448">
        <v>3</v>
      </c>
      <c r="L17" s="1701"/>
      <c r="M17" s="1702"/>
      <c r="N17" s="1702"/>
      <c r="O17" s="1702"/>
      <c r="P17" s="1702"/>
      <c r="Q17" s="1702"/>
      <c r="R17" s="1703"/>
      <c r="T17" s="401">
        <v>7</v>
      </c>
      <c r="U17" s="374" t="s">
        <v>641</v>
      </c>
      <c r="V17" s="421">
        <v>1</v>
      </c>
      <c r="W17" s="421">
        <v>4</v>
      </c>
      <c r="X17" s="421" t="s">
        <v>212</v>
      </c>
      <c r="Y17" s="421" t="s">
        <v>212</v>
      </c>
      <c r="Z17" s="393" t="s">
        <v>212</v>
      </c>
      <c r="AA17" s="393">
        <v>2</v>
      </c>
      <c r="AB17" s="393">
        <v>1</v>
      </c>
      <c r="AC17" s="421">
        <v>3</v>
      </c>
      <c r="AD17" s="421">
        <v>2</v>
      </c>
      <c r="AE17" s="421">
        <v>1</v>
      </c>
      <c r="AF17" s="421" t="b">
        <v>1</v>
      </c>
      <c r="AG17" s="421">
        <f t="shared" si="4"/>
        <v>2</v>
      </c>
      <c r="AH17" s="421">
        <f t="shared" si="5"/>
        <v>1</v>
      </c>
      <c r="AI17" s="427">
        <f>IF(NOT(OR(Z17=1,Z17=2)),IF(AQ17&gt;0,$AR$47*AQ17/SUMIF($AQ$11:$AQ$42,"&gt;0"),IF(AU17&gt;0,$AV$47*AU17/SUMIF($AU$11:$AU$42,"&gt;0"),IF(AS17&gt;0,$AT$47*AS17/SUMIF($AS$11:$AS$42,"&gt;0"),""))),IF(SUMIF(AJ18:$AJ$42,"=" &amp; AJ17,AI18:$AI$42)=0,"",SUMIF(AJ18:$AJ$42,"=" &amp; AJ17,AI18:$AI$42)))</f>
        <v>0.1200000038640001</v>
      </c>
      <c r="AJ17" s="426">
        <f t="shared" si="36"/>
        <v>1</v>
      </c>
      <c r="AK17" s="421">
        <f t="shared" si="6"/>
        <v>2</v>
      </c>
      <c r="AL17" s="393">
        <f t="shared" si="7"/>
        <v>3</v>
      </c>
      <c r="AM17" s="393">
        <f t="shared" si="8"/>
        <v>1</v>
      </c>
      <c r="AN17" s="393" t="str">
        <f t="shared" si="9"/>
        <v/>
      </c>
      <c r="AO17" s="393" t="str">
        <f t="shared" si="10"/>
        <v/>
      </c>
      <c r="AP17" s="421" t="b">
        <f t="shared" si="11"/>
        <v>0</v>
      </c>
      <c r="AQ17" s="425">
        <f t="shared" si="12"/>
        <v>4</v>
      </c>
      <c r="AR17" s="423">
        <f t="shared" si="13"/>
        <v>0.9</v>
      </c>
      <c r="AS17" s="424">
        <f t="shared" si="14"/>
        <v>0</v>
      </c>
      <c r="AT17" s="423" t="str">
        <f t="shared" si="15"/>
        <v/>
      </c>
      <c r="AU17" s="420">
        <f t="shared" si="16"/>
        <v>0</v>
      </c>
      <c r="AV17" s="422">
        <f t="shared" si="17"/>
        <v>0.9</v>
      </c>
      <c r="AW17" s="420" t="b">
        <f t="shared" si="18"/>
        <v>0</v>
      </c>
      <c r="AX17" s="419" t="b">
        <f t="shared" si="19"/>
        <v>0</v>
      </c>
      <c r="AY17" s="420" t="b">
        <f t="shared" si="20"/>
        <v>0</v>
      </c>
      <c r="AZ17" s="419" t="b">
        <f t="shared" si="21"/>
        <v>0</v>
      </c>
      <c r="BA17" s="421" t="b">
        <f t="shared" si="22"/>
        <v>0</v>
      </c>
      <c r="BB17" s="421" t="b">
        <f t="shared" si="23"/>
        <v>0</v>
      </c>
      <c r="BC17" s="420" t="b">
        <f t="shared" si="24"/>
        <v>0</v>
      </c>
      <c r="BD17" s="393" t="b">
        <f t="shared" si="25"/>
        <v>0</v>
      </c>
      <c r="BE17" s="419" t="b">
        <f t="shared" si="26"/>
        <v>0</v>
      </c>
      <c r="BF17" s="418" t="b">
        <f t="shared" si="27"/>
        <v>0</v>
      </c>
      <c r="BG17" s="417" t="b">
        <f t="shared" si="28"/>
        <v>0</v>
      </c>
      <c r="BH17" s="417">
        <f t="shared" si="29"/>
        <v>1</v>
      </c>
      <c r="BI17" s="417">
        <f t="shared" si="30"/>
        <v>2</v>
      </c>
      <c r="BJ17" s="417" t="str">
        <f t="shared" si="31"/>
        <v>2*</v>
      </c>
      <c r="BK17" s="417">
        <f t="shared" si="32"/>
        <v>3</v>
      </c>
      <c r="BL17" s="435">
        <f t="shared" si="33"/>
        <v>1</v>
      </c>
      <c r="BM17" s="417">
        <f t="shared" si="34"/>
        <v>2</v>
      </c>
      <c r="BN17" s="417">
        <f t="shared" si="35"/>
        <v>3</v>
      </c>
      <c r="BO17" s="439">
        <v>4</v>
      </c>
      <c r="BP17" s="455" t="s">
        <v>222</v>
      </c>
    </row>
    <row r="18" spans="2:75" s="416" customFormat="1" ht="12.95" customHeight="1" x14ac:dyDescent="0.25">
      <c r="B18" s="433">
        <f>IF(ISNA(Z18),"",IF(OR(Z18=1,Z18=2),"    ",MAX($B$11:B17)+1))</f>
        <v>6</v>
      </c>
      <c r="C18" s="1618" t="str">
        <f t="shared" si="0"/>
        <v xml:space="preserve">      - Eng Analysis &amp; Oper. Impact (12.0%)</v>
      </c>
      <c r="D18" s="1618"/>
      <c r="E18" s="1618"/>
      <c r="F18" s="1619"/>
      <c r="G18" s="437">
        <f t="shared" si="1"/>
        <v>1</v>
      </c>
      <c r="H18" s="431" t="str">
        <f t="shared" si="2"/>
        <v>2*</v>
      </c>
      <c r="I18" s="436">
        <f t="shared" si="3"/>
        <v>3</v>
      </c>
      <c r="J18" s="449">
        <v>1</v>
      </c>
      <c r="K18" s="448">
        <v>3</v>
      </c>
      <c r="L18" s="1701"/>
      <c r="M18" s="1702"/>
      <c r="N18" s="1702"/>
      <c r="O18" s="1702"/>
      <c r="P18" s="1702"/>
      <c r="Q18" s="1702"/>
      <c r="R18" s="1703"/>
      <c r="T18" s="401">
        <v>8</v>
      </c>
      <c r="U18" s="374" t="s">
        <v>640</v>
      </c>
      <c r="V18" s="421">
        <v>1</v>
      </c>
      <c r="W18" s="421">
        <v>4</v>
      </c>
      <c r="X18" s="421" t="s">
        <v>212</v>
      </c>
      <c r="Y18" s="421" t="s">
        <v>212</v>
      </c>
      <c r="Z18" s="393" t="s">
        <v>212</v>
      </c>
      <c r="AA18" s="393">
        <v>2</v>
      </c>
      <c r="AB18" s="393">
        <v>1</v>
      </c>
      <c r="AC18" s="421">
        <v>3</v>
      </c>
      <c r="AD18" s="421">
        <v>2</v>
      </c>
      <c r="AE18" s="421">
        <v>1</v>
      </c>
      <c r="AF18" s="421" t="b">
        <v>1</v>
      </c>
      <c r="AG18" s="421">
        <f t="shared" si="4"/>
        <v>2</v>
      </c>
      <c r="AH18" s="421">
        <f t="shared" si="5"/>
        <v>1</v>
      </c>
      <c r="AI18" s="427">
        <f>IF(NOT(OR(Z18=1,Z18=2)),IF(AQ18&gt;0,$AR$47*AQ18/SUMIF($AQ$11:$AQ$42,"&gt;0"),IF(AU18&gt;0,$AV$47*AU18/SUMIF($AU$11:$AU$42,"&gt;0"),IF(AS18&gt;0,$AT$47*AS18/SUMIF($AS$11:$AS$42,"&gt;0"),""))),IF(SUMIF(AJ19:$AJ$42,"=" &amp; AJ18,AI19:$AI$42)=0,"",SUMIF(AJ19:$AJ$42,"=" &amp; AJ18,AI19:$AI$42)))</f>
        <v>0.1200000038640001</v>
      </c>
      <c r="AJ18" s="426">
        <f t="shared" si="36"/>
        <v>1</v>
      </c>
      <c r="AK18" s="421">
        <f t="shared" si="6"/>
        <v>2</v>
      </c>
      <c r="AL18" s="393">
        <f t="shared" si="7"/>
        <v>3</v>
      </c>
      <c r="AM18" s="393">
        <f t="shared" si="8"/>
        <v>1</v>
      </c>
      <c r="AN18" s="393" t="str">
        <f t="shared" si="9"/>
        <v/>
      </c>
      <c r="AO18" s="393" t="str">
        <f t="shared" si="10"/>
        <v/>
      </c>
      <c r="AP18" s="421" t="b">
        <f t="shared" si="11"/>
        <v>0</v>
      </c>
      <c r="AQ18" s="425">
        <f t="shared" si="12"/>
        <v>4</v>
      </c>
      <c r="AR18" s="423">
        <f t="shared" si="13"/>
        <v>0.9</v>
      </c>
      <c r="AS18" s="424">
        <f t="shared" si="14"/>
        <v>0</v>
      </c>
      <c r="AT18" s="423" t="str">
        <f t="shared" si="15"/>
        <v/>
      </c>
      <c r="AU18" s="420">
        <f t="shared" si="16"/>
        <v>0</v>
      </c>
      <c r="AV18" s="422">
        <f t="shared" si="17"/>
        <v>0.9</v>
      </c>
      <c r="AW18" s="420" t="b">
        <f t="shared" si="18"/>
        <v>0</v>
      </c>
      <c r="AX18" s="419" t="b">
        <f t="shared" si="19"/>
        <v>0</v>
      </c>
      <c r="AY18" s="420" t="b">
        <f t="shared" si="20"/>
        <v>0</v>
      </c>
      <c r="AZ18" s="419" t="b">
        <f t="shared" si="21"/>
        <v>0</v>
      </c>
      <c r="BA18" s="421" t="b">
        <f t="shared" si="22"/>
        <v>0</v>
      </c>
      <c r="BB18" s="421" t="b">
        <f t="shared" si="23"/>
        <v>0</v>
      </c>
      <c r="BC18" s="420" t="b">
        <f t="shared" si="24"/>
        <v>0</v>
      </c>
      <c r="BD18" s="393" t="b">
        <f t="shared" si="25"/>
        <v>0</v>
      </c>
      <c r="BE18" s="419" t="b">
        <f t="shared" si="26"/>
        <v>0</v>
      </c>
      <c r="BF18" s="418" t="b">
        <f t="shared" si="27"/>
        <v>0</v>
      </c>
      <c r="BG18" s="417" t="b">
        <f t="shared" si="28"/>
        <v>0</v>
      </c>
      <c r="BH18" s="417">
        <f t="shared" si="29"/>
        <v>1</v>
      </c>
      <c r="BI18" s="417">
        <f t="shared" si="30"/>
        <v>2</v>
      </c>
      <c r="BJ18" s="417" t="str">
        <f t="shared" si="31"/>
        <v>2*</v>
      </c>
      <c r="BK18" s="417">
        <f t="shared" si="32"/>
        <v>3</v>
      </c>
      <c r="BL18" s="435">
        <f t="shared" si="33"/>
        <v>1</v>
      </c>
      <c r="BM18" s="417">
        <f t="shared" si="34"/>
        <v>2</v>
      </c>
      <c r="BN18" s="417">
        <f t="shared" si="35"/>
        <v>3</v>
      </c>
      <c r="BO18" s="372"/>
    </row>
    <row r="19" spans="2:75" s="416" customFormat="1" ht="12.95" customHeight="1" x14ac:dyDescent="0.25">
      <c r="B19" s="433">
        <f>IF(ISNA(Z19),"",IF(OR(Z19=1,Z19=2),"    ",MAX($B$11:B18)+1))</f>
        <v>7</v>
      </c>
      <c r="C19" s="1618" t="str">
        <f t="shared" si="0"/>
        <v xml:space="preserve">      - Conclusions &amp; Recomm. (10.0%)</v>
      </c>
      <c r="D19" s="1618"/>
      <c r="E19" s="1618"/>
      <c r="F19" s="1619"/>
      <c r="G19" s="437">
        <f t="shared" si="1"/>
        <v>1</v>
      </c>
      <c r="H19" s="431" t="str">
        <f t="shared" si="2"/>
        <v>2*</v>
      </c>
      <c r="I19" s="436">
        <f t="shared" si="3"/>
        <v>3</v>
      </c>
      <c r="J19" s="449">
        <v>1</v>
      </c>
      <c r="K19" s="448">
        <v>4</v>
      </c>
      <c r="L19" s="1701"/>
      <c r="M19" s="1702"/>
      <c r="N19" s="1702"/>
      <c r="O19" s="1702"/>
      <c r="P19" s="1702"/>
      <c r="Q19" s="1702"/>
      <c r="R19" s="1703"/>
      <c r="T19" s="401">
        <v>9</v>
      </c>
      <c r="U19" s="374" t="s">
        <v>639</v>
      </c>
      <c r="V19" s="421">
        <v>1</v>
      </c>
      <c r="W19" s="421">
        <v>3.3333333000000001</v>
      </c>
      <c r="X19" s="421" t="s">
        <v>212</v>
      </c>
      <c r="Y19" s="421" t="s">
        <v>212</v>
      </c>
      <c r="Z19" s="393" t="s">
        <v>212</v>
      </c>
      <c r="AA19" s="393">
        <v>2</v>
      </c>
      <c r="AB19" s="393">
        <v>1</v>
      </c>
      <c r="AC19" s="421">
        <v>3</v>
      </c>
      <c r="AD19" s="421">
        <v>2</v>
      </c>
      <c r="AE19" s="421">
        <v>1</v>
      </c>
      <c r="AF19" s="421" t="b">
        <v>1</v>
      </c>
      <c r="AG19" s="421">
        <f t="shared" si="4"/>
        <v>2</v>
      </c>
      <c r="AH19" s="421">
        <f t="shared" si="5"/>
        <v>1</v>
      </c>
      <c r="AI19" s="427">
        <f>IF(NOT(OR(Z19=1,Z19=2)),IF(AQ19&gt;0,$AR$47*AQ19/SUMIF($AQ$11:$AQ$42,"&gt;0"),IF(AU19&gt;0,$AV$47*AU19/SUMIF($AU$11:$AU$42,"&gt;0"),IF(AS19&gt;0,$AT$47*AS19/SUMIF($AS$11:$AS$42,"&gt;0"),""))),IF(SUMIF(AJ20:$AJ$42,"=" &amp; AJ19,AI20:$AI$42)=0,"",SUMIF(AJ20:$AJ$42,"=" &amp; AJ19,AI20:$AI$42)))</f>
        <v>0.10000000222000005</v>
      </c>
      <c r="AJ19" s="426">
        <f t="shared" si="36"/>
        <v>1</v>
      </c>
      <c r="AK19" s="421">
        <f t="shared" si="6"/>
        <v>2</v>
      </c>
      <c r="AL19" s="393">
        <f t="shared" si="7"/>
        <v>4</v>
      </c>
      <c r="AM19" s="393">
        <f t="shared" si="8"/>
        <v>1</v>
      </c>
      <c r="AN19" s="393" t="str">
        <f t="shared" si="9"/>
        <v/>
      </c>
      <c r="AO19" s="393" t="str">
        <f t="shared" si="10"/>
        <v/>
      </c>
      <c r="AP19" s="421" t="b">
        <f t="shared" si="11"/>
        <v>0</v>
      </c>
      <c r="AQ19" s="425">
        <f t="shared" si="12"/>
        <v>3.3333333000000001</v>
      </c>
      <c r="AR19" s="423">
        <f t="shared" si="13"/>
        <v>1</v>
      </c>
      <c r="AS19" s="424">
        <f t="shared" si="14"/>
        <v>0</v>
      </c>
      <c r="AT19" s="423" t="str">
        <f t="shared" si="15"/>
        <v/>
      </c>
      <c r="AU19" s="420">
        <f t="shared" si="16"/>
        <v>0</v>
      </c>
      <c r="AV19" s="422">
        <f t="shared" si="17"/>
        <v>1</v>
      </c>
      <c r="AW19" s="420" t="b">
        <f t="shared" si="18"/>
        <v>0</v>
      </c>
      <c r="AX19" s="419" t="b">
        <f t="shared" si="19"/>
        <v>0</v>
      </c>
      <c r="AY19" s="420" t="b">
        <f t="shared" si="20"/>
        <v>0</v>
      </c>
      <c r="AZ19" s="419" t="b">
        <f t="shared" si="21"/>
        <v>0</v>
      </c>
      <c r="BA19" s="421" t="b">
        <f t="shared" si="22"/>
        <v>0</v>
      </c>
      <c r="BB19" s="421" t="b">
        <f t="shared" si="23"/>
        <v>0</v>
      </c>
      <c r="BC19" s="420" t="b">
        <f t="shared" si="24"/>
        <v>0</v>
      </c>
      <c r="BD19" s="393" t="b">
        <f t="shared" si="25"/>
        <v>0</v>
      </c>
      <c r="BE19" s="419" t="b">
        <f t="shared" si="26"/>
        <v>0</v>
      </c>
      <c r="BF19" s="418" t="b">
        <f t="shared" si="27"/>
        <v>0</v>
      </c>
      <c r="BG19" s="417" t="b">
        <f t="shared" si="28"/>
        <v>0</v>
      </c>
      <c r="BH19" s="417">
        <f t="shared" si="29"/>
        <v>1</v>
      </c>
      <c r="BI19" s="417">
        <f t="shared" si="30"/>
        <v>2</v>
      </c>
      <c r="BJ19" s="417" t="str">
        <f t="shared" si="31"/>
        <v>2*</v>
      </c>
      <c r="BK19" s="417">
        <f t="shared" si="32"/>
        <v>3</v>
      </c>
      <c r="BL19" s="435">
        <f t="shared" si="33"/>
        <v>1</v>
      </c>
      <c r="BM19" s="417">
        <f t="shared" si="34"/>
        <v>2</v>
      </c>
      <c r="BN19" s="417">
        <f t="shared" si="35"/>
        <v>3</v>
      </c>
      <c r="BO19" s="439"/>
      <c r="BP19" s="454"/>
    </row>
    <row r="20" spans="2:75" s="416" customFormat="1" ht="12.95" customHeight="1" x14ac:dyDescent="0.25">
      <c r="B20" s="433" t="str">
        <f>IF(ISNA(Z20),"",IF(OR(Z20=1,Z20=2),"    ",MAX($B$11:B19)+1))</f>
        <v xml:space="preserve">    </v>
      </c>
      <c r="C20" s="1618" t="str">
        <f t="shared" si="0"/>
        <v>Clarity &amp; Precision (Mechanics) (10.0%)</v>
      </c>
      <c r="D20" s="1618"/>
      <c r="E20" s="1618"/>
      <c r="F20" s="1619"/>
      <c r="G20" s="437" t="str">
        <f t="shared" si="1"/>
        <v/>
      </c>
      <c r="H20" s="431" t="str">
        <f t="shared" si="2"/>
        <v/>
      </c>
      <c r="I20" s="436" t="str">
        <f t="shared" si="3"/>
        <v/>
      </c>
      <c r="J20" s="429"/>
      <c r="K20" s="428"/>
      <c r="L20" s="1701"/>
      <c r="M20" s="1702"/>
      <c r="N20" s="1702"/>
      <c r="O20" s="1702"/>
      <c r="P20" s="1702"/>
      <c r="Q20" s="1702"/>
      <c r="R20" s="1703"/>
      <c r="T20" s="401">
        <v>10</v>
      </c>
      <c r="U20" s="374" t="s">
        <v>638</v>
      </c>
      <c r="V20" s="421" t="s">
        <v>212</v>
      </c>
      <c r="W20" s="421" t="s">
        <v>212</v>
      </c>
      <c r="X20" s="421" t="s">
        <v>212</v>
      </c>
      <c r="Y20" s="421" t="s">
        <v>212</v>
      </c>
      <c r="Z20" s="393">
        <v>2</v>
      </c>
      <c r="AA20" s="393">
        <v>1</v>
      </c>
      <c r="AB20" s="393">
        <v>1</v>
      </c>
      <c r="AC20" s="421" t="s">
        <v>212</v>
      </c>
      <c r="AD20" s="421" t="s">
        <v>212</v>
      </c>
      <c r="AE20" s="421" t="s">
        <v>212</v>
      </c>
      <c r="AF20" s="421" t="s">
        <v>212</v>
      </c>
      <c r="AG20" s="421" t="str">
        <f t="shared" si="4"/>
        <v/>
      </c>
      <c r="AH20" s="421" t="str">
        <f t="shared" si="5"/>
        <v/>
      </c>
      <c r="AI20" s="427">
        <f>IF(NOT(OR(Z20=1,Z20=2)),IF(AQ20&gt;0,$AR$47*AQ20/SUMIF($AQ$11:$AQ$42,"&gt;0"),IF(AU20&gt;0,$AV$47*AU20/SUMIF($AU$11:$AU$42,"&gt;0"),IF(AS20&gt;0,$AT$47*AS20/SUMIF($AS$11:$AS$42,"&gt;0"),""))),IF(SUMIF(AJ21:$AJ$42,"=" &amp; AJ20,AI21:$AI$42)=0,"",SUMIF(AJ21:$AJ$42,"=" &amp; AJ20,AI21:$AI$42)))</f>
        <v>0.10000000222000006</v>
      </c>
      <c r="AJ20" s="426">
        <f t="shared" si="36"/>
        <v>2</v>
      </c>
      <c r="AK20" s="421" t="str">
        <f t="shared" si="6"/>
        <v/>
      </c>
      <c r="AL20" s="393" t="str">
        <f t="shared" si="7"/>
        <v/>
      </c>
      <c r="AM20" s="393" t="str">
        <f t="shared" si="8"/>
        <v/>
      </c>
      <c r="AN20" s="393" t="str">
        <f t="shared" si="9"/>
        <v/>
      </c>
      <c r="AO20" s="393" t="str">
        <f t="shared" si="10"/>
        <v/>
      </c>
      <c r="AP20" s="421" t="str">
        <f t="shared" si="11"/>
        <v/>
      </c>
      <c r="AQ20" s="425">
        <f t="shared" si="12"/>
        <v>0</v>
      </c>
      <c r="AR20" s="423" t="str">
        <f t="shared" si="13"/>
        <v/>
      </c>
      <c r="AS20" s="424">
        <f t="shared" si="14"/>
        <v>0</v>
      </c>
      <c r="AT20" s="423" t="str">
        <f t="shared" si="15"/>
        <v/>
      </c>
      <c r="AU20" s="420">
        <f t="shared" si="16"/>
        <v>0</v>
      </c>
      <c r="AV20" s="422" t="str">
        <f t="shared" si="17"/>
        <v/>
      </c>
      <c r="AW20" s="420" t="b">
        <f t="shared" si="18"/>
        <v>0</v>
      </c>
      <c r="AX20" s="419" t="b">
        <f t="shared" si="19"/>
        <v>0</v>
      </c>
      <c r="AY20" s="420" t="b">
        <f t="shared" si="20"/>
        <v>0</v>
      </c>
      <c r="AZ20" s="419" t="b">
        <f t="shared" si="21"/>
        <v>0</v>
      </c>
      <c r="BA20" s="421" t="b">
        <f t="shared" si="22"/>
        <v>0</v>
      </c>
      <c r="BB20" s="421" t="b">
        <f t="shared" si="23"/>
        <v>0</v>
      </c>
      <c r="BC20" s="420" t="b">
        <f t="shared" si="24"/>
        <v>0</v>
      </c>
      <c r="BD20" s="393" t="b">
        <f t="shared" si="25"/>
        <v>0</v>
      </c>
      <c r="BE20" s="419" t="b">
        <f t="shared" si="26"/>
        <v>0</v>
      </c>
      <c r="BF20" s="418" t="b">
        <f t="shared" si="27"/>
        <v>0</v>
      </c>
      <c r="BG20" s="417" t="b">
        <f t="shared" si="28"/>
        <v>0</v>
      </c>
      <c r="BH20" s="417" t="str">
        <f t="shared" si="29"/>
        <v/>
      </c>
      <c r="BI20" s="417" t="str">
        <f t="shared" si="30"/>
        <v/>
      </c>
      <c r="BJ20" s="417" t="str">
        <f t="shared" si="31"/>
        <v/>
      </c>
      <c r="BK20" s="417" t="str">
        <f t="shared" si="32"/>
        <v/>
      </c>
      <c r="BL20" s="435" t="str">
        <f t="shared" si="33"/>
        <v/>
      </c>
      <c r="BM20" s="417" t="str">
        <f t="shared" si="34"/>
        <v/>
      </c>
      <c r="BN20" s="417" t="str">
        <f t="shared" si="35"/>
        <v/>
      </c>
      <c r="BO20" s="372"/>
    </row>
    <row r="21" spans="2:75" s="416" customFormat="1" ht="12.95" customHeight="1" x14ac:dyDescent="0.25">
      <c r="B21" s="433">
        <f>IF(ISNA(Z21),"",IF(OR(Z21=1,Z21=2),"    ",MAX($B$11:B20)+1))</f>
        <v>8</v>
      </c>
      <c r="C21" s="1618" t="str">
        <f t="shared" si="0"/>
        <v xml:space="preserve">      - Grammar &amp; Syntax (4.0%)</v>
      </c>
      <c r="D21" s="1618"/>
      <c r="E21" s="1618"/>
      <c r="F21" s="1619"/>
      <c r="G21" s="437">
        <f t="shared" si="1"/>
        <v>1</v>
      </c>
      <c r="H21" s="431" t="str">
        <f t="shared" si="2"/>
        <v>2*</v>
      </c>
      <c r="I21" s="436">
        <f t="shared" si="3"/>
        <v>3</v>
      </c>
      <c r="J21" s="449">
        <v>1</v>
      </c>
      <c r="K21" s="448">
        <v>4</v>
      </c>
      <c r="L21" s="1701"/>
      <c r="M21" s="1702"/>
      <c r="N21" s="1702"/>
      <c r="O21" s="1702"/>
      <c r="P21" s="1702"/>
      <c r="Q21" s="1702"/>
      <c r="R21" s="1703"/>
      <c r="T21" s="401">
        <v>11</v>
      </c>
      <c r="U21" s="374" t="s">
        <v>637</v>
      </c>
      <c r="V21" s="421">
        <v>1</v>
      </c>
      <c r="W21" s="421">
        <v>1.3333333000000001</v>
      </c>
      <c r="X21" s="421" t="s">
        <v>212</v>
      </c>
      <c r="Y21" s="421" t="s">
        <v>212</v>
      </c>
      <c r="Z21" s="393" t="s">
        <v>212</v>
      </c>
      <c r="AA21" s="393">
        <v>2</v>
      </c>
      <c r="AB21" s="393">
        <v>1</v>
      </c>
      <c r="AC21" s="421">
        <v>3</v>
      </c>
      <c r="AD21" s="421">
        <v>2</v>
      </c>
      <c r="AE21" s="421">
        <v>1</v>
      </c>
      <c r="AF21" s="421" t="b">
        <v>1</v>
      </c>
      <c r="AG21" s="421">
        <f t="shared" si="4"/>
        <v>2</v>
      </c>
      <c r="AH21" s="421">
        <f t="shared" si="5"/>
        <v>1</v>
      </c>
      <c r="AI21" s="427">
        <f>IF(NOT(OR(Z21=1,Z21=2)),IF(AQ21&gt;0,$AR$47*AQ21/SUMIF($AQ$11:$AQ$42,"&gt;0"),IF(AU21&gt;0,$AV$47*AU21/SUMIF($AU$11:$AU$42,"&gt;0"),IF(AS21&gt;0,$AT$47*AS21/SUMIF($AS$11:$AS$42,"&gt;0"),""))),IF(SUMIF(AJ22:$AJ$42,"=" &amp; AJ21,AI22:$AI$42)=0,"",SUMIF(AJ22:$AJ$42,"=" &amp; AJ21,AI22:$AI$42)))</f>
        <v>4.0000000288000007E-2</v>
      </c>
      <c r="AJ21" s="426">
        <f t="shared" si="36"/>
        <v>2</v>
      </c>
      <c r="AK21" s="421">
        <f t="shared" si="6"/>
        <v>2</v>
      </c>
      <c r="AL21" s="393">
        <f t="shared" si="7"/>
        <v>4</v>
      </c>
      <c r="AM21" s="393">
        <f t="shared" si="8"/>
        <v>1</v>
      </c>
      <c r="AN21" s="393" t="str">
        <f t="shared" si="9"/>
        <v/>
      </c>
      <c r="AO21" s="393" t="str">
        <f t="shared" si="10"/>
        <v/>
      </c>
      <c r="AP21" s="421" t="b">
        <f t="shared" si="11"/>
        <v>0</v>
      </c>
      <c r="AQ21" s="425">
        <f t="shared" si="12"/>
        <v>1.3333333000000001</v>
      </c>
      <c r="AR21" s="423">
        <f t="shared" si="13"/>
        <v>1</v>
      </c>
      <c r="AS21" s="424">
        <f t="shared" si="14"/>
        <v>0</v>
      </c>
      <c r="AT21" s="423" t="str">
        <f t="shared" si="15"/>
        <v/>
      </c>
      <c r="AU21" s="420">
        <f t="shared" si="16"/>
        <v>0</v>
      </c>
      <c r="AV21" s="422">
        <f t="shared" si="17"/>
        <v>1</v>
      </c>
      <c r="AW21" s="420" t="b">
        <f t="shared" si="18"/>
        <v>0</v>
      </c>
      <c r="AX21" s="419" t="b">
        <f t="shared" si="19"/>
        <v>0</v>
      </c>
      <c r="AY21" s="420" t="b">
        <f t="shared" si="20"/>
        <v>0</v>
      </c>
      <c r="AZ21" s="419" t="b">
        <f t="shared" si="21"/>
        <v>0</v>
      </c>
      <c r="BA21" s="421" t="b">
        <f t="shared" si="22"/>
        <v>0</v>
      </c>
      <c r="BB21" s="421" t="b">
        <f t="shared" si="23"/>
        <v>0</v>
      </c>
      <c r="BC21" s="420" t="b">
        <f t="shared" si="24"/>
        <v>0</v>
      </c>
      <c r="BD21" s="393" t="b">
        <f t="shared" si="25"/>
        <v>0</v>
      </c>
      <c r="BE21" s="419" t="b">
        <f t="shared" si="26"/>
        <v>0</v>
      </c>
      <c r="BF21" s="418" t="b">
        <f t="shared" si="27"/>
        <v>0</v>
      </c>
      <c r="BG21" s="417" t="b">
        <f t="shared" si="28"/>
        <v>0</v>
      </c>
      <c r="BH21" s="417">
        <f t="shared" si="29"/>
        <v>1</v>
      </c>
      <c r="BI21" s="417">
        <f t="shared" si="30"/>
        <v>2</v>
      </c>
      <c r="BJ21" s="417" t="str">
        <f t="shared" si="31"/>
        <v>2*</v>
      </c>
      <c r="BK21" s="417">
        <f t="shared" si="32"/>
        <v>3</v>
      </c>
      <c r="BL21" s="435">
        <f t="shared" si="33"/>
        <v>1</v>
      </c>
      <c r="BM21" s="417">
        <f t="shared" si="34"/>
        <v>2</v>
      </c>
      <c r="BN21" s="417">
        <f t="shared" si="35"/>
        <v>3</v>
      </c>
      <c r="BO21" s="443"/>
      <c r="BP21" s="454" t="s">
        <v>223</v>
      </c>
      <c r="BQ21" s="438"/>
      <c r="BR21" s="438"/>
      <c r="BS21" s="438"/>
      <c r="BT21" s="438"/>
      <c r="BU21" s="438"/>
    </row>
    <row r="22" spans="2:75" s="416" customFormat="1" ht="12.95" customHeight="1" x14ac:dyDescent="0.25">
      <c r="B22" s="433">
        <f>IF(ISNA(Z22),"",IF(OR(Z22=1,Z22=2),"    ",MAX($B$11:B21)+1))</f>
        <v>9</v>
      </c>
      <c r="C22" s="1618" t="str">
        <f t="shared" si="0"/>
        <v xml:space="preserve">      - Punct. Acronyms &amp; Format (3.0%)</v>
      </c>
      <c r="D22" s="1618"/>
      <c r="E22" s="1618"/>
      <c r="F22" s="1619"/>
      <c r="G22" s="437">
        <f t="shared" si="1"/>
        <v>1</v>
      </c>
      <c r="H22" s="431" t="str">
        <f t="shared" si="2"/>
        <v>2*</v>
      </c>
      <c r="I22" s="436">
        <f t="shared" si="3"/>
        <v>3</v>
      </c>
      <c r="J22" s="449">
        <v>1</v>
      </c>
      <c r="K22" s="448">
        <v>3</v>
      </c>
      <c r="L22" s="1701"/>
      <c r="M22" s="1702"/>
      <c r="N22" s="1702"/>
      <c r="O22" s="1702"/>
      <c r="P22" s="1702"/>
      <c r="Q22" s="1702"/>
      <c r="R22" s="1703"/>
      <c r="T22" s="401">
        <v>12</v>
      </c>
      <c r="U22" s="374" t="s">
        <v>636</v>
      </c>
      <c r="V22" s="421">
        <v>1</v>
      </c>
      <c r="W22" s="421">
        <v>1</v>
      </c>
      <c r="X22" s="421" t="s">
        <v>212</v>
      </c>
      <c r="Y22" s="421" t="s">
        <v>212</v>
      </c>
      <c r="Z22" s="393" t="s">
        <v>212</v>
      </c>
      <c r="AA22" s="393">
        <v>2</v>
      </c>
      <c r="AB22" s="393">
        <v>1</v>
      </c>
      <c r="AC22" s="421">
        <v>3</v>
      </c>
      <c r="AD22" s="421">
        <v>2</v>
      </c>
      <c r="AE22" s="421">
        <v>1</v>
      </c>
      <c r="AF22" s="421" t="b">
        <v>1</v>
      </c>
      <c r="AG22" s="421">
        <f t="shared" si="4"/>
        <v>2</v>
      </c>
      <c r="AH22" s="421">
        <f t="shared" si="5"/>
        <v>1</v>
      </c>
      <c r="AI22" s="427">
        <f>IF(NOT(OR(Z22=1,Z22=2)),IF(AQ22&gt;0,$AR$47*AQ22/SUMIF($AQ$11:$AQ$42,"&gt;0"),IF(AU22&gt;0,$AV$47*AU22/SUMIF($AU$11:$AU$42,"&gt;0"),IF(AS22&gt;0,$AT$47*AS22/SUMIF($AS$11:$AS$42,"&gt;0"),""))),IF(SUMIF(AJ23:$AJ$42,"=" &amp; AJ22,AI23:$AI$42)=0,"",SUMIF(AJ23:$AJ$42,"=" &amp; AJ22,AI23:$AI$42)))</f>
        <v>3.0000000966000025E-2</v>
      </c>
      <c r="AJ22" s="426">
        <f t="shared" si="36"/>
        <v>2</v>
      </c>
      <c r="AK22" s="421">
        <f t="shared" si="6"/>
        <v>2</v>
      </c>
      <c r="AL22" s="393">
        <f t="shared" si="7"/>
        <v>3</v>
      </c>
      <c r="AM22" s="393">
        <f t="shared" si="8"/>
        <v>1</v>
      </c>
      <c r="AN22" s="393" t="str">
        <f t="shared" si="9"/>
        <v/>
      </c>
      <c r="AO22" s="393" t="str">
        <f t="shared" si="10"/>
        <v/>
      </c>
      <c r="AP22" s="421" t="b">
        <f t="shared" si="11"/>
        <v>0</v>
      </c>
      <c r="AQ22" s="425">
        <f t="shared" si="12"/>
        <v>1</v>
      </c>
      <c r="AR22" s="423">
        <f t="shared" si="13"/>
        <v>0.9</v>
      </c>
      <c r="AS22" s="424">
        <f t="shared" si="14"/>
        <v>0</v>
      </c>
      <c r="AT22" s="423" t="str">
        <f t="shared" si="15"/>
        <v/>
      </c>
      <c r="AU22" s="420">
        <f t="shared" si="16"/>
        <v>0</v>
      </c>
      <c r="AV22" s="422">
        <f t="shared" si="17"/>
        <v>0.9</v>
      </c>
      <c r="AW22" s="420" t="b">
        <f t="shared" si="18"/>
        <v>0</v>
      </c>
      <c r="AX22" s="419" t="b">
        <f t="shared" si="19"/>
        <v>0</v>
      </c>
      <c r="AY22" s="420" t="b">
        <f t="shared" si="20"/>
        <v>0</v>
      </c>
      <c r="AZ22" s="419" t="b">
        <f t="shared" si="21"/>
        <v>0</v>
      </c>
      <c r="BA22" s="421" t="b">
        <f t="shared" si="22"/>
        <v>0</v>
      </c>
      <c r="BB22" s="421" t="b">
        <f t="shared" si="23"/>
        <v>0</v>
      </c>
      <c r="BC22" s="420" t="b">
        <f t="shared" si="24"/>
        <v>0</v>
      </c>
      <c r="BD22" s="393" t="b">
        <f t="shared" si="25"/>
        <v>0</v>
      </c>
      <c r="BE22" s="419" t="b">
        <f t="shared" si="26"/>
        <v>0</v>
      </c>
      <c r="BF22" s="418" t="b">
        <f t="shared" si="27"/>
        <v>0</v>
      </c>
      <c r="BG22" s="417" t="b">
        <f t="shared" si="28"/>
        <v>0</v>
      </c>
      <c r="BH22" s="417">
        <f t="shared" si="29"/>
        <v>1</v>
      </c>
      <c r="BI22" s="417">
        <f t="shared" si="30"/>
        <v>2</v>
      </c>
      <c r="BJ22" s="417" t="str">
        <f t="shared" si="31"/>
        <v>2*</v>
      </c>
      <c r="BK22" s="417">
        <f t="shared" si="32"/>
        <v>3</v>
      </c>
      <c r="BL22" s="435">
        <f t="shared" si="33"/>
        <v>1</v>
      </c>
      <c r="BM22" s="417">
        <f t="shared" si="34"/>
        <v>2</v>
      </c>
      <c r="BN22" s="417">
        <f t="shared" si="35"/>
        <v>3</v>
      </c>
      <c r="BO22" s="443"/>
      <c r="BP22" s="434"/>
      <c r="BQ22" s="1629" t="s">
        <v>224</v>
      </c>
      <c r="BR22" s="1629"/>
      <c r="BS22" s="1629"/>
      <c r="BT22" s="1629"/>
      <c r="BU22" s="1629"/>
    </row>
    <row r="23" spans="2:75" s="416" customFormat="1" ht="12.95" customHeight="1" x14ac:dyDescent="0.25">
      <c r="B23" s="433">
        <f>IF(ISNA(Z23),"",IF(OR(Z23=1,Z23=2),"    ",MAX($B$11:B22)+1))</f>
        <v>10</v>
      </c>
      <c r="C23" s="1618" t="str">
        <f t="shared" si="0"/>
        <v xml:space="preserve">      - Profess. Tone &amp; Word Choice (3.0%)</v>
      </c>
      <c r="D23" s="1618"/>
      <c r="E23" s="1618"/>
      <c r="F23" s="1619"/>
      <c r="G23" s="437">
        <f t="shared" si="1"/>
        <v>1</v>
      </c>
      <c r="H23" s="431" t="str">
        <f t="shared" si="2"/>
        <v>2*</v>
      </c>
      <c r="I23" s="436">
        <f t="shared" si="3"/>
        <v>3</v>
      </c>
      <c r="J23" s="449">
        <v>1</v>
      </c>
      <c r="K23" s="448">
        <v>4</v>
      </c>
      <c r="L23" s="1701"/>
      <c r="M23" s="1702"/>
      <c r="N23" s="1702"/>
      <c r="O23" s="1702"/>
      <c r="P23" s="1702"/>
      <c r="Q23" s="1702"/>
      <c r="R23" s="1703"/>
      <c r="T23" s="401">
        <v>13</v>
      </c>
      <c r="U23" s="374" t="s">
        <v>635</v>
      </c>
      <c r="V23" s="421">
        <v>1</v>
      </c>
      <c r="W23" s="421">
        <v>1</v>
      </c>
      <c r="X23" s="421" t="s">
        <v>212</v>
      </c>
      <c r="Y23" s="421" t="s">
        <v>212</v>
      </c>
      <c r="Z23" s="393" t="s">
        <v>212</v>
      </c>
      <c r="AA23" s="393">
        <v>2</v>
      </c>
      <c r="AB23" s="393">
        <v>1</v>
      </c>
      <c r="AC23" s="421">
        <v>3</v>
      </c>
      <c r="AD23" s="421">
        <v>2</v>
      </c>
      <c r="AE23" s="421">
        <v>1</v>
      </c>
      <c r="AF23" s="421" t="b">
        <v>1</v>
      </c>
      <c r="AG23" s="421">
        <f t="shared" si="4"/>
        <v>2</v>
      </c>
      <c r="AH23" s="421">
        <f t="shared" si="5"/>
        <v>1</v>
      </c>
      <c r="AI23" s="427">
        <f>IF(NOT(OR(Z23=1,Z23=2)),IF(AQ23&gt;0,$AR$47*AQ23/SUMIF($AQ$11:$AQ$42,"&gt;0"),IF(AU23&gt;0,$AV$47*AU23/SUMIF($AU$11:$AU$42,"&gt;0"),IF(AS23&gt;0,$AT$47*AS23/SUMIF($AS$11:$AS$42,"&gt;0"),""))),IF(SUMIF(AJ24:$AJ$42,"=" &amp; AJ23,AI24:$AI$42)=0,"",SUMIF(AJ24:$AJ$42,"=" &amp; AJ23,AI24:$AI$42)))</f>
        <v>3.0000000966000025E-2</v>
      </c>
      <c r="AJ23" s="426">
        <f t="shared" si="36"/>
        <v>2</v>
      </c>
      <c r="AK23" s="421">
        <f t="shared" si="6"/>
        <v>2</v>
      </c>
      <c r="AL23" s="393">
        <f t="shared" si="7"/>
        <v>4</v>
      </c>
      <c r="AM23" s="393">
        <f t="shared" si="8"/>
        <v>1</v>
      </c>
      <c r="AN23" s="393" t="str">
        <f t="shared" si="9"/>
        <v/>
      </c>
      <c r="AO23" s="393" t="str">
        <f t="shared" si="10"/>
        <v/>
      </c>
      <c r="AP23" s="421" t="b">
        <f t="shared" si="11"/>
        <v>0</v>
      </c>
      <c r="AQ23" s="425">
        <f t="shared" si="12"/>
        <v>1</v>
      </c>
      <c r="AR23" s="423">
        <f t="shared" si="13"/>
        <v>1</v>
      </c>
      <c r="AS23" s="424">
        <f t="shared" si="14"/>
        <v>0</v>
      </c>
      <c r="AT23" s="423" t="str">
        <f t="shared" si="15"/>
        <v/>
      </c>
      <c r="AU23" s="420">
        <f t="shared" si="16"/>
        <v>0</v>
      </c>
      <c r="AV23" s="422">
        <f t="shared" si="17"/>
        <v>1</v>
      </c>
      <c r="AW23" s="420" t="b">
        <f t="shared" si="18"/>
        <v>0</v>
      </c>
      <c r="AX23" s="419" t="b">
        <f t="shared" si="19"/>
        <v>0</v>
      </c>
      <c r="AY23" s="420" t="b">
        <f t="shared" si="20"/>
        <v>0</v>
      </c>
      <c r="AZ23" s="419" t="b">
        <f t="shared" si="21"/>
        <v>0</v>
      </c>
      <c r="BA23" s="421" t="b">
        <f t="shared" si="22"/>
        <v>0</v>
      </c>
      <c r="BB23" s="421" t="b">
        <f t="shared" si="23"/>
        <v>0</v>
      </c>
      <c r="BC23" s="420" t="b">
        <f t="shared" si="24"/>
        <v>0</v>
      </c>
      <c r="BD23" s="393" t="b">
        <f t="shared" si="25"/>
        <v>0</v>
      </c>
      <c r="BE23" s="419" t="b">
        <f t="shared" si="26"/>
        <v>0</v>
      </c>
      <c r="BF23" s="418" t="b">
        <f t="shared" si="27"/>
        <v>0</v>
      </c>
      <c r="BG23" s="417" t="b">
        <f t="shared" si="28"/>
        <v>0</v>
      </c>
      <c r="BH23" s="417">
        <f t="shared" si="29"/>
        <v>1</v>
      </c>
      <c r="BI23" s="417">
        <f t="shared" si="30"/>
        <v>2</v>
      </c>
      <c r="BJ23" s="417" t="str">
        <f t="shared" si="31"/>
        <v>2*</v>
      </c>
      <c r="BK23" s="417">
        <f t="shared" si="32"/>
        <v>3</v>
      </c>
      <c r="BL23" s="435">
        <f t="shared" si="33"/>
        <v>1</v>
      </c>
      <c r="BM23" s="417">
        <f t="shared" si="34"/>
        <v>2</v>
      </c>
      <c r="BN23" s="417">
        <f t="shared" si="35"/>
        <v>3</v>
      </c>
      <c r="BO23" s="443"/>
      <c r="BP23" s="443"/>
      <c r="BQ23" s="443">
        <v>0</v>
      </c>
      <c r="BR23" s="443">
        <v>1</v>
      </c>
      <c r="BS23" s="443">
        <v>2</v>
      </c>
      <c r="BT23" s="443">
        <v>3</v>
      </c>
      <c r="BU23" s="443">
        <v>4</v>
      </c>
    </row>
    <row r="24" spans="2:75" s="416" customFormat="1" ht="12.95" customHeight="1" x14ac:dyDescent="0.25">
      <c r="B24" s="433" t="str">
        <f>IF(ISNA(Z24),"",IF(OR(Z24=1,Z24=2),"    ",MAX($B$11:B23)+1))</f>
        <v xml:space="preserve">    </v>
      </c>
      <c r="C24" s="1618" t="str">
        <f t="shared" si="0"/>
        <v>Visual Eng &amp; Data Presentation (20.0%)</v>
      </c>
      <c r="D24" s="1618"/>
      <c r="E24" s="1618"/>
      <c r="F24" s="1619"/>
      <c r="G24" s="437" t="str">
        <f t="shared" si="1"/>
        <v/>
      </c>
      <c r="H24" s="431" t="str">
        <f t="shared" si="2"/>
        <v/>
      </c>
      <c r="I24" s="436" t="str">
        <f t="shared" si="3"/>
        <v/>
      </c>
      <c r="J24" s="429"/>
      <c r="K24" s="428"/>
      <c r="L24" s="1701"/>
      <c r="M24" s="1702"/>
      <c r="N24" s="1702"/>
      <c r="O24" s="1702"/>
      <c r="P24" s="1702"/>
      <c r="Q24" s="1702"/>
      <c r="R24" s="1703"/>
      <c r="T24" s="401">
        <v>14</v>
      </c>
      <c r="U24" s="374" t="s">
        <v>634</v>
      </c>
      <c r="V24" s="421" t="s">
        <v>212</v>
      </c>
      <c r="W24" s="421" t="s">
        <v>212</v>
      </c>
      <c r="X24" s="421" t="s">
        <v>212</v>
      </c>
      <c r="Y24" s="421" t="s">
        <v>212</v>
      </c>
      <c r="Z24" s="393">
        <v>2</v>
      </c>
      <c r="AA24" s="393">
        <v>1</v>
      </c>
      <c r="AB24" s="393">
        <v>1</v>
      </c>
      <c r="AC24" s="421" t="s">
        <v>212</v>
      </c>
      <c r="AD24" s="421" t="s">
        <v>212</v>
      </c>
      <c r="AE24" s="421" t="s">
        <v>212</v>
      </c>
      <c r="AF24" s="421" t="s">
        <v>212</v>
      </c>
      <c r="AG24" s="421" t="str">
        <f t="shared" si="4"/>
        <v/>
      </c>
      <c r="AH24" s="421" t="str">
        <f t="shared" si="5"/>
        <v/>
      </c>
      <c r="AI24" s="427">
        <f>IF(NOT(OR(Z24=1,Z24=2)),IF(AQ24&gt;0,$AR$47*AQ24/SUMIF($AQ$11:$AQ$42,"&gt;0"),IF(AU24&gt;0,$AV$47*AU24/SUMIF($AU$11:$AU$42,"&gt;0"),IF(AS24&gt;0,$AT$47*AS24/SUMIF($AS$11:$AS$42,"&gt;0"),""))),IF(SUMIF(AJ25:$AJ$42,"=" &amp; AJ24,AI25:$AI$42)=0,"",SUMIF(AJ25:$AJ$42,"=" &amp; AJ24,AI25:$AI$42)))</f>
        <v>0.20000000624000017</v>
      </c>
      <c r="AJ24" s="426">
        <f t="shared" si="36"/>
        <v>3</v>
      </c>
      <c r="AK24" s="421" t="str">
        <f t="shared" si="6"/>
        <v/>
      </c>
      <c r="AL24" s="393" t="str">
        <f t="shared" si="7"/>
        <v/>
      </c>
      <c r="AM24" s="393" t="str">
        <f t="shared" si="8"/>
        <v/>
      </c>
      <c r="AN24" s="393" t="str">
        <f t="shared" si="9"/>
        <v/>
      </c>
      <c r="AO24" s="393" t="str">
        <f t="shared" si="10"/>
        <v/>
      </c>
      <c r="AP24" s="421" t="str">
        <f t="shared" si="11"/>
        <v/>
      </c>
      <c r="AQ24" s="425">
        <f t="shared" si="12"/>
        <v>0</v>
      </c>
      <c r="AR24" s="423" t="str">
        <f t="shared" si="13"/>
        <v/>
      </c>
      <c r="AS24" s="424">
        <f t="shared" si="14"/>
        <v>0</v>
      </c>
      <c r="AT24" s="423" t="str">
        <f t="shared" si="15"/>
        <v/>
      </c>
      <c r="AU24" s="420">
        <f t="shared" si="16"/>
        <v>0</v>
      </c>
      <c r="AV24" s="422" t="str">
        <f t="shared" si="17"/>
        <v/>
      </c>
      <c r="AW24" s="420" t="b">
        <f t="shared" si="18"/>
        <v>0</v>
      </c>
      <c r="AX24" s="419" t="b">
        <f t="shared" si="19"/>
        <v>0</v>
      </c>
      <c r="AY24" s="420" t="b">
        <f t="shared" si="20"/>
        <v>0</v>
      </c>
      <c r="AZ24" s="419" t="b">
        <f t="shared" si="21"/>
        <v>0</v>
      </c>
      <c r="BA24" s="421" t="b">
        <f t="shared" si="22"/>
        <v>0</v>
      </c>
      <c r="BB24" s="421" t="b">
        <f t="shared" si="23"/>
        <v>0</v>
      </c>
      <c r="BC24" s="420" t="b">
        <f t="shared" si="24"/>
        <v>0</v>
      </c>
      <c r="BD24" s="393" t="b">
        <f t="shared" si="25"/>
        <v>0</v>
      </c>
      <c r="BE24" s="419" t="b">
        <f t="shared" si="26"/>
        <v>0</v>
      </c>
      <c r="BF24" s="418" t="b">
        <f t="shared" si="27"/>
        <v>0</v>
      </c>
      <c r="BG24" s="417" t="b">
        <f t="shared" si="28"/>
        <v>0</v>
      </c>
      <c r="BH24" s="417" t="str">
        <f t="shared" si="29"/>
        <v/>
      </c>
      <c r="BI24" s="417" t="str">
        <f t="shared" si="30"/>
        <v/>
      </c>
      <c r="BJ24" s="417" t="str">
        <f t="shared" si="31"/>
        <v/>
      </c>
      <c r="BK24" s="417" t="str">
        <f t="shared" si="32"/>
        <v/>
      </c>
      <c r="BL24" s="435" t="str">
        <f t="shared" si="33"/>
        <v/>
      </c>
      <c r="BM24" s="417" t="str">
        <f t="shared" si="34"/>
        <v/>
      </c>
      <c r="BN24" s="417" t="str">
        <f t="shared" si="35"/>
        <v/>
      </c>
      <c r="BO24" s="1630" t="s">
        <v>226</v>
      </c>
      <c r="BP24" s="443" t="s">
        <v>227</v>
      </c>
      <c r="BQ24" s="453">
        <f t="shared" ref="BQ24:BQ32" si="37">AR53</f>
        <v>0.7</v>
      </c>
      <c r="BR24" s="452">
        <f t="shared" ref="BR24:BR32" si="38">AS53</f>
        <v>0.9</v>
      </c>
      <c r="BS24" s="452">
        <f t="shared" ref="BS24:BS32" si="39">AT53</f>
        <v>0.93330000000000002</v>
      </c>
      <c r="BT24" s="452">
        <f t="shared" ref="BT24:BT32" si="40">AU53</f>
        <v>0.9667</v>
      </c>
      <c r="BU24" s="451">
        <f t="shared" ref="BU24:BU32" si="41">AV53</f>
        <v>1</v>
      </c>
      <c r="BV24" s="450"/>
      <c r="BW24" s="447"/>
    </row>
    <row r="25" spans="2:75" s="416" customFormat="1" ht="12.95" customHeight="1" x14ac:dyDescent="0.25">
      <c r="B25" s="433">
        <f>IF(ISNA(Z25),"",IF(OR(Z25=1,Z25=2),"    ",MAX($B$11:B24)+1))</f>
        <v>11</v>
      </c>
      <c r="C25" s="1618" t="str">
        <f t="shared" si="0"/>
        <v xml:space="preserve">      - Anatomy of a Valid Plot/Table (8.0%)</v>
      </c>
      <c r="D25" s="1618"/>
      <c r="E25" s="1618"/>
      <c r="F25" s="1619"/>
      <c r="G25" s="437">
        <f t="shared" si="1"/>
        <v>1</v>
      </c>
      <c r="H25" s="431" t="str">
        <f t="shared" si="2"/>
        <v>2*</v>
      </c>
      <c r="I25" s="436">
        <f t="shared" si="3"/>
        <v>3</v>
      </c>
      <c r="J25" s="449">
        <v>1</v>
      </c>
      <c r="K25" s="448">
        <v>4</v>
      </c>
      <c r="L25" s="1701"/>
      <c r="M25" s="1702"/>
      <c r="N25" s="1702"/>
      <c r="O25" s="1702"/>
      <c r="P25" s="1702"/>
      <c r="Q25" s="1702"/>
      <c r="R25" s="1703"/>
      <c r="T25" s="401">
        <v>15</v>
      </c>
      <c r="U25" s="374" t="s">
        <v>633</v>
      </c>
      <c r="V25" s="421">
        <v>1</v>
      </c>
      <c r="W25" s="421">
        <v>2.6666666600000002</v>
      </c>
      <c r="X25" s="421" t="s">
        <v>212</v>
      </c>
      <c r="Y25" s="421" t="s">
        <v>212</v>
      </c>
      <c r="Z25" s="393" t="s">
        <v>212</v>
      </c>
      <c r="AA25" s="393">
        <v>2</v>
      </c>
      <c r="AB25" s="393">
        <v>1</v>
      </c>
      <c r="AC25" s="421">
        <v>3</v>
      </c>
      <c r="AD25" s="421">
        <v>2</v>
      </c>
      <c r="AE25" s="421">
        <v>1</v>
      </c>
      <c r="AF25" s="421" t="b">
        <v>1</v>
      </c>
      <c r="AG25" s="421">
        <f t="shared" si="4"/>
        <v>2</v>
      </c>
      <c r="AH25" s="421">
        <f t="shared" si="5"/>
        <v>1</v>
      </c>
      <c r="AI25" s="427">
        <f>IF(NOT(OR(Z25=1,Z25=2)),IF(AQ25&gt;0,$AR$47*AQ25/SUMIF($AQ$11:$AQ$42,"&gt;0"),IF(AU25&gt;0,$AV$47*AU25/SUMIF($AU$11:$AU$42,"&gt;0"),IF(AS25&gt;0,$AT$47*AS25/SUMIF($AS$11:$AS$42,"&gt;0"),""))),IF(SUMIF(AJ26:$AJ$42,"=" &amp; AJ25,AI26:$AI$42)=0,"",SUMIF(AJ26:$AJ$42,"=" &amp; AJ25,AI26:$AI$42)))</f>
        <v>8.0000002376000065E-2</v>
      </c>
      <c r="AJ25" s="426">
        <f t="shared" si="36"/>
        <v>3</v>
      </c>
      <c r="AK25" s="421">
        <f t="shared" si="6"/>
        <v>2</v>
      </c>
      <c r="AL25" s="393">
        <f t="shared" si="7"/>
        <v>4</v>
      </c>
      <c r="AM25" s="393">
        <f t="shared" si="8"/>
        <v>1</v>
      </c>
      <c r="AN25" s="393" t="str">
        <f t="shared" si="9"/>
        <v/>
      </c>
      <c r="AO25" s="393" t="str">
        <f t="shared" si="10"/>
        <v/>
      </c>
      <c r="AP25" s="421" t="b">
        <f t="shared" si="11"/>
        <v>0</v>
      </c>
      <c r="AQ25" s="425">
        <f t="shared" si="12"/>
        <v>2.6666666600000002</v>
      </c>
      <c r="AR25" s="423">
        <f t="shared" si="13"/>
        <v>1</v>
      </c>
      <c r="AS25" s="424">
        <f t="shared" si="14"/>
        <v>0</v>
      </c>
      <c r="AT25" s="423" t="str">
        <f t="shared" si="15"/>
        <v/>
      </c>
      <c r="AU25" s="420">
        <f t="shared" si="16"/>
        <v>0</v>
      </c>
      <c r="AV25" s="422">
        <f t="shared" si="17"/>
        <v>1</v>
      </c>
      <c r="AW25" s="420" t="b">
        <f t="shared" si="18"/>
        <v>0</v>
      </c>
      <c r="AX25" s="419" t="b">
        <f t="shared" si="19"/>
        <v>0</v>
      </c>
      <c r="AY25" s="420" t="b">
        <f t="shared" si="20"/>
        <v>0</v>
      </c>
      <c r="AZ25" s="419" t="b">
        <f t="shared" si="21"/>
        <v>0</v>
      </c>
      <c r="BA25" s="421" t="b">
        <f t="shared" si="22"/>
        <v>0</v>
      </c>
      <c r="BB25" s="421" t="b">
        <f t="shared" si="23"/>
        <v>0</v>
      </c>
      <c r="BC25" s="420" t="b">
        <f t="shared" si="24"/>
        <v>0</v>
      </c>
      <c r="BD25" s="393" t="b">
        <f t="shared" si="25"/>
        <v>0</v>
      </c>
      <c r="BE25" s="419" t="b">
        <f t="shared" si="26"/>
        <v>0</v>
      </c>
      <c r="BF25" s="418" t="b">
        <f t="shared" si="27"/>
        <v>0</v>
      </c>
      <c r="BG25" s="417" t="b">
        <f t="shared" si="28"/>
        <v>0</v>
      </c>
      <c r="BH25" s="417">
        <f t="shared" si="29"/>
        <v>1</v>
      </c>
      <c r="BI25" s="417">
        <f t="shared" si="30"/>
        <v>2</v>
      </c>
      <c r="BJ25" s="417" t="str">
        <f t="shared" si="31"/>
        <v>2*</v>
      </c>
      <c r="BK25" s="417">
        <f t="shared" si="32"/>
        <v>3</v>
      </c>
      <c r="BL25" s="435">
        <f t="shared" si="33"/>
        <v>1</v>
      </c>
      <c r="BM25" s="417">
        <f t="shared" si="34"/>
        <v>2</v>
      </c>
      <c r="BN25" s="417">
        <f t="shared" si="35"/>
        <v>3</v>
      </c>
      <c r="BO25" s="1630"/>
      <c r="BP25" s="443" t="s">
        <v>228</v>
      </c>
      <c r="BQ25" s="446">
        <f t="shared" si="37"/>
        <v>0.7</v>
      </c>
      <c r="BR25" s="445">
        <f t="shared" si="38"/>
        <v>0.8</v>
      </c>
      <c r="BS25" s="445">
        <f t="shared" si="39"/>
        <v>0.9</v>
      </c>
      <c r="BT25" s="445">
        <f t="shared" si="40"/>
        <v>0.95</v>
      </c>
      <c r="BU25" s="444">
        <f t="shared" si="41"/>
        <v>1</v>
      </c>
      <c r="BV25" s="447"/>
      <c r="BW25" s="403"/>
    </row>
    <row r="26" spans="2:75" s="416" customFormat="1" ht="12.95" customHeight="1" x14ac:dyDescent="0.25">
      <c r="B26" s="433">
        <f>IF(ISNA(Z26),"",IF(OR(Z26=1,Z26=2),"    ",MAX($B$11:B25)+1))</f>
        <v>12</v>
      </c>
      <c r="C26" s="1618" t="str">
        <f t="shared" si="0"/>
        <v xml:space="preserve">      - Data-Ink Ratio &amp; Clarity (6.0%)</v>
      </c>
      <c r="D26" s="1618"/>
      <c r="E26" s="1618"/>
      <c r="F26" s="1619"/>
      <c r="G26" s="437">
        <f t="shared" si="1"/>
        <v>1</v>
      </c>
      <c r="H26" s="431" t="str">
        <f t="shared" si="2"/>
        <v>2*</v>
      </c>
      <c r="I26" s="436">
        <f t="shared" si="3"/>
        <v>3</v>
      </c>
      <c r="J26" s="449">
        <v>1</v>
      </c>
      <c r="K26" s="448">
        <v>3</v>
      </c>
      <c r="L26" s="1701"/>
      <c r="M26" s="1702"/>
      <c r="N26" s="1702"/>
      <c r="O26" s="1702"/>
      <c r="P26" s="1702"/>
      <c r="Q26" s="1702"/>
      <c r="R26" s="1703"/>
      <c r="T26" s="401">
        <v>16</v>
      </c>
      <c r="U26" s="374" t="s">
        <v>632</v>
      </c>
      <c r="V26" s="421">
        <v>1</v>
      </c>
      <c r="W26" s="421">
        <v>2</v>
      </c>
      <c r="X26" s="421" t="s">
        <v>212</v>
      </c>
      <c r="Y26" s="421" t="s">
        <v>212</v>
      </c>
      <c r="Z26" s="393" t="s">
        <v>212</v>
      </c>
      <c r="AA26" s="393">
        <v>2</v>
      </c>
      <c r="AB26" s="393">
        <v>1</v>
      </c>
      <c r="AC26" s="421">
        <v>3</v>
      </c>
      <c r="AD26" s="421">
        <v>2</v>
      </c>
      <c r="AE26" s="421">
        <v>1</v>
      </c>
      <c r="AF26" s="421" t="b">
        <v>1</v>
      </c>
      <c r="AG26" s="421">
        <f t="shared" si="4"/>
        <v>2</v>
      </c>
      <c r="AH26" s="421">
        <f t="shared" si="5"/>
        <v>1</v>
      </c>
      <c r="AI26" s="427">
        <f>IF(NOT(OR(Z26=1,Z26=2)),IF(AQ26&gt;0,$AR$47*AQ26/SUMIF($AQ$11:$AQ$42,"&gt;0"),IF(AU26&gt;0,$AV$47*AU26/SUMIF($AU$11:$AU$42,"&gt;0"),IF(AS26&gt;0,$AT$47*AS26/SUMIF($AS$11:$AS$42,"&gt;0"),""))),IF(SUMIF(AJ27:$AJ$42,"=" &amp; AJ26,AI27:$AI$42)=0,"",SUMIF(AJ27:$AJ$42,"=" &amp; AJ26,AI27:$AI$42)))</f>
        <v>6.0000001932000051E-2</v>
      </c>
      <c r="AJ26" s="426">
        <f t="shared" si="36"/>
        <v>3</v>
      </c>
      <c r="AK26" s="421">
        <f t="shared" si="6"/>
        <v>2</v>
      </c>
      <c r="AL26" s="393">
        <f t="shared" si="7"/>
        <v>3</v>
      </c>
      <c r="AM26" s="393">
        <f t="shared" si="8"/>
        <v>1</v>
      </c>
      <c r="AN26" s="393" t="str">
        <f t="shared" si="9"/>
        <v/>
      </c>
      <c r="AO26" s="393" t="str">
        <f t="shared" si="10"/>
        <v/>
      </c>
      <c r="AP26" s="421" t="b">
        <f t="shared" si="11"/>
        <v>0</v>
      </c>
      <c r="AQ26" s="425">
        <f t="shared" si="12"/>
        <v>2</v>
      </c>
      <c r="AR26" s="423">
        <f t="shared" si="13"/>
        <v>0.9</v>
      </c>
      <c r="AS26" s="424">
        <f t="shared" si="14"/>
        <v>0</v>
      </c>
      <c r="AT26" s="423" t="str">
        <f t="shared" si="15"/>
        <v/>
      </c>
      <c r="AU26" s="420">
        <f t="shared" si="16"/>
        <v>0</v>
      </c>
      <c r="AV26" s="422">
        <f t="shared" si="17"/>
        <v>0.9</v>
      </c>
      <c r="AW26" s="420" t="b">
        <f t="shared" si="18"/>
        <v>0</v>
      </c>
      <c r="AX26" s="419" t="b">
        <f t="shared" si="19"/>
        <v>0</v>
      </c>
      <c r="AY26" s="420" t="b">
        <f t="shared" si="20"/>
        <v>0</v>
      </c>
      <c r="AZ26" s="419" t="b">
        <f t="shared" si="21"/>
        <v>0</v>
      </c>
      <c r="BA26" s="421" t="b">
        <f t="shared" si="22"/>
        <v>0</v>
      </c>
      <c r="BB26" s="421" t="b">
        <f t="shared" si="23"/>
        <v>0</v>
      </c>
      <c r="BC26" s="420" t="b">
        <f t="shared" si="24"/>
        <v>0</v>
      </c>
      <c r="BD26" s="393" t="b">
        <f t="shared" si="25"/>
        <v>0</v>
      </c>
      <c r="BE26" s="419" t="b">
        <f t="shared" si="26"/>
        <v>0</v>
      </c>
      <c r="BF26" s="418" t="b">
        <f t="shared" si="27"/>
        <v>0</v>
      </c>
      <c r="BG26" s="417" t="b">
        <f t="shared" si="28"/>
        <v>0</v>
      </c>
      <c r="BH26" s="417">
        <f t="shared" si="29"/>
        <v>1</v>
      </c>
      <c r="BI26" s="417">
        <f t="shared" si="30"/>
        <v>2</v>
      </c>
      <c r="BJ26" s="417" t="str">
        <f t="shared" si="31"/>
        <v>2*</v>
      </c>
      <c r="BK26" s="417">
        <f t="shared" si="32"/>
        <v>3</v>
      </c>
      <c r="BL26" s="435">
        <f t="shared" si="33"/>
        <v>1</v>
      </c>
      <c r="BM26" s="417">
        <f t="shared" si="34"/>
        <v>2</v>
      </c>
      <c r="BN26" s="417">
        <f t="shared" si="35"/>
        <v>3</v>
      </c>
      <c r="BO26" s="1630"/>
      <c r="BP26" s="443" t="s">
        <v>229</v>
      </c>
      <c r="BQ26" s="446">
        <f t="shared" si="37"/>
        <v>0.7</v>
      </c>
      <c r="BR26" s="445">
        <f t="shared" si="38"/>
        <v>0.76670000000000005</v>
      </c>
      <c r="BS26" s="445">
        <f t="shared" si="39"/>
        <v>0.83330000000000004</v>
      </c>
      <c r="BT26" s="445">
        <f t="shared" si="40"/>
        <v>0.9</v>
      </c>
      <c r="BU26" s="444">
        <f t="shared" si="41"/>
        <v>1</v>
      </c>
      <c r="BV26" s="447"/>
      <c r="BW26" s="403"/>
    </row>
    <row r="27" spans="2:75" s="416" customFormat="1" ht="12.95" customHeight="1" x14ac:dyDescent="0.25">
      <c r="B27" s="433">
        <f>IF(ISNA(Z27),"",IF(OR(Z27=1,Z27=2),"    ",MAX($B$11:B26)+1))</f>
        <v>13</v>
      </c>
      <c r="C27" s="1618" t="str">
        <f t="shared" si="0"/>
        <v xml:space="preserve">      - Data Honesty &amp; Context (6.0%)</v>
      </c>
      <c r="D27" s="1618"/>
      <c r="E27" s="1618"/>
      <c r="F27" s="1619"/>
      <c r="G27" s="437">
        <f t="shared" si="1"/>
        <v>1</v>
      </c>
      <c r="H27" s="431" t="str">
        <f t="shared" si="2"/>
        <v>2*</v>
      </c>
      <c r="I27" s="436">
        <f t="shared" si="3"/>
        <v>3</v>
      </c>
      <c r="J27" s="449">
        <v>1</v>
      </c>
      <c r="K27" s="448">
        <v>4</v>
      </c>
      <c r="L27" s="1701"/>
      <c r="M27" s="1702"/>
      <c r="N27" s="1702"/>
      <c r="O27" s="1702"/>
      <c r="P27" s="1702"/>
      <c r="Q27" s="1702"/>
      <c r="R27" s="1703"/>
      <c r="T27" s="401">
        <v>17</v>
      </c>
      <c r="U27" s="374" t="s">
        <v>631</v>
      </c>
      <c r="V27" s="421">
        <v>1</v>
      </c>
      <c r="W27" s="421">
        <v>2</v>
      </c>
      <c r="X27" s="421" t="s">
        <v>212</v>
      </c>
      <c r="Y27" s="421" t="s">
        <v>212</v>
      </c>
      <c r="Z27" s="393" t="s">
        <v>212</v>
      </c>
      <c r="AA27" s="393">
        <v>2</v>
      </c>
      <c r="AB27" s="393">
        <v>1</v>
      </c>
      <c r="AC27" s="421">
        <v>3</v>
      </c>
      <c r="AD27" s="421">
        <v>2</v>
      </c>
      <c r="AE27" s="421">
        <v>1</v>
      </c>
      <c r="AF27" s="421" t="b">
        <v>1</v>
      </c>
      <c r="AG27" s="421">
        <f t="shared" si="4"/>
        <v>2</v>
      </c>
      <c r="AH27" s="421">
        <f t="shared" si="5"/>
        <v>1</v>
      </c>
      <c r="AI27" s="427">
        <f>IF(NOT(OR(Z27=1,Z27=2)),IF(AQ27&gt;0,$AR$47*AQ27/SUMIF($AQ$11:$AQ$42,"&gt;0"),IF(AU27&gt;0,$AV$47*AU27/SUMIF($AU$11:$AU$42,"&gt;0"),IF(AS27&gt;0,$AT$47*AS27/SUMIF($AS$11:$AS$42,"&gt;0"),""))),IF(SUMIF(AJ28:$AJ$42,"=" &amp; AJ27,AI28:$AI$42)=0,"",SUMIF(AJ28:$AJ$42,"=" &amp; AJ27,AI28:$AI$42)))</f>
        <v>6.0000001932000051E-2</v>
      </c>
      <c r="AJ27" s="426">
        <f t="shared" si="36"/>
        <v>3</v>
      </c>
      <c r="AK27" s="421">
        <f t="shared" si="6"/>
        <v>2</v>
      </c>
      <c r="AL27" s="393">
        <f t="shared" si="7"/>
        <v>4</v>
      </c>
      <c r="AM27" s="393">
        <f t="shared" si="8"/>
        <v>1</v>
      </c>
      <c r="AN27" s="393" t="str">
        <f t="shared" si="9"/>
        <v/>
      </c>
      <c r="AO27" s="393" t="str">
        <f t="shared" si="10"/>
        <v/>
      </c>
      <c r="AP27" s="421" t="b">
        <f t="shared" si="11"/>
        <v>0</v>
      </c>
      <c r="AQ27" s="425">
        <f t="shared" si="12"/>
        <v>2</v>
      </c>
      <c r="AR27" s="423">
        <f t="shared" si="13"/>
        <v>1</v>
      </c>
      <c r="AS27" s="424">
        <f t="shared" si="14"/>
        <v>0</v>
      </c>
      <c r="AT27" s="423" t="str">
        <f t="shared" si="15"/>
        <v/>
      </c>
      <c r="AU27" s="420">
        <f t="shared" si="16"/>
        <v>0</v>
      </c>
      <c r="AV27" s="422">
        <f t="shared" si="17"/>
        <v>1</v>
      </c>
      <c r="AW27" s="420" t="b">
        <f t="shared" si="18"/>
        <v>0</v>
      </c>
      <c r="AX27" s="419" t="b">
        <f t="shared" si="19"/>
        <v>0</v>
      </c>
      <c r="AY27" s="420" t="b">
        <f t="shared" si="20"/>
        <v>0</v>
      </c>
      <c r="AZ27" s="419" t="b">
        <f t="shared" si="21"/>
        <v>0</v>
      </c>
      <c r="BA27" s="421" t="b">
        <f t="shared" si="22"/>
        <v>0</v>
      </c>
      <c r="BB27" s="421" t="b">
        <f t="shared" si="23"/>
        <v>0</v>
      </c>
      <c r="BC27" s="420" t="b">
        <f t="shared" si="24"/>
        <v>0</v>
      </c>
      <c r="BD27" s="393" t="b">
        <f t="shared" si="25"/>
        <v>0</v>
      </c>
      <c r="BE27" s="419" t="b">
        <f t="shared" si="26"/>
        <v>0</v>
      </c>
      <c r="BF27" s="418" t="b">
        <f t="shared" si="27"/>
        <v>0</v>
      </c>
      <c r="BG27" s="417" t="b">
        <f t="shared" si="28"/>
        <v>0</v>
      </c>
      <c r="BH27" s="417">
        <f t="shared" si="29"/>
        <v>1</v>
      </c>
      <c r="BI27" s="417">
        <f t="shared" si="30"/>
        <v>2</v>
      </c>
      <c r="BJ27" s="417" t="str">
        <f t="shared" si="31"/>
        <v>2*</v>
      </c>
      <c r="BK27" s="417">
        <f t="shared" si="32"/>
        <v>3</v>
      </c>
      <c r="BL27" s="435">
        <f t="shared" si="33"/>
        <v>1</v>
      </c>
      <c r="BM27" s="417">
        <f t="shared" si="34"/>
        <v>2</v>
      </c>
      <c r="BN27" s="417">
        <f t="shared" si="35"/>
        <v>3</v>
      </c>
      <c r="BO27" s="1630"/>
      <c r="BP27" s="443" t="s">
        <v>230</v>
      </c>
      <c r="BQ27" s="446">
        <f t="shared" si="37"/>
        <v>0.6</v>
      </c>
      <c r="BR27" s="445">
        <f t="shared" si="38"/>
        <v>0.9</v>
      </c>
      <c r="BS27" s="445">
        <f t="shared" si="39"/>
        <v>0.93330000000000002</v>
      </c>
      <c r="BT27" s="445">
        <f t="shared" si="40"/>
        <v>0.9667</v>
      </c>
      <c r="BU27" s="444">
        <f t="shared" si="41"/>
        <v>1</v>
      </c>
      <c r="BV27" s="447"/>
      <c r="BW27" s="403"/>
    </row>
    <row r="28" spans="2:75" s="416" customFormat="1" ht="12.95" customHeight="1" x14ac:dyDescent="0.25">
      <c r="B28" s="433" t="str">
        <f>IF(ISNA(Z28),"",IF(OR(Z28=1,Z28=2),"    ",MAX($B$11:B27)+1))</f>
        <v/>
      </c>
      <c r="C28" s="1618" t="str">
        <f t="shared" si="0"/>
        <v/>
      </c>
      <c r="D28" s="1618"/>
      <c r="E28" s="1618"/>
      <c r="F28" s="1619"/>
      <c r="G28" s="437" t="str">
        <f t="shared" si="1"/>
        <v/>
      </c>
      <c r="H28" s="431" t="str">
        <f t="shared" si="2"/>
        <v/>
      </c>
      <c r="I28" s="436" t="str">
        <f t="shared" si="3"/>
        <v/>
      </c>
      <c r="J28" s="429"/>
      <c r="K28" s="428"/>
      <c r="L28" s="1701"/>
      <c r="M28" s="1702"/>
      <c r="N28" s="1702"/>
      <c r="O28" s="1702"/>
      <c r="P28" s="1702"/>
      <c r="Q28" s="1702"/>
      <c r="R28" s="1703"/>
      <c r="T28" s="401">
        <v>18</v>
      </c>
      <c r="U28" s="374" t="e">
        <v>#N/A</v>
      </c>
      <c r="V28" s="421" t="e">
        <v>#N/A</v>
      </c>
      <c r="W28" s="421" t="e">
        <v>#N/A</v>
      </c>
      <c r="X28" s="421" t="e">
        <v>#N/A</v>
      </c>
      <c r="Y28" s="421" t="e">
        <v>#N/A</v>
      </c>
      <c r="Z28" s="393" t="e">
        <v>#N/A</v>
      </c>
      <c r="AA28" s="393" t="e">
        <v>#N/A</v>
      </c>
      <c r="AB28" s="393" t="e">
        <v>#N/A</v>
      </c>
      <c r="AC28" s="421" t="e">
        <v>#N/A</v>
      </c>
      <c r="AD28" s="421" t="e">
        <v>#N/A</v>
      </c>
      <c r="AE28" s="421" t="e">
        <v>#N/A</v>
      </c>
      <c r="AF28" s="421" t="e">
        <v>#N/A</v>
      </c>
      <c r="AG28" s="421" t="e">
        <f t="shared" si="4"/>
        <v>#N/A</v>
      </c>
      <c r="AH28" s="421" t="str">
        <f t="shared" si="5"/>
        <v/>
      </c>
      <c r="AI28" s="427" t="e">
        <f>IF(NOT(OR(Z28=1,Z28=2)),IF(AQ28&gt;0,$AR$47*AQ28/SUMIF($AQ$11:$AQ$42,"&gt;0"),IF(AU28&gt;0,$AV$47*AU28/SUMIF($AU$11:$AU$42,"&gt;0"),IF(AS28&gt;0,$AT$47*AS28/SUMIF($AS$11:$AS$42,"&gt;0"),""))),IF(SUMIF(AJ29:$AJ$42,"=" &amp; AJ28,AI29:$AI$42)=0,"",SUMIF(AJ29:$AJ$42,"=" &amp; AJ28,AI29:$AI$42)))</f>
        <v>#N/A</v>
      </c>
      <c r="AJ28" s="426" t="e">
        <f t="shared" si="36"/>
        <v>#N/A</v>
      </c>
      <c r="AK28" s="421" t="str">
        <f t="shared" si="6"/>
        <v/>
      </c>
      <c r="AL28" s="393" t="str">
        <f t="shared" si="7"/>
        <v/>
      </c>
      <c r="AM28" s="393" t="str">
        <f t="shared" si="8"/>
        <v/>
      </c>
      <c r="AN28" s="393" t="str">
        <f t="shared" si="9"/>
        <v/>
      </c>
      <c r="AO28" s="393" t="e">
        <f t="shared" si="10"/>
        <v>#N/A</v>
      </c>
      <c r="AP28" s="421" t="str">
        <f t="shared" si="11"/>
        <v/>
      </c>
      <c r="AQ28" s="425">
        <f t="shared" si="12"/>
        <v>0</v>
      </c>
      <c r="AR28" s="423" t="str">
        <f t="shared" si="13"/>
        <v/>
      </c>
      <c r="AS28" s="424">
        <f t="shared" si="14"/>
        <v>0</v>
      </c>
      <c r="AT28" s="423" t="str">
        <f t="shared" si="15"/>
        <v/>
      </c>
      <c r="AU28" s="420">
        <f t="shared" si="16"/>
        <v>0</v>
      </c>
      <c r="AV28" s="422" t="str">
        <f t="shared" si="17"/>
        <v/>
      </c>
      <c r="AW28" s="420" t="b">
        <f t="shared" si="18"/>
        <v>0</v>
      </c>
      <c r="AX28" s="419" t="b">
        <f t="shared" si="19"/>
        <v>0</v>
      </c>
      <c r="AY28" s="420" t="b">
        <f t="shared" si="20"/>
        <v>0</v>
      </c>
      <c r="AZ28" s="419" t="b">
        <f t="shared" si="21"/>
        <v>0</v>
      </c>
      <c r="BA28" s="421" t="b">
        <f t="shared" si="22"/>
        <v>0</v>
      </c>
      <c r="BB28" s="421" t="b">
        <f t="shared" si="23"/>
        <v>0</v>
      </c>
      <c r="BC28" s="420" t="b">
        <f t="shared" si="24"/>
        <v>0</v>
      </c>
      <c r="BD28" s="393" t="b">
        <f t="shared" si="25"/>
        <v>0</v>
      </c>
      <c r="BE28" s="419" t="b">
        <f t="shared" si="26"/>
        <v>0</v>
      </c>
      <c r="BF28" s="418" t="b">
        <f t="shared" si="27"/>
        <v>0</v>
      </c>
      <c r="BG28" s="417" t="str">
        <f t="shared" si="28"/>
        <v>NA</v>
      </c>
      <c r="BH28" s="417" t="str">
        <f t="shared" si="29"/>
        <v/>
      </c>
      <c r="BI28" s="417" t="str">
        <f t="shared" si="30"/>
        <v/>
      </c>
      <c r="BJ28" s="417" t="str">
        <f t="shared" si="31"/>
        <v/>
      </c>
      <c r="BK28" s="417" t="str">
        <f t="shared" si="32"/>
        <v/>
      </c>
      <c r="BL28" s="435" t="str">
        <f t="shared" si="33"/>
        <v/>
      </c>
      <c r="BM28" s="417" t="str">
        <f t="shared" si="34"/>
        <v/>
      </c>
      <c r="BN28" s="417" t="str">
        <f t="shared" si="35"/>
        <v/>
      </c>
      <c r="BO28" s="1630"/>
      <c r="BP28" s="443" t="s">
        <v>231</v>
      </c>
      <c r="BQ28" s="446">
        <f t="shared" si="37"/>
        <v>0.6</v>
      </c>
      <c r="BR28" s="445">
        <f t="shared" si="38"/>
        <v>0.7</v>
      </c>
      <c r="BS28" s="445">
        <f t="shared" si="39"/>
        <v>0.9</v>
      </c>
      <c r="BT28" s="445">
        <f t="shared" si="40"/>
        <v>0.95</v>
      </c>
      <c r="BU28" s="444">
        <f t="shared" si="41"/>
        <v>1</v>
      </c>
      <c r="BV28" s="447"/>
      <c r="BW28" s="403"/>
    </row>
    <row r="29" spans="2:75" s="416" customFormat="1" ht="12.95" customHeight="1" x14ac:dyDescent="0.25">
      <c r="B29" s="433" t="str">
        <f>IF(ISNA(Z29),"",IF(OR(Z29=1,Z29=2),"    ",MAX($B$11:B28)+1))</f>
        <v/>
      </c>
      <c r="C29" s="1618" t="str">
        <f t="shared" si="0"/>
        <v/>
      </c>
      <c r="D29" s="1618"/>
      <c r="E29" s="1618"/>
      <c r="F29" s="1619"/>
      <c r="G29" s="437" t="str">
        <f t="shared" si="1"/>
        <v/>
      </c>
      <c r="H29" s="431" t="str">
        <f t="shared" si="2"/>
        <v/>
      </c>
      <c r="I29" s="436" t="str">
        <f t="shared" si="3"/>
        <v/>
      </c>
      <c r="J29" s="429"/>
      <c r="K29" s="428"/>
      <c r="L29" s="1701"/>
      <c r="M29" s="1702"/>
      <c r="N29" s="1702"/>
      <c r="O29" s="1702"/>
      <c r="P29" s="1702"/>
      <c r="Q29" s="1702"/>
      <c r="R29" s="1703"/>
      <c r="T29" s="401">
        <v>19</v>
      </c>
      <c r="U29" s="374" t="e">
        <v>#N/A</v>
      </c>
      <c r="V29" s="421" t="e">
        <v>#N/A</v>
      </c>
      <c r="W29" s="421" t="e">
        <v>#N/A</v>
      </c>
      <c r="X29" s="421" t="e">
        <v>#N/A</v>
      </c>
      <c r="Y29" s="421" t="e">
        <v>#N/A</v>
      </c>
      <c r="Z29" s="393" t="e">
        <v>#N/A</v>
      </c>
      <c r="AA29" s="393" t="e">
        <v>#N/A</v>
      </c>
      <c r="AB29" s="393" t="e">
        <v>#N/A</v>
      </c>
      <c r="AC29" s="421" t="e">
        <v>#N/A</v>
      </c>
      <c r="AD29" s="421" t="e">
        <v>#N/A</v>
      </c>
      <c r="AE29" s="421" t="e">
        <v>#N/A</v>
      </c>
      <c r="AF29" s="421" t="e">
        <v>#N/A</v>
      </c>
      <c r="AG29" s="421" t="e">
        <f t="shared" si="4"/>
        <v>#N/A</v>
      </c>
      <c r="AH29" s="421" t="str">
        <f t="shared" si="5"/>
        <v/>
      </c>
      <c r="AI29" s="427" t="e">
        <f>IF(NOT(OR(Z29=1,Z29=2)),IF(AQ29&gt;0,$AR$47*AQ29/SUMIF($AQ$11:$AQ$42,"&gt;0"),IF(AU29&gt;0,$AV$47*AU29/SUMIF($AU$11:$AU$42,"&gt;0"),IF(AS29&gt;0,$AT$47*AS29/SUMIF($AS$11:$AS$42,"&gt;0"),""))),IF(SUMIF(AJ30:$AJ$42,"=" &amp; AJ29,AI30:$AI$42)=0,"",SUMIF(AJ30:$AJ$42,"=" &amp; AJ29,AI30:$AI$42)))</f>
        <v>#N/A</v>
      </c>
      <c r="AJ29" s="426" t="e">
        <f t="shared" si="36"/>
        <v>#N/A</v>
      </c>
      <c r="AK29" s="421" t="str">
        <f t="shared" si="6"/>
        <v/>
      </c>
      <c r="AL29" s="393" t="str">
        <f t="shared" si="7"/>
        <v/>
      </c>
      <c r="AM29" s="393" t="str">
        <f t="shared" si="8"/>
        <v/>
      </c>
      <c r="AN29" s="393" t="str">
        <f t="shared" si="9"/>
        <v/>
      </c>
      <c r="AO29" s="393" t="e">
        <f t="shared" si="10"/>
        <v>#N/A</v>
      </c>
      <c r="AP29" s="421" t="str">
        <f t="shared" si="11"/>
        <v/>
      </c>
      <c r="AQ29" s="425">
        <f t="shared" si="12"/>
        <v>0</v>
      </c>
      <c r="AR29" s="423" t="str">
        <f t="shared" si="13"/>
        <v/>
      </c>
      <c r="AS29" s="424">
        <f t="shared" si="14"/>
        <v>0</v>
      </c>
      <c r="AT29" s="423" t="str">
        <f t="shared" si="15"/>
        <v/>
      </c>
      <c r="AU29" s="420">
        <f t="shared" si="16"/>
        <v>0</v>
      </c>
      <c r="AV29" s="422" t="str">
        <f t="shared" si="17"/>
        <v/>
      </c>
      <c r="AW29" s="420" t="b">
        <f t="shared" si="18"/>
        <v>0</v>
      </c>
      <c r="AX29" s="419" t="b">
        <f t="shared" si="19"/>
        <v>0</v>
      </c>
      <c r="AY29" s="420" t="b">
        <f t="shared" si="20"/>
        <v>0</v>
      </c>
      <c r="AZ29" s="419" t="b">
        <f t="shared" si="21"/>
        <v>0</v>
      </c>
      <c r="BA29" s="421" t="b">
        <f t="shared" si="22"/>
        <v>0</v>
      </c>
      <c r="BB29" s="421" t="b">
        <f t="shared" si="23"/>
        <v>0</v>
      </c>
      <c r="BC29" s="420" t="b">
        <f t="shared" si="24"/>
        <v>0</v>
      </c>
      <c r="BD29" s="393" t="b">
        <f t="shared" si="25"/>
        <v>0</v>
      </c>
      <c r="BE29" s="419" t="b">
        <f t="shared" si="26"/>
        <v>0</v>
      </c>
      <c r="BF29" s="418" t="b">
        <f t="shared" si="27"/>
        <v>0</v>
      </c>
      <c r="BG29" s="417" t="str">
        <f t="shared" si="28"/>
        <v>NA</v>
      </c>
      <c r="BH29" s="417" t="str">
        <f t="shared" si="29"/>
        <v/>
      </c>
      <c r="BI29" s="417" t="str">
        <f t="shared" si="30"/>
        <v/>
      </c>
      <c r="BJ29" s="417" t="str">
        <f t="shared" si="31"/>
        <v/>
      </c>
      <c r="BK29" s="417" t="str">
        <f t="shared" si="32"/>
        <v/>
      </c>
      <c r="BL29" s="435" t="str">
        <f t="shared" si="33"/>
        <v/>
      </c>
      <c r="BM29" s="417" t="str">
        <f t="shared" si="34"/>
        <v/>
      </c>
      <c r="BN29" s="417" t="str">
        <f t="shared" si="35"/>
        <v/>
      </c>
      <c r="BO29" s="1630"/>
      <c r="BP29" s="443" t="s">
        <v>232</v>
      </c>
      <c r="BQ29" s="446">
        <f t="shared" si="37"/>
        <v>0.6</v>
      </c>
      <c r="BR29" s="445">
        <f t="shared" si="38"/>
        <v>0.7</v>
      </c>
      <c r="BS29" s="445">
        <f t="shared" si="39"/>
        <v>0.8</v>
      </c>
      <c r="BT29" s="445">
        <f t="shared" si="40"/>
        <v>0.9</v>
      </c>
      <c r="BU29" s="444">
        <f t="shared" si="41"/>
        <v>1</v>
      </c>
    </row>
    <row r="30" spans="2:75" s="416" customFormat="1" ht="12.95" customHeight="1" x14ac:dyDescent="0.25">
      <c r="B30" s="433" t="str">
        <f>IF(ISNA(Z30),"",IF(OR(Z30=1,Z30=2),"    ",MAX($B$11:B29)+1))</f>
        <v/>
      </c>
      <c r="C30" s="1618" t="str">
        <f t="shared" si="0"/>
        <v/>
      </c>
      <c r="D30" s="1618"/>
      <c r="E30" s="1618"/>
      <c r="F30" s="1619"/>
      <c r="G30" s="437" t="str">
        <f t="shared" si="1"/>
        <v/>
      </c>
      <c r="H30" s="431" t="str">
        <f t="shared" si="2"/>
        <v/>
      </c>
      <c r="I30" s="436" t="str">
        <f t="shared" si="3"/>
        <v/>
      </c>
      <c r="J30" s="429"/>
      <c r="K30" s="428"/>
      <c r="L30" s="1701"/>
      <c r="M30" s="1702"/>
      <c r="N30" s="1702"/>
      <c r="O30" s="1702"/>
      <c r="P30" s="1702"/>
      <c r="Q30" s="1702"/>
      <c r="R30" s="1703"/>
      <c r="T30" s="401">
        <v>20</v>
      </c>
      <c r="U30" s="374" t="e">
        <v>#N/A</v>
      </c>
      <c r="V30" s="421" t="e">
        <v>#N/A</v>
      </c>
      <c r="W30" s="421" t="e">
        <v>#N/A</v>
      </c>
      <c r="X30" s="421" t="e">
        <v>#N/A</v>
      </c>
      <c r="Y30" s="421" t="e">
        <v>#N/A</v>
      </c>
      <c r="Z30" s="393" t="e">
        <v>#N/A</v>
      </c>
      <c r="AA30" s="393" t="e">
        <v>#N/A</v>
      </c>
      <c r="AB30" s="393" t="e">
        <v>#N/A</v>
      </c>
      <c r="AC30" s="421" t="e">
        <v>#N/A</v>
      </c>
      <c r="AD30" s="421" t="e">
        <v>#N/A</v>
      </c>
      <c r="AE30" s="421" t="e">
        <v>#N/A</v>
      </c>
      <c r="AF30" s="421" t="e">
        <v>#N/A</v>
      </c>
      <c r="AG30" s="421" t="e">
        <f t="shared" si="4"/>
        <v>#N/A</v>
      </c>
      <c r="AH30" s="421" t="str">
        <f t="shared" si="5"/>
        <v/>
      </c>
      <c r="AI30" s="427" t="e">
        <f>IF(NOT(OR(Z30=1,Z30=2)),IF(AQ30&gt;0,$AR$47*AQ30/SUMIF($AQ$11:$AQ$42,"&gt;0"),IF(AU30&gt;0,$AV$47*AU30/SUMIF($AU$11:$AU$42,"&gt;0"),IF(AS30&gt;0,$AT$47*AS30/SUMIF($AS$11:$AS$42,"&gt;0"),""))),IF(SUMIF(AJ31:$AJ$42,"=" &amp; AJ30,AI31:$AI$42)=0,"",SUMIF(AJ31:$AJ$42,"=" &amp; AJ30,AI31:$AI$42)))</f>
        <v>#N/A</v>
      </c>
      <c r="AJ30" s="426" t="e">
        <f t="shared" si="36"/>
        <v>#N/A</v>
      </c>
      <c r="AK30" s="421" t="str">
        <f t="shared" si="6"/>
        <v/>
      </c>
      <c r="AL30" s="393" t="str">
        <f t="shared" si="7"/>
        <v/>
      </c>
      <c r="AM30" s="393" t="str">
        <f t="shared" si="8"/>
        <v/>
      </c>
      <c r="AN30" s="393" t="str">
        <f t="shared" si="9"/>
        <v/>
      </c>
      <c r="AO30" s="393" t="e">
        <f t="shared" si="10"/>
        <v>#N/A</v>
      </c>
      <c r="AP30" s="421" t="str">
        <f t="shared" si="11"/>
        <v/>
      </c>
      <c r="AQ30" s="425">
        <f t="shared" si="12"/>
        <v>0</v>
      </c>
      <c r="AR30" s="423" t="str">
        <f t="shared" si="13"/>
        <v/>
      </c>
      <c r="AS30" s="424">
        <f t="shared" si="14"/>
        <v>0</v>
      </c>
      <c r="AT30" s="423" t="str">
        <f t="shared" si="15"/>
        <v/>
      </c>
      <c r="AU30" s="420">
        <f t="shared" si="16"/>
        <v>0</v>
      </c>
      <c r="AV30" s="422" t="str">
        <f t="shared" si="17"/>
        <v/>
      </c>
      <c r="AW30" s="420" t="b">
        <f t="shared" si="18"/>
        <v>0</v>
      </c>
      <c r="AX30" s="419" t="b">
        <f t="shared" si="19"/>
        <v>0</v>
      </c>
      <c r="AY30" s="420" t="b">
        <f t="shared" si="20"/>
        <v>0</v>
      </c>
      <c r="AZ30" s="419" t="b">
        <f t="shared" si="21"/>
        <v>0</v>
      </c>
      <c r="BA30" s="421" t="b">
        <f t="shared" si="22"/>
        <v>0</v>
      </c>
      <c r="BB30" s="421" t="b">
        <f t="shared" si="23"/>
        <v>0</v>
      </c>
      <c r="BC30" s="420" t="b">
        <f t="shared" si="24"/>
        <v>0</v>
      </c>
      <c r="BD30" s="393" t="b">
        <f t="shared" si="25"/>
        <v>0</v>
      </c>
      <c r="BE30" s="419" t="b">
        <f t="shared" si="26"/>
        <v>0</v>
      </c>
      <c r="BF30" s="418" t="b">
        <f t="shared" si="27"/>
        <v>0</v>
      </c>
      <c r="BG30" s="417" t="str">
        <f t="shared" si="28"/>
        <v>NA</v>
      </c>
      <c r="BH30" s="417" t="str">
        <f t="shared" si="29"/>
        <v/>
      </c>
      <c r="BI30" s="417" t="str">
        <f t="shared" si="30"/>
        <v/>
      </c>
      <c r="BJ30" s="417" t="str">
        <f t="shared" si="31"/>
        <v/>
      </c>
      <c r="BK30" s="417" t="str">
        <f t="shared" si="32"/>
        <v/>
      </c>
      <c r="BL30" s="435" t="str">
        <f t="shared" si="33"/>
        <v/>
      </c>
      <c r="BM30" s="417" t="str">
        <f t="shared" si="34"/>
        <v/>
      </c>
      <c r="BN30" s="417" t="str">
        <f t="shared" si="35"/>
        <v/>
      </c>
      <c r="BO30" s="1630"/>
      <c r="BP30" s="443" t="s">
        <v>233</v>
      </c>
      <c r="BQ30" s="446">
        <f t="shared" si="37"/>
        <v>0.3</v>
      </c>
      <c r="BR30" s="445">
        <f t="shared" si="38"/>
        <v>0.6</v>
      </c>
      <c r="BS30" s="445">
        <f t="shared" si="39"/>
        <v>0.9</v>
      </c>
      <c r="BT30" s="445">
        <f t="shared" si="40"/>
        <v>0.95</v>
      </c>
      <c r="BU30" s="444">
        <f t="shared" si="41"/>
        <v>1</v>
      </c>
    </row>
    <row r="31" spans="2:75" s="416" customFormat="1" ht="12.95" customHeight="1" x14ac:dyDescent="0.25">
      <c r="B31" s="433" t="str">
        <f>IF(ISNA(Z31),"",IF(OR(Z31=1,Z31=2),"    ",MAX($B$11:B30)+1))</f>
        <v/>
      </c>
      <c r="C31" s="1618" t="str">
        <f t="shared" si="0"/>
        <v/>
      </c>
      <c r="D31" s="1618"/>
      <c r="E31" s="1618"/>
      <c r="F31" s="1619"/>
      <c r="G31" s="437" t="str">
        <f t="shared" si="1"/>
        <v/>
      </c>
      <c r="H31" s="431" t="str">
        <f t="shared" si="2"/>
        <v/>
      </c>
      <c r="I31" s="436" t="str">
        <f t="shared" si="3"/>
        <v/>
      </c>
      <c r="J31" s="429"/>
      <c r="K31" s="428"/>
      <c r="L31" s="1701"/>
      <c r="M31" s="1702"/>
      <c r="N31" s="1702"/>
      <c r="O31" s="1702"/>
      <c r="P31" s="1702"/>
      <c r="Q31" s="1702"/>
      <c r="R31" s="1703"/>
      <c r="T31" s="401">
        <v>21</v>
      </c>
      <c r="U31" s="374" t="e">
        <v>#N/A</v>
      </c>
      <c r="V31" s="421" t="e">
        <v>#N/A</v>
      </c>
      <c r="W31" s="421" t="e">
        <v>#N/A</v>
      </c>
      <c r="X31" s="421" t="e">
        <v>#N/A</v>
      </c>
      <c r="Y31" s="421" t="e">
        <v>#N/A</v>
      </c>
      <c r="Z31" s="393" t="e">
        <v>#N/A</v>
      </c>
      <c r="AA31" s="393" t="e">
        <v>#N/A</v>
      </c>
      <c r="AB31" s="393" t="e">
        <v>#N/A</v>
      </c>
      <c r="AC31" s="421" t="e">
        <v>#N/A</v>
      </c>
      <c r="AD31" s="421" t="e">
        <v>#N/A</v>
      </c>
      <c r="AE31" s="421" t="e">
        <v>#N/A</v>
      </c>
      <c r="AF31" s="421" t="e">
        <v>#N/A</v>
      </c>
      <c r="AG31" s="421" t="e">
        <f t="shared" si="4"/>
        <v>#N/A</v>
      </c>
      <c r="AH31" s="421" t="str">
        <f t="shared" si="5"/>
        <v/>
      </c>
      <c r="AI31" s="427" t="e">
        <f>IF(NOT(OR(Z31=1,Z31=2)),IF(AQ31&gt;0,$AR$47*AQ31/SUMIF($AQ$11:$AQ$42,"&gt;0"),IF(AU31&gt;0,$AV$47*AU31/SUMIF($AU$11:$AU$42,"&gt;0"),IF(AS31&gt;0,$AT$47*AS31/SUMIF($AS$11:$AS$42,"&gt;0"),""))),IF(SUMIF(AJ32:$AJ$42,"=" &amp; AJ31,AI32:$AI$42)=0,"",SUMIF(AJ32:$AJ$42,"=" &amp; AJ31,AI32:$AI$42)))</f>
        <v>#N/A</v>
      </c>
      <c r="AJ31" s="426" t="e">
        <f t="shared" si="36"/>
        <v>#N/A</v>
      </c>
      <c r="AK31" s="421" t="str">
        <f t="shared" si="6"/>
        <v/>
      </c>
      <c r="AL31" s="393" t="str">
        <f t="shared" si="7"/>
        <v/>
      </c>
      <c r="AM31" s="393" t="str">
        <f t="shared" si="8"/>
        <v/>
      </c>
      <c r="AN31" s="393" t="str">
        <f t="shared" si="9"/>
        <v/>
      </c>
      <c r="AO31" s="393" t="e">
        <f t="shared" si="10"/>
        <v>#N/A</v>
      </c>
      <c r="AP31" s="421" t="str">
        <f t="shared" si="11"/>
        <v/>
      </c>
      <c r="AQ31" s="425">
        <f t="shared" si="12"/>
        <v>0</v>
      </c>
      <c r="AR31" s="423" t="str">
        <f t="shared" si="13"/>
        <v/>
      </c>
      <c r="AS31" s="424">
        <f t="shared" si="14"/>
        <v>0</v>
      </c>
      <c r="AT31" s="423" t="str">
        <f t="shared" si="15"/>
        <v/>
      </c>
      <c r="AU31" s="420">
        <f t="shared" si="16"/>
        <v>0</v>
      </c>
      <c r="AV31" s="422" t="str">
        <f t="shared" si="17"/>
        <v/>
      </c>
      <c r="AW31" s="420" t="b">
        <f t="shared" si="18"/>
        <v>0</v>
      </c>
      <c r="AX31" s="419" t="b">
        <f t="shared" si="19"/>
        <v>0</v>
      </c>
      <c r="AY31" s="420" t="b">
        <f t="shared" si="20"/>
        <v>0</v>
      </c>
      <c r="AZ31" s="419" t="b">
        <f t="shared" si="21"/>
        <v>0</v>
      </c>
      <c r="BA31" s="421" t="b">
        <f t="shared" si="22"/>
        <v>0</v>
      </c>
      <c r="BB31" s="421" t="b">
        <f t="shared" si="23"/>
        <v>0</v>
      </c>
      <c r="BC31" s="420" t="b">
        <f t="shared" si="24"/>
        <v>0</v>
      </c>
      <c r="BD31" s="393" t="b">
        <f t="shared" si="25"/>
        <v>0</v>
      </c>
      <c r="BE31" s="419" t="b">
        <f t="shared" si="26"/>
        <v>0</v>
      </c>
      <c r="BF31" s="418" t="b">
        <f t="shared" si="27"/>
        <v>0</v>
      </c>
      <c r="BG31" s="417" t="str">
        <f t="shared" si="28"/>
        <v>NA</v>
      </c>
      <c r="BH31" s="417" t="str">
        <f t="shared" si="29"/>
        <v/>
      </c>
      <c r="BI31" s="417" t="str">
        <f t="shared" si="30"/>
        <v/>
      </c>
      <c r="BJ31" s="417" t="str">
        <f t="shared" si="31"/>
        <v/>
      </c>
      <c r="BK31" s="417" t="str">
        <f t="shared" si="32"/>
        <v/>
      </c>
      <c r="BL31" s="435" t="str">
        <f t="shared" si="33"/>
        <v/>
      </c>
      <c r="BM31" s="417" t="str">
        <f t="shared" si="34"/>
        <v/>
      </c>
      <c r="BN31" s="417" t="str">
        <f t="shared" si="35"/>
        <v/>
      </c>
      <c r="BO31" s="1630"/>
      <c r="BP31" s="443" t="s">
        <v>234</v>
      </c>
      <c r="BQ31" s="446">
        <f t="shared" si="37"/>
        <v>0.3</v>
      </c>
      <c r="BR31" s="445">
        <f t="shared" si="38"/>
        <v>0.6</v>
      </c>
      <c r="BS31" s="445">
        <f t="shared" si="39"/>
        <v>0.7</v>
      </c>
      <c r="BT31" s="445">
        <f t="shared" si="40"/>
        <v>0.9</v>
      </c>
      <c r="BU31" s="444">
        <f t="shared" si="41"/>
        <v>1</v>
      </c>
    </row>
    <row r="32" spans="2:75" s="416" customFormat="1" ht="12.95" customHeight="1" x14ac:dyDescent="0.25">
      <c r="B32" s="433" t="str">
        <f>IF(ISNA(Z32),"",IF(OR(Z32=1,Z32=2),"    ",MAX($B$11:B31)+1))</f>
        <v/>
      </c>
      <c r="C32" s="1618" t="str">
        <f t="shared" si="0"/>
        <v/>
      </c>
      <c r="D32" s="1618"/>
      <c r="E32" s="1618"/>
      <c r="F32" s="1619"/>
      <c r="G32" s="437" t="str">
        <f t="shared" si="1"/>
        <v/>
      </c>
      <c r="H32" s="431" t="str">
        <f t="shared" si="2"/>
        <v/>
      </c>
      <c r="I32" s="436" t="str">
        <f t="shared" si="3"/>
        <v/>
      </c>
      <c r="J32" s="429"/>
      <c r="K32" s="428"/>
      <c r="L32" s="1701"/>
      <c r="M32" s="1702"/>
      <c r="N32" s="1702"/>
      <c r="O32" s="1702"/>
      <c r="P32" s="1702"/>
      <c r="Q32" s="1702"/>
      <c r="R32" s="1703"/>
      <c r="T32" s="401">
        <v>22</v>
      </c>
      <c r="U32" s="374" t="e">
        <v>#N/A</v>
      </c>
      <c r="V32" s="421" t="e">
        <v>#N/A</v>
      </c>
      <c r="W32" s="421" t="e">
        <v>#N/A</v>
      </c>
      <c r="X32" s="421" t="e">
        <v>#N/A</v>
      </c>
      <c r="Y32" s="421" t="e">
        <v>#N/A</v>
      </c>
      <c r="Z32" s="393" t="e">
        <v>#N/A</v>
      </c>
      <c r="AA32" s="393" t="e">
        <v>#N/A</v>
      </c>
      <c r="AB32" s="393" t="e">
        <v>#N/A</v>
      </c>
      <c r="AC32" s="421" t="e">
        <v>#N/A</v>
      </c>
      <c r="AD32" s="421" t="e">
        <v>#N/A</v>
      </c>
      <c r="AE32" s="421" t="e">
        <v>#N/A</v>
      </c>
      <c r="AF32" s="421" t="e">
        <v>#N/A</v>
      </c>
      <c r="AG32" s="421" t="e">
        <f t="shared" si="4"/>
        <v>#N/A</v>
      </c>
      <c r="AH32" s="421" t="str">
        <f t="shared" si="5"/>
        <v/>
      </c>
      <c r="AI32" s="427" t="e">
        <f>IF(NOT(OR(Z32=1,Z32=2)),IF(AQ32&gt;0,$AR$47*AQ32/SUMIF($AQ$11:$AQ$42,"&gt;0"),IF(AU32&gt;0,$AV$47*AU32/SUMIF($AU$11:$AU$42,"&gt;0"),IF(AS32&gt;0,$AT$47*AS32/SUMIF($AS$11:$AS$42,"&gt;0"),""))),IF(SUMIF(AJ33:$AJ$42,"=" &amp; AJ32,AI33:$AI$42)=0,"",SUMIF(AJ33:$AJ$42,"=" &amp; AJ32,AI33:$AI$42)))</f>
        <v>#N/A</v>
      </c>
      <c r="AJ32" s="426" t="e">
        <f t="shared" si="36"/>
        <v>#N/A</v>
      </c>
      <c r="AK32" s="421" t="str">
        <f t="shared" si="6"/>
        <v/>
      </c>
      <c r="AL32" s="393" t="str">
        <f t="shared" si="7"/>
        <v/>
      </c>
      <c r="AM32" s="393" t="str">
        <f t="shared" si="8"/>
        <v/>
      </c>
      <c r="AN32" s="393" t="str">
        <f t="shared" si="9"/>
        <v/>
      </c>
      <c r="AO32" s="393" t="e">
        <f t="shared" si="10"/>
        <v>#N/A</v>
      </c>
      <c r="AP32" s="421" t="str">
        <f t="shared" si="11"/>
        <v/>
      </c>
      <c r="AQ32" s="425">
        <f t="shared" si="12"/>
        <v>0</v>
      </c>
      <c r="AR32" s="423" t="str">
        <f t="shared" si="13"/>
        <v/>
      </c>
      <c r="AS32" s="424">
        <f t="shared" si="14"/>
        <v>0</v>
      </c>
      <c r="AT32" s="423" t="str">
        <f t="shared" si="15"/>
        <v/>
      </c>
      <c r="AU32" s="420">
        <f t="shared" si="16"/>
        <v>0</v>
      </c>
      <c r="AV32" s="422" t="str">
        <f t="shared" si="17"/>
        <v/>
      </c>
      <c r="AW32" s="420" t="b">
        <f t="shared" si="18"/>
        <v>0</v>
      </c>
      <c r="AX32" s="419" t="b">
        <f t="shared" si="19"/>
        <v>0</v>
      </c>
      <c r="AY32" s="420" t="b">
        <f t="shared" si="20"/>
        <v>0</v>
      </c>
      <c r="AZ32" s="419" t="b">
        <f t="shared" si="21"/>
        <v>0</v>
      </c>
      <c r="BA32" s="421" t="b">
        <f t="shared" si="22"/>
        <v>0</v>
      </c>
      <c r="BB32" s="421" t="b">
        <f t="shared" si="23"/>
        <v>0</v>
      </c>
      <c r="BC32" s="420" t="b">
        <f t="shared" si="24"/>
        <v>0</v>
      </c>
      <c r="BD32" s="393" t="b">
        <f t="shared" si="25"/>
        <v>0</v>
      </c>
      <c r="BE32" s="419" t="b">
        <f t="shared" si="26"/>
        <v>0</v>
      </c>
      <c r="BF32" s="418" t="b">
        <f t="shared" si="27"/>
        <v>0</v>
      </c>
      <c r="BG32" s="417" t="str">
        <f t="shared" si="28"/>
        <v>NA</v>
      </c>
      <c r="BH32" s="417" t="str">
        <f t="shared" si="29"/>
        <v/>
      </c>
      <c r="BI32" s="417" t="str">
        <f t="shared" si="30"/>
        <v/>
      </c>
      <c r="BJ32" s="417" t="str">
        <f t="shared" si="31"/>
        <v/>
      </c>
      <c r="BK32" s="417" t="str">
        <f t="shared" si="32"/>
        <v/>
      </c>
      <c r="BL32" s="435" t="str">
        <f t="shared" si="33"/>
        <v/>
      </c>
      <c r="BM32" s="417" t="str">
        <f t="shared" si="34"/>
        <v/>
      </c>
      <c r="BN32" s="417" t="str">
        <f t="shared" si="35"/>
        <v/>
      </c>
      <c r="BO32" s="1630"/>
      <c r="BP32" s="443" t="s">
        <v>235</v>
      </c>
      <c r="BQ32" s="442">
        <f t="shared" si="37"/>
        <v>0</v>
      </c>
      <c r="BR32" s="441">
        <f t="shared" si="38"/>
        <v>0.3</v>
      </c>
      <c r="BS32" s="441">
        <f t="shared" si="39"/>
        <v>0.6</v>
      </c>
      <c r="BT32" s="441">
        <f t="shared" si="40"/>
        <v>0.9</v>
      </c>
      <c r="BU32" s="440">
        <f t="shared" si="41"/>
        <v>1</v>
      </c>
    </row>
    <row r="33" spans="2:73 1271:1271" s="416" customFormat="1" ht="12.95" customHeight="1" x14ac:dyDescent="0.25">
      <c r="B33" s="433" t="str">
        <f>IF(ISNA(Z33),"",IF(OR(Z33=1,Z33=2),"    ",MAX($B$11:B32)+1))</f>
        <v/>
      </c>
      <c r="C33" s="1618" t="str">
        <f t="shared" si="0"/>
        <v/>
      </c>
      <c r="D33" s="1618"/>
      <c r="E33" s="1618"/>
      <c r="F33" s="1619"/>
      <c r="G33" s="437" t="str">
        <f t="shared" si="1"/>
        <v/>
      </c>
      <c r="H33" s="431" t="str">
        <f t="shared" si="2"/>
        <v/>
      </c>
      <c r="I33" s="436" t="str">
        <f t="shared" si="3"/>
        <v/>
      </c>
      <c r="J33" s="429"/>
      <c r="K33" s="428"/>
      <c r="L33" s="1701"/>
      <c r="M33" s="1702"/>
      <c r="N33" s="1702"/>
      <c r="O33" s="1702"/>
      <c r="P33" s="1702"/>
      <c r="Q33" s="1702"/>
      <c r="R33" s="1703"/>
      <c r="T33" s="401">
        <v>23</v>
      </c>
      <c r="U33" s="374" t="e">
        <v>#N/A</v>
      </c>
      <c r="V33" s="421" t="e">
        <v>#N/A</v>
      </c>
      <c r="W33" s="421" t="e">
        <v>#N/A</v>
      </c>
      <c r="X33" s="421" t="e">
        <v>#N/A</v>
      </c>
      <c r="Y33" s="421" t="e">
        <v>#N/A</v>
      </c>
      <c r="Z33" s="393" t="e">
        <v>#N/A</v>
      </c>
      <c r="AA33" s="393" t="e">
        <v>#N/A</v>
      </c>
      <c r="AB33" s="393" t="e">
        <v>#N/A</v>
      </c>
      <c r="AC33" s="421" t="e">
        <v>#N/A</v>
      </c>
      <c r="AD33" s="421" t="e">
        <v>#N/A</v>
      </c>
      <c r="AE33" s="421" t="e">
        <v>#N/A</v>
      </c>
      <c r="AF33" s="421" t="e">
        <v>#N/A</v>
      </c>
      <c r="AG33" s="421" t="e">
        <f t="shared" si="4"/>
        <v>#N/A</v>
      </c>
      <c r="AH33" s="421" t="str">
        <f t="shared" si="5"/>
        <v/>
      </c>
      <c r="AI33" s="427" t="e">
        <f>IF(NOT(OR(Z33=1,Z33=2)),IF(AQ33&gt;0,$AR$47*AQ33/SUMIF($AQ$11:$AQ$42,"&gt;0"),IF(AU33&gt;0,$AV$47*AU33/SUMIF($AU$11:$AU$42,"&gt;0"),IF(AS33&gt;0,$AT$47*AS33/SUMIF($AS$11:$AS$42,"&gt;0"),""))),IF(SUMIF(AJ34:$AJ$42,"=" &amp; AJ33,AI34:$AI$42)=0,"",SUMIF(AJ34:$AJ$42,"=" &amp; AJ33,AI34:$AI$42)))</f>
        <v>#N/A</v>
      </c>
      <c r="AJ33" s="426" t="e">
        <f t="shared" si="36"/>
        <v>#N/A</v>
      </c>
      <c r="AK33" s="421" t="str">
        <f t="shared" si="6"/>
        <v/>
      </c>
      <c r="AL33" s="393" t="str">
        <f t="shared" si="7"/>
        <v/>
      </c>
      <c r="AM33" s="393" t="str">
        <f t="shared" si="8"/>
        <v/>
      </c>
      <c r="AN33" s="393" t="str">
        <f t="shared" si="9"/>
        <v/>
      </c>
      <c r="AO33" s="393" t="e">
        <f t="shared" si="10"/>
        <v>#N/A</v>
      </c>
      <c r="AP33" s="421" t="str">
        <f t="shared" si="11"/>
        <v/>
      </c>
      <c r="AQ33" s="425">
        <f t="shared" si="12"/>
        <v>0</v>
      </c>
      <c r="AR33" s="423" t="str">
        <f t="shared" si="13"/>
        <v/>
      </c>
      <c r="AS33" s="424">
        <f t="shared" si="14"/>
        <v>0</v>
      </c>
      <c r="AT33" s="423" t="str">
        <f t="shared" si="15"/>
        <v/>
      </c>
      <c r="AU33" s="420">
        <f t="shared" si="16"/>
        <v>0</v>
      </c>
      <c r="AV33" s="422" t="str">
        <f t="shared" si="17"/>
        <v/>
      </c>
      <c r="AW33" s="420" t="b">
        <f t="shared" si="18"/>
        <v>0</v>
      </c>
      <c r="AX33" s="419" t="b">
        <f t="shared" si="19"/>
        <v>0</v>
      </c>
      <c r="AY33" s="420" t="b">
        <f t="shared" si="20"/>
        <v>0</v>
      </c>
      <c r="AZ33" s="419" t="b">
        <f t="shared" si="21"/>
        <v>0</v>
      </c>
      <c r="BA33" s="421" t="b">
        <f t="shared" si="22"/>
        <v>0</v>
      </c>
      <c r="BB33" s="421" t="b">
        <f t="shared" si="23"/>
        <v>0</v>
      </c>
      <c r="BC33" s="420" t="b">
        <f t="shared" si="24"/>
        <v>0</v>
      </c>
      <c r="BD33" s="393" t="b">
        <f t="shared" si="25"/>
        <v>0</v>
      </c>
      <c r="BE33" s="419" t="b">
        <f t="shared" si="26"/>
        <v>0</v>
      </c>
      <c r="BF33" s="418" t="b">
        <f t="shared" si="27"/>
        <v>0</v>
      </c>
      <c r="BG33" s="417" t="str">
        <f t="shared" si="28"/>
        <v>NA</v>
      </c>
      <c r="BH33" s="417" t="str">
        <f t="shared" si="29"/>
        <v/>
      </c>
      <c r="BI33" s="417" t="str">
        <f t="shared" si="30"/>
        <v/>
      </c>
      <c r="BJ33" s="417" t="str">
        <f t="shared" si="31"/>
        <v/>
      </c>
      <c r="BK33" s="417" t="str">
        <f t="shared" si="32"/>
        <v/>
      </c>
      <c r="BL33" s="435" t="str">
        <f t="shared" si="33"/>
        <v/>
      </c>
      <c r="BM33" s="417" t="str">
        <f t="shared" si="34"/>
        <v/>
      </c>
      <c r="BN33" s="417" t="str">
        <f t="shared" si="35"/>
        <v/>
      </c>
      <c r="BO33" s="372"/>
    </row>
    <row r="34" spans="2:73 1271:1271" s="416" customFormat="1" ht="12.95" customHeight="1" x14ac:dyDescent="0.25">
      <c r="B34" s="433" t="str">
        <f>IF(ISNA(Z34),"",IF(OR(Z34=1,Z34=2),"    ",MAX($B$11:B33)+1))</f>
        <v/>
      </c>
      <c r="C34" s="1618" t="str">
        <f t="shared" si="0"/>
        <v/>
      </c>
      <c r="D34" s="1618"/>
      <c r="E34" s="1618"/>
      <c r="F34" s="1619"/>
      <c r="G34" s="437" t="str">
        <f t="shared" si="1"/>
        <v/>
      </c>
      <c r="H34" s="431" t="str">
        <f t="shared" si="2"/>
        <v/>
      </c>
      <c r="I34" s="436" t="str">
        <f t="shared" si="3"/>
        <v/>
      </c>
      <c r="J34" s="429"/>
      <c r="K34" s="428"/>
      <c r="L34" s="1701"/>
      <c r="M34" s="1702"/>
      <c r="N34" s="1702"/>
      <c r="O34" s="1702"/>
      <c r="P34" s="1702"/>
      <c r="Q34" s="1702"/>
      <c r="R34" s="1703"/>
      <c r="T34" s="401">
        <v>24</v>
      </c>
      <c r="U34" s="374" t="e">
        <v>#N/A</v>
      </c>
      <c r="V34" s="421" t="e">
        <v>#N/A</v>
      </c>
      <c r="W34" s="421" t="e">
        <v>#N/A</v>
      </c>
      <c r="X34" s="421" t="e">
        <v>#N/A</v>
      </c>
      <c r="Y34" s="421" t="e">
        <v>#N/A</v>
      </c>
      <c r="Z34" s="393" t="e">
        <v>#N/A</v>
      </c>
      <c r="AA34" s="393" t="e">
        <v>#N/A</v>
      </c>
      <c r="AB34" s="393" t="e">
        <v>#N/A</v>
      </c>
      <c r="AC34" s="421" t="e">
        <v>#N/A</v>
      </c>
      <c r="AD34" s="421" t="e">
        <v>#N/A</v>
      </c>
      <c r="AE34" s="421" t="e">
        <v>#N/A</v>
      </c>
      <c r="AF34" s="421" t="e">
        <v>#N/A</v>
      </c>
      <c r="AG34" s="421" t="e">
        <f t="shared" si="4"/>
        <v>#N/A</v>
      </c>
      <c r="AH34" s="421" t="str">
        <f t="shared" si="5"/>
        <v/>
      </c>
      <c r="AI34" s="427" t="e">
        <f>IF(NOT(OR(Z34=1,Z34=2)),IF(AQ34&gt;0,$AR$47*AQ34/SUMIF($AQ$11:$AQ$42,"&gt;0"),IF(AU34&gt;0,$AV$47*AU34/SUMIF($AU$11:$AU$42,"&gt;0"),IF(AS34&gt;0,$AT$47*AS34/SUMIF($AS$11:$AS$42,"&gt;0"),""))),IF(SUMIF(AJ35:$AJ$42,"=" &amp; AJ34,AI35:$AI$42)=0,"",SUMIF(AJ35:$AJ$42,"=" &amp; AJ34,AI35:$AI$42)))</f>
        <v>#N/A</v>
      </c>
      <c r="AJ34" s="426" t="e">
        <f t="shared" si="36"/>
        <v>#N/A</v>
      </c>
      <c r="AK34" s="421" t="str">
        <f t="shared" si="6"/>
        <v/>
      </c>
      <c r="AL34" s="393" t="str">
        <f t="shared" si="7"/>
        <v/>
      </c>
      <c r="AM34" s="393" t="str">
        <f t="shared" si="8"/>
        <v/>
      </c>
      <c r="AN34" s="393" t="str">
        <f t="shared" si="9"/>
        <v/>
      </c>
      <c r="AO34" s="393" t="e">
        <f t="shared" si="10"/>
        <v>#N/A</v>
      </c>
      <c r="AP34" s="421" t="str">
        <f t="shared" si="11"/>
        <v/>
      </c>
      <c r="AQ34" s="425">
        <f t="shared" si="12"/>
        <v>0</v>
      </c>
      <c r="AR34" s="423" t="str">
        <f t="shared" si="13"/>
        <v/>
      </c>
      <c r="AS34" s="424">
        <f t="shared" si="14"/>
        <v>0</v>
      </c>
      <c r="AT34" s="423" t="str">
        <f t="shared" si="15"/>
        <v/>
      </c>
      <c r="AU34" s="420">
        <f t="shared" si="16"/>
        <v>0</v>
      </c>
      <c r="AV34" s="422" t="str">
        <f t="shared" si="17"/>
        <v/>
      </c>
      <c r="AW34" s="420" t="b">
        <f t="shared" si="18"/>
        <v>0</v>
      </c>
      <c r="AX34" s="419" t="b">
        <f t="shared" si="19"/>
        <v>0</v>
      </c>
      <c r="AY34" s="420" t="b">
        <f t="shared" si="20"/>
        <v>0</v>
      </c>
      <c r="AZ34" s="419" t="b">
        <f t="shared" si="21"/>
        <v>0</v>
      </c>
      <c r="BA34" s="421" t="b">
        <f t="shared" si="22"/>
        <v>0</v>
      </c>
      <c r="BB34" s="421" t="b">
        <f t="shared" si="23"/>
        <v>0</v>
      </c>
      <c r="BC34" s="420" t="b">
        <f t="shared" si="24"/>
        <v>0</v>
      </c>
      <c r="BD34" s="393" t="b">
        <f t="shared" si="25"/>
        <v>0</v>
      </c>
      <c r="BE34" s="419" t="b">
        <f t="shared" si="26"/>
        <v>0</v>
      </c>
      <c r="BF34" s="418" t="b">
        <f t="shared" si="27"/>
        <v>0</v>
      </c>
      <c r="BG34" s="417" t="str">
        <f t="shared" si="28"/>
        <v>NA</v>
      </c>
      <c r="BH34" s="417" t="str">
        <f t="shared" si="29"/>
        <v/>
      </c>
      <c r="BI34" s="417" t="str">
        <f t="shared" si="30"/>
        <v/>
      </c>
      <c r="BJ34" s="417" t="str">
        <f t="shared" si="31"/>
        <v/>
      </c>
      <c r="BK34" s="417" t="str">
        <f t="shared" si="32"/>
        <v/>
      </c>
      <c r="BL34" s="435" t="str">
        <f t="shared" si="33"/>
        <v/>
      </c>
      <c r="BM34" s="417" t="str">
        <f t="shared" si="34"/>
        <v/>
      </c>
      <c r="BN34" s="417" t="str">
        <f t="shared" si="35"/>
        <v/>
      </c>
      <c r="BO34" s="439" t="s">
        <v>236</v>
      </c>
      <c r="BP34" s="438" t="s">
        <v>237</v>
      </c>
    </row>
    <row r="35" spans="2:73 1271:1271" s="416" customFormat="1" ht="12.95" customHeight="1" x14ac:dyDescent="0.25">
      <c r="B35" s="433" t="str">
        <f>IF(ISNA(Z35),"",IF(OR(Z35=1,Z35=2),"    ",MAX($B$11:B34)+1))</f>
        <v/>
      </c>
      <c r="C35" s="1618" t="str">
        <f t="shared" si="0"/>
        <v/>
      </c>
      <c r="D35" s="1618"/>
      <c r="E35" s="1618"/>
      <c r="F35" s="1619"/>
      <c r="G35" s="437" t="str">
        <f t="shared" si="1"/>
        <v/>
      </c>
      <c r="H35" s="431" t="str">
        <f t="shared" si="2"/>
        <v/>
      </c>
      <c r="I35" s="436" t="str">
        <f t="shared" si="3"/>
        <v/>
      </c>
      <c r="J35" s="429"/>
      <c r="K35" s="428"/>
      <c r="L35" s="1701"/>
      <c r="M35" s="1702"/>
      <c r="N35" s="1702"/>
      <c r="O35" s="1702"/>
      <c r="P35" s="1702"/>
      <c r="Q35" s="1702"/>
      <c r="R35" s="1703"/>
      <c r="T35" s="401">
        <v>25</v>
      </c>
      <c r="U35" s="374" t="e">
        <v>#N/A</v>
      </c>
      <c r="V35" s="421" t="e">
        <v>#N/A</v>
      </c>
      <c r="W35" s="421" t="e">
        <v>#N/A</v>
      </c>
      <c r="X35" s="421" t="e">
        <v>#N/A</v>
      </c>
      <c r="Y35" s="421" t="e">
        <v>#N/A</v>
      </c>
      <c r="Z35" s="393" t="e">
        <v>#N/A</v>
      </c>
      <c r="AA35" s="393" t="e">
        <v>#N/A</v>
      </c>
      <c r="AB35" s="393" t="e">
        <v>#N/A</v>
      </c>
      <c r="AC35" s="421" t="e">
        <v>#N/A</v>
      </c>
      <c r="AD35" s="421" t="e">
        <v>#N/A</v>
      </c>
      <c r="AE35" s="421" t="e">
        <v>#N/A</v>
      </c>
      <c r="AF35" s="421" t="e">
        <v>#N/A</v>
      </c>
      <c r="AG35" s="421" t="e">
        <f t="shared" si="4"/>
        <v>#N/A</v>
      </c>
      <c r="AH35" s="421" t="str">
        <f t="shared" si="5"/>
        <v/>
      </c>
      <c r="AI35" s="427" t="e">
        <f>IF(NOT(OR(Z35=1,Z35=2)),IF(AQ35&gt;0,$AR$47*AQ35/SUMIF($AQ$11:$AQ$42,"&gt;0"),IF(AU35&gt;0,$AV$47*AU35/SUMIF($AU$11:$AU$42,"&gt;0"),IF(AS35&gt;0,$AT$47*AS35/SUMIF($AS$11:$AS$42,"&gt;0"),""))),IF(SUMIF(AJ36:$AJ$42,"=" &amp; AJ35,AI36:$AI$42)=0,"",SUMIF(AJ36:$AJ$42,"=" &amp; AJ35,AI36:$AI$42)))</f>
        <v>#N/A</v>
      </c>
      <c r="AJ35" s="426" t="e">
        <f t="shared" si="36"/>
        <v>#N/A</v>
      </c>
      <c r="AK35" s="421" t="str">
        <f t="shared" si="6"/>
        <v/>
      </c>
      <c r="AL35" s="393" t="str">
        <f t="shared" si="7"/>
        <v/>
      </c>
      <c r="AM35" s="393" t="str">
        <f t="shared" si="8"/>
        <v/>
      </c>
      <c r="AN35" s="393" t="str">
        <f t="shared" si="9"/>
        <v/>
      </c>
      <c r="AO35" s="393" t="e">
        <f t="shared" si="10"/>
        <v>#N/A</v>
      </c>
      <c r="AP35" s="421" t="str">
        <f t="shared" si="11"/>
        <v/>
      </c>
      <c r="AQ35" s="425">
        <f t="shared" si="12"/>
        <v>0</v>
      </c>
      <c r="AR35" s="423" t="str">
        <f t="shared" si="13"/>
        <v/>
      </c>
      <c r="AS35" s="424">
        <f t="shared" si="14"/>
        <v>0</v>
      </c>
      <c r="AT35" s="423" t="str">
        <f t="shared" si="15"/>
        <v/>
      </c>
      <c r="AU35" s="420">
        <f t="shared" si="16"/>
        <v>0</v>
      </c>
      <c r="AV35" s="422" t="str">
        <f t="shared" si="17"/>
        <v/>
      </c>
      <c r="AW35" s="420" t="b">
        <f t="shared" si="18"/>
        <v>0</v>
      </c>
      <c r="AX35" s="419" t="b">
        <f t="shared" si="19"/>
        <v>0</v>
      </c>
      <c r="AY35" s="420" t="b">
        <f t="shared" si="20"/>
        <v>0</v>
      </c>
      <c r="AZ35" s="419" t="b">
        <f t="shared" si="21"/>
        <v>0</v>
      </c>
      <c r="BA35" s="421" t="b">
        <f t="shared" si="22"/>
        <v>0</v>
      </c>
      <c r="BB35" s="421" t="b">
        <f t="shared" si="23"/>
        <v>0</v>
      </c>
      <c r="BC35" s="420" t="b">
        <f t="shared" si="24"/>
        <v>0</v>
      </c>
      <c r="BD35" s="393" t="b">
        <f t="shared" si="25"/>
        <v>0</v>
      </c>
      <c r="BE35" s="419" t="b">
        <f t="shared" si="26"/>
        <v>0</v>
      </c>
      <c r="BF35" s="418" t="b">
        <f t="shared" si="27"/>
        <v>0</v>
      </c>
      <c r="BG35" s="417" t="str">
        <f t="shared" si="28"/>
        <v>NA</v>
      </c>
      <c r="BH35" s="417" t="str">
        <f t="shared" si="29"/>
        <v/>
      </c>
      <c r="BI35" s="417" t="str">
        <f t="shared" si="30"/>
        <v/>
      </c>
      <c r="BJ35" s="417" t="str">
        <f t="shared" si="31"/>
        <v/>
      </c>
      <c r="BK35" s="417" t="str">
        <f t="shared" si="32"/>
        <v/>
      </c>
      <c r="BL35" s="435" t="str">
        <f t="shared" si="33"/>
        <v/>
      </c>
      <c r="BM35" s="417" t="str">
        <f t="shared" si="34"/>
        <v/>
      </c>
      <c r="BN35" s="417" t="str">
        <f t="shared" si="35"/>
        <v/>
      </c>
      <c r="BO35" s="439" t="s">
        <v>238</v>
      </c>
      <c r="BP35" s="438" t="s">
        <v>239</v>
      </c>
    </row>
    <row r="36" spans="2:73 1271:1271" s="416" customFormat="1" ht="12.95" customHeight="1" x14ac:dyDescent="0.25">
      <c r="B36" s="433" t="str">
        <f>IF(ISNA(Z36),"",IF(OR(Z36=1,Z36=2),"    ",MAX($B$11:B35)+1))</f>
        <v/>
      </c>
      <c r="C36" s="1618" t="str">
        <f t="shared" si="0"/>
        <v/>
      </c>
      <c r="D36" s="1618"/>
      <c r="E36" s="1618"/>
      <c r="F36" s="1619"/>
      <c r="G36" s="437" t="str">
        <f t="shared" si="1"/>
        <v/>
      </c>
      <c r="H36" s="431" t="str">
        <f t="shared" si="2"/>
        <v/>
      </c>
      <c r="I36" s="436" t="str">
        <f t="shared" si="3"/>
        <v/>
      </c>
      <c r="J36" s="429"/>
      <c r="K36" s="428"/>
      <c r="L36" s="1701"/>
      <c r="M36" s="1702"/>
      <c r="N36" s="1702"/>
      <c r="O36" s="1702"/>
      <c r="P36" s="1702"/>
      <c r="Q36" s="1702"/>
      <c r="R36" s="1703"/>
      <c r="T36" s="401">
        <v>26</v>
      </c>
      <c r="U36" s="374" t="e">
        <v>#N/A</v>
      </c>
      <c r="V36" s="421" t="e">
        <v>#N/A</v>
      </c>
      <c r="W36" s="421" t="e">
        <v>#N/A</v>
      </c>
      <c r="X36" s="421" t="e">
        <v>#N/A</v>
      </c>
      <c r="Y36" s="421" t="e">
        <v>#N/A</v>
      </c>
      <c r="Z36" s="393" t="e">
        <v>#N/A</v>
      </c>
      <c r="AA36" s="393" t="e">
        <v>#N/A</v>
      </c>
      <c r="AB36" s="393" t="e">
        <v>#N/A</v>
      </c>
      <c r="AC36" s="421" t="e">
        <v>#N/A</v>
      </c>
      <c r="AD36" s="421" t="e">
        <v>#N/A</v>
      </c>
      <c r="AE36" s="421" t="e">
        <v>#N/A</v>
      </c>
      <c r="AF36" s="421" t="e">
        <v>#N/A</v>
      </c>
      <c r="AG36" s="421" t="e">
        <f t="shared" si="4"/>
        <v>#N/A</v>
      </c>
      <c r="AH36" s="421" t="str">
        <f t="shared" si="5"/>
        <v/>
      </c>
      <c r="AI36" s="427" t="e">
        <f>IF(NOT(OR(Z36=1,Z36=2)),IF(AQ36&gt;0,$AR$47*AQ36/SUMIF($AQ$11:$AQ$42,"&gt;0"),IF(AU36&gt;0,$AV$47*AU36/SUMIF($AU$11:$AU$42,"&gt;0"),IF(AS36&gt;0,$AT$47*AS36/SUMIF($AS$11:$AS$42,"&gt;0"),""))),IF(SUMIF(AJ37:$AJ$42,"=" &amp; AJ36,AI37:$AI$42)=0,"",SUMIF(AJ37:$AJ$42,"=" &amp; AJ36,AI37:$AI$42)))</f>
        <v>#N/A</v>
      </c>
      <c r="AJ36" s="426" t="e">
        <f t="shared" si="36"/>
        <v>#N/A</v>
      </c>
      <c r="AK36" s="421" t="str">
        <f t="shared" si="6"/>
        <v/>
      </c>
      <c r="AL36" s="393" t="str">
        <f t="shared" si="7"/>
        <v/>
      </c>
      <c r="AM36" s="393" t="str">
        <f t="shared" si="8"/>
        <v/>
      </c>
      <c r="AN36" s="393" t="str">
        <f t="shared" si="9"/>
        <v/>
      </c>
      <c r="AO36" s="393" t="e">
        <f t="shared" si="10"/>
        <v>#N/A</v>
      </c>
      <c r="AP36" s="421" t="str">
        <f t="shared" si="11"/>
        <v/>
      </c>
      <c r="AQ36" s="425">
        <f t="shared" si="12"/>
        <v>0</v>
      </c>
      <c r="AR36" s="423" t="str">
        <f t="shared" si="13"/>
        <v/>
      </c>
      <c r="AS36" s="424">
        <f t="shared" si="14"/>
        <v>0</v>
      </c>
      <c r="AT36" s="423" t="str">
        <f t="shared" si="15"/>
        <v/>
      </c>
      <c r="AU36" s="420">
        <f t="shared" si="16"/>
        <v>0</v>
      </c>
      <c r="AV36" s="422" t="str">
        <f t="shared" si="17"/>
        <v/>
      </c>
      <c r="AW36" s="420" t="b">
        <f t="shared" si="18"/>
        <v>0</v>
      </c>
      <c r="AX36" s="419" t="b">
        <f t="shared" si="19"/>
        <v>0</v>
      </c>
      <c r="AY36" s="420" t="b">
        <f t="shared" si="20"/>
        <v>0</v>
      </c>
      <c r="AZ36" s="419" t="b">
        <f t="shared" si="21"/>
        <v>0</v>
      </c>
      <c r="BA36" s="421" t="b">
        <f t="shared" si="22"/>
        <v>0</v>
      </c>
      <c r="BB36" s="421" t="b">
        <f t="shared" si="23"/>
        <v>0</v>
      </c>
      <c r="BC36" s="420" t="b">
        <f t="shared" si="24"/>
        <v>0</v>
      </c>
      <c r="BD36" s="393" t="b">
        <f t="shared" si="25"/>
        <v>0</v>
      </c>
      <c r="BE36" s="419" t="b">
        <f t="shared" si="26"/>
        <v>0</v>
      </c>
      <c r="BF36" s="418" t="b">
        <f t="shared" si="27"/>
        <v>0</v>
      </c>
      <c r="BG36" s="417" t="str">
        <f t="shared" si="28"/>
        <v>NA</v>
      </c>
      <c r="BH36" s="417" t="str">
        <f t="shared" si="29"/>
        <v/>
      </c>
      <c r="BI36" s="417" t="str">
        <f t="shared" si="30"/>
        <v/>
      </c>
      <c r="BJ36" s="417" t="str">
        <f t="shared" si="31"/>
        <v/>
      </c>
      <c r="BK36" s="417" t="str">
        <f t="shared" si="32"/>
        <v/>
      </c>
      <c r="BL36" s="435" t="str">
        <f t="shared" si="33"/>
        <v/>
      </c>
      <c r="BM36" s="417" t="str">
        <f t="shared" si="34"/>
        <v/>
      </c>
      <c r="BN36" s="417" t="str">
        <f t="shared" si="35"/>
        <v/>
      </c>
      <c r="BO36" s="434" t="s">
        <v>240</v>
      </c>
      <c r="BP36" s="438"/>
      <c r="BQ36" s="438"/>
      <c r="BR36" s="438"/>
      <c r="BS36" s="438"/>
      <c r="BT36" s="438"/>
      <c r="BU36" s="438"/>
    </row>
    <row r="37" spans="2:73 1271:1271" s="416" customFormat="1" ht="12.95" customHeight="1" x14ac:dyDescent="0.25">
      <c r="B37" s="433" t="str">
        <f>IF(ISNA(Z37),"",IF(OR(Z37=1,Z37=2),"    ",MAX($B$11:B36)+1))</f>
        <v/>
      </c>
      <c r="C37" s="1618" t="str">
        <f t="shared" si="0"/>
        <v/>
      </c>
      <c r="D37" s="1618"/>
      <c r="E37" s="1618"/>
      <c r="F37" s="1619"/>
      <c r="G37" s="437" t="str">
        <f t="shared" si="1"/>
        <v/>
      </c>
      <c r="H37" s="431" t="str">
        <f t="shared" si="2"/>
        <v/>
      </c>
      <c r="I37" s="436" t="str">
        <f t="shared" si="3"/>
        <v/>
      </c>
      <c r="J37" s="429"/>
      <c r="K37" s="428"/>
      <c r="L37" s="1701"/>
      <c r="M37" s="1702"/>
      <c r="N37" s="1702"/>
      <c r="O37" s="1702"/>
      <c r="P37" s="1702"/>
      <c r="Q37" s="1702"/>
      <c r="R37" s="1703"/>
      <c r="T37" s="401">
        <v>27</v>
      </c>
      <c r="U37" s="374" t="e">
        <v>#N/A</v>
      </c>
      <c r="V37" s="421" t="e">
        <v>#N/A</v>
      </c>
      <c r="W37" s="421" t="e">
        <v>#N/A</v>
      </c>
      <c r="X37" s="421" t="e">
        <v>#N/A</v>
      </c>
      <c r="Y37" s="421" t="e">
        <v>#N/A</v>
      </c>
      <c r="Z37" s="393" t="e">
        <v>#N/A</v>
      </c>
      <c r="AA37" s="393" t="e">
        <v>#N/A</v>
      </c>
      <c r="AB37" s="393" t="e">
        <v>#N/A</v>
      </c>
      <c r="AC37" s="421" t="e">
        <v>#N/A</v>
      </c>
      <c r="AD37" s="421" t="e">
        <v>#N/A</v>
      </c>
      <c r="AE37" s="421" t="e">
        <v>#N/A</v>
      </c>
      <c r="AF37" s="421" t="e">
        <v>#N/A</v>
      </c>
      <c r="AG37" s="421" t="e">
        <f t="shared" si="4"/>
        <v>#N/A</v>
      </c>
      <c r="AH37" s="421" t="str">
        <f t="shared" si="5"/>
        <v/>
      </c>
      <c r="AI37" s="427" t="e">
        <f>IF(NOT(OR(Z37=1,Z37=2)),IF(AQ37&gt;0,$AR$47*AQ37/SUMIF($AQ$11:$AQ$42,"&gt;0"),IF(AU37&gt;0,$AV$47*AU37/SUMIF($AU$11:$AU$42,"&gt;0"),IF(AS37&gt;0,$AT$47*AS37/SUMIF($AS$11:$AS$42,"&gt;0"),""))),IF(SUMIF(AJ38:$AJ$42,"=" &amp; AJ37,AI38:$AI$42)=0,"",SUMIF(AJ38:$AJ$42,"=" &amp; AJ37,AI38:$AI$42)))</f>
        <v>#N/A</v>
      </c>
      <c r="AJ37" s="426" t="e">
        <f t="shared" si="36"/>
        <v>#N/A</v>
      </c>
      <c r="AK37" s="421" t="str">
        <f t="shared" si="6"/>
        <v/>
      </c>
      <c r="AL37" s="393" t="str">
        <f t="shared" si="7"/>
        <v/>
      </c>
      <c r="AM37" s="393" t="str">
        <f t="shared" si="8"/>
        <v/>
      </c>
      <c r="AN37" s="393" t="str">
        <f t="shared" si="9"/>
        <v/>
      </c>
      <c r="AO37" s="393" t="e">
        <f t="shared" si="10"/>
        <v>#N/A</v>
      </c>
      <c r="AP37" s="421" t="str">
        <f t="shared" si="11"/>
        <v/>
      </c>
      <c r="AQ37" s="425">
        <f t="shared" si="12"/>
        <v>0</v>
      </c>
      <c r="AR37" s="423" t="str">
        <f t="shared" si="13"/>
        <v/>
      </c>
      <c r="AS37" s="424">
        <f t="shared" si="14"/>
        <v>0</v>
      </c>
      <c r="AT37" s="423" t="str">
        <f t="shared" si="15"/>
        <v/>
      </c>
      <c r="AU37" s="420">
        <f t="shared" si="16"/>
        <v>0</v>
      </c>
      <c r="AV37" s="422" t="str">
        <f t="shared" si="17"/>
        <v/>
      </c>
      <c r="AW37" s="420" t="b">
        <f t="shared" si="18"/>
        <v>0</v>
      </c>
      <c r="AX37" s="419" t="b">
        <f t="shared" si="19"/>
        <v>0</v>
      </c>
      <c r="AY37" s="420" t="b">
        <f t="shared" si="20"/>
        <v>0</v>
      </c>
      <c r="AZ37" s="419" t="b">
        <f t="shared" si="21"/>
        <v>0</v>
      </c>
      <c r="BA37" s="421" t="b">
        <f t="shared" si="22"/>
        <v>0</v>
      </c>
      <c r="BB37" s="421" t="b">
        <f t="shared" si="23"/>
        <v>0</v>
      </c>
      <c r="BC37" s="420" t="b">
        <f t="shared" si="24"/>
        <v>0</v>
      </c>
      <c r="BD37" s="393" t="b">
        <f t="shared" si="25"/>
        <v>0</v>
      </c>
      <c r="BE37" s="419" t="b">
        <f t="shared" si="26"/>
        <v>0</v>
      </c>
      <c r="BF37" s="418" t="b">
        <f t="shared" si="27"/>
        <v>0</v>
      </c>
      <c r="BG37" s="417" t="str">
        <f t="shared" si="28"/>
        <v>NA</v>
      </c>
      <c r="BH37" s="417" t="str">
        <f t="shared" si="29"/>
        <v/>
      </c>
      <c r="BI37" s="417" t="str">
        <f t="shared" si="30"/>
        <v/>
      </c>
      <c r="BJ37" s="417" t="str">
        <f t="shared" si="31"/>
        <v/>
      </c>
      <c r="BK37" s="417" t="str">
        <f t="shared" si="32"/>
        <v/>
      </c>
      <c r="BL37" s="435" t="str">
        <f t="shared" si="33"/>
        <v/>
      </c>
      <c r="BM37" s="417" t="str">
        <f t="shared" si="34"/>
        <v/>
      </c>
      <c r="BN37" s="417" t="str">
        <f t="shared" si="35"/>
        <v/>
      </c>
      <c r="BO37" s="1620"/>
      <c r="BP37" s="1621"/>
      <c r="BQ37" s="1621"/>
      <c r="BR37" s="1621"/>
      <c r="BS37" s="1621"/>
      <c r="BT37" s="1621"/>
      <c r="BU37" s="1622"/>
    </row>
    <row r="38" spans="2:73 1271:1271" s="416" customFormat="1" ht="12.95" customHeight="1" x14ac:dyDescent="0.25">
      <c r="B38" s="433" t="str">
        <f>IF(ISNA(Z38),"",IF(OR(Z38=1,Z38=2),"    ",MAX($B$11:B37)+1))</f>
        <v/>
      </c>
      <c r="C38" s="1618" t="str">
        <f t="shared" si="0"/>
        <v/>
      </c>
      <c r="D38" s="1618"/>
      <c r="E38" s="1618"/>
      <c r="F38" s="1619"/>
      <c r="G38" s="437" t="str">
        <f t="shared" si="1"/>
        <v/>
      </c>
      <c r="H38" s="431" t="str">
        <f t="shared" si="2"/>
        <v/>
      </c>
      <c r="I38" s="436" t="str">
        <f t="shared" si="3"/>
        <v/>
      </c>
      <c r="J38" s="429"/>
      <c r="K38" s="428"/>
      <c r="L38" s="1701"/>
      <c r="M38" s="1702"/>
      <c r="N38" s="1702"/>
      <c r="O38" s="1702"/>
      <c r="P38" s="1702"/>
      <c r="Q38" s="1702"/>
      <c r="R38" s="1703"/>
      <c r="T38" s="401">
        <v>28</v>
      </c>
      <c r="U38" s="374" t="e">
        <v>#N/A</v>
      </c>
      <c r="V38" s="421" t="e">
        <v>#N/A</v>
      </c>
      <c r="W38" s="421" t="e">
        <v>#N/A</v>
      </c>
      <c r="X38" s="421" t="e">
        <v>#N/A</v>
      </c>
      <c r="Y38" s="421" t="e">
        <v>#N/A</v>
      </c>
      <c r="Z38" s="393" t="e">
        <v>#N/A</v>
      </c>
      <c r="AA38" s="393" t="e">
        <v>#N/A</v>
      </c>
      <c r="AB38" s="393" t="e">
        <v>#N/A</v>
      </c>
      <c r="AC38" s="421" t="e">
        <v>#N/A</v>
      </c>
      <c r="AD38" s="421" t="e">
        <v>#N/A</v>
      </c>
      <c r="AE38" s="421" t="e">
        <v>#N/A</v>
      </c>
      <c r="AF38" s="421" t="e">
        <v>#N/A</v>
      </c>
      <c r="AG38" s="421" t="e">
        <f t="shared" si="4"/>
        <v>#N/A</v>
      </c>
      <c r="AH38" s="421" t="str">
        <f t="shared" si="5"/>
        <v/>
      </c>
      <c r="AI38" s="427" t="e">
        <f>IF(NOT(OR(Z38=1,Z38=2)),IF(AQ38&gt;0,$AR$47*AQ38/SUMIF($AQ$11:$AQ$42,"&gt;0"),IF(AU38&gt;0,$AV$47*AU38/SUMIF($AU$11:$AU$42,"&gt;0"),IF(AS38&gt;0,$AT$47*AS38/SUMIF($AS$11:$AS$42,"&gt;0"),""))),IF(SUMIF(AJ39:$AJ$42,"=" &amp; AJ38,AI39:$AI$42)=0,"",SUMIF(AJ39:$AJ$42,"=" &amp; AJ38,AI39:$AI$42)))</f>
        <v>#N/A</v>
      </c>
      <c r="AJ38" s="426" t="e">
        <f t="shared" si="36"/>
        <v>#N/A</v>
      </c>
      <c r="AK38" s="421" t="str">
        <f t="shared" si="6"/>
        <v/>
      </c>
      <c r="AL38" s="393" t="str">
        <f t="shared" si="7"/>
        <v/>
      </c>
      <c r="AM38" s="393" t="str">
        <f t="shared" si="8"/>
        <v/>
      </c>
      <c r="AN38" s="393" t="str">
        <f t="shared" si="9"/>
        <v/>
      </c>
      <c r="AO38" s="393" t="e">
        <f t="shared" si="10"/>
        <v>#N/A</v>
      </c>
      <c r="AP38" s="421" t="str">
        <f t="shared" si="11"/>
        <v/>
      </c>
      <c r="AQ38" s="425">
        <f t="shared" si="12"/>
        <v>0</v>
      </c>
      <c r="AR38" s="423" t="str">
        <f t="shared" si="13"/>
        <v/>
      </c>
      <c r="AS38" s="424">
        <f t="shared" si="14"/>
        <v>0</v>
      </c>
      <c r="AT38" s="423" t="str">
        <f t="shared" si="15"/>
        <v/>
      </c>
      <c r="AU38" s="420">
        <f t="shared" si="16"/>
        <v>0</v>
      </c>
      <c r="AV38" s="422" t="str">
        <f t="shared" si="17"/>
        <v/>
      </c>
      <c r="AW38" s="420" t="b">
        <f t="shared" si="18"/>
        <v>0</v>
      </c>
      <c r="AX38" s="419" t="b">
        <f t="shared" si="19"/>
        <v>0</v>
      </c>
      <c r="AY38" s="420" t="b">
        <f t="shared" si="20"/>
        <v>0</v>
      </c>
      <c r="AZ38" s="419" t="b">
        <f t="shared" si="21"/>
        <v>0</v>
      </c>
      <c r="BA38" s="421" t="b">
        <f t="shared" si="22"/>
        <v>0</v>
      </c>
      <c r="BB38" s="421" t="b">
        <f t="shared" si="23"/>
        <v>0</v>
      </c>
      <c r="BC38" s="420" t="b">
        <f t="shared" si="24"/>
        <v>0</v>
      </c>
      <c r="BD38" s="393" t="b">
        <f t="shared" si="25"/>
        <v>0</v>
      </c>
      <c r="BE38" s="419" t="b">
        <f t="shared" si="26"/>
        <v>0</v>
      </c>
      <c r="BF38" s="418" t="b">
        <f t="shared" si="27"/>
        <v>0</v>
      </c>
      <c r="BG38" s="417" t="str">
        <f t="shared" si="28"/>
        <v>NA</v>
      </c>
      <c r="BH38" s="417" t="str">
        <f t="shared" si="29"/>
        <v/>
      </c>
      <c r="BI38" s="417" t="str">
        <f t="shared" si="30"/>
        <v/>
      </c>
      <c r="BJ38" s="417" t="str">
        <f t="shared" si="31"/>
        <v/>
      </c>
      <c r="BK38" s="417" t="str">
        <f t="shared" si="32"/>
        <v/>
      </c>
      <c r="BL38" s="435" t="str">
        <f t="shared" si="33"/>
        <v/>
      </c>
      <c r="BM38" s="417" t="str">
        <f t="shared" si="34"/>
        <v/>
      </c>
      <c r="BN38" s="417" t="str">
        <f t="shared" si="35"/>
        <v/>
      </c>
      <c r="BO38" s="1623"/>
      <c r="BP38" s="1624"/>
      <c r="BQ38" s="1624"/>
      <c r="BR38" s="1624"/>
      <c r="BS38" s="1624"/>
      <c r="BT38" s="1624"/>
      <c r="BU38" s="1625"/>
    </row>
    <row r="39" spans="2:73 1271:1271" s="416" customFormat="1" ht="12.95" customHeight="1" x14ac:dyDescent="0.25">
      <c r="B39" s="433" t="str">
        <f>IF(ISNA(Z39),"",IF(OR(Z39=1,Z39=2),"    ",MAX($B$11:B38)+1))</f>
        <v/>
      </c>
      <c r="C39" s="1618" t="str">
        <f t="shared" si="0"/>
        <v/>
      </c>
      <c r="D39" s="1618"/>
      <c r="E39" s="1618"/>
      <c r="F39" s="1619"/>
      <c r="G39" s="437" t="str">
        <f t="shared" si="1"/>
        <v/>
      </c>
      <c r="H39" s="431" t="str">
        <f t="shared" si="2"/>
        <v/>
      </c>
      <c r="I39" s="436" t="str">
        <f t="shared" si="3"/>
        <v/>
      </c>
      <c r="J39" s="429"/>
      <c r="K39" s="428"/>
      <c r="L39" s="1701"/>
      <c r="M39" s="1702"/>
      <c r="N39" s="1702"/>
      <c r="O39" s="1702"/>
      <c r="P39" s="1702"/>
      <c r="Q39" s="1702"/>
      <c r="R39" s="1703"/>
      <c r="T39" s="401">
        <v>29</v>
      </c>
      <c r="U39" s="374" t="e">
        <v>#N/A</v>
      </c>
      <c r="V39" s="421" t="e">
        <v>#N/A</v>
      </c>
      <c r="W39" s="421" t="e">
        <v>#N/A</v>
      </c>
      <c r="X39" s="421" t="e">
        <v>#N/A</v>
      </c>
      <c r="Y39" s="421" t="e">
        <v>#N/A</v>
      </c>
      <c r="Z39" s="393" t="e">
        <v>#N/A</v>
      </c>
      <c r="AA39" s="393" t="e">
        <v>#N/A</v>
      </c>
      <c r="AB39" s="393" t="e">
        <v>#N/A</v>
      </c>
      <c r="AC39" s="421" t="e">
        <v>#N/A</v>
      </c>
      <c r="AD39" s="421" t="e">
        <v>#N/A</v>
      </c>
      <c r="AE39" s="421" t="e">
        <v>#N/A</v>
      </c>
      <c r="AF39" s="421" t="e">
        <v>#N/A</v>
      </c>
      <c r="AG39" s="421" t="e">
        <f t="shared" si="4"/>
        <v>#N/A</v>
      </c>
      <c r="AH39" s="421" t="str">
        <f t="shared" si="5"/>
        <v/>
      </c>
      <c r="AI39" s="427" t="e">
        <f>IF(NOT(OR(Z39=1,Z39=2)),IF(AQ39&gt;0,$AR$47*AQ39/SUMIF($AQ$11:$AQ$42,"&gt;0"),IF(AU39&gt;0,$AV$47*AU39/SUMIF($AU$11:$AU$42,"&gt;0"),IF(AS39&gt;0,$AT$47*AS39/SUMIF($AS$11:$AS$42,"&gt;0"),""))),IF(SUMIF(AJ40:$AJ$42,"=" &amp; AJ39,AI40:$AI$42)=0,"",SUMIF(AJ40:$AJ$42,"=" &amp; AJ39,AI40:$AI$42)))</f>
        <v>#N/A</v>
      </c>
      <c r="AJ39" s="426" t="e">
        <f t="shared" si="36"/>
        <v>#N/A</v>
      </c>
      <c r="AK39" s="421" t="str">
        <f t="shared" si="6"/>
        <v/>
      </c>
      <c r="AL39" s="393" t="str">
        <f t="shared" si="7"/>
        <v/>
      </c>
      <c r="AM39" s="393" t="str">
        <f t="shared" si="8"/>
        <v/>
      </c>
      <c r="AN39" s="393" t="str">
        <f t="shared" si="9"/>
        <v/>
      </c>
      <c r="AO39" s="393" t="e">
        <f t="shared" si="10"/>
        <v>#N/A</v>
      </c>
      <c r="AP39" s="421" t="str">
        <f t="shared" si="11"/>
        <v/>
      </c>
      <c r="AQ39" s="425">
        <f t="shared" si="12"/>
        <v>0</v>
      </c>
      <c r="AR39" s="423" t="str">
        <f t="shared" si="13"/>
        <v/>
      </c>
      <c r="AS39" s="424">
        <f t="shared" si="14"/>
        <v>0</v>
      </c>
      <c r="AT39" s="423" t="str">
        <f t="shared" si="15"/>
        <v/>
      </c>
      <c r="AU39" s="420">
        <f t="shared" si="16"/>
        <v>0</v>
      </c>
      <c r="AV39" s="422" t="str">
        <f t="shared" si="17"/>
        <v/>
      </c>
      <c r="AW39" s="420" t="b">
        <f t="shared" si="18"/>
        <v>0</v>
      </c>
      <c r="AX39" s="419" t="b">
        <f t="shared" si="19"/>
        <v>0</v>
      </c>
      <c r="AY39" s="420" t="b">
        <f t="shared" si="20"/>
        <v>0</v>
      </c>
      <c r="AZ39" s="419" t="b">
        <f t="shared" si="21"/>
        <v>0</v>
      </c>
      <c r="BA39" s="421" t="b">
        <f t="shared" si="22"/>
        <v>0</v>
      </c>
      <c r="BB39" s="421" t="b">
        <f t="shared" si="23"/>
        <v>0</v>
      </c>
      <c r="BC39" s="420" t="b">
        <f t="shared" si="24"/>
        <v>0</v>
      </c>
      <c r="BD39" s="393" t="b">
        <f t="shared" si="25"/>
        <v>0</v>
      </c>
      <c r="BE39" s="419" t="b">
        <f t="shared" si="26"/>
        <v>0</v>
      </c>
      <c r="BF39" s="418" t="b">
        <f t="shared" si="27"/>
        <v>0</v>
      </c>
      <c r="BG39" s="417" t="str">
        <f t="shared" si="28"/>
        <v>NA</v>
      </c>
      <c r="BH39" s="417" t="str">
        <f t="shared" si="29"/>
        <v/>
      </c>
      <c r="BI39" s="417" t="str">
        <f t="shared" si="30"/>
        <v/>
      </c>
      <c r="BJ39" s="417" t="str">
        <f t="shared" si="31"/>
        <v/>
      </c>
      <c r="BK39" s="417" t="str">
        <f t="shared" si="32"/>
        <v/>
      </c>
      <c r="BL39" s="435" t="str">
        <f t="shared" si="33"/>
        <v/>
      </c>
      <c r="BM39" s="417" t="str">
        <f t="shared" si="34"/>
        <v/>
      </c>
      <c r="BN39" s="417" t="str">
        <f t="shared" si="35"/>
        <v/>
      </c>
      <c r="BO39" s="1623"/>
      <c r="BP39" s="1624"/>
      <c r="BQ39" s="1624"/>
      <c r="BR39" s="1624"/>
      <c r="BS39" s="1624"/>
      <c r="BT39" s="1624"/>
      <c r="BU39" s="1625"/>
    </row>
    <row r="40" spans="2:73 1271:1271" s="416" customFormat="1" ht="12.95" customHeight="1" x14ac:dyDescent="0.25">
      <c r="B40" s="433" t="str">
        <f>IF(ISNA(Z40),"",IF(OR(Z40=1,Z40=2),"    ",MAX($B$11:B39)+1))</f>
        <v/>
      </c>
      <c r="C40" s="1618" t="str">
        <f t="shared" si="0"/>
        <v/>
      </c>
      <c r="D40" s="1618"/>
      <c r="E40" s="1618"/>
      <c r="F40" s="1619"/>
      <c r="G40" s="437" t="str">
        <f t="shared" si="1"/>
        <v/>
      </c>
      <c r="H40" s="431" t="str">
        <f t="shared" si="2"/>
        <v/>
      </c>
      <c r="I40" s="436" t="str">
        <f t="shared" si="3"/>
        <v/>
      </c>
      <c r="J40" s="429"/>
      <c r="K40" s="428"/>
      <c r="L40" s="1701"/>
      <c r="M40" s="1702"/>
      <c r="N40" s="1702"/>
      <c r="O40" s="1702"/>
      <c r="P40" s="1702"/>
      <c r="Q40" s="1702"/>
      <c r="R40" s="1703"/>
      <c r="T40" s="401">
        <v>30</v>
      </c>
      <c r="U40" s="374" t="e">
        <v>#N/A</v>
      </c>
      <c r="V40" s="421" t="e">
        <v>#N/A</v>
      </c>
      <c r="W40" s="421" t="e">
        <v>#N/A</v>
      </c>
      <c r="X40" s="421" t="e">
        <v>#N/A</v>
      </c>
      <c r="Y40" s="421" t="e">
        <v>#N/A</v>
      </c>
      <c r="Z40" s="393" t="e">
        <v>#N/A</v>
      </c>
      <c r="AA40" s="393" t="e">
        <v>#N/A</v>
      </c>
      <c r="AB40" s="393" t="e">
        <v>#N/A</v>
      </c>
      <c r="AC40" s="421" t="e">
        <v>#N/A</v>
      </c>
      <c r="AD40" s="421" t="e">
        <v>#N/A</v>
      </c>
      <c r="AE40" s="421" t="e">
        <v>#N/A</v>
      </c>
      <c r="AF40" s="421" t="e">
        <v>#N/A</v>
      </c>
      <c r="AG40" s="421" t="e">
        <f t="shared" si="4"/>
        <v>#N/A</v>
      </c>
      <c r="AH40" s="421" t="str">
        <f t="shared" si="5"/>
        <v/>
      </c>
      <c r="AI40" s="427" t="e">
        <f>IF(NOT(OR(Z40=1,Z40=2)),IF(AQ40&gt;0,$AR$47*AQ40/SUMIF($AQ$11:$AQ$42,"&gt;0"),IF(AU40&gt;0,$AV$47*AU40/SUMIF($AU$11:$AU$42,"&gt;0"),IF(AS40&gt;0,$AT$47*AS40/SUMIF($AS$11:$AS$42,"&gt;0"),""))),IF(SUMIF(AJ41:$AJ$42,"=" &amp; AJ40,AI41:$AI$42)=0,"",SUMIF(AJ41:$AJ$42,"=" &amp; AJ40,AI41:$AI$42)))</f>
        <v>#N/A</v>
      </c>
      <c r="AJ40" s="426" t="e">
        <f t="shared" si="36"/>
        <v>#N/A</v>
      </c>
      <c r="AK40" s="421" t="str">
        <f t="shared" si="6"/>
        <v/>
      </c>
      <c r="AL40" s="393" t="str">
        <f t="shared" si="7"/>
        <v/>
      </c>
      <c r="AM40" s="393" t="str">
        <f t="shared" si="8"/>
        <v/>
      </c>
      <c r="AN40" s="393" t="str">
        <f t="shared" si="9"/>
        <v/>
      </c>
      <c r="AO40" s="393" t="e">
        <f t="shared" si="10"/>
        <v>#N/A</v>
      </c>
      <c r="AP40" s="421" t="str">
        <f t="shared" si="11"/>
        <v/>
      </c>
      <c r="AQ40" s="425">
        <f t="shared" si="12"/>
        <v>0</v>
      </c>
      <c r="AR40" s="423" t="str">
        <f t="shared" si="13"/>
        <v/>
      </c>
      <c r="AS40" s="424">
        <f t="shared" si="14"/>
        <v>0</v>
      </c>
      <c r="AT40" s="423" t="str">
        <f t="shared" si="15"/>
        <v/>
      </c>
      <c r="AU40" s="420">
        <f t="shared" si="16"/>
        <v>0</v>
      </c>
      <c r="AV40" s="422" t="str">
        <f t="shared" si="17"/>
        <v/>
      </c>
      <c r="AW40" s="420" t="b">
        <f t="shared" si="18"/>
        <v>0</v>
      </c>
      <c r="AX40" s="419" t="b">
        <f t="shared" si="19"/>
        <v>0</v>
      </c>
      <c r="AY40" s="420" t="b">
        <f t="shared" si="20"/>
        <v>0</v>
      </c>
      <c r="AZ40" s="419" t="b">
        <f t="shared" si="21"/>
        <v>0</v>
      </c>
      <c r="BA40" s="421" t="b">
        <f t="shared" si="22"/>
        <v>0</v>
      </c>
      <c r="BB40" s="421" t="b">
        <f t="shared" si="23"/>
        <v>0</v>
      </c>
      <c r="BC40" s="420" t="b">
        <f t="shared" si="24"/>
        <v>0</v>
      </c>
      <c r="BD40" s="393" t="b">
        <f t="shared" si="25"/>
        <v>0</v>
      </c>
      <c r="BE40" s="419" t="b">
        <f t="shared" si="26"/>
        <v>0</v>
      </c>
      <c r="BF40" s="418" t="b">
        <f t="shared" si="27"/>
        <v>0</v>
      </c>
      <c r="BG40" s="417" t="str">
        <f t="shared" si="28"/>
        <v>NA</v>
      </c>
      <c r="BH40" s="417" t="str">
        <f t="shared" si="29"/>
        <v/>
      </c>
      <c r="BI40" s="417" t="str">
        <f t="shared" si="30"/>
        <v/>
      </c>
      <c r="BJ40" s="417" t="str">
        <f t="shared" si="31"/>
        <v/>
      </c>
      <c r="BK40" s="417" t="str">
        <f t="shared" si="32"/>
        <v/>
      </c>
      <c r="BL40" s="435" t="str">
        <f t="shared" si="33"/>
        <v/>
      </c>
      <c r="BM40" s="417" t="str">
        <f t="shared" si="34"/>
        <v/>
      </c>
      <c r="BN40" s="417" t="str">
        <f t="shared" si="35"/>
        <v/>
      </c>
      <c r="BO40" s="1626"/>
      <c r="BP40" s="1627"/>
      <c r="BQ40" s="1627"/>
      <c r="BR40" s="1627"/>
      <c r="BS40" s="1627"/>
      <c r="BT40" s="1627"/>
      <c r="BU40" s="1628"/>
    </row>
    <row r="41" spans="2:73 1271:1271" s="416" customFormat="1" ht="12.95" customHeight="1" x14ac:dyDescent="0.25">
      <c r="B41" s="433" t="str">
        <f>IF(ISNA(Z41),"",IF(OR(Z41=1,Z41=2),"    ",MAX($B$11:B40)+1))</f>
        <v/>
      </c>
      <c r="C41" s="1618" t="str">
        <f t="shared" si="0"/>
        <v/>
      </c>
      <c r="D41" s="1618"/>
      <c r="E41" s="1618"/>
      <c r="F41" s="1619"/>
      <c r="G41" s="437" t="str">
        <f t="shared" si="1"/>
        <v/>
      </c>
      <c r="H41" s="431" t="str">
        <f t="shared" si="2"/>
        <v/>
      </c>
      <c r="I41" s="436" t="str">
        <f t="shared" si="3"/>
        <v/>
      </c>
      <c r="J41" s="429"/>
      <c r="K41" s="428"/>
      <c r="L41" s="1701"/>
      <c r="M41" s="1702"/>
      <c r="N41" s="1702"/>
      <c r="O41" s="1702"/>
      <c r="P41" s="1702"/>
      <c r="Q41" s="1702"/>
      <c r="R41" s="1703"/>
      <c r="T41" s="401">
        <v>31</v>
      </c>
      <c r="U41" s="374" t="e">
        <v>#N/A</v>
      </c>
      <c r="V41" s="421" t="e">
        <v>#N/A</v>
      </c>
      <c r="W41" s="421" t="e">
        <v>#N/A</v>
      </c>
      <c r="X41" s="421" t="e">
        <v>#N/A</v>
      </c>
      <c r="Y41" s="421" t="e">
        <v>#N/A</v>
      </c>
      <c r="Z41" s="393" t="e">
        <v>#N/A</v>
      </c>
      <c r="AA41" s="393" t="e">
        <v>#N/A</v>
      </c>
      <c r="AB41" s="393" t="e">
        <v>#N/A</v>
      </c>
      <c r="AC41" s="421" t="e">
        <v>#N/A</v>
      </c>
      <c r="AD41" s="421" t="e">
        <v>#N/A</v>
      </c>
      <c r="AE41" s="421" t="e">
        <v>#N/A</v>
      </c>
      <c r="AF41" s="421" t="e">
        <v>#N/A</v>
      </c>
      <c r="AG41" s="421" t="e">
        <f t="shared" si="4"/>
        <v>#N/A</v>
      </c>
      <c r="AH41" s="421" t="str">
        <f t="shared" si="5"/>
        <v/>
      </c>
      <c r="AI41" s="427" t="e">
        <f>IF(NOT(OR(Z41=1,Z41=2)),IF(AQ41&gt;0,$AR$47*AQ41/SUMIF($AQ$11:$AQ$42,"&gt;0"),IF(AU41&gt;0,$AV$47*AU41/SUMIF($AU$11:$AU$42,"&gt;0"),IF(AS41&gt;0,$AT$47*AS41/SUMIF($AS$11:$AS$42,"&gt;0"),""))),IF(SUMIF(AJ42:$AJ$42,"=" &amp; AJ41,AI42:$AI$42)=0,"",SUMIF(AJ42:$AJ$42,"=" &amp; AJ41,AI42:$AI$42)))</f>
        <v>#N/A</v>
      </c>
      <c r="AJ41" s="426" t="e">
        <f t="shared" si="36"/>
        <v>#N/A</v>
      </c>
      <c r="AK41" s="421" t="str">
        <f t="shared" si="6"/>
        <v/>
      </c>
      <c r="AL41" s="393" t="str">
        <f t="shared" si="7"/>
        <v/>
      </c>
      <c r="AM41" s="393" t="str">
        <f t="shared" si="8"/>
        <v/>
      </c>
      <c r="AN41" s="393" t="str">
        <f t="shared" si="9"/>
        <v/>
      </c>
      <c r="AO41" s="393" t="e">
        <f t="shared" si="10"/>
        <v>#N/A</v>
      </c>
      <c r="AP41" s="421" t="str">
        <f t="shared" si="11"/>
        <v/>
      </c>
      <c r="AQ41" s="425">
        <f t="shared" si="12"/>
        <v>0</v>
      </c>
      <c r="AR41" s="423" t="str">
        <f t="shared" si="13"/>
        <v/>
      </c>
      <c r="AS41" s="424">
        <f t="shared" si="14"/>
        <v>0</v>
      </c>
      <c r="AT41" s="423" t="str">
        <f t="shared" si="15"/>
        <v/>
      </c>
      <c r="AU41" s="420">
        <f t="shared" si="16"/>
        <v>0</v>
      </c>
      <c r="AV41" s="422" t="str">
        <f t="shared" si="17"/>
        <v/>
      </c>
      <c r="AW41" s="420" t="b">
        <f t="shared" si="18"/>
        <v>0</v>
      </c>
      <c r="AX41" s="419" t="b">
        <f t="shared" si="19"/>
        <v>0</v>
      </c>
      <c r="AY41" s="420" t="b">
        <f t="shared" si="20"/>
        <v>0</v>
      </c>
      <c r="AZ41" s="419" t="b">
        <f t="shared" si="21"/>
        <v>0</v>
      </c>
      <c r="BA41" s="421" t="b">
        <f t="shared" si="22"/>
        <v>0</v>
      </c>
      <c r="BB41" s="421" t="b">
        <f t="shared" si="23"/>
        <v>0</v>
      </c>
      <c r="BC41" s="420" t="b">
        <f t="shared" si="24"/>
        <v>0</v>
      </c>
      <c r="BD41" s="393" t="b">
        <f t="shared" si="25"/>
        <v>0</v>
      </c>
      <c r="BE41" s="419" t="b">
        <f t="shared" si="26"/>
        <v>0</v>
      </c>
      <c r="BF41" s="418" t="b">
        <f t="shared" si="27"/>
        <v>0</v>
      </c>
      <c r="BG41" s="417" t="str">
        <f t="shared" si="28"/>
        <v>NA</v>
      </c>
      <c r="BH41" s="417" t="str">
        <f t="shared" si="29"/>
        <v/>
      </c>
      <c r="BI41" s="417" t="str">
        <f t="shared" si="30"/>
        <v/>
      </c>
      <c r="BJ41" s="417" t="str">
        <f t="shared" si="31"/>
        <v/>
      </c>
      <c r="BK41" s="417" t="str">
        <f t="shared" si="32"/>
        <v/>
      </c>
      <c r="BL41" s="435" t="str">
        <f t="shared" si="33"/>
        <v/>
      </c>
      <c r="BM41" s="417" t="str">
        <f t="shared" si="34"/>
        <v/>
      </c>
      <c r="BN41" s="417" t="str">
        <f t="shared" si="35"/>
        <v/>
      </c>
      <c r="BO41" s="434" t="s">
        <v>241</v>
      </c>
      <c r="BP41" s="434"/>
      <c r="BQ41" s="434"/>
      <c r="BR41" s="434"/>
      <c r="BS41" s="434"/>
      <c r="BT41" s="434"/>
      <c r="BU41" s="434"/>
    </row>
    <row r="42" spans="2:73 1271:1271" s="416" customFormat="1" ht="12.95" customHeight="1" thickBot="1" x14ac:dyDescent="0.3">
      <c r="B42" s="433" t="str">
        <f>IF(ISNA(Z42),"",IF(OR(Z42=1,Z42=2),"    ",MAX($B$11:B41)+1))</f>
        <v/>
      </c>
      <c r="C42" s="1618" t="str">
        <f t="shared" si="0"/>
        <v/>
      </c>
      <c r="D42" s="1618"/>
      <c r="E42" s="1618"/>
      <c r="F42" s="1619"/>
      <c r="G42" s="432" t="str">
        <f t="shared" si="1"/>
        <v/>
      </c>
      <c r="H42" s="431" t="str">
        <f t="shared" si="2"/>
        <v/>
      </c>
      <c r="I42" s="430" t="str">
        <f t="shared" si="3"/>
        <v/>
      </c>
      <c r="J42" s="429"/>
      <c r="K42" s="428"/>
      <c r="L42" s="1704"/>
      <c r="M42" s="1705"/>
      <c r="N42" s="1705"/>
      <c r="O42" s="1705"/>
      <c r="P42" s="1705"/>
      <c r="Q42" s="1705"/>
      <c r="R42" s="1706"/>
      <c r="T42" s="401">
        <v>32</v>
      </c>
      <c r="U42" s="374" t="e">
        <v>#N/A</v>
      </c>
      <c r="V42" s="421" t="e">
        <v>#N/A</v>
      </c>
      <c r="W42" s="421" t="e">
        <v>#N/A</v>
      </c>
      <c r="X42" s="421" t="e">
        <v>#N/A</v>
      </c>
      <c r="Y42" s="421" t="e">
        <v>#N/A</v>
      </c>
      <c r="Z42" s="393" t="e">
        <v>#N/A</v>
      </c>
      <c r="AA42" s="393" t="e">
        <v>#N/A</v>
      </c>
      <c r="AB42" s="393" t="e">
        <v>#N/A</v>
      </c>
      <c r="AC42" s="421" t="e">
        <v>#N/A</v>
      </c>
      <c r="AD42" s="421" t="e">
        <v>#N/A</v>
      </c>
      <c r="AE42" s="421" t="e">
        <v>#N/A</v>
      </c>
      <c r="AF42" s="421" t="e">
        <v>#N/A</v>
      </c>
      <c r="AG42" s="421" t="e">
        <f t="shared" si="4"/>
        <v>#N/A</v>
      </c>
      <c r="AH42" s="421" t="str">
        <f t="shared" si="5"/>
        <v/>
      </c>
      <c r="AI42" s="427" t="e">
        <f>IF(NOT(OR(Z42=1,Z42=2)),IF(AQ42&gt;0,$AR$47*AQ42/SUMIF($AQ$11:$AQ$42,"&gt;0"),IF(AU42&gt;0,$AV$47*AU42/SUMIF($AU$11:$AU$42,"&gt;0"),IF(AS42&gt;0,$AT$47*AS42/SUMIF($AS$11:$AS$42,"&gt;0"),""))),IF(SUMIF(AJ$42:$AJ43,"=" &amp; AJ42,AI$42:$AI43)=0,"",SUMIF(AJ$42:$AJ43,"=" &amp; AJ42,AI$42:$AI43)))</f>
        <v>#N/A</v>
      </c>
      <c r="AJ42" s="426" t="e">
        <f t="shared" si="36"/>
        <v>#N/A</v>
      </c>
      <c r="AK42" s="421" t="str">
        <f t="shared" si="6"/>
        <v/>
      </c>
      <c r="AL42" s="393" t="str">
        <f t="shared" si="7"/>
        <v/>
      </c>
      <c r="AM42" s="393" t="str">
        <f t="shared" si="8"/>
        <v/>
      </c>
      <c r="AN42" s="393" t="str">
        <f t="shared" si="9"/>
        <v/>
      </c>
      <c r="AO42" s="393" t="e">
        <f t="shared" si="10"/>
        <v>#N/A</v>
      </c>
      <c r="AP42" s="421" t="str">
        <f t="shared" si="11"/>
        <v/>
      </c>
      <c r="AQ42" s="425">
        <f t="shared" si="12"/>
        <v>0</v>
      </c>
      <c r="AR42" s="423" t="str">
        <f t="shared" si="13"/>
        <v/>
      </c>
      <c r="AS42" s="424">
        <f t="shared" si="14"/>
        <v>0</v>
      </c>
      <c r="AT42" s="423" t="str">
        <f t="shared" si="15"/>
        <v/>
      </c>
      <c r="AU42" s="420">
        <f t="shared" si="16"/>
        <v>0</v>
      </c>
      <c r="AV42" s="422" t="str">
        <f t="shared" si="17"/>
        <v/>
      </c>
      <c r="AW42" s="420" t="b">
        <f t="shared" si="18"/>
        <v>0</v>
      </c>
      <c r="AX42" s="419" t="b">
        <f t="shared" si="19"/>
        <v>0</v>
      </c>
      <c r="AY42" s="420" t="b">
        <f t="shared" si="20"/>
        <v>0</v>
      </c>
      <c r="AZ42" s="419" t="b">
        <f t="shared" si="21"/>
        <v>0</v>
      </c>
      <c r="BA42" s="421" t="b">
        <f t="shared" si="22"/>
        <v>0</v>
      </c>
      <c r="BB42" s="421" t="b">
        <f t="shared" si="23"/>
        <v>0</v>
      </c>
      <c r="BC42" s="420" t="b">
        <f t="shared" si="24"/>
        <v>0</v>
      </c>
      <c r="BD42" s="393" t="b">
        <f t="shared" si="25"/>
        <v>0</v>
      </c>
      <c r="BE42" s="419" t="b">
        <f t="shared" si="26"/>
        <v>0</v>
      </c>
      <c r="BF42" s="418" t="b">
        <f t="shared" si="27"/>
        <v>0</v>
      </c>
      <c r="BG42" s="417" t="str">
        <f t="shared" si="28"/>
        <v>NA</v>
      </c>
      <c r="BH42" s="417" t="str">
        <f t="shared" si="29"/>
        <v/>
      </c>
      <c r="BI42" s="417" t="str">
        <f t="shared" si="30"/>
        <v/>
      </c>
      <c r="BJ42" s="417" t="str">
        <f t="shared" si="31"/>
        <v/>
      </c>
      <c r="BK42" s="417" t="str">
        <f t="shared" si="32"/>
        <v/>
      </c>
      <c r="BL42" s="417" t="str">
        <f t="shared" si="33"/>
        <v/>
      </c>
      <c r="BM42" s="417" t="str">
        <f t="shared" si="34"/>
        <v/>
      </c>
      <c r="BN42" s="417" t="str">
        <f t="shared" si="35"/>
        <v/>
      </c>
      <c r="BO42" s="1620"/>
      <c r="BP42" s="1621"/>
      <c r="BQ42" s="1621"/>
      <c r="BR42" s="1621"/>
      <c r="BS42" s="1621"/>
      <c r="BT42" s="1621"/>
      <c r="BU42" s="1622"/>
    </row>
    <row r="43" spans="2:73 1271:1271" s="406" customFormat="1" ht="8.25" customHeight="1" x14ac:dyDescent="0.25">
      <c r="B43" s="1639" t="s">
        <v>242</v>
      </c>
      <c r="C43" s="1640"/>
      <c r="D43" s="1641"/>
      <c r="E43" s="415" t="s">
        <v>243</v>
      </c>
      <c r="F43" s="1642" t="s">
        <v>244</v>
      </c>
      <c r="G43" s="1643"/>
      <c r="H43" s="1643" t="s">
        <v>245</v>
      </c>
      <c r="I43" s="1643"/>
      <c r="J43" s="1647" t="s">
        <v>246</v>
      </c>
      <c r="K43" s="1648"/>
      <c r="L43" s="414" t="s">
        <v>247</v>
      </c>
      <c r="M43" s="1631" t="s">
        <v>248</v>
      </c>
      <c r="N43" s="1631"/>
      <c r="O43" s="1632" t="str">
        <f>IF(U47,"DO REVIEW","DO REV N/A")</f>
        <v>DO REV N/A</v>
      </c>
      <c r="P43" s="1633"/>
      <c r="Q43" s="413" t="str">
        <f>IF(U48,"ED REVIEW","ED REV N/A")</f>
        <v>ED REV N/A</v>
      </c>
      <c r="R43" s="412"/>
      <c r="S43" s="411">
        <v>0</v>
      </c>
      <c r="AI43" s="410"/>
      <c r="AJ43" s="407"/>
      <c r="AK43" s="407"/>
      <c r="AL43" s="407"/>
      <c r="AM43" s="407"/>
      <c r="AN43" s="407"/>
      <c r="AO43" s="373"/>
      <c r="AP43" s="407"/>
      <c r="AQ43" s="409"/>
      <c r="AR43" s="407"/>
      <c r="AS43" s="409"/>
      <c r="AT43" s="407"/>
      <c r="AU43" s="409"/>
      <c r="AV43" s="408"/>
      <c r="AW43" s="407"/>
      <c r="AX43" s="407"/>
      <c r="AY43" s="407"/>
      <c r="AZ43" s="407"/>
      <c r="BA43" s="407"/>
      <c r="BB43" s="407"/>
      <c r="BC43" s="407"/>
      <c r="BD43" s="407"/>
      <c r="BE43" s="407"/>
      <c r="BF43" s="407"/>
      <c r="BG43" s="407"/>
      <c r="BH43" s="373"/>
      <c r="BI43" s="373"/>
      <c r="BJ43" s="373"/>
      <c r="BK43" s="373"/>
      <c r="BL43" s="373"/>
      <c r="BM43" s="373"/>
      <c r="BN43" s="373"/>
      <c r="BO43" s="1623"/>
      <c r="BP43" s="1624"/>
      <c r="BQ43" s="1624"/>
      <c r="BR43" s="1624"/>
      <c r="BS43" s="1624"/>
      <c r="BT43" s="1624"/>
      <c r="BU43" s="1625"/>
    </row>
    <row r="44" spans="2:73 1271:1271" ht="18.75" customHeight="1" thickBot="1" x14ac:dyDescent="0.3">
      <c r="B44" s="1634" t="str">
        <f>IF(ISERROR(AR49),"",TEXT(AR48,"0.0%"))</f>
        <v>95.1%</v>
      </c>
      <c r="C44" s="1635"/>
      <c r="D44" s="1636"/>
      <c r="E44" s="405" t="str">
        <f>IF(AU44=0,"N/A",CONCATENATE(TEXT(AV48,"0.0%")," of ",TEXT(AV47,"0.0%")))</f>
        <v>N/A</v>
      </c>
      <c r="F44" s="1637" t="str">
        <f>IF((graded_aca_events+graded_amn_events)&lt;1,"---",IF(AND(AW7,AX7),"INCOMPLETE",IF(AND(NOT(AW7),AX7),"ACA INC",IF(AND(AW7,NOT(AX7)),"AMN INC","COMPLETE"))))</f>
        <v>COMPLETE</v>
      </c>
      <c r="G44" s="1637"/>
      <c r="H44" s="1637" t="str">
        <f>IF(AU7,IF(OR(AY7="UNK",NOT(AN9)),"---",IF(AY7,"UNSAT",IF(AVERAGEIFS(AT11:AT42,AS11:AS42,"&gt;0")&lt;0.9,"MARG","SAT"))),"N/A")</f>
        <v>N/A</v>
      </c>
      <c r="I44" s="1637"/>
      <c r="J44" s="1649" t="str">
        <f>IF(OR(AZ7="UNK",NOT(AM9)),"---",IF(OR(AZ7,AR48&lt;0.7),"FAIL","PASS"))</f>
        <v>PASS</v>
      </c>
      <c r="K44" s="1650"/>
      <c r="L44" s="404"/>
      <c r="M44" s="1651"/>
      <c r="N44" s="1651"/>
      <c r="O44" s="1644" t="s">
        <v>139</v>
      </c>
      <c r="P44" s="1644"/>
      <c r="Q44" s="1644" t="s">
        <v>139</v>
      </c>
      <c r="R44" s="1645"/>
      <c r="S44" s="403"/>
      <c r="T44" s="401" t="s">
        <v>249</v>
      </c>
      <c r="U44" s="393" t="s">
        <v>250</v>
      </c>
      <c r="V44" s="396"/>
      <c r="W44" s="396"/>
      <c r="X44" s="396"/>
      <c r="Y44" s="396"/>
      <c r="Z44" s="396"/>
      <c r="AA44" s="396"/>
      <c r="AB44" s="396"/>
      <c r="AC44" s="396"/>
      <c r="AD44" s="396"/>
      <c r="AE44" s="396"/>
      <c r="AF44" s="396"/>
      <c r="AG44" s="396"/>
      <c r="AH44" s="396"/>
      <c r="AI44" s="402"/>
      <c r="AJ44" s="378"/>
      <c r="AK44" s="396"/>
      <c r="AL44" s="396"/>
      <c r="AM44" s="396">
        <f>SUM(AM11:AM42)</f>
        <v>13</v>
      </c>
      <c r="AN44" s="396">
        <f>SUM(AN11:AN42)</f>
        <v>0</v>
      </c>
      <c r="AO44" s="401"/>
      <c r="AP44" s="378"/>
      <c r="AQ44" s="400">
        <f>SUMIF(AQ11:AQ42,"&gt;0")</f>
        <v>33.333332260000006</v>
      </c>
      <c r="AR44" s="395">
        <f>IF(AQ44=0,0,SUMPRODUCT($AQ$11:$AQ$42,AR11:AR42)/SUM($AQ$11:$AQ$42))</f>
        <v>0.95099999942219982</v>
      </c>
      <c r="AS44" s="399">
        <f>SUMIF(AS11:AS42,"&gt;0")</f>
        <v>0</v>
      </c>
      <c r="AT44" s="395">
        <f>IF(AS44=0,0,SUMPRODUCT($AS$11:$AS$42,AT11:AT42)/SUM($AS$11:$AS$42))</f>
        <v>0</v>
      </c>
      <c r="AU44" s="399">
        <f>SUM(AU12:AU42)</f>
        <v>0</v>
      </c>
      <c r="AV44" s="395">
        <f>IF(AU44=0,0,SUMPRODUCT($AU$11:$AU$42,AV11:AV42)/SUM($AU$11:$AU$42))</f>
        <v>0</v>
      </c>
      <c r="AW44" s="398"/>
      <c r="AX44" s="398"/>
      <c r="AY44" s="398"/>
      <c r="AZ44" s="398"/>
      <c r="BA44" s="398"/>
      <c r="BB44" s="398"/>
      <c r="BC44" s="374" t="s">
        <v>251</v>
      </c>
      <c r="BD44" s="374" t="s">
        <v>252</v>
      </c>
      <c r="BE44" s="374" t="s">
        <v>253</v>
      </c>
      <c r="BF44" s="374"/>
      <c r="BG44" s="373"/>
      <c r="BO44" s="1623"/>
      <c r="BP44" s="1624"/>
      <c r="BQ44" s="1624"/>
      <c r="BR44" s="1624"/>
      <c r="BS44" s="1624"/>
      <c r="BT44" s="1624"/>
      <c r="BU44" s="1625"/>
      <c r="AVW44" s="397"/>
    </row>
    <row r="45" spans="2:73 1271:1271" ht="7.5" customHeight="1" thickTop="1" x14ac:dyDescent="0.25">
      <c r="L45" s="1646" t="s">
        <v>630</v>
      </c>
      <c r="M45" s="1646"/>
      <c r="N45" s="1646"/>
      <c r="O45" s="1646"/>
      <c r="P45" s="1646"/>
      <c r="Q45" s="1646"/>
      <c r="R45" s="1646"/>
      <c r="AP45" s="396"/>
      <c r="AQ45" s="378"/>
      <c r="AR45" s="378"/>
      <c r="AT45" s="395"/>
      <c r="AU45" s="395"/>
      <c r="AV45" s="395"/>
      <c r="AW45" s="378"/>
      <c r="AX45" s="395"/>
      <c r="BE45" s="374"/>
      <c r="BF45" s="374"/>
      <c r="BO45" s="1626"/>
      <c r="BP45" s="1627"/>
      <c r="BQ45" s="1627"/>
      <c r="BR45" s="1627"/>
      <c r="BS45" s="1627"/>
      <c r="BT45" s="1627"/>
      <c r="BU45" s="1628"/>
    </row>
    <row r="46" spans="2:73 1271:1271" ht="30.75" customHeight="1" x14ac:dyDescent="0.25">
      <c r="T46" s="394" t="s">
        <v>254</v>
      </c>
      <c r="U46" s="393" t="b">
        <v>0</v>
      </c>
      <c r="AI46" s="375">
        <f ca="1">SUMIF(AJ11:$AJ$42,"=" &amp; AJ11,AI12:$AI$42)</f>
        <v>0.69999999153999959</v>
      </c>
      <c r="AK46" s="373"/>
      <c r="AL46" s="373"/>
      <c r="AM46" s="373"/>
      <c r="AN46" s="373"/>
      <c r="AO46" s="392"/>
      <c r="AQ46" s="373"/>
      <c r="AR46" s="373"/>
      <c r="AS46" s="385" t="s">
        <v>255</v>
      </c>
      <c r="AT46" s="387">
        <f>SUMIF(X11:X42,"&gt;0")/SUMIF(W11:W42,"&gt;0")</f>
        <v>0</v>
      </c>
      <c r="AU46" s="385" t="s">
        <v>256</v>
      </c>
      <c r="AV46" s="391">
        <f>SUMIF(AU11:AU42,"&gt;0")/SUMIF(AQ11:AQ42,"&gt;0")</f>
        <v>0</v>
      </c>
      <c r="AW46" s="390"/>
      <c r="AY46" s="373"/>
      <c r="AZ46" s="373"/>
      <c r="BE46" s="374" t="b">
        <f>AND(ISBLANK($K33),J33&gt;0)</f>
        <v>0</v>
      </c>
      <c r="BF46" s="374"/>
      <c r="BH46" s="374"/>
      <c r="BO46" s="373"/>
      <c r="BP46" s="373"/>
      <c r="BQ46" s="372"/>
    </row>
    <row r="47" spans="2:73 1271:1271" ht="30.75" customHeight="1" x14ac:dyDescent="0.25">
      <c r="J47" s="389"/>
      <c r="T47" s="381" t="s">
        <v>257</v>
      </c>
      <c r="U47" s="374" t="b">
        <f>IF(AND(Flight?,OR(AW7,AY7,BA7,AZ7,AR48&lt;0.7,H44="MARG")),TRUE,FALSE)</f>
        <v>0</v>
      </c>
      <c r="AK47" s="373"/>
      <c r="AL47" s="373"/>
      <c r="AM47" s="373"/>
      <c r="AN47" s="373"/>
      <c r="AO47" s="380"/>
      <c r="AP47" s="373"/>
      <c r="AQ47" s="385" t="s">
        <v>258</v>
      </c>
      <c r="AR47" s="388">
        <f>1-AT47</f>
        <v>1</v>
      </c>
      <c r="AS47" s="385" t="s">
        <v>259</v>
      </c>
      <c r="AT47" s="387">
        <f>MIN(AT46,AT9)</f>
        <v>0</v>
      </c>
      <c r="AU47" s="385" t="s">
        <v>260</v>
      </c>
      <c r="AV47" s="382">
        <f>MIN(AV46,AV9)</f>
        <v>0</v>
      </c>
      <c r="AZ47" s="373"/>
      <c r="BE47" s="374"/>
      <c r="BF47" s="374"/>
      <c r="BH47" s="374"/>
      <c r="BO47" s="373"/>
      <c r="BP47" s="373"/>
      <c r="BQ47" s="372"/>
    </row>
    <row r="48" spans="2:73 1271:1271" ht="26.25" x14ac:dyDescent="0.25">
      <c r="T48" s="381" t="s">
        <v>261</v>
      </c>
      <c r="U48" s="374" t="b">
        <f>IF(OR(AX7,AY7,AZ7,BB7,AR48&lt;0.7),TRUE,FALSE)</f>
        <v>0</v>
      </c>
      <c r="Y48" s="386"/>
      <c r="AK48" s="373"/>
      <c r="AL48" s="373"/>
      <c r="AM48" s="373"/>
      <c r="AN48" s="373"/>
      <c r="AO48" s="384"/>
      <c r="AP48" s="373"/>
      <c r="AQ48" s="385" t="s">
        <v>262</v>
      </c>
      <c r="AR48" s="375">
        <f>AR44*(1-AT47)+(AT44*AT47)</f>
        <v>0.95099999942219982</v>
      </c>
      <c r="AU48" s="373" t="s">
        <v>196</v>
      </c>
      <c r="AV48" s="382">
        <f>AV44*AV47</f>
        <v>0</v>
      </c>
      <c r="AY48" s="373"/>
      <c r="AZ48" s="373"/>
      <c r="BE48" s="374"/>
      <c r="BF48" s="374"/>
      <c r="BH48" s="374"/>
      <c r="BO48" s="373"/>
      <c r="BP48" s="373"/>
      <c r="BQ48" s="372"/>
    </row>
    <row r="49" spans="20:69" ht="26.25" x14ac:dyDescent="0.25">
      <c r="T49" s="381" t="s">
        <v>263</v>
      </c>
      <c r="U49" s="374" t="b">
        <v>0</v>
      </c>
      <c r="AK49" s="373"/>
      <c r="AL49" s="373"/>
      <c r="AM49" s="373"/>
      <c r="AN49" s="373"/>
      <c r="AO49" s="384"/>
      <c r="AP49" s="373"/>
      <c r="AQ49" s="385" t="s">
        <v>264</v>
      </c>
      <c r="AR49" s="382">
        <f>MIN(1,IF(NOT(OR(AY7,AZ7)),AR48+AV48,MIN(0.69,AR48+AV48)))</f>
        <v>0.95099999942219982</v>
      </c>
      <c r="AY49" s="373"/>
      <c r="BE49" s="374"/>
      <c r="BF49" s="374"/>
      <c r="BI49" s="374"/>
      <c r="BO49" s="373"/>
      <c r="BP49" s="373"/>
      <c r="BQ49" s="372"/>
    </row>
    <row r="50" spans="20:69" x14ac:dyDescent="0.25">
      <c r="T50" s="381" t="s">
        <v>265</v>
      </c>
      <c r="U50" s="374" t="b">
        <f>IF(NOT(Flight?),TRUE,NOT(OR(ISBLANK(comments),ISBLANK(hdr_class),ISBLANK(hdr_date),ISBLANK(hdr_stud),ISBLANK(hdr_instr),ISBLANK(hdr_acft),ISBLANK(hdr_time),F44="---")))</f>
        <v>1</v>
      </c>
      <c r="AK50" s="373"/>
      <c r="AL50" s="373"/>
      <c r="AM50" s="373"/>
      <c r="AN50" s="373"/>
      <c r="AO50" s="384"/>
      <c r="AP50" s="373"/>
      <c r="AQ50" s="373"/>
      <c r="AR50" s="383"/>
      <c r="AS50" s="382"/>
      <c r="AU50" s="373"/>
      <c r="AV50" s="373"/>
      <c r="AW50" s="373"/>
    </row>
    <row r="51" spans="20:69" x14ac:dyDescent="0.25">
      <c r="T51" s="381" t="s">
        <v>266</v>
      </c>
      <c r="U51" s="374" t="b">
        <f>IF(Flight?,TRUE,NOT(OR(ISBLANK(comments),ISBLANK(hdr_class),ISBLANK(hdr_date),ISBLANK(hdr_stud),ISBLANK(hdr_instr),F44="---")))</f>
        <v>1</v>
      </c>
      <c r="AK51" s="373"/>
      <c r="AL51" s="373"/>
      <c r="AM51" s="373"/>
      <c r="AN51" s="373"/>
      <c r="AO51" s="380"/>
      <c r="AP51" s="378" t="s">
        <v>267</v>
      </c>
      <c r="AQ51" s="378"/>
      <c r="AR51" s="378"/>
      <c r="AS51" s="378"/>
      <c r="AT51" s="378"/>
      <c r="AU51" s="373"/>
      <c r="AV51" s="373"/>
      <c r="AW51" s="373"/>
    </row>
    <row r="52" spans="20:69" x14ac:dyDescent="0.25">
      <c r="T52" s="381" t="s">
        <v>268</v>
      </c>
      <c r="U52" s="374" t="b">
        <f>AND(U50:U51)</f>
        <v>1</v>
      </c>
      <c r="AK52" s="373"/>
      <c r="AL52" s="373"/>
      <c r="AM52" s="373"/>
      <c r="AN52" s="373"/>
      <c r="AO52" s="380"/>
      <c r="AP52" s="378"/>
      <c r="AQ52" s="378"/>
      <c r="AR52" s="378">
        <v>0</v>
      </c>
      <c r="AS52" s="378">
        <v>1</v>
      </c>
      <c r="AT52" s="378">
        <v>2</v>
      </c>
      <c r="AU52" s="378">
        <v>3</v>
      </c>
      <c r="AV52" s="378">
        <v>4</v>
      </c>
      <c r="AW52" s="373"/>
    </row>
    <row r="53" spans="20:69" x14ac:dyDescent="0.25">
      <c r="AK53" s="373"/>
      <c r="AL53" s="373"/>
      <c r="AM53" s="373"/>
      <c r="AN53" s="373"/>
      <c r="AO53" s="380"/>
      <c r="AP53" s="378" t="s">
        <v>227</v>
      </c>
      <c r="AQ53" s="378">
        <v>1</v>
      </c>
      <c r="AR53" s="377">
        <v>0.7</v>
      </c>
      <c r="AS53" s="377">
        <v>0.9</v>
      </c>
      <c r="AT53" s="377">
        <v>0.93330000000000002</v>
      </c>
      <c r="AU53" s="377">
        <v>0.9667</v>
      </c>
      <c r="AV53" s="377">
        <v>1</v>
      </c>
      <c r="AW53" s="373"/>
    </row>
    <row r="54" spans="20:69" x14ac:dyDescent="0.25">
      <c r="AK54" s="373"/>
      <c r="AL54" s="373"/>
      <c r="AM54" s="373"/>
      <c r="AN54" s="373"/>
      <c r="AO54" s="380"/>
      <c r="AP54" s="378" t="s">
        <v>228</v>
      </c>
      <c r="AQ54" s="378">
        <v>2</v>
      </c>
      <c r="AR54" s="377">
        <v>0.7</v>
      </c>
      <c r="AS54" s="377">
        <v>0.8</v>
      </c>
      <c r="AT54" s="377">
        <v>0.9</v>
      </c>
      <c r="AU54" s="377">
        <v>0.95</v>
      </c>
      <c r="AV54" s="377">
        <v>1</v>
      </c>
      <c r="AW54" s="373"/>
    </row>
    <row r="55" spans="20:69" x14ac:dyDescent="0.25">
      <c r="AK55" s="373"/>
      <c r="AL55" s="373"/>
      <c r="AM55" s="373"/>
      <c r="AN55" s="373"/>
      <c r="AO55" s="380"/>
      <c r="AP55" s="378" t="s">
        <v>229</v>
      </c>
      <c r="AQ55" s="378">
        <v>3</v>
      </c>
      <c r="AR55" s="377">
        <v>0.7</v>
      </c>
      <c r="AS55" s="377">
        <v>0.76670000000000005</v>
      </c>
      <c r="AT55" s="377">
        <v>0.83330000000000004</v>
      </c>
      <c r="AU55" s="377">
        <v>0.9</v>
      </c>
      <c r="AV55" s="377">
        <v>1</v>
      </c>
      <c r="AW55" s="373"/>
    </row>
    <row r="56" spans="20:69" x14ac:dyDescent="0.25">
      <c r="AP56" s="379" t="s">
        <v>230</v>
      </c>
      <c r="AQ56" s="378">
        <v>11</v>
      </c>
      <c r="AR56" s="377">
        <v>0.6</v>
      </c>
      <c r="AS56" s="377">
        <v>0.9</v>
      </c>
      <c r="AT56" s="377">
        <v>0.93330000000000002</v>
      </c>
      <c r="AU56" s="377">
        <v>0.9667</v>
      </c>
      <c r="AV56" s="377">
        <v>1</v>
      </c>
      <c r="AW56" s="373"/>
    </row>
    <row r="57" spans="20:69" x14ac:dyDescent="0.25">
      <c r="AP57" s="379" t="s">
        <v>231</v>
      </c>
      <c r="AQ57" s="378">
        <v>12</v>
      </c>
      <c r="AR57" s="377">
        <v>0.6</v>
      </c>
      <c r="AS57" s="377">
        <v>0.7</v>
      </c>
      <c r="AT57" s="377">
        <v>0.9</v>
      </c>
      <c r="AU57" s="377">
        <v>0.95</v>
      </c>
      <c r="AV57" s="377">
        <v>1</v>
      </c>
      <c r="AW57" s="373"/>
    </row>
    <row r="58" spans="20:69" x14ac:dyDescent="0.25">
      <c r="AP58" s="379" t="s">
        <v>232</v>
      </c>
      <c r="AQ58" s="378">
        <v>13</v>
      </c>
      <c r="AR58" s="377">
        <v>0.6</v>
      </c>
      <c r="AS58" s="377">
        <v>0.7</v>
      </c>
      <c r="AT58" s="377">
        <v>0.8</v>
      </c>
      <c r="AU58" s="377">
        <v>0.9</v>
      </c>
      <c r="AV58" s="377">
        <v>1</v>
      </c>
      <c r="AW58" s="373"/>
    </row>
    <row r="59" spans="20:69" x14ac:dyDescent="0.25">
      <c r="AP59" s="379" t="s">
        <v>233</v>
      </c>
      <c r="AQ59" s="378">
        <v>22</v>
      </c>
      <c r="AR59" s="377">
        <v>0.3</v>
      </c>
      <c r="AS59" s="377">
        <v>0.6</v>
      </c>
      <c r="AT59" s="377">
        <v>0.9</v>
      </c>
      <c r="AU59" s="377">
        <v>0.95</v>
      </c>
      <c r="AV59" s="377">
        <v>1</v>
      </c>
      <c r="AW59" s="373"/>
    </row>
    <row r="60" spans="20:69" x14ac:dyDescent="0.25">
      <c r="AP60" s="379" t="s">
        <v>234</v>
      </c>
      <c r="AQ60" s="378">
        <v>23</v>
      </c>
      <c r="AR60" s="377">
        <v>0.3</v>
      </c>
      <c r="AS60" s="377">
        <v>0.6</v>
      </c>
      <c r="AT60" s="377">
        <v>0.7</v>
      </c>
      <c r="AU60" s="377">
        <v>0.9</v>
      </c>
      <c r="AV60" s="377">
        <v>1</v>
      </c>
      <c r="AW60" s="373"/>
    </row>
    <row r="61" spans="20:69" x14ac:dyDescent="0.25">
      <c r="AP61" s="379" t="s">
        <v>235</v>
      </c>
      <c r="AQ61" s="378">
        <v>33</v>
      </c>
      <c r="AR61" s="377">
        <v>0</v>
      </c>
      <c r="AS61" s="377">
        <v>0.3</v>
      </c>
      <c r="AT61" s="377">
        <v>0.6</v>
      </c>
      <c r="AU61" s="377">
        <v>0.9</v>
      </c>
      <c r="AV61" s="377">
        <v>1</v>
      </c>
      <c r="AW61" s="83"/>
      <c r="AX61" s="84"/>
      <c r="BC61" s="84"/>
      <c r="BD61" s="84"/>
    </row>
    <row r="62" spans="20:69" x14ac:dyDescent="0.25">
      <c r="AP62" s="373"/>
      <c r="AQ62" s="373"/>
      <c r="AR62" s="373"/>
      <c r="AS62" s="373"/>
      <c r="AT62" s="373"/>
      <c r="AU62" s="373"/>
      <c r="AV62" s="373"/>
      <c r="AW62" s="84"/>
      <c r="AX62" s="84"/>
      <c r="BC62" s="84"/>
      <c r="BD62" s="84"/>
    </row>
    <row r="63" spans="20:69" x14ac:dyDescent="0.25">
      <c r="AP63" s="84"/>
      <c r="AQ63" s="83"/>
      <c r="AR63" s="84"/>
      <c r="AS63" s="84"/>
      <c r="AT63" s="84"/>
      <c r="AU63" s="84"/>
      <c r="AV63" s="84"/>
      <c r="AW63" s="83"/>
      <c r="AX63" s="83"/>
      <c r="BC63" s="84"/>
      <c r="BD63" s="84"/>
    </row>
    <row r="64" spans="20:69" x14ac:dyDescent="0.25">
      <c r="AP64" s="101"/>
      <c r="AQ64" s="83"/>
      <c r="AR64" s="84"/>
      <c r="AS64" s="84"/>
      <c r="AT64" s="84"/>
      <c r="AU64" s="84"/>
      <c r="AV64" s="84"/>
      <c r="AW64" s="83"/>
      <c r="AX64" s="83"/>
      <c r="BC64" s="84"/>
      <c r="BD64" s="84"/>
    </row>
    <row r="65" spans="42:56" x14ac:dyDescent="0.25">
      <c r="AP65" s="83"/>
      <c r="AQ65" s="83"/>
      <c r="AR65" s="84"/>
      <c r="AS65" s="84"/>
      <c r="AT65" s="84"/>
      <c r="AU65" s="84"/>
      <c r="AV65" s="84"/>
      <c r="AW65" s="83"/>
      <c r="AX65" s="83"/>
      <c r="BC65" s="84"/>
      <c r="BD65" s="84"/>
    </row>
    <row r="66" spans="42:56" x14ac:dyDescent="0.25">
      <c r="AP66" s="83"/>
      <c r="AQ66" s="83"/>
      <c r="AR66" s="84"/>
      <c r="AS66" s="84"/>
      <c r="AT66" s="84"/>
      <c r="AU66" s="84"/>
      <c r="AV66" s="84"/>
      <c r="AW66" s="83"/>
      <c r="AX66" s="84"/>
      <c r="BC66" s="84"/>
      <c r="BD66" s="84"/>
    </row>
    <row r="67" spans="42:56" x14ac:dyDescent="0.25">
      <c r="AP67" s="83"/>
      <c r="AQ67" s="83"/>
      <c r="AR67" s="84"/>
      <c r="AS67" s="84"/>
      <c r="AT67" s="84"/>
      <c r="AU67" s="84"/>
      <c r="AV67" s="84"/>
      <c r="AW67" s="83"/>
      <c r="AX67" s="84"/>
      <c r="BC67" s="84"/>
      <c r="BD67" s="84"/>
    </row>
    <row r="68" spans="42:56" x14ac:dyDescent="0.25">
      <c r="AP68" s="83"/>
      <c r="AQ68" s="83"/>
      <c r="AR68" s="84"/>
      <c r="AS68" s="84"/>
      <c r="AT68" s="84"/>
      <c r="AU68" s="84"/>
      <c r="AV68" s="84"/>
    </row>
    <row r="69" spans="42:56" x14ac:dyDescent="0.25">
      <c r="AP69" s="83"/>
      <c r="AQ69" s="83"/>
      <c r="AR69" s="84"/>
      <c r="AS69" s="84"/>
      <c r="AT69" s="84"/>
      <c r="AU69" s="84"/>
      <c r="AV69" s="84"/>
    </row>
  </sheetData>
  <mergeCells count="76">
    <mergeCell ref="B7:G7"/>
    <mergeCell ref="H7:N7"/>
    <mergeCell ref="O7:P7"/>
    <mergeCell ref="Q7:R7"/>
    <mergeCell ref="BP6:BU7"/>
    <mergeCell ref="B6:G6"/>
    <mergeCell ref="H6:N6"/>
    <mergeCell ref="O6:P6"/>
    <mergeCell ref="Q6:R6"/>
    <mergeCell ref="BH7:BK9"/>
    <mergeCell ref="BL7:BN9"/>
    <mergeCell ref="O9:P9"/>
    <mergeCell ref="Q9:R9"/>
    <mergeCell ref="C18:F18"/>
    <mergeCell ref="C19:F19"/>
    <mergeCell ref="O8:P8"/>
    <mergeCell ref="Q8:R8"/>
    <mergeCell ref="B8:E8"/>
    <mergeCell ref="F8:G8"/>
    <mergeCell ref="H8:L8"/>
    <mergeCell ref="M8:N8"/>
    <mergeCell ref="B9:E9"/>
    <mergeCell ref="F9:G9"/>
    <mergeCell ref="H9:L9"/>
    <mergeCell ref="M9:N9"/>
    <mergeCell ref="C17:F17"/>
    <mergeCell ref="C41:F41"/>
    <mergeCell ref="C42:F42"/>
    <mergeCell ref="BQ22:BU22"/>
    <mergeCell ref="B10:F10"/>
    <mergeCell ref="L10:R10"/>
    <mergeCell ref="C11:F11"/>
    <mergeCell ref="L11:R42"/>
    <mergeCell ref="C12:F12"/>
    <mergeCell ref="C13:F13"/>
    <mergeCell ref="C14:F14"/>
    <mergeCell ref="C15:F15"/>
    <mergeCell ref="C16:F16"/>
    <mergeCell ref="C30:F30"/>
    <mergeCell ref="C31:F31"/>
    <mergeCell ref="BO37:BU40"/>
    <mergeCell ref="C38:F38"/>
    <mergeCell ref="C37:F37"/>
    <mergeCell ref="C39:F39"/>
    <mergeCell ref="C40:F40"/>
    <mergeCell ref="C20:F20"/>
    <mergeCell ref="C21:F21"/>
    <mergeCell ref="C22:F22"/>
    <mergeCell ref="C23:F23"/>
    <mergeCell ref="C24:F24"/>
    <mergeCell ref="C34:F34"/>
    <mergeCell ref="C35:F35"/>
    <mergeCell ref="C36:F36"/>
    <mergeCell ref="C32:F32"/>
    <mergeCell ref="C33:F33"/>
    <mergeCell ref="BO24:BO32"/>
    <mergeCell ref="C25:F25"/>
    <mergeCell ref="C26:F26"/>
    <mergeCell ref="C27:F27"/>
    <mergeCell ref="C28:F28"/>
    <mergeCell ref="C29:F29"/>
    <mergeCell ref="BO42:BU45"/>
    <mergeCell ref="B43:D43"/>
    <mergeCell ref="F43:G43"/>
    <mergeCell ref="H43:I43"/>
    <mergeCell ref="Q44:R44"/>
    <mergeCell ref="L45:R45"/>
    <mergeCell ref="O44:P44"/>
    <mergeCell ref="J43:K43"/>
    <mergeCell ref="M43:N43"/>
    <mergeCell ref="O43:P43"/>
    <mergeCell ref="B44:D44"/>
    <mergeCell ref="F44:G44"/>
    <mergeCell ref="H44:I44"/>
    <mergeCell ref="J44:K44"/>
    <mergeCell ref="M44:N44"/>
  </mergeCells>
  <conditionalFormatting sqref="B11:F42">
    <cfRule type="expression" dxfId="127" priority="14" stopIfTrue="1">
      <formula>IF($Z11=1,TRUE,FALSE)</formula>
    </cfRule>
    <cfRule type="expression" dxfId="126" priority="15">
      <formula>IF($Z11=2,TRUE,FALSE)</formula>
    </cfRule>
  </conditionalFormatting>
  <conditionalFormatting sqref="C11:F42">
    <cfRule type="expression" dxfId="125" priority="7" stopIfTrue="1">
      <formula>IF($AF11=FALSE,TRUE,FALSE)</formula>
    </cfRule>
  </conditionalFormatting>
  <conditionalFormatting sqref="F8:G9 M8:P9">
    <cfRule type="expression" dxfId="124" priority="10" stopIfTrue="1">
      <formula>NOT($AU$7)</formula>
    </cfRule>
  </conditionalFormatting>
  <conditionalFormatting sqref="F9:G9">
    <cfRule type="cellIs" dxfId="123" priority="9" operator="equal">
      <formula>""</formula>
    </cfRule>
  </conditionalFormatting>
  <conditionalFormatting sqref="G11:K42">
    <cfRule type="expression" dxfId="122" priority="12" stopIfTrue="1">
      <formula>IF($Z11=1,TRUE,FALSE)</formula>
    </cfRule>
    <cfRule type="expression" dxfId="121" priority="13" stopIfTrue="1">
      <formula>IF($Z11=2,TRUE,FALSE)</formula>
    </cfRule>
  </conditionalFormatting>
  <conditionalFormatting sqref="H11:H42">
    <cfRule type="expression" dxfId="120" priority="16" stopIfTrue="1">
      <formula>IF($AB11=0,TRUE,FALSE)</formula>
    </cfRule>
  </conditionalFormatting>
  <conditionalFormatting sqref="H43:I44">
    <cfRule type="expression" dxfId="119" priority="8" stopIfTrue="1">
      <formula>IF($H$44="N/A",TRUE,FALSE)</formula>
    </cfRule>
  </conditionalFormatting>
  <conditionalFormatting sqref="M9:P9">
    <cfRule type="containsBlanks" dxfId="118" priority="11">
      <formula>LEN(TRIM(M9))=0</formula>
    </cfRule>
  </conditionalFormatting>
  <conditionalFormatting sqref="J11:J42">
    <cfRule type="expression" dxfId="117" priority="20">
      <formula>IF($Z11=1,FALSE,OR($BE11,$BD11))</formula>
    </cfRule>
  </conditionalFormatting>
  <conditionalFormatting sqref="J11:K42 C11:F42">
    <cfRule type="expression" dxfId="116" priority="19">
      <formula>IF($Z11=1,FALSE,OR($AW11,$AX11,$AY11,$AZ11))</formula>
    </cfRule>
  </conditionalFormatting>
  <conditionalFormatting sqref="J11:K42">
    <cfRule type="expression" dxfId="115" priority="17" stopIfTrue="1">
      <formula>IF(ISNA($Z11),TRUE,FALSE)</formula>
    </cfRule>
  </conditionalFormatting>
  <conditionalFormatting sqref="K11:K42">
    <cfRule type="expression" dxfId="114" priority="18">
      <formula>IF(OR($Z11=1,$Z11=2),FALSE,OR($BC11,$BE11,$BF11))</formula>
    </cfRule>
  </conditionalFormatting>
  <conditionalFormatting sqref="L44">
    <cfRule type="expression" dxfId="113" priority="6">
      <formula>NOT($U$52)</formula>
    </cfRule>
  </conditionalFormatting>
  <conditionalFormatting sqref="O7:P7">
    <cfRule type="containsBlanks" dxfId="112" priority="5">
      <formula>LEN(TRIM(O7))=0</formula>
    </cfRule>
  </conditionalFormatting>
  <conditionalFormatting sqref="Q7:R7">
    <cfRule type="containsBlanks" dxfId="111" priority="4">
      <formula>LEN(TRIM(Q7))=0</formula>
    </cfRule>
  </conditionalFormatting>
  <conditionalFormatting sqref="B9">
    <cfRule type="containsBlanks" dxfId="110" priority="3">
      <formula>LEN(TRIM(B9))=0</formula>
    </cfRule>
  </conditionalFormatting>
  <conditionalFormatting sqref="H9:L9">
    <cfRule type="containsBlanks" dxfId="109" priority="2">
      <formula>LEN(TRIM(H9))=0</formula>
    </cfRule>
  </conditionalFormatting>
  <conditionalFormatting sqref="L11">
    <cfRule type="containsBlanks" dxfId="108" priority="1">
      <formula>LEN(TRIM(L11))=0</formula>
    </cfRule>
  </conditionalFormatting>
  <dataValidations count="6">
    <dataValidation type="list" allowBlank="1" showInputMessage="1" showErrorMessage="1" sqref="F9:G9" xr:uid="{C81E008F-3350-4973-8A21-86C50378954C}">
      <formula1>"No,Yes"</formula1>
    </dataValidation>
    <dataValidation type="list" allowBlank="1" showInputMessage="1" showErrorMessage="1" sqref="J11:J42" xr:uid="{771AF5F4-56DA-4F2D-B129-215DD2201C26}">
      <formula1>"NA,0,1,2,3,4,5,6,7,8,9,10,11,12,13,14,15"</formula1>
    </dataValidation>
    <dataValidation type="list" allowBlank="1" showInputMessage="1" showErrorMessage="1" sqref="K11:K42" xr:uid="{E45AB24F-B99F-4A57-972B-F597434C1DAC}">
      <formula1>"D,0,1,2,3,4"</formula1>
    </dataValidation>
    <dataValidation showInputMessage="1" showErrorMessage="1" sqref="O44:R44" xr:uid="{697717DF-67E0-4D52-8EF2-19C2AB903ED5}"/>
    <dataValidation type="decimal" allowBlank="1" showInputMessage="1" showErrorMessage="1" sqref="O9:P9" xr:uid="{5B4F9172-40FE-42B9-A2F6-3FE6E5FEA7CD}">
      <formula1>0</formula1>
      <formula2>10</formula2>
    </dataValidation>
    <dataValidation type="date" allowBlank="1" showInputMessage="1" showErrorMessage="1" sqref="Q7:R7" xr:uid="{752280A8-C136-416C-A8ED-7C944830C8C1}">
      <formula1>41151</formula1>
      <formula2>77433</formula2>
    </dataValidation>
  </dataValidations>
  <hyperlinks>
    <hyperlink ref="BP6" location="PF!A1" display="PF phase Summary Page" xr:uid="{BCE5F863-12EC-4BAB-99B4-0DCE23F98AC3}"/>
    <hyperlink ref="BP6:BU7" location="TF!A1" display="TF Summary Page" xr:uid="{575D60CE-C492-4AB7-BFA3-F9FC116187DB}"/>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DB3AE-C5AA-4EE6-9103-991270BAA5DF}">
  <sheetPr>
    <tabColor rgb="FFFFFF00"/>
    <pageSetUpPr autoPageBreaks="0"/>
  </sheetPr>
  <dimension ref="A1:AVW69"/>
  <sheetViews>
    <sheetView showGridLines="0" showRowColHeaders="0" topLeftCell="A5" zoomScaleNormal="100" workbookViewId="0">
      <selection activeCell="J14" sqref="J14"/>
    </sheetView>
  </sheetViews>
  <sheetFormatPr defaultColWidth="9.140625" defaultRowHeight="15" x14ac:dyDescent="0.25"/>
  <cols>
    <col min="1" max="1" width="1.5703125" style="376" customWidth="1"/>
    <col min="2" max="2" width="3.5703125" style="376" customWidth="1"/>
    <col min="3" max="3" width="5.5703125" style="371" customWidth="1"/>
    <col min="4" max="4" width="9.140625" style="371"/>
    <col min="5" max="5" width="14" style="371" customWidth="1"/>
    <col min="6" max="6" width="7.85546875" style="371" customWidth="1"/>
    <col min="7" max="11" width="5.140625" style="371" customWidth="1"/>
    <col min="12" max="12" width="21.5703125" style="371" customWidth="1"/>
    <col min="13" max="13" width="6.5703125" style="371" customWidth="1"/>
    <col min="14" max="14" width="12.5703125" style="371" customWidth="1"/>
    <col min="15" max="15" width="7.85546875" style="371" customWidth="1"/>
    <col min="16" max="16" width="2.7109375" style="371" customWidth="1"/>
    <col min="17" max="17" width="4.85546875" style="371" customWidth="1"/>
    <col min="18" max="18" width="7.28515625" style="371" customWidth="1"/>
    <col min="19" max="19" width="1.7109375" style="371" customWidth="1"/>
    <col min="20" max="20" width="19.140625" style="374" hidden="1" customWidth="1"/>
    <col min="21" max="21" width="31.140625" style="374" hidden="1" customWidth="1"/>
    <col min="22" max="22" width="5.140625" style="374" hidden="1" customWidth="1"/>
    <col min="23" max="24" width="6.28515625" style="374" hidden="1" customWidth="1"/>
    <col min="25" max="25" width="8.42578125" style="374" hidden="1" customWidth="1"/>
    <col min="26" max="26" width="7.85546875" style="374" hidden="1" customWidth="1"/>
    <col min="27" max="27" width="10.7109375" style="374" hidden="1" customWidth="1"/>
    <col min="28" max="28" width="8" style="374" hidden="1" customWidth="1"/>
    <col min="29" max="31" width="5.140625" style="374" hidden="1" customWidth="1"/>
    <col min="32" max="34" width="5.85546875" style="374" hidden="1" customWidth="1"/>
    <col min="35" max="35" width="8.5703125" style="375" hidden="1" customWidth="1"/>
    <col min="36" max="36" width="7" style="374" hidden="1" customWidth="1"/>
    <col min="37" max="38" width="5.28515625" style="374" hidden="1" customWidth="1"/>
    <col min="39" max="40" width="7" style="374" hidden="1" customWidth="1"/>
    <col min="41" max="41" width="5.140625" style="374" hidden="1" customWidth="1"/>
    <col min="42" max="42" width="11.28515625" style="374" hidden="1" customWidth="1"/>
    <col min="43" max="43" width="6.42578125" style="374" hidden="1" customWidth="1"/>
    <col min="44" max="44" width="8.28515625" style="374" hidden="1" customWidth="1"/>
    <col min="45" max="45" width="8.85546875" style="374" hidden="1" customWidth="1"/>
    <col min="46" max="46" width="10.7109375" style="374" hidden="1" customWidth="1"/>
    <col min="47" max="47" width="8.85546875" style="374" hidden="1" customWidth="1"/>
    <col min="48" max="48" width="6.28515625" style="374" hidden="1" customWidth="1"/>
    <col min="49" max="49" width="10" style="374" hidden="1" customWidth="1"/>
    <col min="50" max="50" width="7.5703125" style="374" hidden="1" customWidth="1"/>
    <col min="51" max="51" width="7" style="374" hidden="1" customWidth="1"/>
    <col min="52" max="52" width="8.140625" style="374" hidden="1" customWidth="1"/>
    <col min="53" max="53" width="12.5703125" style="374" hidden="1" customWidth="1"/>
    <col min="54" max="54" width="7.7109375" style="374" hidden="1" customWidth="1"/>
    <col min="55" max="55" width="12.7109375" style="374" hidden="1" customWidth="1"/>
    <col min="56" max="56" width="7" style="374" hidden="1" customWidth="1"/>
    <col min="57" max="57" width="15.5703125" style="373" hidden="1" customWidth="1"/>
    <col min="58" max="58" width="9.140625" style="373" hidden="1" customWidth="1"/>
    <col min="59" max="59" width="10" style="374" hidden="1" customWidth="1"/>
    <col min="60" max="60" width="5.28515625" style="373" hidden="1" customWidth="1"/>
    <col min="61" max="61" width="4" style="373" hidden="1" customWidth="1"/>
    <col min="62" max="62" width="4.7109375" style="373" hidden="1" customWidth="1"/>
    <col min="63" max="63" width="5.5703125" style="373" hidden="1" customWidth="1"/>
    <col min="64" max="64" width="5.28515625" style="373" hidden="1" customWidth="1"/>
    <col min="65" max="65" width="4" style="373" hidden="1" customWidth="1"/>
    <col min="66" max="66" width="5.5703125" style="373" hidden="1" customWidth="1"/>
    <col min="67" max="67" width="5.140625" style="372" customWidth="1"/>
    <col min="68" max="73" width="5.140625" style="371" customWidth="1"/>
    <col min="74" max="16384" width="9.140625" style="371"/>
  </cols>
  <sheetData>
    <row r="1" spans="2:73" s="447" customFormat="1" ht="12" hidden="1" x14ac:dyDescent="0.2">
      <c r="T1" s="378"/>
      <c r="U1" s="378"/>
      <c r="V1" s="378"/>
      <c r="W1" s="378"/>
      <c r="X1" s="378"/>
      <c r="Y1" s="378"/>
      <c r="Z1" s="378"/>
      <c r="AA1" s="378"/>
      <c r="AB1" s="378"/>
      <c r="AC1" s="378"/>
      <c r="AD1" s="378"/>
      <c r="AE1" s="378"/>
      <c r="AF1" s="378"/>
      <c r="AG1" s="378"/>
      <c r="AH1" s="378"/>
      <c r="AI1" s="402"/>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row>
    <row r="2" spans="2:73" s="447" customFormat="1" ht="12" hidden="1" x14ac:dyDescent="0.2">
      <c r="T2" s="378"/>
      <c r="U2" s="378"/>
      <c r="V2" s="378"/>
      <c r="W2" s="378"/>
      <c r="X2" s="378"/>
      <c r="Y2" s="378"/>
      <c r="Z2" s="378"/>
      <c r="AA2" s="378"/>
      <c r="AB2" s="378"/>
      <c r="AC2" s="378"/>
      <c r="AD2" s="378"/>
      <c r="AE2" s="378"/>
      <c r="AF2" s="378"/>
      <c r="AG2" s="378"/>
      <c r="AH2" s="378"/>
      <c r="AI2" s="402"/>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row>
    <row r="3" spans="2:73" s="447" customFormat="1" ht="12" hidden="1" x14ac:dyDescent="0.2">
      <c r="T3" s="378"/>
      <c r="U3" s="378"/>
      <c r="V3" s="378"/>
      <c r="W3" s="378"/>
      <c r="X3" s="378"/>
      <c r="Y3" s="378"/>
      <c r="Z3" s="378"/>
      <c r="AA3" s="378"/>
      <c r="AB3" s="378"/>
      <c r="AC3" s="378"/>
      <c r="AD3" s="378"/>
      <c r="AE3" s="378"/>
      <c r="AF3" s="378"/>
      <c r="AG3" s="378"/>
      <c r="AH3" s="378"/>
      <c r="AI3" s="402"/>
      <c r="AJ3" s="378"/>
      <c r="AK3" s="378"/>
      <c r="AL3" s="378"/>
      <c r="AM3" s="378"/>
      <c r="AN3" s="378"/>
      <c r="AO3" s="378"/>
      <c r="AP3" s="378"/>
      <c r="AQ3" s="378"/>
      <c r="AR3" s="378"/>
      <c r="AS3" s="378"/>
      <c r="AT3" s="378"/>
      <c r="AU3" s="378"/>
      <c r="AV3" s="378"/>
      <c r="AW3" s="378"/>
      <c r="AX3" s="378"/>
      <c r="AY3" s="378"/>
      <c r="AZ3" s="378"/>
      <c r="BA3" s="378"/>
      <c r="BB3" s="378"/>
      <c r="BC3" s="378"/>
      <c r="BD3" s="378"/>
      <c r="BE3" s="378"/>
      <c r="BF3" s="378"/>
      <c r="BG3" s="378"/>
      <c r="BH3" s="378"/>
      <c r="BI3" s="378"/>
      <c r="BJ3" s="378"/>
      <c r="BK3" s="378"/>
      <c r="BL3" s="378"/>
      <c r="BM3" s="378"/>
      <c r="BN3" s="378"/>
    </row>
    <row r="4" spans="2:73" s="447" customFormat="1" ht="12" hidden="1" x14ac:dyDescent="0.2">
      <c r="T4" s="378"/>
      <c r="U4" s="378"/>
      <c r="V4" s="378"/>
      <c r="W4" s="378"/>
      <c r="X4" s="378"/>
      <c r="Y4" s="378"/>
      <c r="Z4" s="378"/>
      <c r="AA4" s="378"/>
      <c r="AB4" s="378"/>
      <c r="AC4" s="378"/>
      <c r="AD4" s="378"/>
      <c r="AE4" s="378"/>
      <c r="AF4" s="378"/>
      <c r="AG4" s="378"/>
      <c r="AH4" s="378"/>
      <c r="AI4" s="402"/>
      <c r="AJ4" s="378"/>
      <c r="AK4" s="378"/>
      <c r="AL4" s="378"/>
      <c r="AM4" s="378"/>
      <c r="AN4" s="378"/>
      <c r="AO4" s="378"/>
      <c r="AP4" s="378"/>
      <c r="AQ4" s="378"/>
      <c r="AR4" s="378"/>
      <c r="AS4" s="378"/>
      <c r="AT4" s="378"/>
      <c r="AU4" s="378"/>
      <c r="AV4" s="378"/>
      <c r="AW4" s="378"/>
      <c r="AX4" s="378"/>
      <c r="AY4" s="378"/>
      <c r="AZ4" s="378"/>
      <c r="BA4" s="378"/>
      <c r="BB4" s="378"/>
      <c r="BC4" s="378"/>
      <c r="BD4" s="378"/>
      <c r="BE4" s="378"/>
      <c r="BF4" s="378"/>
      <c r="BG4" s="378"/>
      <c r="BH4" s="378"/>
      <c r="BI4" s="378"/>
      <c r="BJ4" s="378"/>
      <c r="BK4" s="378"/>
      <c r="BL4" s="378"/>
      <c r="BM4" s="378"/>
      <c r="BN4" s="378"/>
    </row>
    <row r="5" spans="2:73" ht="15.75" thickBot="1" x14ac:dyDescent="0.3">
      <c r="BE5" s="374"/>
      <c r="BF5" s="374"/>
      <c r="BG5" s="373"/>
    </row>
    <row r="6" spans="2:73" ht="13.5" customHeight="1" thickTop="1" x14ac:dyDescent="0.25">
      <c r="B6" s="1576" t="s">
        <v>141</v>
      </c>
      <c r="C6" s="1577"/>
      <c r="D6" s="1577"/>
      <c r="E6" s="1577"/>
      <c r="F6" s="1577"/>
      <c r="G6" s="1578"/>
      <c r="H6" s="1589" t="s">
        <v>650</v>
      </c>
      <c r="I6" s="1590"/>
      <c r="J6" s="1590"/>
      <c r="K6" s="1590"/>
      <c r="L6" s="1590"/>
      <c r="M6" s="1590"/>
      <c r="N6" s="1591"/>
      <c r="O6" s="1592" t="s">
        <v>142</v>
      </c>
      <c r="P6" s="1593"/>
      <c r="Q6" s="1592" t="s">
        <v>143</v>
      </c>
      <c r="R6" s="1594"/>
      <c r="S6" s="406"/>
      <c r="T6" s="407"/>
      <c r="U6" s="407"/>
      <c r="V6" s="407"/>
      <c r="W6" s="407"/>
      <c r="X6" s="407"/>
      <c r="Y6" s="407"/>
      <c r="Z6" s="407"/>
      <c r="AA6" s="407"/>
      <c r="AB6" s="407"/>
      <c r="AC6" s="407"/>
      <c r="AD6" s="407"/>
      <c r="AE6" s="407"/>
      <c r="AF6" s="407"/>
      <c r="AG6" s="407"/>
      <c r="AH6" s="407"/>
      <c r="AI6" s="492"/>
      <c r="AJ6" s="407"/>
      <c r="AK6" s="407"/>
      <c r="AL6" s="407"/>
      <c r="AM6" s="407"/>
      <c r="AN6" s="407"/>
      <c r="AO6" s="407"/>
      <c r="AP6" s="407"/>
      <c r="AQ6" s="378"/>
      <c r="AR6" s="378"/>
      <c r="AW6" s="374" t="s">
        <v>144</v>
      </c>
      <c r="AX6" s="374" t="s">
        <v>145</v>
      </c>
      <c r="AY6" s="374" t="s">
        <v>146</v>
      </c>
      <c r="AZ6" s="374" t="s">
        <v>147</v>
      </c>
      <c r="BA6" s="374" t="s">
        <v>148</v>
      </c>
      <c r="BB6" s="374" t="s">
        <v>149</v>
      </c>
      <c r="BE6" s="374"/>
      <c r="BF6" s="374"/>
      <c r="BG6" s="373"/>
      <c r="BP6" s="1668" t="s">
        <v>313</v>
      </c>
      <c r="BQ6" s="1668"/>
      <c r="BR6" s="1668"/>
      <c r="BS6" s="1668"/>
      <c r="BT6" s="1668"/>
      <c r="BU6" s="1668"/>
    </row>
    <row r="7" spans="2:73" s="416" customFormat="1" ht="15.75" customHeight="1" x14ac:dyDescent="0.2">
      <c r="B7" s="1579" t="s">
        <v>293</v>
      </c>
      <c r="C7" s="1580"/>
      <c r="D7" s="1580"/>
      <c r="E7" s="1580"/>
      <c r="F7" s="1580"/>
      <c r="G7" s="1581"/>
      <c r="H7" s="1598" t="s">
        <v>316</v>
      </c>
      <c r="I7" s="1599"/>
      <c r="J7" s="1599"/>
      <c r="K7" s="1599"/>
      <c r="L7" s="1599"/>
      <c r="M7" s="1599"/>
      <c r="N7" s="1600"/>
      <c r="O7" s="1713" t="s">
        <v>668</v>
      </c>
      <c r="P7" s="1714"/>
      <c r="Q7" s="1715">
        <v>46143</v>
      </c>
      <c r="R7" s="1716"/>
      <c r="S7" s="498"/>
      <c r="T7" s="496"/>
      <c r="U7" s="496"/>
      <c r="V7" s="496"/>
      <c r="W7" s="496"/>
      <c r="X7" s="496"/>
      <c r="Y7" s="496"/>
      <c r="Z7" s="496"/>
      <c r="AA7" s="496"/>
      <c r="AB7" s="496"/>
      <c r="AC7" s="496"/>
      <c r="AD7" s="496"/>
      <c r="AE7" s="496"/>
      <c r="AF7" s="496"/>
      <c r="AG7" s="496"/>
      <c r="AH7" s="496"/>
      <c r="AI7" s="497"/>
      <c r="AJ7" s="496"/>
      <c r="AK7" s="496"/>
      <c r="AL7" s="496"/>
      <c r="AM7" s="496"/>
      <c r="AN7" s="496"/>
      <c r="AO7" s="496"/>
      <c r="AP7" s="496"/>
      <c r="AQ7" s="487"/>
      <c r="AR7" s="487"/>
      <c r="AS7" s="401"/>
      <c r="AT7" s="495" t="s">
        <v>151</v>
      </c>
      <c r="AU7" s="494" t="b">
        <v>0</v>
      </c>
      <c r="AV7" s="401">
        <v>0</v>
      </c>
      <c r="AW7" s="401" t="b">
        <f>IF(ISERR(OR(AW11:AW42)),"UNK",IF(AND(graded_aca_events&gt;=1,input_test),FALSE,OR(AW11:AW42)))</f>
        <v>0</v>
      </c>
      <c r="AX7" s="401" t="b">
        <f>IF(ISERR(OR(AX11:AX42)),"UNK",IF(AND(graded_aca_events&gt;=1,input_test),FALSE,OR(AX11:AX42)))</f>
        <v>0</v>
      </c>
      <c r="AY7" s="401" t="b">
        <f>IF(ISERR(OR(AY11:AY42)),"UNK",OR(AY11:AY42))</f>
        <v>0</v>
      </c>
      <c r="AZ7" s="401" t="b">
        <f>IF(ISERR(OR(AZ11:AZ42)),"UNK",OR(AZ11:AZ42))</f>
        <v>0</v>
      </c>
      <c r="BA7" s="401" t="b">
        <f>IF(ISERR(OR(BA11:BA42)),"UNK",OR(BA11:BA42))</f>
        <v>0</v>
      </c>
      <c r="BB7" s="401" t="b">
        <f>IF(ISERR(OR(BB11:BB42)),"UNK",OR(BB11:BB42))</f>
        <v>0</v>
      </c>
      <c r="BC7" s="493" t="b">
        <f>OR(BC11:BC42)</f>
        <v>0</v>
      </c>
      <c r="BD7" s="493" t="b">
        <f>OR(BD11:BD42)</f>
        <v>0</v>
      </c>
      <c r="BE7" s="493" t="b">
        <f>OR(BE11:BE42)</f>
        <v>0</v>
      </c>
      <c r="BF7" s="493"/>
      <c r="BG7" s="401"/>
      <c r="BH7" s="1558" t="s">
        <v>152</v>
      </c>
      <c r="BI7" s="1558"/>
      <c r="BJ7" s="1558"/>
      <c r="BK7" s="1558"/>
      <c r="BL7" s="1559" t="s">
        <v>153</v>
      </c>
      <c r="BM7" s="1559"/>
      <c r="BN7" s="1559"/>
      <c r="BO7" s="372"/>
      <c r="BP7" s="1668"/>
      <c r="BQ7" s="1668"/>
      <c r="BR7" s="1668"/>
      <c r="BS7" s="1668"/>
      <c r="BT7" s="1668"/>
      <c r="BU7" s="1668"/>
    </row>
    <row r="8" spans="2:73" s="406" customFormat="1" ht="7.5" customHeight="1" x14ac:dyDescent="0.25">
      <c r="B8" s="1560" t="s">
        <v>154</v>
      </c>
      <c r="C8" s="1561"/>
      <c r="D8" s="1561"/>
      <c r="E8" s="1562"/>
      <c r="F8" s="1563" t="s">
        <v>155</v>
      </c>
      <c r="G8" s="1562"/>
      <c r="H8" s="1563" t="s">
        <v>156</v>
      </c>
      <c r="I8" s="1561"/>
      <c r="J8" s="1561"/>
      <c r="K8" s="1561"/>
      <c r="L8" s="1562"/>
      <c r="M8" s="1564" t="s">
        <v>157</v>
      </c>
      <c r="N8" s="1565"/>
      <c r="O8" s="1595" t="s">
        <v>158</v>
      </c>
      <c r="P8" s="1596"/>
      <c r="Q8" s="1563" t="str">
        <f>IF(AU44=0,"GRADE","GRADE (inc. bonus)")</f>
        <v>GRADE</v>
      </c>
      <c r="R8" s="1597"/>
      <c r="T8" s="407"/>
      <c r="U8" s="407"/>
      <c r="V8" s="407"/>
      <c r="W8" s="407"/>
      <c r="X8" s="407"/>
      <c r="Y8" s="407"/>
      <c r="Z8" s="407"/>
      <c r="AA8" s="407"/>
      <c r="AB8" s="407"/>
      <c r="AC8" s="407"/>
      <c r="AD8" s="407"/>
      <c r="AE8" s="407"/>
      <c r="AF8" s="407"/>
      <c r="AG8" s="407"/>
      <c r="AH8" s="407"/>
      <c r="AI8" s="492"/>
      <c r="AJ8" s="407"/>
      <c r="AK8" s="407"/>
      <c r="AL8" s="407"/>
      <c r="AM8" s="407"/>
      <c r="AN8" s="407"/>
      <c r="AO8" s="407"/>
      <c r="AP8" s="407"/>
      <c r="AQ8" s="407"/>
      <c r="AR8" s="407"/>
      <c r="AS8" s="407"/>
      <c r="AT8" s="407"/>
      <c r="AU8" s="407"/>
      <c r="AV8" s="407"/>
      <c r="AW8" s="407"/>
      <c r="AX8" s="407"/>
      <c r="AY8" s="407"/>
      <c r="AZ8" s="407"/>
      <c r="BA8" s="407"/>
      <c r="BB8" s="407"/>
      <c r="BC8" s="407"/>
      <c r="BD8" s="407"/>
      <c r="BE8" s="407"/>
      <c r="BF8" s="407"/>
      <c r="BG8" s="407"/>
      <c r="BH8" s="1558"/>
      <c r="BI8" s="1558"/>
      <c r="BJ8" s="1558"/>
      <c r="BK8" s="1558"/>
      <c r="BL8" s="1559"/>
      <c r="BM8" s="1559"/>
      <c r="BN8" s="1559"/>
      <c r="BO8" s="491"/>
    </row>
    <row r="9" spans="2:73" s="416" customFormat="1" ht="15.75" customHeight="1" thickBot="1" x14ac:dyDescent="0.25">
      <c r="B9" s="1707" t="s">
        <v>669</v>
      </c>
      <c r="C9" s="1708"/>
      <c r="D9" s="1708"/>
      <c r="E9" s="1709"/>
      <c r="F9" s="1569" t="s">
        <v>270</v>
      </c>
      <c r="G9" s="1570"/>
      <c r="H9" s="1710" t="s">
        <v>670</v>
      </c>
      <c r="I9" s="1711"/>
      <c r="J9" s="1711"/>
      <c r="K9" s="1711"/>
      <c r="L9" s="1712"/>
      <c r="M9" s="1574"/>
      <c r="N9" s="1575"/>
      <c r="O9" s="1585"/>
      <c r="P9" s="1586"/>
      <c r="Q9" s="1587">
        <f>IF((graded_aca_events+graded_amn_events)&lt;1,"---",IF(ISERROR(AR49),"",IF(F44&lt;&gt;"COMPLETE","INCOMPLETE",AR49)))</f>
        <v>0.90900000022979988</v>
      </c>
      <c r="R9" s="1588"/>
      <c r="S9" s="371"/>
      <c r="T9" s="401"/>
      <c r="U9" s="401">
        <v>2</v>
      </c>
      <c r="V9" s="401">
        <v>3</v>
      </c>
      <c r="W9" s="401">
        <v>6</v>
      </c>
      <c r="X9" s="401">
        <v>7</v>
      </c>
      <c r="Y9" s="401">
        <v>11</v>
      </c>
      <c r="Z9" s="401">
        <v>8</v>
      </c>
      <c r="AA9" s="490">
        <v>9</v>
      </c>
      <c r="AB9" s="490">
        <v>10</v>
      </c>
      <c r="AC9" s="490">
        <v>5</v>
      </c>
      <c r="AD9" s="490">
        <v>4</v>
      </c>
      <c r="AE9" s="490">
        <v>12</v>
      </c>
      <c r="AF9" s="490">
        <v>13</v>
      </c>
      <c r="AG9" s="490"/>
      <c r="AH9" s="490"/>
      <c r="AI9" s="489"/>
      <c r="AJ9" s="488"/>
      <c r="AK9" s="488"/>
      <c r="AL9" s="488"/>
      <c r="AM9" s="488" t="b">
        <f>IF(COUNT(AM11:AM42)&gt;0,TRUE,FALSE)</f>
        <v>1</v>
      </c>
      <c r="AN9" s="488" t="b">
        <f>IF(COUNT(AN11:AN42)&gt;0,TRUE,FALSE)</f>
        <v>0</v>
      </c>
      <c r="AO9" s="401"/>
      <c r="AP9" s="401"/>
      <c r="AQ9" s="487"/>
      <c r="AR9" s="487"/>
      <c r="AS9" s="401"/>
      <c r="AT9" s="486">
        <v>0.2</v>
      </c>
      <c r="AU9" s="401"/>
      <c r="AV9" s="485">
        <f>0.01*input_maxb</f>
        <v>0</v>
      </c>
      <c r="AW9" s="483" t="s">
        <v>159</v>
      </c>
      <c r="AX9" s="484"/>
      <c r="AY9" s="483" t="s">
        <v>160</v>
      </c>
      <c r="AZ9" s="484"/>
      <c r="BA9" s="482" t="s">
        <v>161</v>
      </c>
      <c r="BB9" s="482"/>
      <c r="BC9" s="483" t="s">
        <v>162</v>
      </c>
      <c r="BD9" s="482"/>
      <c r="BE9" s="481"/>
      <c r="BF9" s="480"/>
      <c r="BG9" s="401" t="s">
        <v>163</v>
      </c>
      <c r="BH9" s="1558"/>
      <c r="BI9" s="1558"/>
      <c r="BJ9" s="1558"/>
      <c r="BK9" s="1558"/>
      <c r="BL9" s="1559"/>
      <c r="BM9" s="1559"/>
      <c r="BN9" s="1559"/>
      <c r="BO9" s="372"/>
    </row>
    <row r="10" spans="2:73" ht="27" customHeight="1" thickBot="1" x14ac:dyDescent="0.3">
      <c r="B10" s="1582" t="s">
        <v>164</v>
      </c>
      <c r="C10" s="1583"/>
      <c r="D10" s="1583"/>
      <c r="E10" s="1583"/>
      <c r="F10" s="1584"/>
      <c r="G10" s="479" t="s">
        <v>165</v>
      </c>
      <c r="H10" s="478" t="s">
        <v>166</v>
      </c>
      <c r="I10" s="477" t="s">
        <v>167</v>
      </c>
      <c r="J10" s="476" t="s">
        <v>168</v>
      </c>
      <c r="K10" s="475" t="s">
        <v>169</v>
      </c>
      <c r="L10" s="1605" t="s">
        <v>170</v>
      </c>
      <c r="M10" s="1583"/>
      <c r="N10" s="1583"/>
      <c r="O10" s="1583"/>
      <c r="P10" s="1583"/>
      <c r="Q10" s="1583"/>
      <c r="R10" s="1606"/>
      <c r="S10" s="376"/>
      <c r="T10" s="385" t="s">
        <v>171</v>
      </c>
      <c r="U10" s="385"/>
      <c r="V10" s="385" t="s">
        <v>172</v>
      </c>
      <c r="W10" s="385" t="s">
        <v>173</v>
      </c>
      <c r="X10" s="385" t="s">
        <v>174</v>
      </c>
      <c r="Y10" s="385" t="s">
        <v>175</v>
      </c>
      <c r="Z10" s="385" t="s">
        <v>176</v>
      </c>
      <c r="AA10" s="385" t="s">
        <v>177</v>
      </c>
      <c r="AB10" s="385" t="s">
        <v>178</v>
      </c>
      <c r="AC10" s="385" t="s">
        <v>179</v>
      </c>
      <c r="AD10" s="385" t="s">
        <v>180</v>
      </c>
      <c r="AE10" s="385" t="s">
        <v>181</v>
      </c>
      <c r="AF10" s="385" t="s">
        <v>182</v>
      </c>
      <c r="AG10" s="385" t="s">
        <v>183</v>
      </c>
      <c r="AH10" s="385" t="s">
        <v>184</v>
      </c>
      <c r="AI10" s="474" t="s">
        <v>185</v>
      </c>
      <c r="AJ10" s="472" t="s">
        <v>186</v>
      </c>
      <c r="AK10" s="473" t="s">
        <v>187</v>
      </c>
      <c r="AL10" s="473" t="s">
        <v>188</v>
      </c>
      <c r="AM10" s="473" t="s">
        <v>189</v>
      </c>
      <c r="AN10" s="473" t="s">
        <v>190</v>
      </c>
      <c r="AO10" s="472" t="s">
        <v>191</v>
      </c>
      <c r="AP10" s="472" t="s">
        <v>192</v>
      </c>
      <c r="AQ10" s="470" t="s">
        <v>193</v>
      </c>
      <c r="AR10" s="471" t="s">
        <v>1</v>
      </c>
      <c r="AS10" s="470" t="s">
        <v>194</v>
      </c>
      <c r="AT10" s="471" t="s">
        <v>1</v>
      </c>
      <c r="AU10" s="470" t="s">
        <v>195</v>
      </c>
      <c r="AV10" s="469" t="s">
        <v>196</v>
      </c>
      <c r="AW10" s="468" t="s">
        <v>197</v>
      </c>
      <c r="AX10" s="467" t="s">
        <v>198</v>
      </c>
      <c r="AY10" s="468" t="s">
        <v>199</v>
      </c>
      <c r="AZ10" s="467" t="s">
        <v>200</v>
      </c>
      <c r="BA10" s="466" t="s">
        <v>201</v>
      </c>
      <c r="BB10" s="466" t="s">
        <v>202</v>
      </c>
      <c r="BC10" s="465" t="s">
        <v>203</v>
      </c>
      <c r="BD10" s="464" t="s">
        <v>204</v>
      </c>
      <c r="BE10" s="463" t="s">
        <v>205</v>
      </c>
      <c r="BF10" s="462" t="s">
        <v>206</v>
      </c>
      <c r="BG10" s="373"/>
      <c r="BH10" s="373" t="s">
        <v>207</v>
      </c>
      <c r="BI10" s="373" t="s">
        <v>208</v>
      </c>
      <c r="BJ10" s="385" t="s">
        <v>209</v>
      </c>
      <c r="BK10" s="373" t="s">
        <v>210</v>
      </c>
      <c r="BL10" s="373" t="s">
        <v>207</v>
      </c>
      <c r="BM10" s="373" t="s">
        <v>208</v>
      </c>
      <c r="BN10" s="373" t="s">
        <v>210</v>
      </c>
    </row>
    <row r="11" spans="2:73" ht="12.95" customHeight="1" x14ac:dyDescent="0.25">
      <c r="B11" s="461" t="str">
        <f>IF(ISNA(Z11),"",IF(OR(Z11=1,Z11=2),"",1))</f>
        <v/>
      </c>
      <c r="C11" s="1607" t="str">
        <f t="shared" ref="C11:C42" si="0">IF(ISNA(Z11),"",CONCATENATE($U11,IF(ISNUMBER(AI11),TEXT(ROUND($AI11,3)," (0.0%)"),""),IF(AU11&gt;0," Bonus","")))</f>
        <v>Structure &amp; Logic (30.0%)</v>
      </c>
      <c r="D11" s="1607"/>
      <c r="E11" s="1607"/>
      <c r="F11" s="1608"/>
      <c r="G11" s="437" t="str">
        <f t="shared" ref="G11:G42" si="1">BH11</f>
        <v/>
      </c>
      <c r="H11" s="431" t="str">
        <f t="shared" ref="H11:H42" si="2">BJ11</f>
        <v/>
      </c>
      <c r="I11" s="460" t="str">
        <f t="shared" ref="I11:I42" si="3">BK11</f>
        <v/>
      </c>
      <c r="J11" s="459"/>
      <c r="K11" s="458"/>
      <c r="L11" s="1609" t="s">
        <v>685</v>
      </c>
      <c r="M11" s="1610"/>
      <c r="N11" s="1610"/>
      <c r="O11" s="1610"/>
      <c r="P11" s="1610"/>
      <c r="Q11" s="1610"/>
      <c r="R11" s="1611"/>
      <c r="T11" s="374">
        <v>1</v>
      </c>
      <c r="U11" s="374" t="s">
        <v>646</v>
      </c>
      <c r="V11" s="421" t="s">
        <v>212</v>
      </c>
      <c r="W11" s="421" t="s">
        <v>212</v>
      </c>
      <c r="X11" s="421" t="s">
        <v>212</v>
      </c>
      <c r="Y11" s="421" t="s">
        <v>212</v>
      </c>
      <c r="Z11" s="421">
        <v>2</v>
      </c>
      <c r="AA11" s="421">
        <v>1</v>
      </c>
      <c r="AB11" s="421">
        <v>1</v>
      </c>
      <c r="AC11" s="421" t="s">
        <v>212</v>
      </c>
      <c r="AD11" s="421" t="s">
        <v>212</v>
      </c>
      <c r="AE11" s="421" t="s">
        <v>212</v>
      </c>
      <c r="AF11" s="421" t="s">
        <v>212</v>
      </c>
      <c r="AG11" s="421" t="str">
        <f t="shared" ref="AG11:AG42" si="4">IF(CrewSoloQual="Yes",$AC11,$AD11)</f>
        <v/>
      </c>
      <c r="AH11" s="421" t="str">
        <f t="shared" ref="AH11:AH42" si="5">IF(ISNUMBER(AC11),IF(CrewSoloQual="Yes",$AC11-1,$AD11-1),"")</f>
        <v/>
      </c>
      <c r="AI11" s="427">
        <f>IF(NOT(OR(Z11=1,Z11=2)),IF(AQ11&gt;0,$AR$47*AQ11/SUMIF($AQ$11:$AQ$42,"&gt;0"),IF(AU11&gt;0,$AV$47*AU11/SUMIF($AU$11:$AU$42,"&gt;0"),IF(AS11&gt;0,$AT$47*AS11/SUMIF($AS$11:$AS$42,"&gt;0"),""))),IF(SUMIF(AJ12:$AJ$42,"=" &amp; AJ11,AI12:$AI$42)=0,"",SUMIF(AJ12:$AJ$42,"=" &amp; AJ11,AI12:$AI$42)))</f>
        <v>0.29999997965999931</v>
      </c>
      <c r="AJ11" s="426">
        <f>0</f>
        <v>0</v>
      </c>
      <c r="AK11" s="421" t="str">
        <f t="shared" ref="AK11:AK42" si="6">BI11</f>
        <v/>
      </c>
      <c r="AL11" s="421" t="str">
        <f t="shared" ref="AL11:AL42" si="7">IF(ISBLANK(K11),"",K11)</f>
        <v/>
      </c>
      <c r="AM11" s="421" t="str">
        <f t="shared" ref="AM11:AM42" si="8">IF(ISNUMBER(AK11),IF(ISNUMBER(AL11),1,""),"")</f>
        <v/>
      </c>
      <c r="AN11" s="421" t="str">
        <f t="shared" ref="AN11:AN42" si="9">IF(ISNUMBER(AH11),IF(AND(AB11=0,ISNUMBER(AC11),ISNUMBER(AL11)),1,""),"")</f>
        <v/>
      </c>
      <c r="AO11" s="421" t="str">
        <f t="shared" ref="AO11:AO42" si="10">IF(AB11=0,IF(CrewSoloQual="No",BI11,BK11),"")</f>
        <v/>
      </c>
      <c r="AP11" s="421" t="str">
        <f t="shared" ref="AP11:AP42" si="11">IF(ISNA(Z11),"",IF(AND(ISNUMBER(B11),G11&gt;=1,H11&lt;&gt;"NG"),IF(K11&lt;BK11,TRUE,FALSE),IF(AND(G11&gt;=1,J11="NA"),TRUE,IF(AND(AM11=1,G11=0,AL11&lt;BI11),TRUE,""))))</f>
        <v/>
      </c>
      <c r="AQ11" s="425">
        <f t="shared" ref="AQ11:AQ42" si="12">IF(ISNA(Z11),0,IF(OR(J11="NA",W11="",AB11=0),0,W11))</f>
        <v>0</v>
      </c>
      <c r="AR11" s="423" t="str">
        <f t="shared" ref="AR11:AR42" si="13">IF(ISNA(Z11),"",IF(AND(NOT(OR(Z11=1,Z11=2,AK11="NG",AB11=0)),IF(ISNUMBER(AL11),AL11&gt;=0,FALSE)),VLOOKUP((10*AD11+AC11),$AQ$53:$AV$61,2+AL11,FALSE),IF(AND(input_test=TRUE,ISNUMBER(AD11),V11&lt;&gt;0),VLOOKUP((10*AD11+AC11),$AQ$53:$AV$61,2,FALSE),"")))</f>
        <v/>
      </c>
      <c r="AS11" s="424">
        <f t="shared" ref="AS11:AS42" si="14">IF(ISNA(Z11),0,IF(OR(J11="NA",X11="",AB11=1),0,X11))</f>
        <v>0</v>
      </c>
      <c r="AT11" s="423" t="str">
        <f t="shared" ref="AT11:AT42" si="15">IF(ISNA(Z11),"",IF(AND(NOT(OR(Z11=1,Z11=2,AK11="NG",AB11=1)),IF(ISNUMBER(AL11),AL11&gt;=0,FALSE)),VLOOKUP((10*AH11+AG11),$AQ$53:$AV$61,2+AL11,FALSE),IF(AND(input_test=TRUE,ISNUMBER(AD11),V11&lt;&gt;0),VLOOKUP((10*AH11+AG11),$AQ$53:$AV$61,2,FALSE),"")))</f>
        <v/>
      </c>
      <c r="AU11" s="420">
        <f t="shared" ref="AU11:AU42" si="16">IF(ISNA(Z11),0,IF(OR(J11="NA",Y11=""),0,Y11))</f>
        <v>0</v>
      </c>
      <c r="AV11" s="422" t="str">
        <f t="shared" ref="AV11:AV42" si="17">AR11</f>
        <v/>
      </c>
      <c r="AW11" s="420" t="b">
        <f t="shared" ref="AW11:AW42" si="18">IF(ISNA(Z11),FALSE,IF(OR(AB11=1,G11=0,Z11=1,Z11=2),FALSE,IF(OR(J11="NA",J11&gt;=G11),FALSE,TRUE)))</f>
        <v>0</v>
      </c>
      <c r="AX11" s="419" t="b">
        <f t="shared" ref="AX11:AX42" si="19">IF(ISNA(Z11),FALSE,IF(OR(AB11=0,G11=0,Z11=1,Z11=2,J11="NA"),FALSE,IF(AK11="NG",IF(NOT(ISBLANK(K11)),FALSE,TRUE),IF(J11&gt;=G11,FALSE,TRUE))))</f>
        <v>0</v>
      </c>
      <c r="AY11" s="420" t="b">
        <f t="shared" ref="AY11:AY42" si="20">IF(ISNA(Z11),FALSE,IF(OR(AB11=1,G11&lt;1,Z11=1,Z11=2,AE11=0,ISBLANK(K11)),FALSE,IF(OR(J11="NA",K11&gt;=BI11),FALSE,TRUE)))</f>
        <v>0</v>
      </c>
      <c r="AZ11" s="419" t="b">
        <f t="shared" ref="AZ11:AZ42" si="21">IF(ISNA(Z11),FALSE,IF(OR(AB11=0,G11=0,Z11=1,Z11=2,AE11=0,BI11="NG",K11="",ISBLANK(K11)),FALSE,IF(OR(J11="NA",K11&gt;=AK11),FALSE,TRUE)))</f>
        <v>0</v>
      </c>
      <c r="BA11" s="421" t="b">
        <f t="shared" ref="BA11:BA42" si="22">IF(ISNA(Z11),FALSE,IF(OR(AB11=1,G11&lt;1,Z11=1,Z11=2,AE11=0),FALSE,IF(J11="NA",TRUE,FALSE)))</f>
        <v>0</v>
      </c>
      <c r="BB11" s="421" t="b">
        <f t="shared" ref="BB11:BB42" si="23">IF(ISNA(Z11),FALSE,IF(OR(AB11=0,G11=0,Z11=1,Z11=2),FALSE,IF(J11="NA",TRUE,FALSE)))</f>
        <v>0</v>
      </c>
      <c r="BC11" s="420" t="b">
        <f t="shared" ref="BC11:BC42" si="24">IF(OR(ISNA($Z11),ISNUMBER($Z11),NOT(ISNUMBER($J11)),K11="D"),FALSE,IF(AND(NOT(ISNUMBER($K11)),J11&gt;0),TRUE,FALSE))</f>
        <v>0</v>
      </c>
      <c r="BD11" s="393" t="b">
        <f t="shared" ref="BD11:BD42" si="25">IF(OR(ISNA($Z11),ISNUMBER($Z11),NOT(ISNUMBER(K11))),FALSE,OR(NOT(ISNUMBER(J11)),J11=0,AND(J11=0,K11&lt;&gt;0)))</f>
        <v>0</v>
      </c>
      <c r="BE11" s="419" t="b">
        <f t="shared" ref="BE11:BE42" si="26">IF(OR(ISNA($Z11),K11&lt;&gt;"D"),FALSE,IF(OR(AND(H11="NG",J11=0),AND(H11&lt;&gt;"NG",NOT(OR(J11="NA",J11=0)))),TRUE,FALSE))</f>
        <v>0</v>
      </c>
      <c r="BF11" s="418" t="b">
        <f t="shared" ref="BF11:BF42" si="27">IF(OR(ISNA($Z11),H11&lt;&gt;"NG"),FALSE,IF(AND(J11="NA",K11&lt;&gt;""),TRUE,FALSE))</f>
        <v>0</v>
      </c>
      <c r="BG11" s="417" t="b">
        <f t="shared" ref="BG11:BG42" si="28">IF(ISNA($Z11),"NA",IF(OR(AZ11,AY11,AX11,AW11,AP11,BA11,BB11),TRUE,FALSE))</f>
        <v>0</v>
      </c>
      <c r="BH11" s="435" t="str">
        <f t="shared" ref="BH11:BH42" si="29">IF(ISNA($Z11),"",IF(OR($Z11=1,$Z11=2),"",$V11))</f>
        <v/>
      </c>
      <c r="BI11" s="417" t="str">
        <f t="shared" ref="BI11:BI42" si="30">IF(ISNA($Z11),"",IF(OR($Z11=1,$Z11=2,$G11=""),"",IF(AB11=0,AH11,$AD11)))</f>
        <v/>
      </c>
      <c r="BJ11" s="417" t="str">
        <f t="shared" ref="BJ11:BJ42" si="31">IF(ISNA(AE11),"",IF(OR(Z11=1,Z11=2),"",IF(OR(AE11=0,AD11="NG"),TEXT(BI11,"0"),CONCATENATE(TEXT(BI11,"0"),"*"))))</f>
        <v/>
      </c>
      <c r="BK11" s="417" t="str">
        <f t="shared" ref="BK11:BK42" si="32">IF(ISNA($Z11),"",IF(OR($Z11=1,$Z11=2,$G11=""),"",IF(AB11=0,AG11,$AC11)))</f>
        <v/>
      </c>
      <c r="BL11" s="435" t="str">
        <f t="shared" ref="BL11:BL42" si="33">IF(ISBLANK(BH11),"",IF(BH11=0,"",BH11))</f>
        <v/>
      </c>
      <c r="BM11" s="417" t="str">
        <f t="shared" ref="BM11:BM42" si="34">IF($BH11=0,"",IF($BI11="NG","D",$BI11))</f>
        <v/>
      </c>
      <c r="BN11" s="417" t="str">
        <f t="shared" ref="BN11:BN42" si="35">IF(ISNA(U11),"",IF($BH11=0,"",IF($BI11="NG","D",BK11)))</f>
        <v/>
      </c>
      <c r="BO11" s="457" t="s">
        <v>213</v>
      </c>
      <c r="BP11" s="434"/>
    </row>
    <row r="12" spans="2:73" s="416" customFormat="1" ht="12.95" customHeight="1" x14ac:dyDescent="0.25">
      <c r="B12" s="433">
        <f>IF(ISNA(Z12),"",IF(OR(Z12=1,Z12=2),"    ",MAX($B$11:B11)+1))</f>
        <v>1</v>
      </c>
      <c r="C12" s="1618" t="str">
        <f t="shared" si="0"/>
        <v xml:space="preserve">      - Executive Summary (8.0%)</v>
      </c>
      <c r="D12" s="1618"/>
      <c r="E12" s="1618"/>
      <c r="F12" s="1619"/>
      <c r="G12" s="437">
        <f t="shared" si="1"/>
        <v>1</v>
      </c>
      <c r="H12" s="431" t="str">
        <f t="shared" si="2"/>
        <v>2*</v>
      </c>
      <c r="I12" s="436">
        <f t="shared" si="3"/>
        <v>3</v>
      </c>
      <c r="J12" s="456">
        <v>1</v>
      </c>
      <c r="K12" s="448">
        <v>3</v>
      </c>
      <c r="L12" s="1612"/>
      <c r="M12" s="1613"/>
      <c r="N12" s="1613"/>
      <c r="O12" s="1613"/>
      <c r="P12" s="1613"/>
      <c r="Q12" s="1613"/>
      <c r="R12" s="1614"/>
      <c r="T12" s="401">
        <v>2</v>
      </c>
      <c r="U12" s="374" t="s">
        <v>290</v>
      </c>
      <c r="V12" s="421">
        <v>1</v>
      </c>
      <c r="W12" s="421">
        <v>2.6666660000000002</v>
      </c>
      <c r="X12" s="421" t="s">
        <v>212</v>
      </c>
      <c r="Y12" s="421" t="s">
        <v>212</v>
      </c>
      <c r="Z12" s="393" t="s">
        <v>212</v>
      </c>
      <c r="AA12" s="393">
        <v>2</v>
      </c>
      <c r="AB12" s="393">
        <v>1</v>
      </c>
      <c r="AC12" s="421">
        <v>3</v>
      </c>
      <c r="AD12" s="421">
        <v>2</v>
      </c>
      <c r="AE12" s="421">
        <v>1</v>
      </c>
      <c r="AF12" s="421" t="b">
        <v>1</v>
      </c>
      <c r="AG12" s="421">
        <f t="shared" si="4"/>
        <v>2</v>
      </c>
      <c r="AH12" s="421">
        <f t="shared" si="5"/>
        <v>1</v>
      </c>
      <c r="AI12" s="427">
        <f>IF(NOT(OR(Z12=1,Z12=2)),IF(AQ12&gt;0,$AR$47*AQ12/SUMIF($AQ$11:$AQ$42,"&gt;0"),IF(AU12&gt;0,$AV$47*AU12/SUMIF($AU$11:$AU$42,"&gt;0"),IF(AS12&gt;0,$AT$47*AS12/SUMIF($AS$11:$AS$42,"&gt;0"),""))),IF(SUMIF(AJ13:$AJ$42,"=" &amp; AJ12,AI13:$AI$42)=0,"",SUMIF(AJ13:$AJ$42,"=" &amp; AJ12,AI13:$AI$42)))</f>
        <v>7.9999982575999426E-2</v>
      </c>
      <c r="AJ12" s="426">
        <f t="shared" ref="AJ12:AJ42" si="36">IF(OR(Z12=1,Z12=2,AA12&lt;AA11),AJ11+1,AJ11)</f>
        <v>0</v>
      </c>
      <c r="AK12" s="421">
        <f t="shared" si="6"/>
        <v>2</v>
      </c>
      <c r="AL12" s="393">
        <f t="shared" si="7"/>
        <v>3</v>
      </c>
      <c r="AM12" s="393">
        <f t="shared" si="8"/>
        <v>1</v>
      </c>
      <c r="AN12" s="393" t="str">
        <f t="shared" si="9"/>
        <v/>
      </c>
      <c r="AO12" s="393" t="str">
        <f t="shared" si="10"/>
        <v/>
      </c>
      <c r="AP12" s="421" t="b">
        <f t="shared" si="11"/>
        <v>0</v>
      </c>
      <c r="AQ12" s="425">
        <f t="shared" si="12"/>
        <v>2.6666660000000002</v>
      </c>
      <c r="AR12" s="423">
        <f t="shared" si="13"/>
        <v>0.9</v>
      </c>
      <c r="AS12" s="424">
        <f t="shared" si="14"/>
        <v>0</v>
      </c>
      <c r="AT12" s="423" t="str">
        <f t="shared" si="15"/>
        <v/>
      </c>
      <c r="AU12" s="420">
        <f t="shared" si="16"/>
        <v>0</v>
      </c>
      <c r="AV12" s="422">
        <f t="shared" si="17"/>
        <v>0.9</v>
      </c>
      <c r="AW12" s="420" t="b">
        <f t="shared" si="18"/>
        <v>0</v>
      </c>
      <c r="AX12" s="419" t="b">
        <f t="shared" si="19"/>
        <v>0</v>
      </c>
      <c r="AY12" s="420" t="b">
        <f t="shared" si="20"/>
        <v>0</v>
      </c>
      <c r="AZ12" s="419" t="b">
        <f t="shared" si="21"/>
        <v>0</v>
      </c>
      <c r="BA12" s="421" t="b">
        <f t="shared" si="22"/>
        <v>0</v>
      </c>
      <c r="BB12" s="421" t="b">
        <f t="shared" si="23"/>
        <v>0</v>
      </c>
      <c r="BC12" s="420" t="b">
        <f t="shared" si="24"/>
        <v>0</v>
      </c>
      <c r="BD12" s="393" t="b">
        <f t="shared" si="25"/>
        <v>0</v>
      </c>
      <c r="BE12" s="419" t="b">
        <f t="shared" si="26"/>
        <v>0</v>
      </c>
      <c r="BF12" s="418" t="b">
        <f t="shared" si="27"/>
        <v>0</v>
      </c>
      <c r="BG12" s="417" t="b">
        <f t="shared" si="28"/>
        <v>0</v>
      </c>
      <c r="BH12" s="417">
        <f t="shared" si="29"/>
        <v>1</v>
      </c>
      <c r="BI12" s="417">
        <f t="shared" si="30"/>
        <v>2</v>
      </c>
      <c r="BJ12" s="417" t="str">
        <f t="shared" si="31"/>
        <v>2*</v>
      </c>
      <c r="BK12" s="417">
        <f t="shared" si="32"/>
        <v>3</v>
      </c>
      <c r="BL12" s="435">
        <f t="shared" si="33"/>
        <v>1</v>
      </c>
      <c r="BM12" s="417">
        <f t="shared" si="34"/>
        <v>2</v>
      </c>
      <c r="BN12" s="417">
        <f t="shared" si="35"/>
        <v>3</v>
      </c>
      <c r="BO12" s="439" t="s">
        <v>214</v>
      </c>
      <c r="BP12" s="455" t="s">
        <v>139</v>
      </c>
    </row>
    <row r="13" spans="2:73" s="416" customFormat="1" ht="12.95" customHeight="1" x14ac:dyDescent="0.25">
      <c r="B13" s="433">
        <f>IF(ISNA(Z13),"",IF(OR(Z13=1,Z13=2),"    ",MAX($B$11:B12)+1))</f>
        <v>2</v>
      </c>
      <c r="C13" s="1618" t="str">
        <f t="shared" si="0"/>
        <v xml:space="preserve">      - Report Org. &amp; Structure (10.0%)</v>
      </c>
      <c r="D13" s="1618"/>
      <c r="E13" s="1618"/>
      <c r="F13" s="1619"/>
      <c r="G13" s="437">
        <f t="shared" si="1"/>
        <v>1</v>
      </c>
      <c r="H13" s="431" t="str">
        <f t="shared" si="2"/>
        <v>2*</v>
      </c>
      <c r="I13" s="436">
        <f t="shared" si="3"/>
        <v>3</v>
      </c>
      <c r="J13" s="449">
        <v>1</v>
      </c>
      <c r="K13" s="448">
        <v>3</v>
      </c>
      <c r="L13" s="1612"/>
      <c r="M13" s="1613"/>
      <c r="N13" s="1613"/>
      <c r="O13" s="1613"/>
      <c r="P13" s="1613"/>
      <c r="Q13" s="1613"/>
      <c r="R13" s="1614"/>
      <c r="T13" s="401">
        <v>3</v>
      </c>
      <c r="U13" s="374" t="s">
        <v>645</v>
      </c>
      <c r="V13" s="421">
        <v>1</v>
      </c>
      <c r="W13" s="421">
        <v>3.3333330000000001</v>
      </c>
      <c r="X13" s="421" t="s">
        <v>212</v>
      </c>
      <c r="Y13" s="421" t="s">
        <v>212</v>
      </c>
      <c r="Z13" s="393" t="s">
        <v>212</v>
      </c>
      <c r="AA13" s="393">
        <v>2</v>
      </c>
      <c r="AB13" s="393">
        <v>1</v>
      </c>
      <c r="AC13" s="421">
        <v>3</v>
      </c>
      <c r="AD13" s="421">
        <v>2</v>
      </c>
      <c r="AE13" s="421">
        <v>1</v>
      </c>
      <c r="AF13" s="421" t="b">
        <v>1</v>
      </c>
      <c r="AG13" s="421">
        <f t="shared" si="4"/>
        <v>2</v>
      </c>
      <c r="AH13" s="421">
        <f t="shared" si="5"/>
        <v>1</v>
      </c>
      <c r="AI13" s="427">
        <f>IF(NOT(OR(Z13=1,Z13=2)),IF(AQ13&gt;0,$AR$47*AQ13/SUMIF($AQ$11:$AQ$42,"&gt;0"),IF(AU13&gt;0,$AV$47*AU13/SUMIF($AU$11:$AU$42,"&gt;0"),IF(AS13&gt;0,$AT$47*AS13/SUMIF($AS$11:$AS$42,"&gt;0"),""))),IF(SUMIF(AJ14:$AJ$42,"=" &amp; AJ13,AI14:$AI$42)=0,"",SUMIF(AJ14:$AJ$42,"=" &amp; AJ13,AI14:$AI$42)))</f>
        <v>9.9999993219999764E-2</v>
      </c>
      <c r="AJ13" s="426">
        <f t="shared" si="36"/>
        <v>0</v>
      </c>
      <c r="AK13" s="421">
        <f t="shared" si="6"/>
        <v>2</v>
      </c>
      <c r="AL13" s="393">
        <f t="shared" si="7"/>
        <v>3</v>
      </c>
      <c r="AM13" s="393">
        <f t="shared" si="8"/>
        <v>1</v>
      </c>
      <c r="AN13" s="393" t="str">
        <f t="shared" si="9"/>
        <v/>
      </c>
      <c r="AO13" s="393" t="str">
        <f t="shared" si="10"/>
        <v/>
      </c>
      <c r="AP13" s="421" t="b">
        <f t="shared" si="11"/>
        <v>0</v>
      </c>
      <c r="AQ13" s="425">
        <f t="shared" si="12"/>
        <v>3.3333330000000001</v>
      </c>
      <c r="AR13" s="423">
        <f t="shared" si="13"/>
        <v>0.9</v>
      </c>
      <c r="AS13" s="424">
        <f t="shared" si="14"/>
        <v>0</v>
      </c>
      <c r="AT13" s="423" t="str">
        <f t="shared" si="15"/>
        <v/>
      </c>
      <c r="AU13" s="420">
        <f t="shared" si="16"/>
        <v>0</v>
      </c>
      <c r="AV13" s="422">
        <f t="shared" si="17"/>
        <v>0.9</v>
      </c>
      <c r="AW13" s="420" t="b">
        <f t="shared" si="18"/>
        <v>0</v>
      </c>
      <c r="AX13" s="419" t="b">
        <f t="shared" si="19"/>
        <v>0</v>
      </c>
      <c r="AY13" s="420" t="b">
        <f t="shared" si="20"/>
        <v>0</v>
      </c>
      <c r="AZ13" s="419" t="b">
        <f t="shared" si="21"/>
        <v>0</v>
      </c>
      <c r="BA13" s="421" t="b">
        <f t="shared" si="22"/>
        <v>0</v>
      </c>
      <c r="BB13" s="421" t="b">
        <f t="shared" si="23"/>
        <v>0</v>
      </c>
      <c r="BC13" s="420" t="b">
        <f t="shared" si="24"/>
        <v>0</v>
      </c>
      <c r="BD13" s="393" t="b">
        <f t="shared" si="25"/>
        <v>0</v>
      </c>
      <c r="BE13" s="419" t="b">
        <f t="shared" si="26"/>
        <v>0</v>
      </c>
      <c r="BF13" s="418" t="b">
        <f t="shared" si="27"/>
        <v>0</v>
      </c>
      <c r="BG13" s="417" t="b">
        <f t="shared" si="28"/>
        <v>0</v>
      </c>
      <c r="BH13" s="417">
        <f t="shared" si="29"/>
        <v>1</v>
      </c>
      <c r="BI13" s="417">
        <f t="shared" si="30"/>
        <v>2</v>
      </c>
      <c r="BJ13" s="417" t="str">
        <f t="shared" si="31"/>
        <v>2*</v>
      </c>
      <c r="BK13" s="417">
        <f t="shared" si="32"/>
        <v>3</v>
      </c>
      <c r="BL13" s="435">
        <f t="shared" si="33"/>
        <v>1</v>
      </c>
      <c r="BM13" s="417">
        <f t="shared" si="34"/>
        <v>2</v>
      </c>
      <c r="BN13" s="417">
        <f t="shared" si="35"/>
        <v>3</v>
      </c>
      <c r="BO13" s="439">
        <v>0</v>
      </c>
      <c r="BP13" s="455" t="s">
        <v>287</v>
      </c>
    </row>
    <row r="14" spans="2:73" s="416" customFormat="1" ht="12.95" customHeight="1" x14ac:dyDescent="0.25">
      <c r="B14" s="433">
        <f>IF(ISNA(Z14),"",IF(OR(Z14=1,Z14=2),"    ",MAX($B$11:B13)+1))</f>
        <v>3</v>
      </c>
      <c r="C14" s="1618" t="str">
        <f t="shared" si="0"/>
        <v xml:space="preserve">      - Logical Chain of Reasoning (12.0%)</v>
      </c>
      <c r="D14" s="1618"/>
      <c r="E14" s="1618"/>
      <c r="F14" s="1619"/>
      <c r="G14" s="437">
        <f t="shared" si="1"/>
        <v>1</v>
      </c>
      <c r="H14" s="431" t="str">
        <f t="shared" si="2"/>
        <v>2*</v>
      </c>
      <c r="I14" s="436">
        <f t="shared" si="3"/>
        <v>3</v>
      </c>
      <c r="J14" s="449">
        <v>1</v>
      </c>
      <c r="K14" s="448">
        <v>3</v>
      </c>
      <c r="L14" s="1612"/>
      <c r="M14" s="1613"/>
      <c r="N14" s="1613"/>
      <c r="O14" s="1613"/>
      <c r="P14" s="1613"/>
      <c r="Q14" s="1613"/>
      <c r="R14" s="1614"/>
      <c r="T14" s="401">
        <v>4</v>
      </c>
      <c r="U14" s="374" t="s">
        <v>644</v>
      </c>
      <c r="V14" s="421">
        <v>1</v>
      </c>
      <c r="W14" s="421">
        <v>4</v>
      </c>
      <c r="X14" s="421" t="s">
        <v>212</v>
      </c>
      <c r="Y14" s="421" t="s">
        <v>212</v>
      </c>
      <c r="Z14" s="393" t="s">
        <v>212</v>
      </c>
      <c r="AA14" s="393">
        <v>2</v>
      </c>
      <c r="AB14" s="393">
        <v>1</v>
      </c>
      <c r="AC14" s="421">
        <v>3</v>
      </c>
      <c r="AD14" s="421">
        <v>2</v>
      </c>
      <c r="AE14" s="421">
        <v>1</v>
      </c>
      <c r="AF14" s="421" t="b">
        <v>1</v>
      </c>
      <c r="AG14" s="421">
        <f t="shared" si="4"/>
        <v>2</v>
      </c>
      <c r="AH14" s="421">
        <f t="shared" si="5"/>
        <v>1</v>
      </c>
      <c r="AI14" s="427">
        <f>IF(NOT(OR(Z14=1,Z14=2)),IF(AQ14&gt;0,$AR$47*AQ14/SUMIF($AQ$11:$AQ$42,"&gt;0"),IF(AU14&gt;0,$AV$47*AU14/SUMIF($AU$11:$AU$42,"&gt;0"),IF(AS14&gt;0,$AT$47*AS14/SUMIF($AS$11:$AS$42,"&gt;0"),""))),IF(SUMIF(AJ15:$AJ$42,"=" &amp; AJ14,AI15:$AI$42)=0,"",SUMIF(AJ15:$AJ$42,"=" &amp; AJ14,AI15:$AI$42)))</f>
        <v>0.1200000038640001</v>
      </c>
      <c r="AJ14" s="426">
        <f t="shared" si="36"/>
        <v>0</v>
      </c>
      <c r="AK14" s="421">
        <f t="shared" si="6"/>
        <v>2</v>
      </c>
      <c r="AL14" s="393">
        <f t="shared" si="7"/>
        <v>3</v>
      </c>
      <c r="AM14" s="393">
        <f t="shared" si="8"/>
        <v>1</v>
      </c>
      <c r="AN14" s="393" t="str">
        <f t="shared" si="9"/>
        <v/>
      </c>
      <c r="AO14" s="393" t="str">
        <f t="shared" si="10"/>
        <v/>
      </c>
      <c r="AP14" s="421" t="b">
        <f t="shared" si="11"/>
        <v>0</v>
      </c>
      <c r="AQ14" s="425">
        <f t="shared" si="12"/>
        <v>4</v>
      </c>
      <c r="AR14" s="423">
        <f t="shared" si="13"/>
        <v>0.9</v>
      </c>
      <c r="AS14" s="424">
        <f t="shared" si="14"/>
        <v>0</v>
      </c>
      <c r="AT14" s="423" t="str">
        <f t="shared" si="15"/>
        <v/>
      </c>
      <c r="AU14" s="420">
        <f t="shared" si="16"/>
        <v>0</v>
      </c>
      <c r="AV14" s="422">
        <f t="shared" si="17"/>
        <v>0.9</v>
      </c>
      <c r="AW14" s="420" t="b">
        <f t="shared" si="18"/>
        <v>0</v>
      </c>
      <c r="AX14" s="419" t="b">
        <f t="shared" si="19"/>
        <v>0</v>
      </c>
      <c r="AY14" s="420" t="b">
        <f t="shared" si="20"/>
        <v>0</v>
      </c>
      <c r="AZ14" s="419" t="b">
        <f t="shared" si="21"/>
        <v>0</v>
      </c>
      <c r="BA14" s="421" t="b">
        <f t="shared" si="22"/>
        <v>0</v>
      </c>
      <c r="BB14" s="421" t="b">
        <f t="shared" si="23"/>
        <v>0</v>
      </c>
      <c r="BC14" s="420" t="b">
        <f t="shared" si="24"/>
        <v>0</v>
      </c>
      <c r="BD14" s="393" t="b">
        <f t="shared" si="25"/>
        <v>0</v>
      </c>
      <c r="BE14" s="419" t="b">
        <f t="shared" si="26"/>
        <v>0</v>
      </c>
      <c r="BF14" s="418" t="b">
        <f t="shared" si="27"/>
        <v>0</v>
      </c>
      <c r="BG14" s="417" t="b">
        <f t="shared" si="28"/>
        <v>0</v>
      </c>
      <c r="BH14" s="417">
        <f t="shared" si="29"/>
        <v>1</v>
      </c>
      <c r="BI14" s="417">
        <f t="shared" si="30"/>
        <v>2</v>
      </c>
      <c r="BJ14" s="417" t="str">
        <f t="shared" si="31"/>
        <v>2*</v>
      </c>
      <c r="BK14" s="417">
        <f t="shared" si="32"/>
        <v>3</v>
      </c>
      <c r="BL14" s="435">
        <f t="shared" si="33"/>
        <v>1</v>
      </c>
      <c r="BM14" s="417">
        <f t="shared" si="34"/>
        <v>2</v>
      </c>
      <c r="BN14" s="417">
        <f t="shared" si="35"/>
        <v>3</v>
      </c>
      <c r="BO14" s="439">
        <v>1</v>
      </c>
      <c r="BP14" s="455" t="s">
        <v>288</v>
      </c>
    </row>
    <row r="15" spans="2:73" s="416" customFormat="1" ht="12.95" customHeight="1" x14ac:dyDescent="0.25">
      <c r="B15" s="433" t="str">
        <f>IF(ISNA(Z15),"",IF(OR(Z15=1,Z15=2),"    ",MAX($B$11:B14)+1))</f>
        <v xml:space="preserve">    </v>
      </c>
      <c r="C15" s="1618" t="str">
        <f t="shared" si="0"/>
        <v>Test and Evaluation  (40.0%)</v>
      </c>
      <c r="D15" s="1618"/>
      <c r="E15" s="1618"/>
      <c r="F15" s="1619"/>
      <c r="G15" s="437" t="str">
        <f t="shared" si="1"/>
        <v/>
      </c>
      <c r="H15" s="431" t="str">
        <f t="shared" si="2"/>
        <v/>
      </c>
      <c r="I15" s="436" t="str">
        <f t="shared" si="3"/>
        <v/>
      </c>
      <c r="J15" s="429"/>
      <c r="K15" s="428"/>
      <c r="L15" s="1612"/>
      <c r="M15" s="1613"/>
      <c r="N15" s="1613"/>
      <c r="O15" s="1613"/>
      <c r="P15" s="1613"/>
      <c r="Q15" s="1613"/>
      <c r="R15" s="1614"/>
      <c r="T15" s="401">
        <v>5</v>
      </c>
      <c r="U15" s="374" t="s">
        <v>643</v>
      </c>
      <c r="V15" s="421" t="s">
        <v>212</v>
      </c>
      <c r="W15" s="421" t="s">
        <v>212</v>
      </c>
      <c r="X15" s="421" t="s">
        <v>212</v>
      </c>
      <c r="Y15" s="421" t="s">
        <v>212</v>
      </c>
      <c r="Z15" s="393">
        <v>2</v>
      </c>
      <c r="AA15" s="393">
        <v>1</v>
      </c>
      <c r="AB15" s="393">
        <v>1</v>
      </c>
      <c r="AC15" s="421" t="s">
        <v>212</v>
      </c>
      <c r="AD15" s="421" t="s">
        <v>212</v>
      </c>
      <c r="AE15" s="421" t="s">
        <v>212</v>
      </c>
      <c r="AF15" s="421" t="s">
        <v>212</v>
      </c>
      <c r="AG15" s="421" t="str">
        <f t="shared" si="4"/>
        <v/>
      </c>
      <c r="AH15" s="421" t="str">
        <f t="shared" si="5"/>
        <v/>
      </c>
      <c r="AI15" s="427">
        <f>IF(NOT(OR(Z15=1,Z15=2)),IF(AQ15&gt;0,$AR$47*AQ15/SUMIF($AQ$11:$AQ$42,"&gt;0"),IF(AU15&gt;0,$AV$47*AU15/SUMIF($AU$11:$AU$42,"&gt;0"),IF(AS15&gt;0,$AT$47*AS15/SUMIF($AS$11:$AS$42,"&gt;0"),""))),IF(SUMIF(AJ16:$AJ$42,"=" &amp; AJ15,AI16:$AI$42)=0,"",SUMIF(AJ16:$AJ$42,"=" &amp; AJ15,AI16:$AI$42)))</f>
        <v>0.40000001188000028</v>
      </c>
      <c r="AJ15" s="426">
        <f t="shared" si="36"/>
        <v>1</v>
      </c>
      <c r="AK15" s="421" t="str">
        <f t="shared" si="6"/>
        <v/>
      </c>
      <c r="AL15" s="393" t="str">
        <f t="shared" si="7"/>
        <v/>
      </c>
      <c r="AM15" s="393" t="str">
        <f t="shared" si="8"/>
        <v/>
      </c>
      <c r="AN15" s="393" t="str">
        <f t="shared" si="9"/>
        <v/>
      </c>
      <c r="AO15" s="393" t="str">
        <f t="shared" si="10"/>
        <v/>
      </c>
      <c r="AP15" s="421" t="str">
        <f t="shared" si="11"/>
        <v/>
      </c>
      <c r="AQ15" s="425">
        <f t="shared" si="12"/>
        <v>0</v>
      </c>
      <c r="AR15" s="423" t="str">
        <f t="shared" si="13"/>
        <v/>
      </c>
      <c r="AS15" s="424">
        <f t="shared" si="14"/>
        <v>0</v>
      </c>
      <c r="AT15" s="423" t="str">
        <f t="shared" si="15"/>
        <v/>
      </c>
      <c r="AU15" s="420">
        <f t="shared" si="16"/>
        <v>0</v>
      </c>
      <c r="AV15" s="422" t="str">
        <f t="shared" si="17"/>
        <v/>
      </c>
      <c r="AW15" s="420" t="b">
        <f t="shared" si="18"/>
        <v>0</v>
      </c>
      <c r="AX15" s="419" t="b">
        <f t="shared" si="19"/>
        <v>0</v>
      </c>
      <c r="AY15" s="420" t="b">
        <f t="shared" si="20"/>
        <v>0</v>
      </c>
      <c r="AZ15" s="419" t="b">
        <f t="shared" si="21"/>
        <v>0</v>
      </c>
      <c r="BA15" s="421" t="b">
        <f t="shared" si="22"/>
        <v>0</v>
      </c>
      <c r="BB15" s="421" t="b">
        <f t="shared" si="23"/>
        <v>0</v>
      </c>
      <c r="BC15" s="420" t="b">
        <f t="shared" si="24"/>
        <v>0</v>
      </c>
      <c r="BD15" s="393" t="b">
        <f t="shared" si="25"/>
        <v>0</v>
      </c>
      <c r="BE15" s="419" t="b">
        <f t="shared" si="26"/>
        <v>0</v>
      </c>
      <c r="BF15" s="418" t="b">
        <f t="shared" si="27"/>
        <v>0</v>
      </c>
      <c r="BG15" s="417" t="b">
        <f t="shared" si="28"/>
        <v>0</v>
      </c>
      <c r="BH15" s="417" t="str">
        <f t="shared" si="29"/>
        <v/>
      </c>
      <c r="BI15" s="417" t="str">
        <f t="shared" si="30"/>
        <v/>
      </c>
      <c r="BJ15" s="417" t="str">
        <f t="shared" si="31"/>
        <v/>
      </c>
      <c r="BK15" s="417" t="str">
        <f t="shared" si="32"/>
        <v/>
      </c>
      <c r="BL15" s="435" t="str">
        <f t="shared" si="33"/>
        <v/>
      </c>
      <c r="BM15" s="417" t="str">
        <f t="shared" si="34"/>
        <v/>
      </c>
      <c r="BN15" s="417" t="str">
        <f t="shared" si="35"/>
        <v/>
      </c>
      <c r="BO15" s="439">
        <v>2</v>
      </c>
      <c r="BP15" s="455" t="s">
        <v>218</v>
      </c>
    </row>
    <row r="16" spans="2:73" s="416" customFormat="1" ht="12.95" customHeight="1" x14ac:dyDescent="0.25">
      <c r="B16" s="433">
        <f>IF(ISNA(Z16),"",IF(OR(Z16=1,Z16=2),"    ",MAX($B$11:B15)+1))</f>
        <v>4</v>
      </c>
      <c r="C16" s="1618" t="str">
        <f t="shared" si="0"/>
        <v xml:space="preserve">      - Test Methods and Conditions (6.0%)</v>
      </c>
      <c r="D16" s="1618"/>
      <c r="E16" s="1618"/>
      <c r="F16" s="1619"/>
      <c r="G16" s="437">
        <f t="shared" si="1"/>
        <v>1</v>
      </c>
      <c r="H16" s="431" t="str">
        <f t="shared" si="2"/>
        <v>2*</v>
      </c>
      <c r="I16" s="436">
        <f t="shared" si="3"/>
        <v>3</v>
      </c>
      <c r="J16" s="449">
        <v>1</v>
      </c>
      <c r="K16" s="448">
        <v>3</v>
      </c>
      <c r="L16" s="1612"/>
      <c r="M16" s="1613"/>
      <c r="N16" s="1613"/>
      <c r="O16" s="1613"/>
      <c r="P16" s="1613"/>
      <c r="Q16" s="1613"/>
      <c r="R16" s="1614"/>
      <c r="T16" s="401">
        <v>6</v>
      </c>
      <c r="U16" s="374" t="s">
        <v>642</v>
      </c>
      <c r="V16" s="421">
        <v>1</v>
      </c>
      <c r="W16" s="421">
        <v>2</v>
      </c>
      <c r="X16" s="421" t="s">
        <v>212</v>
      </c>
      <c r="Y16" s="421" t="s">
        <v>212</v>
      </c>
      <c r="Z16" s="393" t="s">
        <v>212</v>
      </c>
      <c r="AA16" s="393">
        <v>2</v>
      </c>
      <c r="AB16" s="393">
        <v>1</v>
      </c>
      <c r="AC16" s="421">
        <v>3</v>
      </c>
      <c r="AD16" s="421">
        <v>2</v>
      </c>
      <c r="AE16" s="421">
        <v>1</v>
      </c>
      <c r="AF16" s="421" t="b">
        <v>1</v>
      </c>
      <c r="AG16" s="421">
        <f t="shared" si="4"/>
        <v>2</v>
      </c>
      <c r="AH16" s="421">
        <f t="shared" si="5"/>
        <v>1</v>
      </c>
      <c r="AI16" s="427">
        <f>IF(NOT(OR(Z16=1,Z16=2)),IF(AQ16&gt;0,$AR$47*AQ16/SUMIF($AQ$11:$AQ$42,"&gt;0"),IF(AU16&gt;0,$AV$47*AU16/SUMIF($AU$11:$AU$42,"&gt;0"),IF(AS16&gt;0,$AT$47*AS16/SUMIF($AS$11:$AS$42,"&gt;0"),""))),IF(SUMIF(AJ17:$AJ$42,"=" &amp; AJ16,AI17:$AI$42)=0,"",SUMIF(AJ17:$AJ$42,"=" &amp; AJ16,AI17:$AI$42)))</f>
        <v>6.0000001932000051E-2</v>
      </c>
      <c r="AJ16" s="426">
        <f t="shared" si="36"/>
        <v>1</v>
      </c>
      <c r="AK16" s="421">
        <f t="shared" si="6"/>
        <v>2</v>
      </c>
      <c r="AL16" s="393">
        <f t="shared" si="7"/>
        <v>3</v>
      </c>
      <c r="AM16" s="393">
        <f t="shared" si="8"/>
        <v>1</v>
      </c>
      <c r="AN16" s="393" t="str">
        <f t="shared" si="9"/>
        <v/>
      </c>
      <c r="AO16" s="393" t="str">
        <f t="shared" si="10"/>
        <v/>
      </c>
      <c r="AP16" s="421" t="b">
        <f t="shared" si="11"/>
        <v>0</v>
      </c>
      <c r="AQ16" s="425">
        <f t="shared" si="12"/>
        <v>2</v>
      </c>
      <c r="AR16" s="423">
        <f t="shared" si="13"/>
        <v>0.9</v>
      </c>
      <c r="AS16" s="424">
        <f t="shared" si="14"/>
        <v>0</v>
      </c>
      <c r="AT16" s="423" t="str">
        <f t="shared" si="15"/>
        <v/>
      </c>
      <c r="AU16" s="420">
        <f t="shared" si="16"/>
        <v>0</v>
      </c>
      <c r="AV16" s="422">
        <f t="shared" si="17"/>
        <v>0.9</v>
      </c>
      <c r="AW16" s="420" t="b">
        <f t="shared" si="18"/>
        <v>0</v>
      </c>
      <c r="AX16" s="419" t="b">
        <f t="shared" si="19"/>
        <v>0</v>
      </c>
      <c r="AY16" s="420" t="b">
        <f t="shared" si="20"/>
        <v>0</v>
      </c>
      <c r="AZ16" s="419" t="b">
        <f t="shared" si="21"/>
        <v>0</v>
      </c>
      <c r="BA16" s="421" t="b">
        <f t="shared" si="22"/>
        <v>0</v>
      </c>
      <c r="BB16" s="421" t="b">
        <f t="shared" si="23"/>
        <v>0</v>
      </c>
      <c r="BC16" s="420" t="b">
        <f t="shared" si="24"/>
        <v>0</v>
      </c>
      <c r="BD16" s="393" t="b">
        <f t="shared" si="25"/>
        <v>0</v>
      </c>
      <c r="BE16" s="419" t="b">
        <f t="shared" si="26"/>
        <v>0</v>
      </c>
      <c r="BF16" s="418" t="b">
        <f t="shared" si="27"/>
        <v>0</v>
      </c>
      <c r="BG16" s="417" t="b">
        <f t="shared" si="28"/>
        <v>0</v>
      </c>
      <c r="BH16" s="417">
        <f t="shared" si="29"/>
        <v>1</v>
      </c>
      <c r="BI16" s="417">
        <f t="shared" si="30"/>
        <v>2</v>
      </c>
      <c r="BJ16" s="417" t="str">
        <f t="shared" si="31"/>
        <v>2*</v>
      </c>
      <c r="BK16" s="417">
        <f t="shared" si="32"/>
        <v>3</v>
      </c>
      <c r="BL16" s="435">
        <f t="shared" si="33"/>
        <v>1</v>
      </c>
      <c r="BM16" s="417">
        <f t="shared" si="34"/>
        <v>2</v>
      </c>
      <c r="BN16" s="417">
        <f t="shared" si="35"/>
        <v>3</v>
      </c>
      <c r="BO16" s="439">
        <v>3</v>
      </c>
      <c r="BP16" s="455" t="s">
        <v>220</v>
      </c>
    </row>
    <row r="17" spans="2:75" s="416" customFormat="1" ht="12.95" customHeight="1" x14ac:dyDescent="0.25">
      <c r="B17" s="433">
        <f>IF(ISNA(Z17),"",IF(OR(Z17=1,Z17=2),"    ",MAX($B$11:B16)+1))</f>
        <v>5</v>
      </c>
      <c r="C17" s="1618" t="str">
        <f t="shared" si="0"/>
        <v xml:space="preserve">      - Objective Results (12.0%)</v>
      </c>
      <c r="D17" s="1618"/>
      <c r="E17" s="1618"/>
      <c r="F17" s="1619"/>
      <c r="G17" s="437">
        <f t="shared" si="1"/>
        <v>1</v>
      </c>
      <c r="H17" s="431" t="str">
        <f t="shared" si="2"/>
        <v>2*</v>
      </c>
      <c r="I17" s="436">
        <f t="shared" si="3"/>
        <v>3</v>
      </c>
      <c r="J17" s="449">
        <v>1</v>
      </c>
      <c r="K17" s="448">
        <v>4</v>
      </c>
      <c r="L17" s="1612"/>
      <c r="M17" s="1613"/>
      <c r="N17" s="1613"/>
      <c r="O17" s="1613"/>
      <c r="P17" s="1613"/>
      <c r="Q17" s="1613"/>
      <c r="R17" s="1614"/>
      <c r="T17" s="401">
        <v>7</v>
      </c>
      <c r="U17" s="374" t="s">
        <v>641</v>
      </c>
      <c r="V17" s="421">
        <v>1</v>
      </c>
      <c r="W17" s="421">
        <v>4</v>
      </c>
      <c r="X17" s="421" t="s">
        <v>212</v>
      </c>
      <c r="Y17" s="421" t="s">
        <v>212</v>
      </c>
      <c r="Z17" s="393" t="s">
        <v>212</v>
      </c>
      <c r="AA17" s="393">
        <v>2</v>
      </c>
      <c r="AB17" s="393">
        <v>1</v>
      </c>
      <c r="AC17" s="421">
        <v>3</v>
      </c>
      <c r="AD17" s="421">
        <v>2</v>
      </c>
      <c r="AE17" s="421">
        <v>1</v>
      </c>
      <c r="AF17" s="421" t="b">
        <v>1</v>
      </c>
      <c r="AG17" s="421">
        <f t="shared" si="4"/>
        <v>2</v>
      </c>
      <c r="AH17" s="421">
        <f t="shared" si="5"/>
        <v>1</v>
      </c>
      <c r="AI17" s="427">
        <f>IF(NOT(OR(Z17=1,Z17=2)),IF(AQ17&gt;0,$AR$47*AQ17/SUMIF($AQ$11:$AQ$42,"&gt;0"),IF(AU17&gt;0,$AV$47*AU17/SUMIF($AU$11:$AU$42,"&gt;0"),IF(AS17&gt;0,$AT$47*AS17/SUMIF($AS$11:$AS$42,"&gt;0"),""))),IF(SUMIF(AJ18:$AJ$42,"=" &amp; AJ17,AI18:$AI$42)=0,"",SUMIF(AJ18:$AJ$42,"=" &amp; AJ17,AI18:$AI$42)))</f>
        <v>0.1200000038640001</v>
      </c>
      <c r="AJ17" s="426">
        <f t="shared" si="36"/>
        <v>1</v>
      </c>
      <c r="AK17" s="421">
        <f t="shared" si="6"/>
        <v>2</v>
      </c>
      <c r="AL17" s="393">
        <f t="shared" si="7"/>
        <v>4</v>
      </c>
      <c r="AM17" s="393">
        <f t="shared" si="8"/>
        <v>1</v>
      </c>
      <c r="AN17" s="393" t="str">
        <f t="shared" si="9"/>
        <v/>
      </c>
      <c r="AO17" s="393" t="str">
        <f t="shared" si="10"/>
        <v/>
      </c>
      <c r="AP17" s="421" t="b">
        <f t="shared" si="11"/>
        <v>0</v>
      </c>
      <c r="AQ17" s="425">
        <f t="shared" si="12"/>
        <v>4</v>
      </c>
      <c r="AR17" s="423">
        <f t="shared" si="13"/>
        <v>1</v>
      </c>
      <c r="AS17" s="424">
        <f t="shared" si="14"/>
        <v>0</v>
      </c>
      <c r="AT17" s="423" t="str">
        <f t="shared" si="15"/>
        <v/>
      </c>
      <c r="AU17" s="420">
        <f t="shared" si="16"/>
        <v>0</v>
      </c>
      <c r="AV17" s="422">
        <f t="shared" si="17"/>
        <v>1</v>
      </c>
      <c r="AW17" s="420" t="b">
        <f t="shared" si="18"/>
        <v>0</v>
      </c>
      <c r="AX17" s="419" t="b">
        <f t="shared" si="19"/>
        <v>0</v>
      </c>
      <c r="AY17" s="420" t="b">
        <f t="shared" si="20"/>
        <v>0</v>
      </c>
      <c r="AZ17" s="419" t="b">
        <f t="shared" si="21"/>
        <v>0</v>
      </c>
      <c r="BA17" s="421" t="b">
        <f t="shared" si="22"/>
        <v>0</v>
      </c>
      <c r="BB17" s="421" t="b">
        <f t="shared" si="23"/>
        <v>0</v>
      </c>
      <c r="BC17" s="420" t="b">
        <f t="shared" si="24"/>
        <v>0</v>
      </c>
      <c r="BD17" s="393" t="b">
        <f t="shared" si="25"/>
        <v>0</v>
      </c>
      <c r="BE17" s="419" t="b">
        <f t="shared" si="26"/>
        <v>0</v>
      </c>
      <c r="BF17" s="418" t="b">
        <f t="shared" si="27"/>
        <v>0</v>
      </c>
      <c r="BG17" s="417" t="b">
        <f t="shared" si="28"/>
        <v>0</v>
      </c>
      <c r="BH17" s="417">
        <f t="shared" si="29"/>
        <v>1</v>
      </c>
      <c r="BI17" s="417">
        <f t="shared" si="30"/>
        <v>2</v>
      </c>
      <c r="BJ17" s="417" t="str">
        <f t="shared" si="31"/>
        <v>2*</v>
      </c>
      <c r="BK17" s="417">
        <f t="shared" si="32"/>
        <v>3</v>
      </c>
      <c r="BL17" s="435">
        <f t="shared" si="33"/>
        <v>1</v>
      </c>
      <c r="BM17" s="417">
        <f t="shared" si="34"/>
        <v>2</v>
      </c>
      <c r="BN17" s="417">
        <f t="shared" si="35"/>
        <v>3</v>
      </c>
      <c r="BO17" s="439">
        <v>4</v>
      </c>
      <c r="BP17" s="455" t="s">
        <v>222</v>
      </c>
    </row>
    <row r="18" spans="2:75" s="416" customFormat="1" ht="12.95" customHeight="1" x14ac:dyDescent="0.25">
      <c r="B18" s="433">
        <f>IF(ISNA(Z18),"",IF(OR(Z18=1,Z18=2),"    ",MAX($B$11:B17)+1))</f>
        <v>6</v>
      </c>
      <c r="C18" s="1618" t="str">
        <f t="shared" si="0"/>
        <v xml:space="preserve">      - Eng Analysis &amp; Oper. Impact (12.0%)</v>
      </c>
      <c r="D18" s="1618"/>
      <c r="E18" s="1618"/>
      <c r="F18" s="1619"/>
      <c r="G18" s="437">
        <f t="shared" si="1"/>
        <v>1</v>
      </c>
      <c r="H18" s="431" t="str">
        <f t="shared" si="2"/>
        <v>2*</v>
      </c>
      <c r="I18" s="436">
        <f t="shared" si="3"/>
        <v>3</v>
      </c>
      <c r="J18" s="449">
        <v>1</v>
      </c>
      <c r="K18" s="448">
        <v>3</v>
      </c>
      <c r="L18" s="1612"/>
      <c r="M18" s="1613"/>
      <c r="N18" s="1613"/>
      <c r="O18" s="1613"/>
      <c r="P18" s="1613"/>
      <c r="Q18" s="1613"/>
      <c r="R18" s="1614"/>
      <c r="T18" s="401">
        <v>8</v>
      </c>
      <c r="U18" s="374" t="s">
        <v>640</v>
      </c>
      <c r="V18" s="421">
        <v>1</v>
      </c>
      <c r="W18" s="421">
        <v>4</v>
      </c>
      <c r="X18" s="421" t="s">
        <v>212</v>
      </c>
      <c r="Y18" s="421" t="s">
        <v>212</v>
      </c>
      <c r="Z18" s="393" t="s">
        <v>212</v>
      </c>
      <c r="AA18" s="393">
        <v>2</v>
      </c>
      <c r="AB18" s="393">
        <v>1</v>
      </c>
      <c r="AC18" s="421">
        <v>3</v>
      </c>
      <c r="AD18" s="421">
        <v>2</v>
      </c>
      <c r="AE18" s="421">
        <v>1</v>
      </c>
      <c r="AF18" s="421" t="b">
        <v>1</v>
      </c>
      <c r="AG18" s="421">
        <f t="shared" si="4"/>
        <v>2</v>
      </c>
      <c r="AH18" s="421">
        <f t="shared" si="5"/>
        <v>1</v>
      </c>
      <c r="AI18" s="427">
        <f>IF(NOT(OR(Z18=1,Z18=2)),IF(AQ18&gt;0,$AR$47*AQ18/SUMIF($AQ$11:$AQ$42,"&gt;0"),IF(AU18&gt;0,$AV$47*AU18/SUMIF($AU$11:$AU$42,"&gt;0"),IF(AS18&gt;0,$AT$47*AS18/SUMIF($AS$11:$AS$42,"&gt;0"),""))),IF(SUMIF(AJ19:$AJ$42,"=" &amp; AJ18,AI19:$AI$42)=0,"",SUMIF(AJ19:$AJ$42,"=" &amp; AJ18,AI19:$AI$42)))</f>
        <v>0.1200000038640001</v>
      </c>
      <c r="AJ18" s="426">
        <f t="shared" si="36"/>
        <v>1</v>
      </c>
      <c r="AK18" s="421">
        <f t="shared" si="6"/>
        <v>2</v>
      </c>
      <c r="AL18" s="393">
        <f t="shared" si="7"/>
        <v>3</v>
      </c>
      <c r="AM18" s="393">
        <f t="shared" si="8"/>
        <v>1</v>
      </c>
      <c r="AN18" s="393" t="str">
        <f t="shared" si="9"/>
        <v/>
      </c>
      <c r="AO18" s="393" t="str">
        <f t="shared" si="10"/>
        <v/>
      </c>
      <c r="AP18" s="421" t="b">
        <f t="shared" si="11"/>
        <v>0</v>
      </c>
      <c r="AQ18" s="425">
        <f t="shared" si="12"/>
        <v>4</v>
      </c>
      <c r="AR18" s="423">
        <f t="shared" si="13"/>
        <v>0.9</v>
      </c>
      <c r="AS18" s="424">
        <f t="shared" si="14"/>
        <v>0</v>
      </c>
      <c r="AT18" s="423" t="str">
        <f t="shared" si="15"/>
        <v/>
      </c>
      <c r="AU18" s="420">
        <f t="shared" si="16"/>
        <v>0</v>
      </c>
      <c r="AV18" s="422">
        <f t="shared" si="17"/>
        <v>0.9</v>
      </c>
      <c r="AW18" s="420" t="b">
        <f t="shared" si="18"/>
        <v>0</v>
      </c>
      <c r="AX18" s="419" t="b">
        <f t="shared" si="19"/>
        <v>0</v>
      </c>
      <c r="AY18" s="420" t="b">
        <f t="shared" si="20"/>
        <v>0</v>
      </c>
      <c r="AZ18" s="419" t="b">
        <f t="shared" si="21"/>
        <v>0</v>
      </c>
      <c r="BA18" s="421" t="b">
        <f t="shared" si="22"/>
        <v>0</v>
      </c>
      <c r="BB18" s="421" t="b">
        <f t="shared" si="23"/>
        <v>0</v>
      </c>
      <c r="BC18" s="420" t="b">
        <f t="shared" si="24"/>
        <v>0</v>
      </c>
      <c r="BD18" s="393" t="b">
        <f t="shared" si="25"/>
        <v>0</v>
      </c>
      <c r="BE18" s="419" t="b">
        <f t="shared" si="26"/>
        <v>0</v>
      </c>
      <c r="BF18" s="418" t="b">
        <f t="shared" si="27"/>
        <v>0</v>
      </c>
      <c r="BG18" s="417" t="b">
        <f t="shared" si="28"/>
        <v>0</v>
      </c>
      <c r="BH18" s="417">
        <f t="shared" si="29"/>
        <v>1</v>
      </c>
      <c r="BI18" s="417">
        <f t="shared" si="30"/>
        <v>2</v>
      </c>
      <c r="BJ18" s="417" t="str">
        <f t="shared" si="31"/>
        <v>2*</v>
      </c>
      <c r="BK18" s="417">
        <f t="shared" si="32"/>
        <v>3</v>
      </c>
      <c r="BL18" s="435">
        <f t="shared" si="33"/>
        <v>1</v>
      </c>
      <c r="BM18" s="417">
        <f t="shared" si="34"/>
        <v>2</v>
      </c>
      <c r="BN18" s="417">
        <f t="shared" si="35"/>
        <v>3</v>
      </c>
      <c r="BO18" s="372"/>
    </row>
    <row r="19" spans="2:75" s="416" customFormat="1" ht="12.95" customHeight="1" x14ac:dyDescent="0.25">
      <c r="B19" s="433">
        <f>IF(ISNA(Z19),"",IF(OR(Z19=1,Z19=2),"    ",MAX($B$11:B18)+1))</f>
        <v>7</v>
      </c>
      <c r="C19" s="1618" t="str">
        <f t="shared" si="0"/>
        <v xml:space="preserve">      - Conclusions &amp; Recomm. (10.0%)</v>
      </c>
      <c r="D19" s="1618"/>
      <c r="E19" s="1618"/>
      <c r="F19" s="1619"/>
      <c r="G19" s="437">
        <f t="shared" si="1"/>
        <v>1</v>
      </c>
      <c r="H19" s="431" t="str">
        <f t="shared" si="2"/>
        <v>2*</v>
      </c>
      <c r="I19" s="436">
        <f t="shared" si="3"/>
        <v>3</v>
      </c>
      <c r="J19" s="449">
        <v>1</v>
      </c>
      <c r="K19" s="448">
        <v>3</v>
      </c>
      <c r="L19" s="1612"/>
      <c r="M19" s="1613"/>
      <c r="N19" s="1613"/>
      <c r="O19" s="1613"/>
      <c r="P19" s="1613"/>
      <c r="Q19" s="1613"/>
      <c r="R19" s="1614"/>
      <c r="T19" s="401">
        <v>9</v>
      </c>
      <c r="U19" s="374" t="s">
        <v>639</v>
      </c>
      <c r="V19" s="421">
        <v>1</v>
      </c>
      <c r="W19" s="421">
        <v>3.3333333000000001</v>
      </c>
      <c r="X19" s="421" t="s">
        <v>212</v>
      </c>
      <c r="Y19" s="421" t="s">
        <v>212</v>
      </c>
      <c r="Z19" s="393" t="s">
        <v>212</v>
      </c>
      <c r="AA19" s="393">
        <v>2</v>
      </c>
      <c r="AB19" s="393">
        <v>1</v>
      </c>
      <c r="AC19" s="421">
        <v>3</v>
      </c>
      <c r="AD19" s="421">
        <v>2</v>
      </c>
      <c r="AE19" s="421">
        <v>1</v>
      </c>
      <c r="AF19" s="421" t="b">
        <v>1</v>
      </c>
      <c r="AG19" s="421">
        <f t="shared" si="4"/>
        <v>2</v>
      </c>
      <c r="AH19" s="421">
        <f t="shared" si="5"/>
        <v>1</v>
      </c>
      <c r="AI19" s="427">
        <f>IF(NOT(OR(Z19=1,Z19=2)),IF(AQ19&gt;0,$AR$47*AQ19/SUMIF($AQ$11:$AQ$42,"&gt;0"),IF(AU19&gt;0,$AV$47*AU19/SUMIF($AU$11:$AU$42,"&gt;0"),IF(AS19&gt;0,$AT$47*AS19/SUMIF($AS$11:$AS$42,"&gt;0"),""))),IF(SUMIF(AJ20:$AJ$42,"=" &amp; AJ19,AI20:$AI$42)=0,"",SUMIF(AJ20:$AJ$42,"=" &amp; AJ19,AI20:$AI$42)))</f>
        <v>0.10000000222000005</v>
      </c>
      <c r="AJ19" s="426">
        <f t="shared" si="36"/>
        <v>1</v>
      </c>
      <c r="AK19" s="421">
        <f t="shared" si="6"/>
        <v>2</v>
      </c>
      <c r="AL19" s="393">
        <f t="shared" si="7"/>
        <v>3</v>
      </c>
      <c r="AM19" s="393">
        <f t="shared" si="8"/>
        <v>1</v>
      </c>
      <c r="AN19" s="393" t="str">
        <f t="shared" si="9"/>
        <v/>
      </c>
      <c r="AO19" s="393" t="str">
        <f t="shared" si="10"/>
        <v/>
      </c>
      <c r="AP19" s="421" t="b">
        <f t="shared" si="11"/>
        <v>0</v>
      </c>
      <c r="AQ19" s="425">
        <f t="shared" si="12"/>
        <v>3.3333333000000001</v>
      </c>
      <c r="AR19" s="423">
        <f t="shared" si="13"/>
        <v>0.9</v>
      </c>
      <c r="AS19" s="424">
        <f t="shared" si="14"/>
        <v>0</v>
      </c>
      <c r="AT19" s="423" t="str">
        <f t="shared" si="15"/>
        <v/>
      </c>
      <c r="AU19" s="420">
        <f t="shared" si="16"/>
        <v>0</v>
      </c>
      <c r="AV19" s="422">
        <f t="shared" si="17"/>
        <v>0.9</v>
      </c>
      <c r="AW19" s="420" t="b">
        <f t="shared" si="18"/>
        <v>0</v>
      </c>
      <c r="AX19" s="419" t="b">
        <f t="shared" si="19"/>
        <v>0</v>
      </c>
      <c r="AY19" s="420" t="b">
        <f t="shared" si="20"/>
        <v>0</v>
      </c>
      <c r="AZ19" s="419" t="b">
        <f t="shared" si="21"/>
        <v>0</v>
      </c>
      <c r="BA19" s="421" t="b">
        <f t="shared" si="22"/>
        <v>0</v>
      </c>
      <c r="BB19" s="421" t="b">
        <f t="shared" si="23"/>
        <v>0</v>
      </c>
      <c r="BC19" s="420" t="b">
        <f t="shared" si="24"/>
        <v>0</v>
      </c>
      <c r="BD19" s="393" t="b">
        <f t="shared" si="25"/>
        <v>0</v>
      </c>
      <c r="BE19" s="419" t="b">
        <f t="shared" si="26"/>
        <v>0</v>
      </c>
      <c r="BF19" s="418" t="b">
        <f t="shared" si="27"/>
        <v>0</v>
      </c>
      <c r="BG19" s="417" t="b">
        <f t="shared" si="28"/>
        <v>0</v>
      </c>
      <c r="BH19" s="417">
        <f t="shared" si="29"/>
        <v>1</v>
      </c>
      <c r="BI19" s="417">
        <f t="shared" si="30"/>
        <v>2</v>
      </c>
      <c r="BJ19" s="417" t="str">
        <f t="shared" si="31"/>
        <v>2*</v>
      </c>
      <c r="BK19" s="417">
        <f t="shared" si="32"/>
        <v>3</v>
      </c>
      <c r="BL19" s="435">
        <f t="shared" si="33"/>
        <v>1</v>
      </c>
      <c r="BM19" s="417">
        <f t="shared" si="34"/>
        <v>2</v>
      </c>
      <c r="BN19" s="417">
        <f t="shared" si="35"/>
        <v>3</v>
      </c>
      <c r="BO19" s="439"/>
      <c r="BP19" s="454"/>
    </row>
    <row r="20" spans="2:75" s="416" customFormat="1" ht="12.95" customHeight="1" x14ac:dyDescent="0.25">
      <c r="B20" s="433" t="str">
        <f>IF(ISNA(Z20),"",IF(OR(Z20=1,Z20=2),"    ",MAX($B$11:B19)+1))</f>
        <v xml:space="preserve">    </v>
      </c>
      <c r="C20" s="1618" t="str">
        <f t="shared" si="0"/>
        <v>Clarity &amp; Precision (Mechanics) (10.0%)</v>
      </c>
      <c r="D20" s="1618"/>
      <c r="E20" s="1618"/>
      <c r="F20" s="1619"/>
      <c r="G20" s="437" t="str">
        <f t="shared" si="1"/>
        <v/>
      </c>
      <c r="H20" s="431" t="str">
        <f t="shared" si="2"/>
        <v/>
      </c>
      <c r="I20" s="436" t="str">
        <f t="shared" si="3"/>
        <v/>
      </c>
      <c r="J20" s="429"/>
      <c r="K20" s="428"/>
      <c r="L20" s="1612"/>
      <c r="M20" s="1613"/>
      <c r="N20" s="1613"/>
      <c r="O20" s="1613"/>
      <c r="P20" s="1613"/>
      <c r="Q20" s="1613"/>
      <c r="R20" s="1614"/>
      <c r="T20" s="401">
        <v>10</v>
      </c>
      <c r="U20" s="374" t="s">
        <v>638</v>
      </c>
      <c r="V20" s="421" t="s">
        <v>212</v>
      </c>
      <c r="W20" s="421" t="s">
        <v>212</v>
      </c>
      <c r="X20" s="421" t="s">
        <v>212</v>
      </c>
      <c r="Y20" s="421" t="s">
        <v>212</v>
      </c>
      <c r="Z20" s="393">
        <v>2</v>
      </c>
      <c r="AA20" s="393">
        <v>1</v>
      </c>
      <c r="AB20" s="393">
        <v>1</v>
      </c>
      <c r="AC20" s="421" t="s">
        <v>212</v>
      </c>
      <c r="AD20" s="421" t="s">
        <v>212</v>
      </c>
      <c r="AE20" s="421" t="s">
        <v>212</v>
      </c>
      <c r="AF20" s="421" t="s">
        <v>212</v>
      </c>
      <c r="AG20" s="421" t="str">
        <f t="shared" si="4"/>
        <v/>
      </c>
      <c r="AH20" s="421" t="str">
        <f t="shared" si="5"/>
        <v/>
      </c>
      <c r="AI20" s="427">
        <f>IF(NOT(OR(Z20=1,Z20=2)),IF(AQ20&gt;0,$AR$47*AQ20/SUMIF($AQ$11:$AQ$42,"&gt;0"),IF(AU20&gt;0,$AV$47*AU20/SUMIF($AU$11:$AU$42,"&gt;0"),IF(AS20&gt;0,$AT$47*AS20/SUMIF($AS$11:$AS$42,"&gt;0"),""))),IF(SUMIF(AJ21:$AJ$42,"=" &amp; AJ20,AI21:$AI$42)=0,"",SUMIF(AJ21:$AJ$42,"=" &amp; AJ20,AI21:$AI$42)))</f>
        <v>0.10000000222000006</v>
      </c>
      <c r="AJ20" s="426">
        <f t="shared" si="36"/>
        <v>2</v>
      </c>
      <c r="AK20" s="421" t="str">
        <f t="shared" si="6"/>
        <v/>
      </c>
      <c r="AL20" s="393" t="str">
        <f t="shared" si="7"/>
        <v/>
      </c>
      <c r="AM20" s="393" t="str">
        <f t="shared" si="8"/>
        <v/>
      </c>
      <c r="AN20" s="393" t="str">
        <f t="shared" si="9"/>
        <v/>
      </c>
      <c r="AO20" s="393" t="str">
        <f t="shared" si="10"/>
        <v/>
      </c>
      <c r="AP20" s="421" t="str">
        <f t="shared" si="11"/>
        <v/>
      </c>
      <c r="AQ20" s="425">
        <f t="shared" si="12"/>
        <v>0</v>
      </c>
      <c r="AR20" s="423" t="str">
        <f t="shared" si="13"/>
        <v/>
      </c>
      <c r="AS20" s="424">
        <f t="shared" si="14"/>
        <v>0</v>
      </c>
      <c r="AT20" s="423" t="str">
        <f t="shared" si="15"/>
        <v/>
      </c>
      <c r="AU20" s="420">
        <f t="shared" si="16"/>
        <v>0</v>
      </c>
      <c r="AV20" s="422" t="str">
        <f t="shared" si="17"/>
        <v/>
      </c>
      <c r="AW20" s="420" t="b">
        <f t="shared" si="18"/>
        <v>0</v>
      </c>
      <c r="AX20" s="419" t="b">
        <f t="shared" si="19"/>
        <v>0</v>
      </c>
      <c r="AY20" s="420" t="b">
        <f t="shared" si="20"/>
        <v>0</v>
      </c>
      <c r="AZ20" s="419" t="b">
        <f t="shared" si="21"/>
        <v>0</v>
      </c>
      <c r="BA20" s="421" t="b">
        <f t="shared" si="22"/>
        <v>0</v>
      </c>
      <c r="BB20" s="421" t="b">
        <f t="shared" si="23"/>
        <v>0</v>
      </c>
      <c r="BC20" s="420" t="b">
        <f t="shared" si="24"/>
        <v>0</v>
      </c>
      <c r="BD20" s="393" t="b">
        <f t="shared" si="25"/>
        <v>0</v>
      </c>
      <c r="BE20" s="419" t="b">
        <f t="shared" si="26"/>
        <v>0</v>
      </c>
      <c r="BF20" s="418" t="b">
        <f t="shared" si="27"/>
        <v>0</v>
      </c>
      <c r="BG20" s="417" t="b">
        <f t="shared" si="28"/>
        <v>0</v>
      </c>
      <c r="BH20" s="417" t="str">
        <f t="shared" si="29"/>
        <v/>
      </c>
      <c r="BI20" s="417" t="str">
        <f t="shared" si="30"/>
        <v/>
      </c>
      <c r="BJ20" s="417" t="str">
        <f t="shared" si="31"/>
        <v/>
      </c>
      <c r="BK20" s="417" t="str">
        <f t="shared" si="32"/>
        <v/>
      </c>
      <c r="BL20" s="435" t="str">
        <f t="shared" si="33"/>
        <v/>
      </c>
      <c r="BM20" s="417" t="str">
        <f t="shared" si="34"/>
        <v/>
      </c>
      <c r="BN20" s="417" t="str">
        <f t="shared" si="35"/>
        <v/>
      </c>
      <c r="BO20" s="372"/>
    </row>
    <row r="21" spans="2:75" s="416" customFormat="1" ht="12.95" customHeight="1" x14ac:dyDescent="0.25">
      <c r="B21" s="433">
        <f>IF(ISNA(Z21),"",IF(OR(Z21=1,Z21=2),"    ",MAX($B$11:B20)+1))</f>
        <v>8</v>
      </c>
      <c r="C21" s="1618" t="str">
        <f t="shared" si="0"/>
        <v xml:space="preserve">      - Grammar &amp; Syntax (4.0%)</v>
      </c>
      <c r="D21" s="1618"/>
      <c r="E21" s="1618"/>
      <c r="F21" s="1619"/>
      <c r="G21" s="437">
        <f t="shared" si="1"/>
        <v>1</v>
      </c>
      <c r="H21" s="431" t="str">
        <f t="shared" si="2"/>
        <v>2*</v>
      </c>
      <c r="I21" s="436">
        <f t="shared" si="3"/>
        <v>3</v>
      </c>
      <c r="J21" s="449">
        <v>1</v>
      </c>
      <c r="K21" s="448">
        <v>4</v>
      </c>
      <c r="L21" s="1612"/>
      <c r="M21" s="1613"/>
      <c r="N21" s="1613"/>
      <c r="O21" s="1613"/>
      <c r="P21" s="1613"/>
      <c r="Q21" s="1613"/>
      <c r="R21" s="1614"/>
      <c r="T21" s="401">
        <v>11</v>
      </c>
      <c r="U21" s="374" t="s">
        <v>637</v>
      </c>
      <c r="V21" s="421">
        <v>1</v>
      </c>
      <c r="W21" s="421">
        <v>1.3333333000000001</v>
      </c>
      <c r="X21" s="421" t="s">
        <v>212</v>
      </c>
      <c r="Y21" s="421" t="s">
        <v>212</v>
      </c>
      <c r="Z21" s="393" t="s">
        <v>212</v>
      </c>
      <c r="AA21" s="393">
        <v>2</v>
      </c>
      <c r="AB21" s="393">
        <v>1</v>
      </c>
      <c r="AC21" s="421">
        <v>3</v>
      </c>
      <c r="AD21" s="421">
        <v>2</v>
      </c>
      <c r="AE21" s="421">
        <v>1</v>
      </c>
      <c r="AF21" s="421" t="b">
        <v>1</v>
      </c>
      <c r="AG21" s="421">
        <f t="shared" si="4"/>
        <v>2</v>
      </c>
      <c r="AH21" s="421">
        <f t="shared" si="5"/>
        <v>1</v>
      </c>
      <c r="AI21" s="427">
        <f>IF(NOT(OR(Z21=1,Z21=2)),IF(AQ21&gt;0,$AR$47*AQ21/SUMIF($AQ$11:$AQ$42,"&gt;0"),IF(AU21&gt;0,$AV$47*AU21/SUMIF($AU$11:$AU$42,"&gt;0"),IF(AS21&gt;0,$AT$47*AS21/SUMIF($AS$11:$AS$42,"&gt;0"),""))),IF(SUMIF(AJ22:$AJ$42,"=" &amp; AJ21,AI22:$AI$42)=0,"",SUMIF(AJ22:$AJ$42,"=" &amp; AJ21,AI22:$AI$42)))</f>
        <v>4.0000000288000007E-2</v>
      </c>
      <c r="AJ21" s="426">
        <f t="shared" si="36"/>
        <v>2</v>
      </c>
      <c r="AK21" s="421">
        <f t="shared" si="6"/>
        <v>2</v>
      </c>
      <c r="AL21" s="393">
        <f t="shared" si="7"/>
        <v>4</v>
      </c>
      <c r="AM21" s="393">
        <f t="shared" si="8"/>
        <v>1</v>
      </c>
      <c r="AN21" s="393" t="str">
        <f t="shared" si="9"/>
        <v/>
      </c>
      <c r="AO21" s="393" t="str">
        <f t="shared" si="10"/>
        <v/>
      </c>
      <c r="AP21" s="421" t="b">
        <f t="shared" si="11"/>
        <v>0</v>
      </c>
      <c r="AQ21" s="425">
        <f t="shared" si="12"/>
        <v>1.3333333000000001</v>
      </c>
      <c r="AR21" s="423">
        <f t="shared" si="13"/>
        <v>1</v>
      </c>
      <c r="AS21" s="424">
        <f t="shared" si="14"/>
        <v>0</v>
      </c>
      <c r="AT21" s="423" t="str">
        <f t="shared" si="15"/>
        <v/>
      </c>
      <c r="AU21" s="420">
        <f t="shared" si="16"/>
        <v>0</v>
      </c>
      <c r="AV21" s="422">
        <f t="shared" si="17"/>
        <v>1</v>
      </c>
      <c r="AW21" s="420" t="b">
        <f t="shared" si="18"/>
        <v>0</v>
      </c>
      <c r="AX21" s="419" t="b">
        <f t="shared" si="19"/>
        <v>0</v>
      </c>
      <c r="AY21" s="420" t="b">
        <f t="shared" si="20"/>
        <v>0</v>
      </c>
      <c r="AZ21" s="419" t="b">
        <f t="shared" si="21"/>
        <v>0</v>
      </c>
      <c r="BA21" s="421" t="b">
        <f t="shared" si="22"/>
        <v>0</v>
      </c>
      <c r="BB21" s="421" t="b">
        <f t="shared" si="23"/>
        <v>0</v>
      </c>
      <c r="BC21" s="420" t="b">
        <f t="shared" si="24"/>
        <v>0</v>
      </c>
      <c r="BD21" s="393" t="b">
        <f t="shared" si="25"/>
        <v>0</v>
      </c>
      <c r="BE21" s="419" t="b">
        <f t="shared" si="26"/>
        <v>0</v>
      </c>
      <c r="BF21" s="418" t="b">
        <f t="shared" si="27"/>
        <v>0</v>
      </c>
      <c r="BG21" s="417" t="b">
        <f t="shared" si="28"/>
        <v>0</v>
      </c>
      <c r="BH21" s="417">
        <f t="shared" si="29"/>
        <v>1</v>
      </c>
      <c r="BI21" s="417">
        <f t="shared" si="30"/>
        <v>2</v>
      </c>
      <c r="BJ21" s="417" t="str">
        <f t="shared" si="31"/>
        <v>2*</v>
      </c>
      <c r="BK21" s="417">
        <f t="shared" si="32"/>
        <v>3</v>
      </c>
      <c r="BL21" s="435">
        <f t="shared" si="33"/>
        <v>1</v>
      </c>
      <c r="BM21" s="417">
        <f t="shared" si="34"/>
        <v>2</v>
      </c>
      <c r="BN21" s="417">
        <f t="shared" si="35"/>
        <v>3</v>
      </c>
      <c r="BO21" s="443"/>
      <c r="BP21" s="454" t="s">
        <v>223</v>
      </c>
      <c r="BQ21" s="438"/>
      <c r="BR21" s="438"/>
      <c r="BS21" s="438"/>
      <c r="BT21" s="438"/>
      <c r="BU21" s="438"/>
    </row>
    <row r="22" spans="2:75" s="416" customFormat="1" ht="12.95" customHeight="1" x14ac:dyDescent="0.25">
      <c r="B22" s="433">
        <f>IF(ISNA(Z22),"",IF(OR(Z22=1,Z22=2),"    ",MAX($B$11:B21)+1))</f>
        <v>9</v>
      </c>
      <c r="C22" s="1618" t="str">
        <f t="shared" si="0"/>
        <v xml:space="preserve">      - Punct. Acronyms &amp; Format (3.0%)</v>
      </c>
      <c r="D22" s="1618"/>
      <c r="E22" s="1618"/>
      <c r="F22" s="1619"/>
      <c r="G22" s="437">
        <f t="shared" si="1"/>
        <v>1</v>
      </c>
      <c r="H22" s="431" t="str">
        <f t="shared" si="2"/>
        <v>2*</v>
      </c>
      <c r="I22" s="436">
        <f t="shared" si="3"/>
        <v>3</v>
      </c>
      <c r="J22" s="449">
        <v>1</v>
      </c>
      <c r="K22" s="448">
        <v>4</v>
      </c>
      <c r="L22" s="1612"/>
      <c r="M22" s="1613"/>
      <c r="N22" s="1613"/>
      <c r="O22" s="1613"/>
      <c r="P22" s="1613"/>
      <c r="Q22" s="1613"/>
      <c r="R22" s="1614"/>
      <c r="T22" s="401">
        <v>12</v>
      </c>
      <c r="U22" s="374" t="s">
        <v>636</v>
      </c>
      <c r="V22" s="421">
        <v>1</v>
      </c>
      <c r="W22" s="421">
        <v>1</v>
      </c>
      <c r="X22" s="421" t="s">
        <v>212</v>
      </c>
      <c r="Y22" s="421" t="s">
        <v>212</v>
      </c>
      <c r="Z22" s="393" t="s">
        <v>212</v>
      </c>
      <c r="AA22" s="393">
        <v>2</v>
      </c>
      <c r="AB22" s="393">
        <v>1</v>
      </c>
      <c r="AC22" s="421">
        <v>3</v>
      </c>
      <c r="AD22" s="421">
        <v>2</v>
      </c>
      <c r="AE22" s="421">
        <v>1</v>
      </c>
      <c r="AF22" s="421" t="b">
        <v>1</v>
      </c>
      <c r="AG22" s="421">
        <f t="shared" si="4"/>
        <v>2</v>
      </c>
      <c r="AH22" s="421">
        <f t="shared" si="5"/>
        <v>1</v>
      </c>
      <c r="AI22" s="427">
        <f>IF(NOT(OR(Z22=1,Z22=2)),IF(AQ22&gt;0,$AR$47*AQ22/SUMIF($AQ$11:$AQ$42,"&gt;0"),IF(AU22&gt;0,$AV$47*AU22/SUMIF($AU$11:$AU$42,"&gt;0"),IF(AS22&gt;0,$AT$47*AS22/SUMIF($AS$11:$AS$42,"&gt;0"),""))),IF(SUMIF(AJ23:$AJ$42,"=" &amp; AJ22,AI23:$AI$42)=0,"",SUMIF(AJ23:$AJ$42,"=" &amp; AJ22,AI23:$AI$42)))</f>
        <v>3.0000000966000025E-2</v>
      </c>
      <c r="AJ22" s="426">
        <f t="shared" si="36"/>
        <v>2</v>
      </c>
      <c r="AK22" s="421">
        <f t="shared" si="6"/>
        <v>2</v>
      </c>
      <c r="AL22" s="393">
        <f t="shared" si="7"/>
        <v>4</v>
      </c>
      <c r="AM22" s="393">
        <f t="shared" si="8"/>
        <v>1</v>
      </c>
      <c r="AN22" s="393" t="str">
        <f t="shared" si="9"/>
        <v/>
      </c>
      <c r="AO22" s="393" t="str">
        <f t="shared" si="10"/>
        <v/>
      </c>
      <c r="AP22" s="421" t="b">
        <f t="shared" si="11"/>
        <v>0</v>
      </c>
      <c r="AQ22" s="425">
        <f t="shared" si="12"/>
        <v>1</v>
      </c>
      <c r="AR22" s="423">
        <f t="shared" si="13"/>
        <v>1</v>
      </c>
      <c r="AS22" s="424">
        <f t="shared" si="14"/>
        <v>0</v>
      </c>
      <c r="AT22" s="423" t="str">
        <f t="shared" si="15"/>
        <v/>
      </c>
      <c r="AU22" s="420">
        <f t="shared" si="16"/>
        <v>0</v>
      </c>
      <c r="AV22" s="422">
        <f t="shared" si="17"/>
        <v>1</v>
      </c>
      <c r="AW22" s="420" t="b">
        <f t="shared" si="18"/>
        <v>0</v>
      </c>
      <c r="AX22" s="419" t="b">
        <f t="shared" si="19"/>
        <v>0</v>
      </c>
      <c r="AY22" s="420" t="b">
        <f t="shared" si="20"/>
        <v>0</v>
      </c>
      <c r="AZ22" s="419" t="b">
        <f t="shared" si="21"/>
        <v>0</v>
      </c>
      <c r="BA22" s="421" t="b">
        <f t="shared" si="22"/>
        <v>0</v>
      </c>
      <c r="BB22" s="421" t="b">
        <f t="shared" si="23"/>
        <v>0</v>
      </c>
      <c r="BC22" s="420" t="b">
        <f t="shared" si="24"/>
        <v>0</v>
      </c>
      <c r="BD22" s="393" t="b">
        <f t="shared" si="25"/>
        <v>0</v>
      </c>
      <c r="BE22" s="419" t="b">
        <f t="shared" si="26"/>
        <v>0</v>
      </c>
      <c r="BF22" s="418" t="b">
        <f t="shared" si="27"/>
        <v>0</v>
      </c>
      <c r="BG22" s="417" t="b">
        <f t="shared" si="28"/>
        <v>0</v>
      </c>
      <c r="BH22" s="417">
        <f t="shared" si="29"/>
        <v>1</v>
      </c>
      <c r="BI22" s="417">
        <f t="shared" si="30"/>
        <v>2</v>
      </c>
      <c r="BJ22" s="417" t="str">
        <f t="shared" si="31"/>
        <v>2*</v>
      </c>
      <c r="BK22" s="417">
        <f t="shared" si="32"/>
        <v>3</v>
      </c>
      <c r="BL22" s="435">
        <f t="shared" si="33"/>
        <v>1</v>
      </c>
      <c r="BM22" s="417">
        <f t="shared" si="34"/>
        <v>2</v>
      </c>
      <c r="BN22" s="417">
        <f t="shared" si="35"/>
        <v>3</v>
      </c>
      <c r="BO22" s="443"/>
      <c r="BP22" s="434"/>
      <c r="BQ22" s="1629" t="s">
        <v>224</v>
      </c>
      <c r="BR22" s="1629"/>
      <c r="BS22" s="1629"/>
      <c r="BT22" s="1629"/>
      <c r="BU22" s="1629"/>
    </row>
    <row r="23" spans="2:75" s="416" customFormat="1" ht="12.95" customHeight="1" x14ac:dyDescent="0.25">
      <c r="B23" s="433">
        <f>IF(ISNA(Z23),"",IF(OR(Z23=1,Z23=2),"    ",MAX($B$11:B22)+1))</f>
        <v>10</v>
      </c>
      <c r="C23" s="1618" t="str">
        <f t="shared" si="0"/>
        <v xml:space="preserve">      - Profess. Tone &amp; Word Choice (3.0%)</v>
      </c>
      <c r="D23" s="1618"/>
      <c r="E23" s="1618"/>
      <c r="F23" s="1619"/>
      <c r="G23" s="437">
        <f t="shared" si="1"/>
        <v>1</v>
      </c>
      <c r="H23" s="431" t="str">
        <f t="shared" si="2"/>
        <v>2*</v>
      </c>
      <c r="I23" s="436">
        <f t="shared" si="3"/>
        <v>3</v>
      </c>
      <c r="J23" s="449">
        <v>1</v>
      </c>
      <c r="K23" s="448">
        <v>3</v>
      </c>
      <c r="L23" s="1612"/>
      <c r="M23" s="1613"/>
      <c r="N23" s="1613"/>
      <c r="O23" s="1613"/>
      <c r="P23" s="1613"/>
      <c r="Q23" s="1613"/>
      <c r="R23" s="1614"/>
      <c r="T23" s="401">
        <v>13</v>
      </c>
      <c r="U23" s="374" t="s">
        <v>635</v>
      </c>
      <c r="V23" s="421">
        <v>1</v>
      </c>
      <c r="W23" s="421">
        <v>1</v>
      </c>
      <c r="X23" s="421" t="s">
        <v>212</v>
      </c>
      <c r="Y23" s="421" t="s">
        <v>212</v>
      </c>
      <c r="Z23" s="393" t="s">
        <v>212</v>
      </c>
      <c r="AA23" s="393">
        <v>2</v>
      </c>
      <c r="AB23" s="393">
        <v>1</v>
      </c>
      <c r="AC23" s="421">
        <v>3</v>
      </c>
      <c r="AD23" s="421">
        <v>2</v>
      </c>
      <c r="AE23" s="421">
        <v>1</v>
      </c>
      <c r="AF23" s="421" t="b">
        <v>1</v>
      </c>
      <c r="AG23" s="421">
        <f t="shared" si="4"/>
        <v>2</v>
      </c>
      <c r="AH23" s="421">
        <f t="shared" si="5"/>
        <v>1</v>
      </c>
      <c r="AI23" s="427">
        <f>IF(NOT(OR(Z23=1,Z23=2)),IF(AQ23&gt;0,$AR$47*AQ23/SUMIF($AQ$11:$AQ$42,"&gt;0"),IF(AU23&gt;0,$AV$47*AU23/SUMIF($AU$11:$AU$42,"&gt;0"),IF(AS23&gt;0,$AT$47*AS23/SUMIF($AS$11:$AS$42,"&gt;0"),""))),IF(SUMIF(AJ24:$AJ$42,"=" &amp; AJ23,AI24:$AI$42)=0,"",SUMIF(AJ24:$AJ$42,"=" &amp; AJ23,AI24:$AI$42)))</f>
        <v>3.0000000966000025E-2</v>
      </c>
      <c r="AJ23" s="426">
        <f t="shared" si="36"/>
        <v>2</v>
      </c>
      <c r="AK23" s="421">
        <f t="shared" si="6"/>
        <v>2</v>
      </c>
      <c r="AL23" s="393">
        <f t="shared" si="7"/>
        <v>3</v>
      </c>
      <c r="AM23" s="393">
        <f t="shared" si="8"/>
        <v>1</v>
      </c>
      <c r="AN23" s="393" t="str">
        <f t="shared" si="9"/>
        <v/>
      </c>
      <c r="AO23" s="393" t="str">
        <f t="shared" si="10"/>
        <v/>
      </c>
      <c r="AP23" s="421" t="b">
        <f t="shared" si="11"/>
        <v>0</v>
      </c>
      <c r="AQ23" s="425">
        <f t="shared" si="12"/>
        <v>1</v>
      </c>
      <c r="AR23" s="423">
        <f t="shared" si="13"/>
        <v>0.9</v>
      </c>
      <c r="AS23" s="424">
        <f t="shared" si="14"/>
        <v>0</v>
      </c>
      <c r="AT23" s="423" t="str">
        <f t="shared" si="15"/>
        <v/>
      </c>
      <c r="AU23" s="420">
        <f t="shared" si="16"/>
        <v>0</v>
      </c>
      <c r="AV23" s="422">
        <f t="shared" si="17"/>
        <v>0.9</v>
      </c>
      <c r="AW23" s="420" t="b">
        <f t="shared" si="18"/>
        <v>0</v>
      </c>
      <c r="AX23" s="419" t="b">
        <f t="shared" si="19"/>
        <v>0</v>
      </c>
      <c r="AY23" s="420" t="b">
        <f t="shared" si="20"/>
        <v>0</v>
      </c>
      <c r="AZ23" s="419" t="b">
        <f t="shared" si="21"/>
        <v>0</v>
      </c>
      <c r="BA23" s="421" t="b">
        <f t="shared" si="22"/>
        <v>0</v>
      </c>
      <c r="BB23" s="421" t="b">
        <f t="shared" si="23"/>
        <v>0</v>
      </c>
      <c r="BC23" s="420" t="b">
        <f t="shared" si="24"/>
        <v>0</v>
      </c>
      <c r="BD23" s="393" t="b">
        <f t="shared" si="25"/>
        <v>0</v>
      </c>
      <c r="BE23" s="419" t="b">
        <f t="shared" si="26"/>
        <v>0</v>
      </c>
      <c r="BF23" s="418" t="b">
        <f t="shared" si="27"/>
        <v>0</v>
      </c>
      <c r="BG23" s="417" t="b">
        <f t="shared" si="28"/>
        <v>0</v>
      </c>
      <c r="BH23" s="417">
        <f t="shared" si="29"/>
        <v>1</v>
      </c>
      <c r="BI23" s="417">
        <f t="shared" si="30"/>
        <v>2</v>
      </c>
      <c r="BJ23" s="417" t="str">
        <f t="shared" si="31"/>
        <v>2*</v>
      </c>
      <c r="BK23" s="417">
        <f t="shared" si="32"/>
        <v>3</v>
      </c>
      <c r="BL23" s="435">
        <f t="shared" si="33"/>
        <v>1</v>
      </c>
      <c r="BM23" s="417">
        <f t="shared" si="34"/>
        <v>2</v>
      </c>
      <c r="BN23" s="417">
        <f t="shared" si="35"/>
        <v>3</v>
      </c>
      <c r="BO23" s="443"/>
      <c r="BP23" s="443"/>
      <c r="BQ23" s="443">
        <v>0</v>
      </c>
      <c r="BR23" s="443">
        <v>1</v>
      </c>
      <c r="BS23" s="443">
        <v>2</v>
      </c>
      <c r="BT23" s="443">
        <v>3</v>
      </c>
      <c r="BU23" s="443">
        <v>4</v>
      </c>
    </row>
    <row r="24" spans="2:75" s="416" customFormat="1" ht="12.95" customHeight="1" x14ac:dyDescent="0.25">
      <c r="B24" s="433" t="str">
        <f>IF(ISNA(Z24),"",IF(OR(Z24=1,Z24=2),"    ",MAX($B$11:B23)+1))</f>
        <v xml:space="preserve">    </v>
      </c>
      <c r="C24" s="1618" t="str">
        <f t="shared" si="0"/>
        <v>Visual Eng &amp; Data Presentation (20.0%)</v>
      </c>
      <c r="D24" s="1618"/>
      <c r="E24" s="1618"/>
      <c r="F24" s="1619"/>
      <c r="G24" s="437" t="str">
        <f t="shared" si="1"/>
        <v/>
      </c>
      <c r="H24" s="431" t="str">
        <f t="shared" si="2"/>
        <v/>
      </c>
      <c r="I24" s="436" t="str">
        <f t="shared" si="3"/>
        <v/>
      </c>
      <c r="J24" s="429"/>
      <c r="K24" s="428"/>
      <c r="L24" s="1612"/>
      <c r="M24" s="1613"/>
      <c r="N24" s="1613"/>
      <c r="O24" s="1613"/>
      <c r="P24" s="1613"/>
      <c r="Q24" s="1613"/>
      <c r="R24" s="1614"/>
      <c r="T24" s="401">
        <v>14</v>
      </c>
      <c r="U24" s="374" t="s">
        <v>634</v>
      </c>
      <c r="V24" s="421" t="s">
        <v>212</v>
      </c>
      <c r="W24" s="421" t="s">
        <v>212</v>
      </c>
      <c r="X24" s="421" t="s">
        <v>212</v>
      </c>
      <c r="Y24" s="421" t="s">
        <v>212</v>
      </c>
      <c r="Z24" s="393">
        <v>2</v>
      </c>
      <c r="AA24" s="393">
        <v>1</v>
      </c>
      <c r="AB24" s="393">
        <v>1</v>
      </c>
      <c r="AC24" s="421" t="s">
        <v>212</v>
      </c>
      <c r="AD24" s="421" t="s">
        <v>212</v>
      </c>
      <c r="AE24" s="421" t="s">
        <v>212</v>
      </c>
      <c r="AF24" s="421" t="s">
        <v>212</v>
      </c>
      <c r="AG24" s="421" t="str">
        <f t="shared" si="4"/>
        <v/>
      </c>
      <c r="AH24" s="421" t="str">
        <f t="shared" si="5"/>
        <v/>
      </c>
      <c r="AI24" s="427">
        <f>IF(NOT(OR(Z24=1,Z24=2)),IF(AQ24&gt;0,$AR$47*AQ24/SUMIF($AQ$11:$AQ$42,"&gt;0"),IF(AU24&gt;0,$AV$47*AU24/SUMIF($AU$11:$AU$42,"&gt;0"),IF(AS24&gt;0,$AT$47*AS24/SUMIF($AS$11:$AS$42,"&gt;0"),""))),IF(SUMIF(AJ25:$AJ$42,"=" &amp; AJ24,AI25:$AI$42)=0,"",SUMIF(AJ25:$AJ$42,"=" &amp; AJ24,AI25:$AI$42)))</f>
        <v>0.20000000624000017</v>
      </c>
      <c r="AJ24" s="426">
        <f t="shared" si="36"/>
        <v>3</v>
      </c>
      <c r="AK24" s="421" t="str">
        <f t="shared" si="6"/>
        <v/>
      </c>
      <c r="AL24" s="393" t="str">
        <f t="shared" si="7"/>
        <v/>
      </c>
      <c r="AM24" s="393" t="str">
        <f t="shared" si="8"/>
        <v/>
      </c>
      <c r="AN24" s="393" t="str">
        <f t="shared" si="9"/>
        <v/>
      </c>
      <c r="AO24" s="393" t="str">
        <f t="shared" si="10"/>
        <v/>
      </c>
      <c r="AP24" s="421" t="str">
        <f t="shared" si="11"/>
        <v/>
      </c>
      <c r="AQ24" s="425">
        <f t="shared" si="12"/>
        <v>0</v>
      </c>
      <c r="AR24" s="423" t="str">
        <f t="shared" si="13"/>
        <v/>
      </c>
      <c r="AS24" s="424">
        <f t="shared" si="14"/>
        <v>0</v>
      </c>
      <c r="AT24" s="423" t="str">
        <f t="shared" si="15"/>
        <v/>
      </c>
      <c r="AU24" s="420">
        <f t="shared" si="16"/>
        <v>0</v>
      </c>
      <c r="AV24" s="422" t="str">
        <f t="shared" si="17"/>
        <v/>
      </c>
      <c r="AW24" s="420" t="b">
        <f t="shared" si="18"/>
        <v>0</v>
      </c>
      <c r="AX24" s="419" t="b">
        <f t="shared" si="19"/>
        <v>0</v>
      </c>
      <c r="AY24" s="420" t="b">
        <f t="shared" si="20"/>
        <v>0</v>
      </c>
      <c r="AZ24" s="419" t="b">
        <f t="shared" si="21"/>
        <v>0</v>
      </c>
      <c r="BA24" s="421" t="b">
        <f t="shared" si="22"/>
        <v>0</v>
      </c>
      <c r="BB24" s="421" t="b">
        <f t="shared" si="23"/>
        <v>0</v>
      </c>
      <c r="BC24" s="420" t="b">
        <f t="shared" si="24"/>
        <v>0</v>
      </c>
      <c r="BD24" s="393" t="b">
        <f t="shared" si="25"/>
        <v>0</v>
      </c>
      <c r="BE24" s="419" t="b">
        <f t="shared" si="26"/>
        <v>0</v>
      </c>
      <c r="BF24" s="418" t="b">
        <f t="shared" si="27"/>
        <v>0</v>
      </c>
      <c r="BG24" s="417" t="b">
        <f t="shared" si="28"/>
        <v>0</v>
      </c>
      <c r="BH24" s="417" t="str">
        <f t="shared" si="29"/>
        <v/>
      </c>
      <c r="BI24" s="417" t="str">
        <f t="shared" si="30"/>
        <v/>
      </c>
      <c r="BJ24" s="417" t="str">
        <f t="shared" si="31"/>
        <v/>
      </c>
      <c r="BK24" s="417" t="str">
        <f t="shared" si="32"/>
        <v/>
      </c>
      <c r="BL24" s="435" t="str">
        <f t="shared" si="33"/>
        <v/>
      </c>
      <c r="BM24" s="417" t="str">
        <f t="shared" si="34"/>
        <v/>
      </c>
      <c r="BN24" s="417" t="str">
        <f t="shared" si="35"/>
        <v/>
      </c>
      <c r="BO24" s="1630" t="s">
        <v>226</v>
      </c>
      <c r="BP24" s="443" t="s">
        <v>227</v>
      </c>
      <c r="BQ24" s="453">
        <f t="shared" ref="BQ24:BQ32" si="37">AR53</f>
        <v>0.7</v>
      </c>
      <c r="BR24" s="452">
        <f t="shared" ref="BR24:BR32" si="38">AS53</f>
        <v>0.9</v>
      </c>
      <c r="BS24" s="452">
        <f t="shared" ref="BS24:BS32" si="39">AT53</f>
        <v>0.93330000000000002</v>
      </c>
      <c r="BT24" s="452">
        <f t="shared" ref="BT24:BT32" si="40">AU53</f>
        <v>0.9667</v>
      </c>
      <c r="BU24" s="451">
        <f t="shared" ref="BU24:BU32" si="41">AV53</f>
        <v>1</v>
      </c>
      <c r="BV24" s="450"/>
      <c r="BW24" s="447"/>
    </row>
    <row r="25" spans="2:75" s="416" customFormat="1" ht="12.95" customHeight="1" x14ac:dyDescent="0.25">
      <c r="B25" s="433">
        <f>IF(ISNA(Z25),"",IF(OR(Z25=1,Z25=2),"    ",MAX($B$11:B24)+1))</f>
        <v>11</v>
      </c>
      <c r="C25" s="1618" t="str">
        <f t="shared" si="0"/>
        <v xml:space="preserve">      - Anatomy of a Valid Plot/Table (8.0%)</v>
      </c>
      <c r="D25" s="1618"/>
      <c r="E25" s="1618"/>
      <c r="F25" s="1619"/>
      <c r="G25" s="437">
        <f t="shared" si="1"/>
        <v>1</v>
      </c>
      <c r="H25" s="431" t="str">
        <f t="shared" si="2"/>
        <v>2*</v>
      </c>
      <c r="I25" s="436">
        <f t="shared" si="3"/>
        <v>3</v>
      </c>
      <c r="J25" s="449">
        <v>1</v>
      </c>
      <c r="K25" s="448">
        <v>2</v>
      </c>
      <c r="L25" s="1612"/>
      <c r="M25" s="1613"/>
      <c r="N25" s="1613"/>
      <c r="O25" s="1613"/>
      <c r="P25" s="1613"/>
      <c r="Q25" s="1613"/>
      <c r="R25" s="1614"/>
      <c r="T25" s="401">
        <v>15</v>
      </c>
      <c r="U25" s="374" t="s">
        <v>633</v>
      </c>
      <c r="V25" s="421">
        <v>1</v>
      </c>
      <c r="W25" s="421">
        <v>2.6666666600000002</v>
      </c>
      <c r="X25" s="421" t="s">
        <v>212</v>
      </c>
      <c r="Y25" s="421" t="s">
        <v>212</v>
      </c>
      <c r="Z25" s="393" t="s">
        <v>212</v>
      </c>
      <c r="AA25" s="393">
        <v>2</v>
      </c>
      <c r="AB25" s="393">
        <v>1</v>
      </c>
      <c r="AC25" s="421">
        <v>3</v>
      </c>
      <c r="AD25" s="421">
        <v>2</v>
      </c>
      <c r="AE25" s="421">
        <v>1</v>
      </c>
      <c r="AF25" s="421" t="b">
        <v>1</v>
      </c>
      <c r="AG25" s="421">
        <f t="shared" si="4"/>
        <v>2</v>
      </c>
      <c r="AH25" s="421">
        <f t="shared" si="5"/>
        <v>1</v>
      </c>
      <c r="AI25" s="427">
        <f>IF(NOT(OR(Z25=1,Z25=2)),IF(AQ25&gt;0,$AR$47*AQ25/SUMIF($AQ$11:$AQ$42,"&gt;0"),IF(AU25&gt;0,$AV$47*AU25/SUMIF($AU$11:$AU$42,"&gt;0"),IF(AS25&gt;0,$AT$47*AS25/SUMIF($AS$11:$AS$42,"&gt;0"),""))),IF(SUMIF(AJ26:$AJ$42,"=" &amp; AJ25,AI26:$AI$42)=0,"",SUMIF(AJ26:$AJ$42,"=" &amp; AJ25,AI26:$AI$42)))</f>
        <v>8.0000002376000065E-2</v>
      </c>
      <c r="AJ25" s="426">
        <f t="shared" si="36"/>
        <v>3</v>
      </c>
      <c r="AK25" s="421">
        <f t="shared" si="6"/>
        <v>2</v>
      </c>
      <c r="AL25" s="393">
        <f t="shared" si="7"/>
        <v>2</v>
      </c>
      <c r="AM25" s="393">
        <f t="shared" si="8"/>
        <v>1</v>
      </c>
      <c r="AN25" s="393" t="str">
        <f t="shared" si="9"/>
        <v/>
      </c>
      <c r="AO25" s="393" t="str">
        <f t="shared" si="10"/>
        <v/>
      </c>
      <c r="AP25" s="421" t="b">
        <f t="shared" si="11"/>
        <v>1</v>
      </c>
      <c r="AQ25" s="425">
        <f t="shared" si="12"/>
        <v>2.6666666600000002</v>
      </c>
      <c r="AR25" s="423">
        <f t="shared" si="13"/>
        <v>0.7</v>
      </c>
      <c r="AS25" s="424">
        <f t="shared" si="14"/>
        <v>0</v>
      </c>
      <c r="AT25" s="423" t="str">
        <f t="shared" si="15"/>
        <v/>
      </c>
      <c r="AU25" s="420">
        <f t="shared" si="16"/>
        <v>0</v>
      </c>
      <c r="AV25" s="422">
        <f t="shared" si="17"/>
        <v>0.7</v>
      </c>
      <c r="AW25" s="420" t="b">
        <f t="shared" si="18"/>
        <v>0</v>
      </c>
      <c r="AX25" s="419" t="b">
        <f t="shared" si="19"/>
        <v>0</v>
      </c>
      <c r="AY25" s="420" t="b">
        <f t="shared" si="20"/>
        <v>0</v>
      </c>
      <c r="AZ25" s="419" t="b">
        <f t="shared" si="21"/>
        <v>0</v>
      </c>
      <c r="BA25" s="421" t="b">
        <f t="shared" si="22"/>
        <v>0</v>
      </c>
      <c r="BB25" s="421" t="b">
        <f t="shared" si="23"/>
        <v>0</v>
      </c>
      <c r="BC25" s="420" t="b">
        <f t="shared" si="24"/>
        <v>0</v>
      </c>
      <c r="BD25" s="393" t="b">
        <f t="shared" si="25"/>
        <v>0</v>
      </c>
      <c r="BE25" s="419" t="b">
        <f t="shared" si="26"/>
        <v>0</v>
      </c>
      <c r="BF25" s="418" t="b">
        <f t="shared" si="27"/>
        <v>0</v>
      </c>
      <c r="BG25" s="417" t="b">
        <f t="shared" si="28"/>
        <v>1</v>
      </c>
      <c r="BH25" s="417">
        <f t="shared" si="29"/>
        <v>1</v>
      </c>
      <c r="BI25" s="417">
        <f t="shared" si="30"/>
        <v>2</v>
      </c>
      <c r="BJ25" s="417" t="str">
        <f t="shared" si="31"/>
        <v>2*</v>
      </c>
      <c r="BK25" s="417">
        <f t="shared" si="32"/>
        <v>3</v>
      </c>
      <c r="BL25" s="435">
        <f t="shared" si="33"/>
        <v>1</v>
      </c>
      <c r="BM25" s="417">
        <f t="shared" si="34"/>
        <v>2</v>
      </c>
      <c r="BN25" s="417">
        <f t="shared" si="35"/>
        <v>3</v>
      </c>
      <c r="BO25" s="1630"/>
      <c r="BP25" s="443" t="s">
        <v>228</v>
      </c>
      <c r="BQ25" s="446">
        <f t="shared" si="37"/>
        <v>0.7</v>
      </c>
      <c r="BR25" s="445">
        <f t="shared" si="38"/>
        <v>0.8</v>
      </c>
      <c r="BS25" s="445">
        <f t="shared" si="39"/>
        <v>0.9</v>
      </c>
      <c r="BT25" s="445">
        <f t="shared" si="40"/>
        <v>0.95</v>
      </c>
      <c r="BU25" s="444">
        <f t="shared" si="41"/>
        <v>1</v>
      </c>
      <c r="BV25" s="447"/>
      <c r="BW25" s="403"/>
    </row>
    <row r="26" spans="2:75" s="416" customFormat="1" ht="12.95" customHeight="1" x14ac:dyDescent="0.25">
      <c r="B26" s="433">
        <f>IF(ISNA(Z26),"",IF(OR(Z26=1,Z26=2),"    ",MAX($B$11:B25)+1))</f>
        <v>12</v>
      </c>
      <c r="C26" s="1618" t="str">
        <f t="shared" si="0"/>
        <v xml:space="preserve">      - Data-Ink Ratio &amp; Clarity (6.0%)</v>
      </c>
      <c r="D26" s="1618"/>
      <c r="E26" s="1618"/>
      <c r="F26" s="1619"/>
      <c r="G26" s="437">
        <f t="shared" si="1"/>
        <v>1</v>
      </c>
      <c r="H26" s="431" t="str">
        <f t="shared" si="2"/>
        <v>2*</v>
      </c>
      <c r="I26" s="436">
        <f t="shared" si="3"/>
        <v>3</v>
      </c>
      <c r="J26" s="449">
        <v>1</v>
      </c>
      <c r="K26" s="448">
        <v>3</v>
      </c>
      <c r="L26" s="1612"/>
      <c r="M26" s="1613"/>
      <c r="N26" s="1613"/>
      <c r="O26" s="1613"/>
      <c r="P26" s="1613"/>
      <c r="Q26" s="1613"/>
      <c r="R26" s="1614"/>
      <c r="T26" s="401">
        <v>16</v>
      </c>
      <c r="U26" s="374" t="s">
        <v>632</v>
      </c>
      <c r="V26" s="421">
        <v>1</v>
      </c>
      <c r="W26" s="421">
        <v>2</v>
      </c>
      <c r="X26" s="421" t="s">
        <v>212</v>
      </c>
      <c r="Y26" s="421" t="s">
        <v>212</v>
      </c>
      <c r="Z26" s="393" t="s">
        <v>212</v>
      </c>
      <c r="AA26" s="393">
        <v>2</v>
      </c>
      <c r="AB26" s="393">
        <v>1</v>
      </c>
      <c r="AC26" s="421">
        <v>3</v>
      </c>
      <c r="AD26" s="421">
        <v>2</v>
      </c>
      <c r="AE26" s="421">
        <v>1</v>
      </c>
      <c r="AF26" s="421" t="b">
        <v>1</v>
      </c>
      <c r="AG26" s="421">
        <f t="shared" si="4"/>
        <v>2</v>
      </c>
      <c r="AH26" s="421">
        <f t="shared" si="5"/>
        <v>1</v>
      </c>
      <c r="AI26" s="427">
        <f>IF(NOT(OR(Z26=1,Z26=2)),IF(AQ26&gt;0,$AR$47*AQ26/SUMIF($AQ$11:$AQ$42,"&gt;0"),IF(AU26&gt;0,$AV$47*AU26/SUMIF($AU$11:$AU$42,"&gt;0"),IF(AS26&gt;0,$AT$47*AS26/SUMIF($AS$11:$AS$42,"&gt;0"),""))),IF(SUMIF(AJ27:$AJ$42,"=" &amp; AJ26,AI27:$AI$42)=0,"",SUMIF(AJ27:$AJ$42,"=" &amp; AJ26,AI27:$AI$42)))</f>
        <v>6.0000001932000051E-2</v>
      </c>
      <c r="AJ26" s="426">
        <f t="shared" si="36"/>
        <v>3</v>
      </c>
      <c r="AK26" s="421">
        <f t="shared" si="6"/>
        <v>2</v>
      </c>
      <c r="AL26" s="393">
        <f t="shared" si="7"/>
        <v>3</v>
      </c>
      <c r="AM26" s="393">
        <f t="shared" si="8"/>
        <v>1</v>
      </c>
      <c r="AN26" s="393" t="str">
        <f t="shared" si="9"/>
        <v/>
      </c>
      <c r="AO26" s="393" t="str">
        <f t="shared" si="10"/>
        <v/>
      </c>
      <c r="AP26" s="421" t="b">
        <f t="shared" si="11"/>
        <v>0</v>
      </c>
      <c r="AQ26" s="425">
        <f t="shared" si="12"/>
        <v>2</v>
      </c>
      <c r="AR26" s="423">
        <f t="shared" si="13"/>
        <v>0.9</v>
      </c>
      <c r="AS26" s="424">
        <f t="shared" si="14"/>
        <v>0</v>
      </c>
      <c r="AT26" s="423" t="str">
        <f t="shared" si="15"/>
        <v/>
      </c>
      <c r="AU26" s="420">
        <f t="shared" si="16"/>
        <v>0</v>
      </c>
      <c r="AV26" s="422">
        <f t="shared" si="17"/>
        <v>0.9</v>
      </c>
      <c r="AW26" s="420" t="b">
        <f t="shared" si="18"/>
        <v>0</v>
      </c>
      <c r="AX26" s="419" t="b">
        <f t="shared" si="19"/>
        <v>0</v>
      </c>
      <c r="AY26" s="420" t="b">
        <f t="shared" si="20"/>
        <v>0</v>
      </c>
      <c r="AZ26" s="419" t="b">
        <f t="shared" si="21"/>
        <v>0</v>
      </c>
      <c r="BA26" s="421" t="b">
        <f t="shared" si="22"/>
        <v>0</v>
      </c>
      <c r="BB26" s="421" t="b">
        <f t="shared" si="23"/>
        <v>0</v>
      </c>
      <c r="BC26" s="420" t="b">
        <f t="shared" si="24"/>
        <v>0</v>
      </c>
      <c r="BD26" s="393" t="b">
        <f t="shared" si="25"/>
        <v>0</v>
      </c>
      <c r="BE26" s="419" t="b">
        <f t="shared" si="26"/>
        <v>0</v>
      </c>
      <c r="BF26" s="418" t="b">
        <f t="shared" si="27"/>
        <v>0</v>
      </c>
      <c r="BG26" s="417" t="b">
        <f t="shared" si="28"/>
        <v>0</v>
      </c>
      <c r="BH26" s="417">
        <f t="shared" si="29"/>
        <v>1</v>
      </c>
      <c r="BI26" s="417">
        <f t="shared" si="30"/>
        <v>2</v>
      </c>
      <c r="BJ26" s="417" t="str">
        <f t="shared" si="31"/>
        <v>2*</v>
      </c>
      <c r="BK26" s="417">
        <f t="shared" si="32"/>
        <v>3</v>
      </c>
      <c r="BL26" s="435">
        <f t="shared" si="33"/>
        <v>1</v>
      </c>
      <c r="BM26" s="417">
        <f t="shared" si="34"/>
        <v>2</v>
      </c>
      <c r="BN26" s="417">
        <f t="shared" si="35"/>
        <v>3</v>
      </c>
      <c r="BO26" s="1630"/>
      <c r="BP26" s="443" t="s">
        <v>229</v>
      </c>
      <c r="BQ26" s="446">
        <f t="shared" si="37"/>
        <v>0.7</v>
      </c>
      <c r="BR26" s="445">
        <f t="shared" si="38"/>
        <v>0.76670000000000005</v>
      </c>
      <c r="BS26" s="445">
        <f t="shared" si="39"/>
        <v>0.83330000000000004</v>
      </c>
      <c r="BT26" s="445">
        <f t="shared" si="40"/>
        <v>0.9</v>
      </c>
      <c r="BU26" s="444">
        <f t="shared" si="41"/>
        <v>1</v>
      </c>
      <c r="BV26" s="447"/>
      <c r="BW26" s="403"/>
    </row>
    <row r="27" spans="2:75" s="416" customFormat="1" ht="12.95" customHeight="1" x14ac:dyDescent="0.25">
      <c r="B27" s="433">
        <f>IF(ISNA(Z27),"",IF(OR(Z27=1,Z27=2),"    ",MAX($B$11:B26)+1))</f>
        <v>13</v>
      </c>
      <c r="C27" s="1618" t="str">
        <f t="shared" si="0"/>
        <v xml:space="preserve">      - Data Honesty &amp; Context (6.0%)</v>
      </c>
      <c r="D27" s="1618"/>
      <c r="E27" s="1618"/>
      <c r="F27" s="1619"/>
      <c r="G27" s="437">
        <f t="shared" si="1"/>
        <v>1</v>
      </c>
      <c r="H27" s="431" t="str">
        <f t="shared" si="2"/>
        <v>2*</v>
      </c>
      <c r="I27" s="436">
        <f t="shared" si="3"/>
        <v>3</v>
      </c>
      <c r="J27" s="449">
        <v>1</v>
      </c>
      <c r="K27" s="448">
        <v>4</v>
      </c>
      <c r="L27" s="1612"/>
      <c r="M27" s="1613"/>
      <c r="N27" s="1613"/>
      <c r="O27" s="1613"/>
      <c r="P27" s="1613"/>
      <c r="Q27" s="1613"/>
      <c r="R27" s="1614"/>
      <c r="T27" s="401">
        <v>17</v>
      </c>
      <c r="U27" s="374" t="s">
        <v>631</v>
      </c>
      <c r="V27" s="421">
        <v>1</v>
      </c>
      <c r="W27" s="421">
        <v>2</v>
      </c>
      <c r="X27" s="421" t="s">
        <v>212</v>
      </c>
      <c r="Y27" s="421" t="s">
        <v>212</v>
      </c>
      <c r="Z27" s="393" t="s">
        <v>212</v>
      </c>
      <c r="AA27" s="393">
        <v>2</v>
      </c>
      <c r="AB27" s="393">
        <v>1</v>
      </c>
      <c r="AC27" s="421">
        <v>3</v>
      </c>
      <c r="AD27" s="421">
        <v>2</v>
      </c>
      <c r="AE27" s="421">
        <v>1</v>
      </c>
      <c r="AF27" s="421" t="b">
        <v>1</v>
      </c>
      <c r="AG27" s="421">
        <f t="shared" si="4"/>
        <v>2</v>
      </c>
      <c r="AH27" s="421">
        <f t="shared" si="5"/>
        <v>1</v>
      </c>
      <c r="AI27" s="427">
        <f>IF(NOT(OR(Z27=1,Z27=2)),IF(AQ27&gt;0,$AR$47*AQ27/SUMIF($AQ$11:$AQ$42,"&gt;0"),IF(AU27&gt;0,$AV$47*AU27/SUMIF($AU$11:$AU$42,"&gt;0"),IF(AS27&gt;0,$AT$47*AS27/SUMIF($AS$11:$AS$42,"&gt;0"),""))),IF(SUMIF(AJ28:$AJ$42,"=" &amp; AJ27,AI28:$AI$42)=0,"",SUMIF(AJ28:$AJ$42,"=" &amp; AJ27,AI28:$AI$42)))</f>
        <v>6.0000001932000051E-2</v>
      </c>
      <c r="AJ27" s="426">
        <f t="shared" si="36"/>
        <v>3</v>
      </c>
      <c r="AK27" s="421">
        <f t="shared" si="6"/>
        <v>2</v>
      </c>
      <c r="AL27" s="393">
        <f t="shared" si="7"/>
        <v>4</v>
      </c>
      <c r="AM27" s="393">
        <f t="shared" si="8"/>
        <v>1</v>
      </c>
      <c r="AN27" s="393" t="str">
        <f t="shared" si="9"/>
        <v/>
      </c>
      <c r="AO27" s="393" t="str">
        <f t="shared" si="10"/>
        <v/>
      </c>
      <c r="AP27" s="421" t="b">
        <f t="shared" si="11"/>
        <v>0</v>
      </c>
      <c r="AQ27" s="425">
        <f t="shared" si="12"/>
        <v>2</v>
      </c>
      <c r="AR27" s="423">
        <f t="shared" si="13"/>
        <v>1</v>
      </c>
      <c r="AS27" s="424">
        <f t="shared" si="14"/>
        <v>0</v>
      </c>
      <c r="AT27" s="423" t="str">
        <f t="shared" si="15"/>
        <v/>
      </c>
      <c r="AU27" s="420">
        <f t="shared" si="16"/>
        <v>0</v>
      </c>
      <c r="AV27" s="422">
        <f t="shared" si="17"/>
        <v>1</v>
      </c>
      <c r="AW27" s="420" t="b">
        <f t="shared" si="18"/>
        <v>0</v>
      </c>
      <c r="AX27" s="419" t="b">
        <f t="shared" si="19"/>
        <v>0</v>
      </c>
      <c r="AY27" s="420" t="b">
        <f t="shared" si="20"/>
        <v>0</v>
      </c>
      <c r="AZ27" s="419" t="b">
        <f t="shared" si="21"/>
        <v>0</v>
      </c>
      <c r="BA27" s="421" t="b">
        <f t="shared" si="22"/>
        <v>0</v>
      </c>
      <c r="BB27" s="421" t="b">
        <f t="shared" si="23"/>
        <v>0</v>
      </c>
      <c r="BC27" s="420" t="b">
        <f t="shared" si="24"/>
        <v>0</v>
      </c>
      <c r="BD27" s="393" t="b">
        <f t="shared" si="25"/>
        <v>0</v>
      </c>
      <c r="BE27" s="419" t="b">
        <f t="shared" si="26"/>
        <v>0</v>
      </c>
      <c r="BF27" s="418" t="b">
        <f t="shared" si="27"/>
        <v>0</v>
      </c>
      <c r="BG27" s="417" t="b">
        <f t="shared" si="28"/>
        <v>0</v>
      </c>
      <c r="BH27" s="417">
        <f t="shared" si="29"/>
        <v>1</v>
      </c>
      <c r="BI27" s="417">
        <f t="shared" si="30"/>
        <v>2</v>
      </c>
      <c r="BJ27" s="417" t="str">
        <f t="shared" si="31"/>
        <v>2*</v>
      </c>
      <c r="BK27" s="417">
        <f t="shared" si="32"/>
        <v>3</v>
      </c>
      <c r="BL27" s="435">
        <f t="shared" si="33"/>
        <v>1</v>
      </c>
      <c r="BM27" s="417">
        <f t="shared" si="34"/>
        <v>2</v>
      </c>
      <c r="BN27" s="417">
        <f t="shared" si="35"/>
        <v>3</v>
      </c>
      <c r="BO27" s="1630"/>
      <c r="BP27" s="443" t="s">
        <v>230</v>
      </c>
      <c r="BQ27" s="446">
        <f t="shared" si="37"/>
        <v>0.6</v>
      </c>
      <c r="BR27" s="445">
        <f t="shared" si="38"/>
        <v>0.9</v>
      </c>
      <c r="BS27" s="445">
        <f t="shared" si="39"/>
        <v>0.93330000000000002</v>
      </c>
      <c r="BT27" s="445">
        <f t="shared" si="40"/>
        <v>0.9667</v>
      </c>
      <c r="BU27" s="444">
        <f t="shared" si="41"/>
        <v>1</v>
      </c>
      <c r="BV27" s="447"/>
      <c r="BW27" s="403"/>
    </row>
    <row r="28" spans="2:75" s="416" customFormat="1" ht="12.95" customHeight="1" x14ac:dyDescent="0.25">
      <c r="B28" s="433" t="str">
        <f>IF(ISNA(Z28),"",IF(OR(Z28=1,Z28=2),"    ",MAX($B$11:B27)+1))</f>
        <v/>
      </c>
      <c r="C28" s="1618" t="str">
        <f t="shared" si="0"/>
        <v/>
      </c>
      <c r="D28" s="1618"/>
      <c r="E28" s="1618"/>
      <c r="F28" s="1619"/>
      <c r="G28" s="437" t="str">
        <f t="shared" si="1"/>
        <v/>
      </c>
      <c r="H28" s="431" t="str">
        <f t="shared" si="2"/>
        <v/>
      </c>
      <c r="I28" s="436" t="str">
        <f t="shared" si="3"/>
        <v/>
      </c>
      <c r="J28" s="429"/>
      <c r="K28" s="428"/>
      <c r="L28" s="1612"/>
      <c r="M28" s="1613"/>
      <c r="N28" s="1613"/>
      <c r="O28" s="1613"/>
      <c r="P28" s="1613"/>
      <c r="Q28" s="1613"/>
      <c r="R28" s="1614"/>
      <c r="T28" s="401">
        <v>18</v>
      </c>
      <c r="U28" s="374" t="e">
        <v>#N/A</v>
      </c>
      <c r="V28" s="421" t="e">
        <v>#N/A</v>
      </c>
      <c r="W28" s="421" t="e">
        <v>#N/A</v>
      </c>
      <c r="X28" s="421" t="e">
        <v>#N/A</v>
      </c>
      <c r="Y28" s="421" t="e">
        <v>#N/A</v>
      </c>
      <c r="Z28" s="393" t="e">
        <v>#N/A</v>
      </c>
      <c r="AA28" s="393" t="e">
        <v>#N/A</v>
      </c>
      <c r="AB28" s="393" t="e">
        <v>#N/A</v>
      </c>
      <c r="AC28" s="421" t="e">
        <v>#N/A</v>
      </c>
      <c r="AD28" s="421" t="e">
        <v>#N/A</v>
      </c>
      <c r="AE28" s="421" t="e">
        <v>#N/A</v>
      </c>
      <c r="AF28" s="421" t="e">
        <v>#N/A</v>
      </c>
      <c r="AG28" s="421" t="e">
        <f t="shared" si="4"/>
        <v>#N/A</v>
      </c>
      <c r="AH28" s="421" t="str">
        <f t="shared" si="5"/>
        <v/>
      </c>
      <c r="AI28" s="427" t="e">
        <f>IF(NOT(OR(Z28=1,Z28=2)),IF(AQ28&gt;0,$AR$47*AQ28/SUMIF($AQ$11:$AQ$42,"&gt;0"),IF(AU28&gt;0,$AV$47*AU28/SUMIF($AU$11:$AU$42,"&gt;0"),IF(AS28&gt;0,$AT$47*AS28/SUMIF($AS$11:$AS$42,"&gt;0"),""))),IF(SUMIF(AJ29:$AJ$42,"=" &amp; AJ28,AI29:$AI$42)=0,"",SUMIF(AJ29:$AJ$42,"=" &amp; AJ28,AI29:$AI$42)))</f>
        <v>#N/A</v>
      </c>
      <c r="AJ28" s="426" t="e">
        <f t="shared" si="36"/>
        <v>#N/A</v>
      </c>
      <c r="AK28" s="421" t="str">
        <f t="shared" si="6"/>
        <v/>
      </c>
      <c r="AL28" s="393" t="str">
        <f t="shared" si="7"/>
        <v/>
      </c>
      <c r="AM28" s="393" t="str">
        <f t="shared" si="8"/>
        <v/>
      </c>
      <c r="AN28" s="393" t="str">
        <f t="shared" si="9"/>
        <v/>
      </c>
      <c r="AO28" s="393" t="e">
        <f t="shared" si="10"/>
        <v>#N/A</v>
      </c>
      <c r="AP28" s="421" t="str">
        <f t="shared" si="11"/>
        <v/>
      </c>
      <c r="AQ28" s="425">
        <f t="shared" si="12"/>
        <v>0</v>
      </c>
      <c r="AR28" s="423" t="str">
        <f t="shared" si="13"/>
        <v/>
      </c>
      <c r="AS28" s="424">
        <f t="shared" si="14"/>
        <v>0</v>
      </c>
      <c r="AT28" s="423" t="str">
        <f t="shared" si="15"/>
        <v/>
      </c>
      <c r="AU28" s="420">
        <f t="shared" si="16"/>
        <v>0</v>
      </c>
      <c r="AV28" s="422" t="str">
        <f t="shared" si="17"/>
        <v/>
      </c>
      <c r="AW28" s="420" t="b">
        <f t="shared" si="18"/>
        <v>0</v>
      </c>
      <c r="AX28" s="419" t="b">
        <f t="shared" si="19"/>
        <v>0</v>
      </c>
      <c r="AY28" s="420" t="b">
        <f t="shared" si="20"/>
        <v>0</v>
      </c>
      <c r="AZ28" s="419" t="b">
        <f t="shared" si="21"/>
        <v>0</v>
      </c>
      <c r="BA28" s="421" t="b">
        <f t="shared" si="22"/>
        <v>0</v>
      </c>
      <c r="BB28" s="421" t="b">
        <f t="shared" si="23"/>
        <v>0</v>
      </c>
      <c r="BC28" s="420" t="b">
        <f t="shared" si="24"/>
        <v>0</v>
      </c>
      <c r="BD28" s="393" t="b">
        <f t="shared" si="25"/>
        <v>0</v>
      </c>
      <c r="BE28" s="419" t="b">
        <f t="shared" si="26"/>
        <v>0</v>
      </c>
      <c r="BF28" s="418" t="b">
        <f t="shared" si="27"/>
        <v>0</v>
      </c>
      <c r="BG28" s="417" t="str">
        <f t="shared" si="28"/>
        <v>NA</v>
      </c>
      <c r="BH28" s="417" t="str">
        <f t="shared" si="29"/>
        <v/>
      </c>
      <c r="BI28" s="417" t="str">
        <f t="shared" si="30"/>
        <v/>
      </c>
      <c r="BJ28" s="417" t="str">
        <f t="shared" si="31"/>
        <v/>
      </c>
      <c r="BK28" s="417" t="str">
        <f t="shared" si="32"/>
        <v/>
      </c>
      <c r="BL28" s="435" t="str">
        <f t="shared" si="33"/>
        <v/>
      </c>
      <c r="BM28" s="417" t="str">
        <f t="shared" si="34"/>
        <v/>
      </c>
      <c r="BN28" s="417" t="str">
        <f t="shared" si="35"/>
        <v/>
      </c>
      <c r="BO28" s="1630"/>
      <c r="BP28" s="443" t="s">
        <v>231</v>
      </c>
      <c r="BQ28" s="446">
        <f t="shared" si="37"/>
        <v>0.6</v>
      </c>
      <c r="BR28" s="445">
        <f t="shared" si="38"/>
        <v>0.7</v>
      </c>
      <c r="BS28" s="445">
        <f t="shared" si="39"/>
        <v>0.9</v>
      </c>
      <c r="BT28" s="445">
        <f t="shared" si="40"/>
        <v>0.95</v>
      </c>
      <c r="BU28" s="444">
        <f t="shared" si="41"/>
        <v>1</v>
      </c>
      <c r="BV28" s="447"/>
      <c r="BW28" s="403"/>
    </row>
    <row r="29" spans="2:75" s="416" customFormat="1" ht="12.95" customHeight="1" x14ac:dyDescent="0.25">
      <c r="B29" s="433" t="str">
        <f>IF(ISNA(Z29),"",IF(OR(Z29=1,Z29=2),"    ",MAX($B$11:B28)+1))</f>
        <v/>
      </c>
      <c r="C29" s="1618" t="str">
        <f t="shared" si="0"/>
        <v/>
      </c>
      <c r="D29" s="1618"/>
      <c r="E29" s="1618"/>
      <c r="F29" s="1619"/>
      <c r="G29" s="437" t="str">
        <f t="shared" si="1"/>
        <v/>
      </c>
      <c r="H29" s="431" t="str">
        <f t="shared" si="2"/>
        <v/>
      </c>
      <c r="I29" s="436" t="str">
        <f t="shared" si="3"/>
        <v/>
      </c>
      <c r="J29" s="429"/>
      <c r="K29" s="428"/>
      <c r="L29" s="1612"/>
      <c r="M29" s="1613"/>
      <c r="N29" s="1613"/>
      <c r="O29" s="1613"/>
      <c r="P29" s="1613"/>
      <c r="Q29" s="1613"/>
      <c r="R29" s="1614"/>
      <c r="T29" s="401">
        <v>19</v>
      </c>
      <c r="U29" s="374" t="e">
        <v>#N/A</v>
      </c>
      <c r="V29" s="421" t="e">
        <v>#N/A</v>
      </c>
      <c r="W29" s="421" t="e">
        <v>#N/A</v>
      </c>
      <c r="X29" s="421" t="e">
        <v>#N/A</v>
      </c>
      <c r="Y29" s="421" t="e">
        <v>#N/A</v>
      </c>
      <c r="Z29" s="393" t="e">
        <v>#N/A</v>
      </c>
      <c r="AA29" s="393" t="e">
        <v>#N/A</v>
      </c>
      <c r="AB29" s="393" t="e">
        <v>#N/A</v>
      </c>
      <c r="AC29" s="421" t="e">
        <v>#N/A</v>
      </c>
      <c r="AD29" s="421" t="e">
        <v>#N/A</v>
      </c>
      <c r="AE29" s="421" t="e">
        <v>#N/A</v>
      </c>
      <c r="AF29" s="421" t="e">
        <v>#N/A</v>
      </c>
      <c r="AG29" s="421" t="e">
        <f t="shared" si="4"/>
        <v>#N/A</v>
      </c>
      <c r="AH29" s="421" t="str">
        <f t="shared" si="5"/>
        <v/>
      </c>
      <c r="AI29" s="427" t="e">
        <f>IF(NOT(OR(Z29=1,Z29=2)),IF(AQ29&gt;0,$AR$47*AQ29/SUMIF($AQ$11:$AQ$42,"&gt;0"),IF(AU29&gt;0,$AV$47*AU29/SUMIF($AU$11:$AU$42,"&gt;0"),IF(AS29&gt;0,$AT$47*AS29/SUMIF($AS$11:$AS$42,"&gt;0"),""))),IF(SUMIF(AJ30:$AJ$42,"=" &amp; AJ29,AI30:$AI$42)=0,"",SUMIF(AJ30:$AJ$42,"=" &amp; AJ29,AI30:$AI$42)))</f>
        <v>#N/A</v>
      </c>
      <c r="AJ29" s="426" t="e">
        <f t="shared" si="36"/>
        <v>#N/A</v>
      </c>
      <c r="AK29" s="421" t="str">
        <f t="shared" si="6"/>
        <v/>
      </c>
      <c r="AL29" s="393" t="str">
        <f t="shared" si="7"/>
        <v/>
      </c>
      <c r="AM29" s="393" t="str">
        <f t="shared" si="8"/>
        <v/>
      </c>
      <c r="AN29" s="393" t="str">
        <f t="shared" si="9"/>
        <v/>
      </c>
      <c r="AO29" s="393" t="e">
        <f t="shared" si="10"/>
        <v>#N/A</v>
      </c>
      <c r="AP29" s="421" t="str">
        <f t="shared" si="11"/>
        <v/>
      </c>
      <c r="AQ29" s="425">
        <f t="shared" si="12"/>
        <v>0</v>
      </c>
      <c r="AR29" s="423" t="str">
        <f t="shared" si="13"/>
        <v/>
      </c>
      <c r="AS29" s="424">
        <f t="shared" si="14"/>
        <v>0</v>
      </c>
      <c r="AT29" s="423" t="str">
        <f t="shared" si="15"/>
        <v/>
      </c>
      <c r="AU29" s="420">
        <f t="shared" si="16"/>
        <v>0</v>
      </c>
      <c r="AV29" s="422" t="str">
        <f t="shared" si="17"/>
        <v/>
      </c>
      <c r="AW29" s="420" t="b">
        <f t="shared" si="18"/>
        <v>0</v>
      </c>
      <c r="AX29" s="419" t="b">
        <f t="shared" si="19"/>
        <v>0</v>
      </c>
      <c r="AY29" s="420" t="b">
        <f t="shared" si="20"/>
        <v>0</v>
      </c>
      <c r="AZ29" s="419" t="b">
        <f t="shared" si="21"/>
        <v>0</v>
      </c>
      <c r="BA29" s="421" t="b">
        <f t="shared" si="22"/>
        <v>0</v>
      </c>
      <c r="BB29" s="421" t="b">
        <f t="shared" si="23"/>
        <v>0</v>
      </c>
      <c r="BC29" s="420" t="b">
        <f t="shared" si="24"/>
        <v>0</v>
      </c>
      <c r="BD29" s="393" t="b">
        <f t="shared" si="25"/>
        <v>0</v>
      </c>
      <c r="BE29" s="419" t="b">
        <f t="shared" si="26"/>
        <v>0</v>
      </c>
      <c r="BF29" s="418" t="b">
        <f t="shared" si="27"/>
        <v>0</v>
      </c>
      <c r="BG29" s="417" t="str">
        <f t="shared" si="28"/>
        <v>NA</v>
      </c>
      <c r="BH29" s="417" t="str">
        <f t="shared" si="29"/>
        <v/>
      </c>
      <c r="BI29" s="417" t="str">
        <f t="shared" si="30"/>
        <v/>
      </c>
      <c r="BJ29" s="417" t="str">
        <f t="shared" si="31"/>
        <v/>
      </c>
      <c r="BK29" s="417" t="str">
        <f t="shared" si="32"/>
        <v/>
      </c>
      <c r="BL29" s="435" t="str">
        <f t="shared" si="33"/>
        <v/>
      </c>
      <c r="BM29" s="417" t="str">
        <f t="shared" si="34"/>
        <v/>
      </c>
      <c r="BN29" s="417" t="str">
        <f t="shared" si="35"/>
        <v/>
      </c>
      <c r="BO29" s="1630"/>
      <c r="BP29" s="443" t="s">
        <v>232</v>
      </c>
      <c r="BQ29" s="446">
        <f t="shared" si="37"/>
        <v>0.6</v>
      </c>
      <c r="BR29" s="445">
        <f t="shared" si="38"/>
        <v>0.7</v>
      </c>
      <c r="BS29" s="445">
        <f t="shared" si="39"/>
        <v>0.8</v>
      </c>
      <c r="BT29" s="445">
        <f t="shared" si="40"/>
        <v>0.9</v>
      </c>
      <c r="BU29" s="444">
        <f t="shared" si="41"/>
        <v>1</v>
      </c>
    </row>
    <row r="30" spans="2:75" s="416" customFormat="1" ht="12.95" customHeight="1" x14ac:dyDescent="0.25">
      <c r="B30" s="433" t="str">
        <f>IF(ISNA(Z30),"",IF(OR(Z30=1,Z30=2),"    ",MAX($B$11:B29)+1))</f>
        <v/>
      </c>
      <c r="C30" s="1618" t="str">
        <f t="shared" si="0"/>
        <v/>
      </c>
      <c r="D30" s="1618"/>
      <c r="E30" s="1618"/>
      <c r="F30" s="1619"/>
      <c r="G30" s="437" t="str">
        <f t="shared" si="1"/>
        <v/>
      </c>
      <c r="H30" s="431" t="str">
        <f t="shared" si="2"/>
        <v/>
      </c>
      <c r="I30" s="436" t="str">
        <f t="shared" si="3"/>
        <v/>
      </c>
      <c r="J30" s="429"/>
      <c r="K30" s="428"/>
      <c r="L30" s="1612"/>
      <c r="M30" s="1613"/>
      <c r="N30" s="1613"/>
      <c r="O30" s="1613"/>
      <c r="P30" s="1613"/>
      <c r="Q30" s="1613"/>
      <c r="R30" s="1614"/>
      <c r="T30" s="401">
        <v>20</v>
      </c>
      <c r="U30" s="374" t="e">
        <v>#N/A</v>
      </c>
      <c r="V30" s="421" t="e">
        <v>#N/A</v>
      </c>
      <c r="W30" s="421" t="e">
        <v>#N/A</v>
      </c>
      <c r="X30" s="421" t="e">
        <v>#N/A</v>
      </c>
      <c r="Y30" s="421" t="e">
        <v>#N/A</v>
      </c>
      <c r="Z30" s="393" t="e">
        <v>#N/A</v>
      </c>
      <c r="AA30" s="393" t="e">
        <v>#N/A</v>
      </c>
      <c r="AB30" s="393" t="e">
        <v>#N/A</v>
      </c>
      <c r="AC30" s="421" t="e">
        <v>#N/A</v>
      </c>
      <c r="AD30" s="421" t="e">
        <v>#N/A</v>
      </c>
      <c r="AE30" s="421" t="e">
        <v>#N/A</v>
      </c>
      <c r="AF30" s="421" t="e">
        <v>#N/A</v>
      </c>
      <c r="AG30" s="421" t="e">
        <f t="shared" si="4"/>
        <v>#N/A</v>
      </c>
      <c r="AH30" s="421" t="str">
        <f t="shared" si="5"/>
        <v/>
      </c>
      <c r="AI30" s="427" t="e">
        <f>IF(NOT(OR(Z30=1,Z30=2)),IF(AQ30&gt;0,$AR$47*AQ30/SUMIF($AQ$11:$AQ$42,"&gt;0"),IF(AU30&gt;0,$AV$47*AU30/SUMIF($AU$11:$AU$42,"&gt;0"),IF(AS30&gt;0,$AT$47*AS30/SUMIF($AS$11:$AS$42,"&gt;0"),""))),IF(SUMIF(AJ31:$AJ$42,"=" &amp; AJ30,AI31:$AI$42)=0,"",SUMIF(AJ31:$AJ$42,"=" &amp; AJ30,AI31:$AI$42)))</f>
        <v>#N/A</v>
      </c>
      <c r="AJ30" s="426" t="e">
        <f t="shared" si="36"/>
        <v>#N/A</v>
      </c>
      <c r="AK30" s="421" t="str">
        <f t="shared" si="6"/>
        <v/>
      </c>
      <c r="AL30" s="393" t="str">
        <f t="shared" si="7"/>
        <v/>
      </c>
      <c r="AM30" s="393" t="str">
        <f t="shared" si="8"/>
        <v/>
      </c>
      <c r="AN30" s="393" t="str">
        <f t="shared" si="9"/>
        <v/>
      </c>
      <c r="AO30" s="393" t="e">
        <f t="shared" si="10"/>
        <v>#N/A</v>
      </c>
      <c r="AP30" s="421" t="str">
        <f t="shared" si="11"/>
        <v/>
      </c>
      <c r="AQ30" s="425">
        <f t="shared" si="12"/>
        <v>0</v>
      </c>
      <c r="AR30" s="423" t="str">
        <f t="shared" si="13"/>
        <v/>
      </c>
      <c r="AS30" s="424">
        <f t="shared" si="14"/>
        <v>0</v>
      </c>
      <c r="AT30" s="423" t="str">
        <f t="shared" si="15"/>
        <v/>
      </c>
      <c r="AU30" s="420">
        <f t="shared" si="16"/>
        <v>0</v>
      </c>
      <c r="AV30" s="422" t="str">
        <f t="shared" si="17"/>
        <v/>
      </c>
      <c r="AW30" s="420" t="b">
        <f t="shared" si="18"/>
        <v>0</v>
      </c>
      <c r="AX30" s="419" t="b">
        <f t="shared" si="19"/>
        <v>0</v>
      </c>
      <c r="AY30" s="420" t="b">
        <f t="shared" si="20"/>
        <v>0</v>
      </c>
      <c r="AZ30" s="419" t="b">
        <f t="shared" si="21"/>
        <v>0</v>
      </c>
      <c r="BA30" s="421" t="b">
        <f t="shared" si="22"/>
        <v>0</v>
      </c>
      <c r="BB30" s="421" t="b">
        <f t="shared" si="23"/>
        <v>0</v>
      </c>
      <c r="BC30" s="420" t="b">
        <f t="shared" si="24"/>
        <v>0</v>
      </c>
      <c r="BD30" s="393" t="b">
        <f t="shared" si="25"/>
        <v>0</v>
      </c>
      <c r="BE30" s="419" t="b">
        <f t="shared" si="26"/>
        <v>0</v>
      </c>
      <c r="BF30" s="418" t="b">
        <f t="shared" si="27"/>
        <v>0</v>
      </c>
      <c r="BG30" s="417" t="str">
        <f t="shared" si="28"/>
        <v>NA</v>
      </c>
      <c r="BH30" s="417" t="str">
        <f t="shared" si="29"/>
        <v/>
      </c>
      <c r="BI30" s="417" t="str">
        <f t="shared" si="30"/>
        <v/>
      </c>
      <c r="BJ30" s="417" t="str">
        <f t="shared" si="31"/>
        <v/>
      </c>
      <c r="BK30" s="417" t="str">
        <f t="shared" si="32"/>
        <v/>
      </c>
      <c r="BL30" s="435" t="str">
        <f t="shared" si="33"/>
        <v/>
      </c>
      <c r="BM30" s="417" t="str">
        <f t="shared" si="34"/>
        <v/>
      </c>
      <c r="BN30" s="417" t="str">
        <f t="shared" si="35"/>
        <v/>
      </c>
      <c r="BO30" s="1630"/>
      <c r="BP30" s="443" t="s">
        <v>233</v>
      </c>
      <c r="BQ30" s="446">
        <f t="shared" si="37"/>
        <v>0.3</v>
      </c>
      <c r="BR30" s="445">
        <f t="shared" si="38"/>
        <v>0.6</v>
      </c>
      <c r="BS30" s="445">
        <f t="shared" si="39"/>
        <v>0.9</v>
      </c>
      <c r="BT30" s="445">
        <f t="shared" si="40"/>
        <v>0.95</v>
      </c>
      <c r="BU30" s="444">
        <f t="shared" si="41"/>
        <v>1</v>
      </c>
    </row>
    <row r="31" spans="2:75" s="416" customFormat="1" ht="12.95" customHeight="1" x14ac:dyDescent="0.25">
      <c r="B31" s="433" t="str">
        <f>IF(ISNA(Z31),"",IF(OR(Z31=1,Z31=2),"    ",MAX($B$11:B30)+1))</f>
        <v/>
      </c>
      <c r="C31" s="1618" t="str">
        <f t="shared" si="0"/>
        <v/>
      </c>
      <c r="D31" s="1618"/>
      <c r="E31" s="1618"/>
      <c r="F31" s="1619"/>
      <c r="G31" s="437" t="str">
        <f t="shared" si="1"/>
        <v/>
      </c>
      <c r="H31" s="431" t="str">
        <f t="shared" si="2"/>
        <v/>
      </c>
      <c r="I31" s="436" t="str">
        <f t="shared" si="3"/>
        <v/>
      </c>
      <c r="J31" s="429"/>
      <c r="K31" s="428"/>
      <c r="L31" s="1612"/>
      <c r="M31" s="1613"/>
      <c r="N31" s="1613"/>
      <c r="O31" s="1613"/>
      <c r="P31" s="1613"/>
      <c r="Q31" s="1613"/>
      <c r="R31" s="1614"/>
      <c r="T31" s="401">
        <v>21</v>
      </c>
      <c r="U31" s="374" t="e">
        <v>#N/A</v>
      </c>
      <c r="V31" s="421" t="e">
        <v>#N/A</v>
      </c>
      <c r="W31" s="421" t="e">
        <v>#N/A</v>
      </c>
      <c r="X31" s="421" t="e">
        <v>#N/A</v>
      </c>
      <c r="Y31" s="421" t="e">
        <v>#N/A</v>
      </c>
      <c r="Z31" s="393" t="e">
        <v>#N/A</v>
      </c>
      <c r="AA31" s="393" t="e">
        <v>#N/A</v>
      </c>
      <c r="AB31" s="393" t="e">
        <v>#N/A</v>
      </c>
      <c r="AC31" s="421" t="e">
        <v>#N/A</v>
      </c>
      <c r="AD31" s="421" t="e">
        <v>#N/A</v>
      </c>
      <c r="AE31" s="421" t="e">
        <v>#N/A</v>
      </c>
      <c r="AF31" s="421" t="e">
        <v>#N/A</v>
      </c>
      <c r="AG31" s="421" t="e">
        <f t="shared" si="4"/>
        <v>#N/A</v>
      </c>
      <c r="AH31" s="421" t="str">
        <f t="shared" si="5"/>
        <v/>
      </c>
      <c r="AI31" s="427" t="e">
        <f>IF(NOT(OR(Z31=1,Z31=2)),IF(AQ31&gt;0,$AR$47*AQ31/SUMIF($AQ$11:$AQ$42,"&gt;0"),IF(AU31&gt;0,$AV$47*AU31/SUMIF($AU$11:$AU$42,"&gt;0"),IF(AS31&gt;0,$AT$47*AS31/SUMIF($AS$11:$AS$42,"&gt;0"),""))),IF(SUMIF(AJ32:$AJ$42,"=" &amp; AJ31,AI32:$AI$42)=0,"",SUMIF(AJ32:$AJ$42,"=" &amp; AJ31,AI32:$AI$42)))</f>
        <v>#N/A</v>
      </c>
      <c r="AJ31" s="426" t="e">
        <f t="shared" si="36"/>
        <v>#N/A</v>
      </c>
      <c r="AK31" s="421" t="str">
        <f t="shared" si="6"/>
        <v/>
      </c>
      <c r="AL31" s="393" t="str">
        <f t="shared" si="7"/>
        <v/>
      </c>
      <c r="AM31" s="393" t="str">
        <f t="shared" si="8"/>
        <v/>
      </c>
      <c r="AN31" s="393" t="str">
        <f t="shared" si="9"/>
        <v/>
      </c>
      <c r="AO31" s="393" t="e">
        <f t="shared" si="10"/>
        <v>#N/A</v>
      </c>
      <c r="AP31" s="421" t="str">
        <f t="shared" si="11"/>
        <v/>
      </c>
      <c r="AQ31" s="425">
        <f t="shared" si="12"/>
        <v>0</v>
      </c>
      <c r="AR31" s="423" t="str">
        <f t="shared" si="13"/>
        <v/>
      </c>
      <c r="AS31" s="424">
        <f t="shared" si="14"/>
        <v>0</v>
      </c>
      <c r="AT31" s="423" t="str">
        <f t="shared" si="15"/>
        <v/>
      </c>
      <c r="AU31" s="420">
        <f t="shared" si="16"/>
        <v>0</v>
      </c>
      <c r="AV31" s="422" t="str">
        <f t="shared" si="17"/>
        <v/>
      </c>
      <c r="AW31" s="420" t="b">
        <f t="shared" si="18"/>
        <v>0</v>
      </c>
      <c r="AX31" s="419" t="b">
        <f t="shared" si="19"/>
        <v>0</v>
      </c>
      <c r="AY31" s="420" t="b">
        <f t="shared" si="20"/>
        <v>0</v>
      </c>
      <c r="AZ31" s="419" t="b">
        <f t="shared" si="21"/>
        <v>0</v>
      </c>
      <c r="BA31" s="421" t="b">
        <f t="shared" si="22"/>
        <v>0</v>
      </c>
      <c r="BB31" s="421" t="b">
        <f t="shared" si="23"/>
        <v>0</v>
      </c>
      <c r="BC31" s="420" t="b">
        <f t="shared" si="24"/>
        <v>0</v>
      </c>
      <c r="BD31" s="393" t="b">
        <f t="shared" si="25"/>
        <v>0</v>
      </c>
      <c r="BE31" s="419" t="b">
        <f t="shared" si="26"/>
        <v>0</v>
      </c>
      <c r="BF31" s="418" t="b">
        <f t="shared" si="27"/>
        <v>0</v>
      </c>
      <c r="BG31" s="417" t="str">
        <f t="shared" si="28"/>
        <v>NA</v>
      </c>
      <c r="BH31" s="417" t="str">
        <f t="shared" si="29"/>
        <v/>
      </c>
      <c r="BI31" s="417" t="str">
        <f t="shared" si="30"/>
        <v/>
      </c>
      <c r="BJ31" s="417" t="str">
        <f t="shared" si="31"/>
        <v/>
      </c>
      <c r="BK31" s="417" t="str">
        <f t="shared" si="32"/>
        <v/>
      </c>
      <c r="BL31" s="435" t="str">
        <f t="shared" si="33"/>
        <v/>
      </c>
      <c r="BM31" s="417" t="str">
        <f t="shared" si="34"/>
        <v/>
      </c>
      <c r="BN31" s="417" t="str">
        <f t="shared" si="35"/>
        <v/>
      </c>
      <c r="BO31" s="1630"/>
      <c r="BP31" s="443" t="s">
        <v>234</v>
      </c>
      <c r="BQ31" s="446">
        <f t="shared" si="37"/>
        <v>0.3</v>
      </c>
      <c r="BR31" s="445">
        <f t="shared" si="38"/>
        <v>0.6</v>
      </c>
      <c r="BS31" s="445">
        <f t="shared" si="39"/>
        <v>0.7</v>
      </c>
      <c r="BT31" s="445">
        <f t="shared" si="40"/>
        <v>0.9</v>
      </c>
      <c r="BU31" s="444">
        <f t="shared" si="41"/>
        <v>1</v>
      </c>
    </row>
    <row r="32" spans="2:75" s="416" customFormat="1" ht="12.95" customHeight="1" x14ac:dyDescent="0.25">
      <c r="B32" s="433" t="str">
        <f>IF(ISNA(Z32),"",IF(OR(Z32=1,Z32=2),"    ",MAX($B$11:B31)+1))</f>
        <v/>
      </c>
      <c r="C32" s="1618" t="str">
        <f t="shared" si="0"/>
        <v/>
      </c>
      <c r="D32" s="1618"/>
      <c r="E32" s="1618"/>
      <c r="F32" s="1619"/>
      <c r="G32" s="437" t="str">
        <f t="shared" si="1"/>
        <v/>
      </c>
      <c r="H32" s="431" t="str">
        <f t="shared" si="2"/>
        <v/>
      </c>
      <c r="I32" s="436" t="str">
        <f t="shared" si="3"/>
        <v/>
      </c>
      <c r="J32" s="429"/>
      <c r="K32" s="428"/>
      <c r="L32" s="1612"/>
      <c r="M32" s="1613"/>
      <c r="N32" s="1613"/>
      <c r="O32" s="1613"/>
      <c r="P32" s="1613"/>
      <c r="Q32" s="1613"/>
      <c r="R32" s="1614"/>
      <c r="T32" s="401">
        <v>22</v>
      </c>
      <c r="U32" s="374" t="e">
        <v>#N/A</v>
      </c>
      <c r="V32" s="421" t="e">
        <v>#N/A</v>
      </c>
      <c r="W32" s="421" t="e">
        <v>#N/A</v>
      </c>
      <c r="X32" s="421" t="e">
        <v>#N/A</v>
      </c>
      <c r="Y32" s="421" t="e">
        <v>#N/A</v>
      </c>
      <c r="Z32" s="393" t="e">
        <v>#N/A</v>
      </c>
      <c r="AA32" s="393" t="e">
        <v>#N/A</v>
      </c>
      <c r="AB32" s="393" t="e">
        <v>#N/A</v>
      </c>
      <c r="AC32" s="421" t="e">
        <v>#N/A</v>
      </c>
      <c r="AD32" s="421" t="e">
        <v>#N/A</v>
      </c>
      <c r="AE32" s="421" t="e">
        <v>#N/A</v>
      </c>
      <c r="AF32" s="421" t="e">
        <v>#N/A</v>
      </c>
      <c r="AG32" s="421" t="e">
        <f t="shared" si="4"/>
        <v>#N/A</v>
      </c>
      <c r="AH32" s="421" t="str">
        <f t="shared" si="5"/>
        <v/>
      </c>
      <c r="AI32" s="427" t="e">
        <f>IF(NOT(OR(Z32=1,Z32=2)),IF(AQ32&gt;0,$AR$47*AQ32/SUMIF($AQ$11:$AQ$42,"&gt;0"),IF(AU32&gt;0,$AV$47*AU32/SUMIF($AU$11:$AU$42,"&gt;0"),IF(AS32&gt;0,$AT$47*AS32/SUMIF($AS$11:$AS$42,"&gt;0"),""))),IF(SUMIF(AJ33:$AJ$42,"=" &amp; AJ32,AI33:$AI$42)=0,"",SUMIF(AJ33:$AJ$42,"=" &amp; AJ32,AI33:$AI$42)))</f>
        <v>#N/A</v>
      </c>
      <c r="AJ32" s="426" t="e">
        <f t="shared" si="36"/>
        <v>#N/A</v>
      </c>
      <c r="AK32" s="421" t="str">
        <f t="shared" si="6"/>
        <v/>
      </c>
      <c r="AL32" s="393" t="str">
        <f t="shared" si="7"/>
        <v/>
      </c>
      <c r="AM32" s="393" t="str">
        <f t="shared" si="8"/>
        <v/>
      </c>
      <c r="AN32" s="393" t="str">
        <f t="shared" si="9"/>
        <v/>
      </c>
      <c r="AO32" s="393" t="e">
        <f t="shared" si="10"/>
        <v>#N/A</v>
      </c>
      <c r="AP32" s="421" t="str">
        <f t="shared" si="11"/>
        <v/>
      </c>
      <c r="AQ32" s="425">
        <f t="shared" si="12"/>
        <v>0</v>
      </c>
      <c r="AR32" s="423" t="str">
        <f t="shared" si="13"/>
        <v/>
      </c>
      <c r="AS32" s="424">
        <f t="shared" si="14"/>
        <v>0</v>
      </c>
      <c r="AT32" s="423" t="str">
        <f t="shared" si="15"/>
        <v/>
      </c>
      <c r="AU32" s="420">
        <f t="shared" si="16"/>
        <v>0</v>
      </c>
      <c r="AV32" s="422" t="str">
        <f t="shared" si="17"/>
        <v/>
      </c>
      <c r="AW32" s="420" t="b">
        <f t="shared" si="18"/>
        <v>0</v>
      </c>
      <c r="AX32" s="419" t="b">
        <f t="shared" si="19"/>
        <v>0</v>
      </c>
      <c r="AY32" s="420" t="b">
        <f t="shared" si="20"/>
        <v>0</v>
      </c>
      <c r="AZ32" s="419" t="b">
        <f t="shared" si="21"/>
        <v>0</v>
      </c>
      <c r="BA32" s="421" t="b">
        <f t="shared" si="22"/>
        <v>0</v>
      </c>
      <c r="BB32" s="421" t="b">
        <f t="shared" si="23"/>
        <v>0</v>
      </c>
      <c r="BC32" s="420" t="b">
        <f t="shared" si="24"/>
        <v>0</v>
      </c>
      <c r="BD32" s="393" t="b">
        <f t="shared" si="25"/>
        <v>0</v>
      </c>
      <c r="BE32" s="419" t="b">
        <f t="shared" si="26"/>
        <v>0</v>
      </c>
      <c r="BF32" s="418" t="b">
        <f t="shared" si="27"/>
        <v>0</v>
      </c>
      <c r="BG32" s="417" t="str">
        <f t="shared" si="28"/>
        <v>NA</v>
      </c>
      <c r="BH32" s="417" t="str">
        <f t="shared" si="29"/>
        <v/>
      </c>
      <c r="BI32" s="417" t="str">
        <f t="shared" si="30"/>
        <v/>
      </c>
      <c r="BJ32" s="417" t="str">
        <f t="shared" si="31"/>
        <v/>
      </c>
      <c r="BK32" s="417" t="str">
        <f t="shared" si="32"/>
        <v/>
      </c>
      <c r="BL32" s="435" t="str">
        <f t="shared" si="33"/>
        <v/>
      </c>
      <c r="BM32" s="417" t="str">
        <f t="shared" si="34"/>
        <v/>
      </c>
      <c r="BN32" s="417" t="str">
        <f t="shared" si="35"/>
        <v/>
      </c>
      <c r="BO32" s="1630"/>
      <c r="BP32" s="443" t="s">
        <v>235</v>
      </c>
      <c r="BQ32" s="442">
        <f t="shared" si="37"/>
        <v>0</v>
      </c>
      <c r="BR32" s="441">
        <f t="shared" si="38"/>
        <v>0.3</v>
      </c>
      <c r="BS32" s="441">
        <f t="shared" si="39"/>
        <v>0.6</v>
      </c>
      <c r="BT32" s="441">
        <f t="shared" si="40"/>
        <v>0.9</v>
      </c>
      <c r="BU32" s="440">
        <f t="shared" si="41"/>
        <v>1</v>
      </c>
    </row>
    <row r="33" spans="2:73 1271:1271" s="416" customFormat="1" ht="12.95" customHeight="1" x14ac:dyDescent="0.25">
      <c r="B33" s="433" t="str">
        <f>IF(ISNA(Z33),"",IF(OR(Z33=1,Z33=2),"    ",MAX($B$11:B32)+1))</f>
        <v/>
      </c>
      <c r="C33" s="1618" t="str">
        <f t="shared" si="0"/>
        <v/>
      </c>
      <c r="D33" s="1618"/>
      <c r="E33" s="1618"/>
      <c r="F33" s="1619"/>
      <c r="G33" s="437" t="str">
        <f t="shared" si="1"/>
        <v/>
      </c>
      <c r="H33" s="431" t="str">
        <f t="shared" si="2"/>
        <v/>
      </c>
      <c r="I33" s="436" t="str">
        <f t="shared" si="3"/>
        <v/>
      </c>
      <c r="J33" s="429"/>
      <c r="K33" s="428"/>
      <c r="L33" s="1612"/>
      <c r="M33" s="1613"/>
      <c r="N33" s="1613"/>
      <c r="O33" s="1613"/>
      <c r="P33" s="1613"/>
      <c r="Q33" s="1613"/>
      <c r="R33" s="1614"/>
      <c r="T33" s="401">
        <v>23</v>
      </c>
      <c r="U33" s="374" t="e">
        <v>#N/A</v>
      </c>
      <c r="V33" s="421" t="e">
        <v>#N/A</v>
      </c>
      <c r="W33" s="421" t="e">
        <v>#N/A</v>
      </c>
      <c r="X33" s="421" t="e">
        <v>#N/A</v>
      </c>
      <c r="Y33" s="421" t="e">
        <v>#N/A</v>
      </c>
      <c r="Z33" s="393" t="e">
        <v>#N/A</v>
      </c>
      <c r="AA33" s="393" t="e">
        <v>#N/A</v>
      </c>
      <c r="AB33" s="393" t="e">
        <v>#N/A</v>
      </c>
      <c r="AC33" s="421" t="e">
        <v>#N/A</v>
      </c>
      <c r="AD33" s="421" t="e">
        <v>#N/A</v>
      </c>
      <c r="AE33" s="421" t="e">
        <v>#N/A</v>
      </c>
      <c r="AF33" s="421" t="e">
        <v>#N/A</v>
      </c>
      <c r="AG33" s="421" t="e">
        <f t="shared" si="4"/>
        <v>#N/A</v>
      </c>
      <c r="AH33" s="421" t="str">
        <f t="shared" si="5"/>
        <v/>
      </c>
      <c r="AI33" s="427" t="e">
        <f>IF(NOT(OR(Z33=1,Z33=2)),IF(AQ33&gt;0,$AR$47*AQ33/SUMIF($AQ$11:$AQ$42,"&gt;0"),IF(AU33&gt;0,$AV$47*AU33/SUMIF($AU$11:$AU$42,"&gt;0"),IF(AS33&gt;0,$AT$47*AS33/SUMIF($AS$11:$AS$42,"&gt;0"),""))),IF(SUMIF(AJ34:$AJ$42,"=" &amp; AJ33,AI34:$AI$42)=0,"",SUMIF(AJ34:$AJ$42,"=" &amp; AJ33,AI34:$AI$42)))</f>
        <v>#N/A</v>
      </c>
      <c r="AJ33" s="426" t="e">
        <f t="shared" si="36"/>
        <v>#N/A</v>
      </c>
      <c r="AK33" s="421" t="str">
        <f t="shared" si="6"/>
        <v/>
      </c>
      <c r="AL33" s="393" t="str">
        <f t="shared" si="7"/>
        <v/>
      </c>
      <c r="AM33" s="393" t="str">
        <f t="shared" si="8"/>
        <v/>
      </c>
      <c r="AN33" s="393" t="str">
        <f t="shared" si="9"/>
        <v/>
      </c>
      <c r="AO33" s="393" t="e">
        <f t="shared" si="10"/>
        <v>#N/A</v>
      </c>
      <c r="AP33" s="421" t="str">
        <f t="shared" si="11"/>
        <v/>
      </c>
      <c r="AQ33" s="425">
        <f t="shared" si="12"/>
        <v>0</v>
      </c>
      <c r="AR33" s="423" t="str">
        <f t="shared" si="13"/>
        <v/>
      </c>
      <c r="AS33" s="424">
        <f t="shared" si="14"/>
        <v>0</v>
      </c>
      <c r="AT33" s="423" t="str">
        <f t="shared" si="15"/>
        <v/>
      </c>
      <c r="AU33" s="420">
        <f t="shared" si="16"/>
        <v>0</v>
      </c>
      <c r="AV33" s="422" t="str">
        <f t="shared" si="17"/>
        <v/>
      </c>
      <c r="AW33" s="420" t="b">
        <f t="shared" si="18"/>
        <v>0</v>
      </c>
      <c r="AX33" s="419" t="b">
        <f t="shared" si="19"/>
        <v>0</v>
      </c>
      <c r="AY33" s="420" t="b">
        <f t="shared" si="20"/>
        <v>0</v>
      </c>
      <c r="AZ33" s="419" t="b">
        <f t="shared" si="21"/>
        <v>0</v>
      </c>
      <c r="BA33" s="421" t="b">
        <f t="shared" si="22"/>
        <v>0</v>
      </c>
      <c r="BB33" s="421" t="b">
        <f t="shared" si="23"/>
        <v>0</v>
      </c>
      <c r="BC33" s="420" t="b">
        <f t="shared" si="24"/>
        <v>0</v>
      </c>
      <c r="BD33" s="393" t="b">
        <f t="shared" si="25"/>
        <v>0</v>
      </c>
      <c r="BE33" s="419" t="b">
        <f t="shared" si="26"/>
        <v>0</v>
      </c>
      <c r="BF33" s="418" t="b">
        <f t="shared" si="27"/>
        <v>0</v>
      </c>
      <c r="BG33" s="417" t="str">
        <f t="shared" si="28"/>
        <v>NA</v>
      </c>
      <c r="BH33" s="417" t="str">
        <f t="shared" si="29"/>
        <v/>
      </c>
      <c r="BI33" s="417" t="str">
        <f t="shared" si="30"/>
        <v/>
      </c>
      <c r="BJ33" s="417" t="str">
        <f t="shared" si="31"/>
        <v/>
      </c>
      <c r="BK33" s="417" t="str">
        <f t="shared" si="32"/>
        <v/>
      </c>
      <c r="BL33" s="435" t="str">
        <f t="shared" si="33"/>
        <v/>
      </c>
      <c r="BM33" s="417" t="str">
        <f t="shared" si="34"/>
        <v/>
      </c>
      <c r="BN33" s="417" t="str">
        <f t="shared" si="35"/>
        <v/>
      </c>
      <c r="BO33" s="372"/>
    </row>
    <row r="34" spans="2:73 1271:1271" s="416" customFormat="1" ht="12.95" customHeight="1" x14ac:dyDescent="0.25">
      <c r="B34" s="433" t="str">
        <f>IF(ISNA(Z34),"",IF(OR(Z34=1,Z34=2),"    ",MAX($B$11:B33)+1))</f>
        <v/>
      </c>
      <c r="C34" s="1618" t="str">
        <f t="shared" si="0"/>
        <v/>
      </c>
      <c r="D34" s="1618"/>
      <c r="E34" s="1618"/>
      <c r="F34" s="1619"/>
      <c r="G34" s="437" t="str">
        <f t="shared" si="1"/>
        <v/>
      </c>
      <c r="H34" s="431" t="str">
        <f t="shared" si="2"/>
        <v/>
      </c>
      <c r="I34" s="436" t="str">
        <f t="shared" si="3"/>
        <v/>
      </c>
      <c r="J34" s="429"/>
      <c r="K34" s="428"/>
      <c r="L34" s="1612"/>
      <c r="M34" s="1613"/>
      <c r="N34" s="1613"/>
      <c r="O34" s="1613"/>
      <c r="P34" s="1613"/>
      <c r="Q34" s="1613"/>
      <c r="R34" s="1614"/>
      <c r="T34" s="401">
        <v>24</v>
      </c>
      <c r="U34" s="374" t="e">
        <v>#N/A</v>
      </c>
      <c r="V34" s="421" t="e">
        <v>#N/A</v>
      </c>
      <c r="W34" s="421" t="e">
        <v>#N/A</v>
      </c>
      <c r="X34" s="421" t="e">
        <v>#N/A</v>
      </c>
      <c r="Y34" s="421" t="e">
        <v>#N/A</v>
      </c>
      <c r="Z34" s="393" t="e">
        <v>#N/A</v>
      </c>
      <c r="AA34" s="393" t="e">
        <v>#N/A</v>
      </c>
      <c r="AB34" s="393" t="e">
        <v>#N/A</v>
      </c>
      <c r="AC34" s="421" t="e">
        <v>#N/A</v>
      </c>
      <c r="AD34" s="421" t="e">
        <v>#N/A</v>
      </c>
      <c r="AE34" s="421" t="e">
        <v>#N/A</v>
      </c>
      <c r="AF34" s="421" t="e">
        <v>#N/A</v>
      </c>
      <c r="AG34" s="421" t="e">
        <f t="shared" si="4"/>
        <v>#N/A</v>
      </c>
      <c r="AH34" s="421" t="str">
        <f t="shared" si="5"/>
        <v/>
      </c>
      <c r="AI34" s="427" t="e">
        <f>IF(NOT(OR(Z34=1,Z34=2)),IF(AQ34&gt;0,$AR$47*AQ34/SUMIF($AQ$11:$AQ$42,"&gt;0"),IF(AU34&gt;0,$AV$47*AU34/SUMIF($AU$11:$AU$42,"&gt;0"),IF(AS34&gt;0,$AT$47*AS34/SUMIF($AS$11:$AS$42,"&gt;0"),""))),IF(SUMIF(AJ35:$AJ$42,"=" &amp; AJ34,AI35:$AI$42)=0,"",SUMIF(AJ35:$AJ$42,"=" &amp; AJ34,AI35:$AI$42)))</f>
        <v>#N/A</v>
      </c>
      <c r="AJ34" s="426" t="e">
        <f t="shared" si="36"/>
        <v>#N/A</v>
      </c>
      <c r="AK34" s="421" t="str">
        <f t="shared" si="6"/>
        <v/>
      </c>
      <c r="AL34" s="393" t="str">
        <f t="shared" si="7"/>
        <v/>
      </c>
      <c r="AM34" s="393" t="str">
        <f t="shared" si="8"/>
        <v/>
      </c>
      <c r="AN34" s="393" t="str">
        <f t="shared" si="9"/>
        <v/>
      </c>
      <c r="AO34" s="393" t="e">
        <f t="shared" si="10"/>
        <v>#N/A</v>
      </c>
      <c r="AP34" s="421" t="str">
        <f t="shared" si="11"/>
        <v/>
      </c>
      <c r="AQ34" s="425">
        <f t="shared" si="12"/>
        <v>0</v>
      </c>
      <c r="AR34" s="423" t="str">
        <f t="shared" si="13"/>
        <v/>
      </c>
      <c r="AS34" s="424">
        <f t="shared" si="14"/>
        <v>0</v>
      </c>
      <c r="AT34" s="423" t="str">
        <f t="shared" si="15"/>
        <v/>
      </c>
      <c r="AU34" s="420">
        <f t="shared" si="16"/>
        <v>0</v>
      </c>
      <c r="AV34" s="422" t="str">
        <f t="shared" si="17"/>
        <v/>
      </c>
      <c r="AW34" s="420" t="b">
        <f t="shared" si="18"/>
        <v>0</v>
      </c>
      <c r="AX34" s="419" t="b">
        <f t="shared" si="19"/>
        <v>0</v>
      </c>
      <c r="AY34" s="420" t="b">
        <f t="shared" si="20"/>
        <v>0</v>
      </c>
      <c r="AZ34" s="419" t="b">
        <f t="shared" si="21"/>
        <v>0</v>
      </c>
      <c r="BA34" s="421" t="b">
        <f t="shared" si="22"/>
        <v>0</v>
      </c>
      <c r="BB34" s="421" t="b">
        <f t="shared" si="23"/>
        <v>0</v>
      </c>
      <c r="BC34" s="420" t="b">
        <f t="shared" si="24"/>
        <v>0</v>
      </c>
      <c r="BD34" s="393" t="b">
        <f t="shared" si="25"/>
        <v>0</v>
      </c>
      <c r="BE34" s="419" t="b">
        <f t="shared" si="26"/>
        <v>0</v>
      </c>
      <c r="BF34" s="418" t="b">
        <f t="shared" si="27"/>
        <v>0</v>
      </c>
      <c r="BG34" s="417" t="str">
        <f t="shared" si="28"/>
        <v>NA</v>
      </c>
      <c r="BH34" s="417" t="str">
        <f t="shared" si="29"/>
        <v/>
      </c>
      <c r="BI34" s="417" t="str">
        <f t="shared" si="30"/>
        <v/>
      </c>
      <c r="BJ34" s="417" t="str">
        <f t="shared" si="31"/>
        <v/>
      </c>
      <c r="BK34" s="417" t="str">
        <f t="shared" si="32"/>
        <v/>
      </c>
      <c r="BL34" s="435" t="str">
        <f t="shared" si="33"/>
        <v/>
      </c>
      <c r="BM34" s="417" t="str">
        <f t="shared" si="34"/>
        <v/>
      </c>
      <c r="BN34" s="417" t="str">
        <f t="shared" si="35"/>
        <v/>
      </c>
      <c r="BO34" s="439" t="s">
        <v>236</v>
      </c>
      <c r="BP34" s="438" t="s">
        <v>237</v>
      </c>
    </row>
    <row r="35" spans="2:73 1271:1271" s="416" customFormat="1" ht="12.95" customHeight="1" x14ac:dyDescent="0.25">
      <c r="B35" s="433" t="str">
        <f>IF(ISNA(Z35),"",IF(OR(Z35=1,Z35=2),"    ",MAX($B$11:B34)+1))</f>
        <v/>
      </c>
      <c r="C35" s="1618" t="str">
        <f t="shared" si="0"/>
        <v/>
      </c>
      <c r="D35" s="1618"/>
      <c r="E35" s="1618"/>
      <c r="F35" s="1619"/>
      <c r="G35" s="437" t="str">
        <f t="shared" si="1"/>
        <v/>
      </c>
      <c r="H35" s="431" t="str">
        <f t="shared" si="2"/>
        <v/>
      </c>
      <c r="I35" s="436" t="str">
        <f t="shared" si="3"/>
        <v/>
      </c>
      <c r="J35" s="429"/>
      <c r="K35" s="428"/>
      <c r="L35" s="1612"/>
      <c r="M35" s="1613"/>
      <c r="N35" s="1613"/>
      <c r="O35" s="1613"/>
      <c r="P35" s="1613"/>
      <c r="Q35" s="1613"/>
      <c r="R35" s="1614"/>
      <c r="T35" s="401">
        <v>25</v>
      </c>
      <c r="U35" s="374" t="e">
        <v>#N/A</v>
      </c>
      <c r="V35" s="421" t="e">
        <v>#N/A</v>
      </c>
      <c r="W35" s="421" t="e">
        <v>#N/A</v>
      </c>
      <c r="X35" s="421" t="e">
        <v>#N/A</v>
      </c>
      <c r="Y35" s="421" t="e">
        <v>#N/A</v>
      </c>
      <c r="Z35" s="393" t="e">
        <v>#N/A</v>
      </c>
      <c r="AA35" s="393" t="e">
        <v>#N/A</v>
      </c>
      <c r="AB35" s="393" t="e">
        <v>#N/A</v>
      </c>
      <c r="AC35" s="421" t="e">
        <v>#N/A</v>
      </c>
      <c r="AD35" s="421" t="e">
        <v>#N/A</v>
      </c>
      <c r="AE35" s="421" t="e">
        <v>#N/A</v>
      </c>
      <c r="AF35" s="421" t="e">
        <v>#N/A</v>
      </c>
      <c r="AG35" s="421" t="e">
        <f t="shared" si="4"/>
        <v>#N/A</v>
      </c>
      <c r="AH35" s="421" t="str">
        <f t="shared" si="5"/>
        <v/>
      </c>
      <c r="AI35" s="427" t="e">
        <f>IF(NOT(OR(Z35=1,Z35=2)),IF(AQ35&gt;0,$AR$47*AQ35/SUMIF($AQ$11:$AQ$42,"&gt;0"),IF(AU35&gt;0,$AV$47*AU35/SUMIF($AU$11:$AU$42,"&gt;0"),IF(AS35&gt;0,$AT$47*AS35/SUMIF($AS$11:$AS$42,"&gt;0"),""))),IF(SUMIF(AJ36:$AJ$42,"=" &amp; AJ35,AI36:$AI$42)=0,"",SUMIF(AJ36:$AJ$42,"=" &amp; AJ35,AI36:$AI$42)))</f>
        <v>#N/A</v>
      </c>
      <c r="AJ35" s="426" t="e">
        <f t="shared" si="36"/>
        <v>#N/A</v>
      </c>
      <c r="AK35" s="421" t="str">
        <f t="shared" si="6"/>
        <v/>
      </c>
      <c r="AL35" s="393" t="str">
        <f t="shared" si="7"/>
        <v/>
      </c>
      <c r="AM35" s="393" t="str">
        <f t="shared" si="8"/>
        <v/>
      </c>
      <c r="AN35" s="393" t="str">
        <f t="shared" si="9"/>
        <v/>
      </c>
      <c r="AO35" s="393" t="e">
        <f t="shared" si="10"/>
        <v>#N/A</v>
      </c>
      <c r="AP35" s="421" t="str">
        <f t="shared" si="11"/>
        <v/>
      </c>
      <c r="AQ35" s="425">
        <f t="shared" si="12"/>
        <v>0</v>
      </c>
      <c r="AR35" s="423" t="str">
        <f t="shared" si="13"/>
        <v/>
      </c>
      <c r="AS35" s="424">
        <f t="shared" si="14"/>
        <v>0</v>
      </c>
      <c r="AT35" s="423" t="str">
        <f t="shared" si="15"/>
        <v/>
      </c>
      <c r="AU35" s="420">
        <f t="shared" si="16"/>
        <v>0</v>
      </c>
      <c r="AV35" s="422" t="str">
        <f t="shared" si="17"/>
        <v/>
      </c>
      <c r="AW35" s="420" t="b">
        <f t="shared" si="18"/>
        <v>0</v>
      </c>
      <c r="AX35" s="419" t="b">
        <f t="shared" si="19"/>
        <v>0</v>
      </c>
      <c r="AY35" s="420" t="b">
        <f t="shared" si="20"/>
        <v>0</v>
      </c>
      <c r="AZ35" s="419" t="b">
        <f t="shared" si="21"/>
        <v>0</v>
      </c>
      <c r="BA35" s="421" t="b">
        <f t="shared" si="22"/>
        <v>0</v>
      </c>
      <c r="BB35" s="421" t="b">
        <f t="shared" si="23"/>
        <v>0</v>
      </c>
      <c r="BC35" s="420" t="b">
        <f t="shared" si="24"/>
        <v>0</v>
      </c>
      <c r="BD35" s="393" t="b">
        <f t="shared" si="25"/>
        <v>0</v>
      </c>
      <c r="BE35" s="419" t="b">
        <f t="shared" si="26"/>
        <v>0</v>
      </c>
      <c r="BF35" s="418" t="b">
        <f t="shared" si="27"/>
        <v>0</v>
      </c>
      <c r="BG35" s="417" t="str">
        <f t="shared" si="28"/>
        <v>NA</v>
      </c>
      <c r="BH35" s="417" t="str">
        <f t="shared" si="29"/>
        <v/>
      </c>
      <c r="BI35" s="417" t="str">
        <f t="shared" si="30"/>
        <v/>
      </c>
      <c r="BJ35" s="417" t="str">
        <f t="shared" si="31"/>
        <v/>
      </c>
      <c r="BK35" s="417" t="str">
        <f t="shared" si="32"/>
        <v/>
      </c>
      <c r="BL35" s="435" t="str">
        <f t="shared" si="33"/>
        <v/>
      </c>
      <c r="BM35" s="417" t="str">
        <f t="shared" si="34"/>
        <v/>
      </c>
      <c r="BN35" s="417" t="str">
        <f t="shared" si="35"/>
        <v/>
      </c>
      <c r="BO35" s="439" t="s">
        <v>238</v>
      </c>
      <c r="BP35" s="438" t="s">
        <v>239</v>
      </c>
    </row>
    <row r="36" spans="2:73 1271:1271" s="416" customFormat="1" ht="12.95" customHeight="1" x14ac:dyDescent="0.25">
      <c r="B36" s="433" t="str">
        <f>IF(ISNA(Z36),"",IF(OR(Z36=1,Z36=2),"    ",MAX($B$11:B35)+1))</f>
        <v/>
      </c>
      <c r="C36" s="1618" t="str">
        <f t="shared" si="0"/>
        <v/>
      </c>
      <c r="D36" s="1618"/>
      <c r="E36" s="1618"/>
      <c r="F36" s="1619"/>
      <c r="G36" s="437" t="str">
        <f t="shared" si="1"/>
        <v/>
      </c>
      <c r="H36" s="431" t="str">
        <f t="shared" si="2"/>
        <v/>
      </c>
      <c r="I36" s="436" t="str">
        <f t="shared" si="3"/>
        <v/>
      </c>
      <c r="J36" s="429"/>
      <c r="K36" s="428"/>
      <c r="L36" s="1612"/>
      <c r="M36" s="1613"/>
      <c r="N36" s="1613"/>
      <c r="O36" s="1613"/>
      <c r="P36" s="1613"/>
      <c r="Q36" s="1613"/>
      <c r="R36" s="1614"/>
      <c r="T36" s="401">
        <v>26</v>
      </c>
      <c r="U36" s="374" t="e">
        <v>#N/A</v>
      </c>
      <c r="V36" s="421" t="e">
        <v>#N/A</v>
      </c>
      <c r="W36" s="421" t="e">
        <v>#N/A</v>
      </c>
      <c r="X36" s="421" t="e">
        <v>#N/A</v>
      </c>
      <c r="Y36" s="421" t="e">
        <v>#N/A</v>
      </c>
      <c r="Z36" s="393" t="e">
        <v>#N/A</v>
      </c>
      <c r="AA36" s="393" t="e">
        <v>#N/A</v>
      </c>
      <c r="AB36" s="393" t="e">
        <v>#N/A</v>
      </c>
      <c r="AC36" s="421" t="e">
        <v>#N/A</v>
      </c>
      <c r="AD36" s="421" t="e">
        <v>#N/A</v>
      </c>
      <c r="AE36" s="421" t="e">
        <v>#N/A</v>
      </c>
      <c r="AF36" s="421" t="e">
        <v>#N/A</v>
      </c>
      <c r="AG36" s="421" t="e">
        <f t="shared" si="4"/>
        <v>#N/A</v>
      </c>
      <c r="AH36" s="421" t="str">
        <f t="shared" si="5"/>
        <v/>
      </c>
      <c r="AI36" s="427" t="e">
        <f>IF(NOT(OR(Z36=1,Z36=2)),IF(AQ36&gt;0,$AR$47*AQ36/SUMIF($AQ$11:$AQ$42,"&gt;0"),IF(AU36&gt;0,$AV$47*AU36/SUMIF($AU$11:$AU$42,"&gt;0"),IF(AS36&gt;0,$AT$47*AS36/SUMIF($AS$11:$AS$42,"&gt;0"),""))),IF(SUMIF(AJ37:$AJ$42,"=" &amp; AJ36,AI37:$AI$42)=0,"",SUMIF(AJ37:$AJ$42,"=" &amp; AJ36,AI37:$AI$42)))</f>
        <v>#N/A</v>
      </c>
      <c r="AJ36" s="426" t="e">
        <f t="shared" si="36"/>
        <v>#N/A</v>
      </c>
      <c r="AK36" s="421" t="str">
        <f t="shared" si="6"/>
        <v/>
      </c>
      <c r="AL36" s="393" t="str">
        <f t="shared" si="7"/>
        <v/>
      </c>
      <c r="AM36" s="393" t="str">
        <f t="shared" si="8"/>
        <v/>
      </c>
      <c r="AN36" s="393" t="str">
        <f t="shared" si="9"/>
        <v/>
      </c>
      <c r="AO36" s="393" t="e">
        <f t="shared" si="10"/>
        <v>#N/A</v>
      </c>
      <c r="AP36" s="421" t="str">
        <f t="shared" si="11"/>
        <v/>
      </c>
      <c r="AQ36" s="425">
        <f t="shared" si="12"/>
        <v>0</v>
      </c>
      <c r="AR36" s="423" t="str">
        <f t="shared" si="13"/>
        <v/>
      </c>
      <c r="AS36" s="424">
        <f t="shared" si="14"/>
        <v>0</v>
      </c>
      <c r="AT36" s="423" t="str">
        <f t="shared" si="15"/>
        <v/>
      </c>
      <c r="AU36" s="420">
        <f t="shared" si="16"/>
        <v>0</v>
      </c>
      <c r="AV36" s="422" t="str">
        <f t="shared" si="17"/>
        <v/>
      </c>
      <c r="AW36" s="420" t="b">
        <f t="shared" si="18"/>
        <v>0</v>
      </c>
      <c r="AX36" s="419" t="b">
        <f t="shared" si="19"/>
        <v>0</v>
      </c>
      <c r="AY36" s="420" t="b">
        <f t="shared" si="20"/>
        <v>0</v>
      </c>
      <c r="AZ36" s="419" t="b">
        <f t="shared" si="21"/>
        <v>0</v>
      </c>
      <c r="BA36" s="421" t="b">
        <f t="shared" si="22"/>
        <v>0</v>
      </c>
      <c r="BB36" s="421" t="b">
        <f t="shared" si="23"/>
        <v>0</v>
      </c>
      <c r="BC36" s="420" t="b">
        <f t="shared" si="24"/>
        <v>0</v>
      </c>
      <c r="BD36" s="393" t="b">
        <f t="shared" si="25"/>
        <v>0</v>
      </c>
      <c r="BE36" s="419" t="b">
        <f t="shared" si="26"/>
        <v>0</v>
      </c>
      <c r="BF36" s="418" t="b">
        <f t="shared" si="27"/>
        <v>0</v>
      </c>
      <c r="BG36" s="417" t="str">
        <f t="shared" si="28"/>
        <v>NA</v>
      </c>
      <c r="BH36" s="417" t="str">
        <f t="shared" si="29"/>
        <v/>
      </c>
      <c r="BI36" s="417" t="str">
        <f t="shared" si="30"/>
        <v/>
      </c>
      <c r="BJ36" s="417" t="str">
        <f t="shared" si="31"/>
        <v/>
      </c>
      <c r="BK36" s="417" t="str">
        <f t="shared" si="32"/>
        <v/>
      </c>
      <c r="BL36" s="435" t="str">
        <f t="shared" si="33"/>
        <v/>
      </c>
      <c r="BM36" s="417" t="str">
        <f t="shared" si="34"/>
        <v/>
      </c>
      <c r="BN36" s="417" t="str">
        <f t="shared" si="35"/>
        <v/>
      </c>
      <c r="BO36" s="434" t="s">
        <v>240</v>
      </c>
      <c r="BP36" s="438"/>
      <c r="BQ36" s="438"/>
      <c r="BR36" s="438"/>
      <c r="BS36" s="438"/>
      <c r="BT36" s="438"/>
      <c r="BU36" s="438"/>
    </row>
    <row r="37" spans="2:73 1271:1271" s="416" customFormat="1" ht="12.95" customHeight="1" x14ac:dyDescent="0.25">
      <c r="B37" s="433" t="str">
        <f>IF(ISNA(Z37),"",IF(OR(Z37=1,Z37=2),"    ",MAX($B$11:B36)+1))</f>
        <v/>
      </c>
      <c r="C37" s="1618" t="str">
        <f t="shared" si="0"/>
        <v/>
      </c>
      <c r="D37" s="1618"/>
      <c r="E37" s="1618"/>
      <c r="F37" s="1619"/>
      <c r="G37" s="437" t="str">
        <f t="shared" si="1"/>
        <v/>
      </c>
      <c r="H37" s="431" t="str">
        <f t="shared" si="2"/>
        <v/>
      </c>
      <c r="I37" s="436" t="str">
        <f t="shared" si="3"/>
        <v/>
      </c>
      <c r="J37" s="429"/>
      <c r="K37" s="428"/>
      <c r="L37" s="1612"/>
      <c r="M37" s="1613"/>
      <c r="N37" s="1613"/>
      <c r="O37" s="1613"/>
      <c r="P37" s="1613"/>
      <c r="Q37" s="1613"/>
      <c r="R37" s="1614"/>
      <c r="T37" s="401">
        <v>27</v>
      </c>
      <c r="U37" s="374" t="e">
        <v>#N/A</v>
      </c>
      <c r="V37" s="421" t="e">
        <v>#N/A</v>
      </c>
      <c r="W37" s="421" t="e">
        <v>#N/A</v>
      </c>
      <c r="X37" s="421" t="e">
        <v>#N/A</v>
      </c>
      <c r="Y37" s="421" t="e">
        <v>#N/A</v>
      </c>
      <c r="Z37" s="393" t="e">
        <v>#N/A</v>
      </c>
      <c r="AA37" s="393" t="e">
        <v>#N/A</v>
      </c>
      <c r="AB37" s="393" t="e">
        <v>#N/A</v>
      </c>
      <c r="AC37" s="421" t="e">
        <v>#N/A</v>
      </c>
      <c r="AD37" s="421" t="e">
        <v>#N/A</v>
      </c>
      <c r="AE37" s="421" t="e">
        <v>#N/A</v>
      </c>
      <c r="AF37" s="421" t="e">
        <v>#N/A</v>
      </c>
      <c r="AG37" s="421" t="e">
        <f t="shared" si="4"/>
        <v>#N/A</v>
      </c>
      <c r="AH37" s="421" t="str">
        <f t="shared" si="5"/>
        <v/>
      </c>
      <c r="AI37" s="427" t="e">
        <f>IF(NOT(OR(Z37=1,Z37=2)),IF(AQ37&gt;0,$AR$47*AQ37/SUMIF($AQ$11:$AQ$42,"&gt;0"),IF(AU37&gt;0,$AV$47*AU37/SUMIF($AU$11:$AU$42,"&gt;0"),IF(AS37&gt;0,$AT$47*AS37/SUMIF($AS$11:$AS$42,"&gt;0"),""))),IF(SUMIF(AJ38:$AJ$42,"=" &amp; AJ37,AI38:$AI$42)=0,"",SUMIF(AJ38:$AJ$42,"=" &amp; AJ37,AI38:$AI$42)))</f>
        <v>#N/A</v>
      </c>
      <c r="AJ37" s="426" t="e">
        <f t="shared" si="36"/>
        <v>#N/A</v>
      </c>
      <c r="AK37" s="421" t="str">
        <f t="shared" si="6"/>
        <v/>
      </c>
      <c r="AL37" s="393" t="str">
        <f t="shared" si="7"/>
        <v/>
      </c>
      <c r="AM37" s="393" t="str">
        <f t="shared" si="8"/>
        <v/>
      </c>
      <c r="AN37" s="393" t="str">
        <f t="shared" si="9"/>
        <v/>
      </c>
      <c r="AO37" s="393" t="e">
        <f t="shared" si="10"/>
        <v>#N/A</v>
      </c>
      <c r="AP37" s="421" t="str">
        <f t="shared" si="11"/>
        <v/>
      </c>
      <c r="AQ37" s="425">
        <f t="shared" si="12"/>
        <v>0</v>
      </c>
      <c r="AR37" s="423" t="str">
        <f t="shared" si="13"/>
        <v/>
      </c>
      <c r="AS37" s="424">
        <f t="shared" si="14"/>
        <v>0</v>
      </c>
      <c r="AT37" s="423" t="str">
        <f t="shared" si="15"/>
        <v/>
      </c>
      <c r="AU37" s="420">
        <f t="shared" si="16"/>
        <v>0</v>
      </c>
      <c r="AV37" s="422" t="str">
        <f t="shared" si="17"/>
        <v/>
      </c>
      <c r="AW37" s="420" t="b">
        <f t="shared" si="18"/>
        <v>0</v>
      </c>
      <c r="AX37" s="419" t="b">
        <f t="shared" si="19"/>
        <v>0</v>
      </c>
      <c r="AY37" s="420" t="b">
        <f t="shared" si="20"/>
        <v>0</v>
      </c>
      <c r="AZ37" s="419" t="b">
        <f t="shared" si="21"/>
        <v>0</v>
      </c>
      <c r="BA37" s="421" t="b">
        <f t="shared" si="22"/>
        <v>0</v>
      </c>
      <c r="BB37" s="421" t="b">
        <f t="shared" si="23"/>
        <v>0</v>
      </c>
      <c r="BC37" s="420" t="b">
        <f t="shared" si="24"/>
        <v>0</v>
      </c>
      <c r="BD37" s="393" t="b">
        <f t="shared" si="25"/>
        <v>0</v>
      </c>
      <c r="BE37" s="419" t="b">
        <f t="shared" si="26"/>
        <v>0</v>
      </c>
      <c r="BF37" s="418" t="b">
        <f t="shared" si="27"/>
        <v>0</v>
      </c>
      <c r="BG37" s="417" t="str">
        <f t="shared" si="28"/>
        <v>NA</v>
      </c>
      <c r="BH37" s="417" t="str">
        <f t="shared" si="29"/>
        <v/>
      </c>
      <c r="BI37" s="417" t="str">
        <f t="shared" si="30"/>
        <v/>
      </c>
      <c r="BJ37" s="417" t="str">
        <f t="shared" si="31"/>
        <v/>
      </c>
      <c r="BK37" s="417" t="str">
        <f t="shared" si="32"/>
        <v/>
      </c>
      <c r="BL37" s="435" t="str">
        <f t="shared" si="33"/>
        <v/>
      </c>
      <c r="BM37" s="417" t="str">
        <f t="shared" si="34"/>
        <v/>
      </c>
      <c r="BN37" s="417" t="str">
        <f t="shared" si="35"/>
        <v/>
      </c>
      <c r="BO37" s="1620"/>
      <c r="BP37" s="1621"/>
      <c r="BQ37" s="1621"/>
      <c r="BR37" s="1621"/>
      <c r="BS37" s="1621"/>
      <c r="BT37" s="1621"/>
      <c r="BU37" s="1622"/>
    </row>
    <row r="38" spans="2:73 1271:1271" s="416" customFormat="1" ht="12.95" customHeight="1" x14ac:dyDescent="0.25">
      <c r="B38" s="433" t="str">
        <f>IF(ISNA(Z38),"",IF(OR(Z38=1,Z38=2),"    ",MAX($B$11:B37)+1))</f>
        <v/>
      </c>
      <c r="C38" s="1618" t="str">
        <f t="shared" si="0"/>
        <v/>
      </c>
      <c r="D38" s="1618"/>
      <c r="E38" s="1618"/>
      <c r="F38" s="1619"/>
      <c r="G38" s="437" t="str">
        <f t="shared" si="1"/>
        <v/>
      </c>
      <c r="H38" s="431" t="str">
        <f t="shared" si="2"/>
        <v/>
      </c>
      <c r="I38" s="436" t="str">
        <f t="shared" si="3"/>
        <v/>
      </c>
      <c r="J38" s="429"/>
      <c r="K38" s="428"/>
      <c r="L38" s="1612"/>
      <c r="M38" s="1613"/>
      <c r="N38" s="1613"/>
      <c r="O38" s="1613"/>
      <c r="P38" s="1613"/>
      <c r="Q38" s="1613"/>
      <c r="R38" s="1614"/>
      <c r="T38" s="401">
        <v>28</v>
      </c>
      <c r="U38" s="374" t="e">
        <v>#N/A</v>
      </c>
      <c r="V38" s="421" t="e">
        <v>#N/A</v>
      </c>
      <c r="W38" s="421" t="e">
        <v>#N/A</v>
      </c>
      <c r="X38" s="421" t="e">
        <v>#N/A</v>
      </c>
      <c r="Y38" s="421" t="e">
        <v>#N/A</v>
      </c>
      <c r="Z38" s="393" t="e">
        <v>#N/A</v>
      </c>
      <c r="AA38" s="393" t="e">
        <v>#N/A</v>
      </c>
      <c r="AB38" s="393" t="e">
        <v>#N/A</v>
      </c>
      <c r="AC38" s="421" t="e">
        <v>#N/A</v>
      </c>
      <c r="AD38" s="421" t="e">
        <v>#N/A</v>
      </c>
      <c r="AE38" s="421" t="e">
        <v>#N/A</v>
      </c>
      <c r="AF38" s="421" t="e">
        <v>#N/A</v>
      </c>
      <c r="AG38" s="421" t="e">
        <f t="shared" si="4"/>
        <v>#N/A</v>
      </c>
      <c r="AH38" s="421" t="str">
        <f t="shared" si="5"/>
        <v/>
      </c>
      <c r="AI38" s="427" t="e">
        <f>IF(NOT(OR(Z38=1,Z38=2)),IF(AQ38&gt;0,$AR$47*AQ38/SUMIF($AQ$11:$AQ$42,"&gt;0"),IF(AU38&gt;0,$AV$47*AU38/SUMIF($AU$11:$AU$42,"&gt;0"),IF(AS38&gt;0,$AT$47*AS38/SUMIF($AS$11:$AS$42,"&gt;0"),""))),IF(SUMIF(AJ39:$AJ$42,"=" &amp; AJ38,AI39:$AI$42)=0,"",SUMIF(AJ39:$AJ$42,"=" &amp; AJ38,AI39:$AI$42)))</f>
        <v>#N/A</v>
      </c>
      <c r="AJ38" s="426" t="e">
        <f t="shared" si="36"/>
        <v>#N/A</v>
      </c>
      <c r="AK38" s="421" t="str">
        <f t="shared" si="6"/>
        <v/>
      </c>
      <c r="AL38" s="393" t="str">
        <f t="shared" si="7"/>
        <v/>
      </c>
      <c r="AM38" s="393" t="str">
        <f t="shared" si="8"/>
        <v/>
      </c>
      <c r="AN38" s="393" t="str">
        <f t="shared" si="9"/>
        <v/>
      </c>
      <c r="AO38" s="393" t="e">
        <f t="shared" si="10"/>
        <v>#N/A</v>
      </c>
      <c r="AP38" s="421" t="str">
        <f t="shared" si="11"/>
        <v/>
      </c>
      <c r="AQ38" s="425">
        <f t="shared" si="12"/>
        <v>0</v>
      </c>
      <c r="AR38" s="423" t="str">
        <f t="shared" si="13"/>
        <v/>
      </c>
      <c r="AS38" s="424">
        <f t="shared" si="14"/>
        <v>0</v>
      </c>
      <c r="AT38" s="423" t="str">
        <f t="shared" si="15"/>
        <v/>
      </c>
      <c r="AU38" s="420">
        <f t="shared" si="16"/>
        <v>0</v>
      </c>
      <c r="AV38" s="422" t="str">
        <f t="shared" si="17"/>
        <v/>
      </c>
      <c r="AW38" s="420" t="b">
        <f t="shared" si="18"/>
        <v>0</v>
      </c>
      <c r="AX38" s="419" t="b">
        <f t="shared" si="19"/>
        <v>0</v>
      </c>
      <c r="AY38" s="420" t="b">
        <f t="shared" si="20"/>
        <v>0</v>
      </c>
      <c r="AZ38" s="419" t="b">
        <f t="shared" si="21"/>
        <v>0</v>
      </c>
      <c r="BA38" s="421" t="b">
        <f t="shared" si="22"/>
        <v>0</v>
      </c>
      <c r="BB38" s="421" t="b">
        <f t="shared" si="23"/>
        <v>0</v>
      </c>
      <c r="BC38" s="420" t="b">
        <f t="shared" si="24"/>
        <v>0</v>
      </c>
      <c r="BD38" s="393" t="b">
        <f t="shared" si="25"/>
        <v>0</v>
      </c>
      <c r="BE38" s="419" t="b">
        <f t="shared" si="26"/>
        <v>0</v>
      </c>
      <c r="BF38" s="418" t="b">
        <f t="shared" si="27"/>
        <v>0</v>
      </c>
      <c r="BG38" s="417" t="str">
        <f t="shared" si="28"/>
        <v>NA</v>
      </c>
      <c r="BH38" s="417" t="str">
        <f t="shared" si="29"/>
        <v/>
      </c>
      <c r="BI38" s="417" t="str">
        <f t="shared" si="30"/>
        <v/>
      </c>
      <c r="BJ38" s="417" t="str">
        <f t="shared" si="31"/>
        <v/>
      </c>
      <c r="BK38" s="417" t="str">
        <f t="shared" si="32"/>
        <v/>
      </c>
      <c r="BL38" s="435" t="str">
        <f t="shared" si="33"/>
        <v/>
      </c>
      <c r="BM38" s="417" t="str">
        <f t="shared" si="34"/>
        <v/>
      </c>
      <c r="BN38" s="417" t="str">
        <f t="shared" si="35"/>
        <v/>
      </c>
      <c r="BO38" s="1623"/>
      <c r="BP38" s="1624"/>
      <c r="BQ38" s="1624"/>
      <c r="BR38" s="1624"/>
      <c r="BS38" s="1624"/>
      <c r="BT38" s="1624"/>
      <c r="BU38" s="1625"/>
    </row>
    <row r="39" spans="2:73 1271:1271" s="416" customFormat="1" ht="12.95" customHeight="1" x14ac:dyDescent="0.25">
      <c r="B39" s="433" t="str">
        <f>IF(ISNA(Z39),"",IF(OR(Z39=1,Z39=2),"    ",MAX($B$11:B38)+1))</f>
        <v/>
      </c>
      <c r="C39" s="1618" t="str">
        <f t="shared" si="0"/>
        <v/>
      </c>
      <c r="D39" s="1618"/>
      <c r="E39" s="1618"/>
      <c r="F39" s="1619"/>
      <c r="G39" s="437" t="str">
        <f t="shared" si="1"/>
        <v/>
      </c>
      <c r="H39" s="431" t="str">
        <f t="shared" si="2"/>
        <v/>
      </c>
      <c r="I39" s="436" t="str">
        <f t="shared" si="3"/>
        <v/>
      </c>
      <c r="J39" s="429"/>
      <c r="K39" s="428"/>
      <c r="L39" s="1612"/>
      <c r="M39" s="1613"/>
      <c r="N39" s="1613"/>
      <c r="O39" s="1613"/>
      <c r="P39" s="1613"/>
      <c r="Q39" s="1613"/>
      <c r="R39" s="1614"/>
      <c r="T39" s="401">
        <v>29</v>
      </c>
      <c r="U39" s="374" t="e">
        <v>#N/A</v>
      </c>
      <c r="V39" s="421" t="e">
        <v>#N/A</v>
      </c>
      <c r="W39" s="421" t="e">
        <v>#N/A</v>
      </c>
      <c r="X39" s="421" t="e">
        <v>#N/A</v>
      </c>
      <c r="Y39" s="421" t="e">
        <v>#N/A</v>
      </c>
      <c r="Z39" s="393" t="e">
        <v>#N/A</v>
      </c>
      <c r="AA39" s="393" t="e">
        <v>#N/A</v>
      </c>
      <c r="AB39" s="393" t="e">
        <v>#N/A</v>
      </c>
      <c r="AC39" s="421" t="e">
        <v>#N/A</v>
      </c>
      <c r="AD39" s="421" t="e">
        <v>#N/A</v>
      </c>
      <c r="AE39" s="421" t="e">
        <v>#N/A</v>
      </c>
      <c r="AF39" s="421" t="e">
        <v>#N/A</v>
      </c>
      <c r="AG39" s="421" t="e">
        <f t="shared" si="4"/>
        <v>#N/A</v>
      </c>
      <c r="AH39" s="421" t="str">
        <f t="shared" si="5"/>
        <v/>
      </c>
      <c r="AI39" s="427" t="e">
        <f>IF(NOT(OR(Z39=1,Z39=2)),IF(AQ39&gt;0,$AR$47*AQ39/SUMIF($AQ$11:$AQ$42,"&gt;0"),IF(AU39&gt;0,$AV$47*AU39/SUMIF($AU$11:$AU$42,"&gt;0"),IF(AS39&gt;0,$AT$47*AS39/SUMIF($AS$11:$AS$42,"&gt;0"),""))),IF(SUMIF(AJ40:$AJ$42,"=" &amp; AJ39,AI40:$AI$42)=0,"",SUMIF(AJ40:$AJ$42,"=" &amp; AJ39,AI40:$AI$42)))</f>
        <v>#N/A</v>
      </c>
      <c r="AJ39" s="426" t="e">
        <f t="shared" si="36"/>
        <v>#N/A</v>
      </c>
      <c r="AK39" s="421" t="str">
        <f t="shared" si="6"/>
        <v/>
      </c>
      <c r="AL39" s="393" t="str">
        <f t="shared" si="7"/>
        <v/>
      </c>
      <c r="AM39" s="393" t="str">
        <f t="shared" si="8"/>
        <v/>
      </c>
      <c r="AN39" s="393" t="str">
        <f t="shared" si="9"/>
        <v/>
      </c>
      <c r="AO39" s="393" t="e">
        <f t="shared" si="10"/>
        <v>#N/A</v>
      </c>
      <c r="AP39" s="421" t="str">
        <f t="shared" si="11"/>
        <v/>
      </c>
      <c r="AQ39" s="425">
        <f t="shared" si="12"/>
        <v>0</v>
      </c>
      <c r="AR39" s="423" t="str">
        <f t="shared" si="13"/>
        <v/>
      </c>
      <c r="AS39" s="424">
        <f t="shared" si="14"/>
        <v>0</v>
      </c>
      <c r="AT39" s="423" t="str">
        <f t="shared" si="15"/>
        <v/>
      </c>
      <c r="AU39" s="420">
        <f t="shared" si="16"/>
        <v>0</v>
      </c>
      <c r="AV39" s="422" t="str">
        <f t="shared" si="17"/>
        <v/>
      </c>
      <c r="AW39" s="420" t="b">
        <f t="shared" si="18"/>
        <v>0</v>
      </c>
      <c r="AX39" s="419" t="b">
        <f t="shared" si="19"/>
        <v>0</v>
      </c>
      <c r="AY39" s="420" t="b">
        <f t="shared" si="20"/>
        <v>0</v>
      </c>
      <c r="AZ39" s="419" t="b">
        <f t="shared" si="21"/>
        <v>0</v>
      </c>
      <c r="BA39" s="421" t="b">
        <f t="shared" si="22"/>
        <v>0</v>
      </c>
      <c r="BB39" s="421" t="b">
        <f t="shared" si="23"/>
        <v>0</v>
      </c>
      <c r="BC39" s="420" t="b">
        <f t="shared" si="24"/>
        <v>0</v>
      </c>
      <c r="BD39" s="393" t="b">
        <f t="shared" si="25"/>
        <v>0</v>
      </c>
      <c r="BE39" s="419" t="b">
        <f t="shared" si="26"/>
        <v>0</v>
      </c>
      <c r="BF39" s="418" t="b">
        <f t="shared" si="27"/>
        <v>0</v>
      </c>
      <c r="BG39" s="417" t="str">
        <f t="shared" si="28"/>
        <v>NA</v>
      </c>
      <c r="BH39" s="417" t="str">
        <f t="shared" si="29"/>
        <v/>
      </c>
      <c r="BI39" s="417" t="str">
        <f t="shared" si="30"/>
        <v/>
      </c>
      <c r="BJ39" s="417" t="str">
        <f t="shared" si="31"/>
        <v/>
      </c>
      <c r="BK39" s="417" t="str">
        <f t="shared" si="32"/>
        <v/>
      </c>
      <c r="BL39" s="435" t="str">
        <f t="shared" si="33"/>
        <v/>
      </c>
      <c r="BM39" s="417" t="str">
        <f t="shared" si="34"/>
        <v/>
      </c>
      <c r="BN39" s="417" t="str">
        <f t="shared" si="35"/>
        <v/>
      </c>
      <c r="BO39" s="1623"/>
      <c r="BP39" s="1624"/>
      <c r="BQ39" s="1624"/>
      <c r="BR39" s="1624"/>
      <c r="BS39" s="1624"/>
      <c r="BT39" s="1624"/>
      <c r="BU39" s="1625"/>
    </row>
    <row r="40" spans="2:73 1271:1271" s="416" customFormat="1" ht="12.95" customHeight="1" x14ac:dyDescent="0.25">
      <c r="B40" s="433" t="str">
        <f>IF(ISNA(Z40),"",IF(OR(Z40=1,Z40=2),"    ",MAX($B$11:B39)+1))</f>
        <v/>
      </c>
      <c r="C40" s="1618" t="str">
        <f t="shared" si="0"/>
        <v/>
      </c>
      <c r="D40" s="1618"/>
      <c r="E40" s="1618"/>
      <c r="F40" s="1619"/>
      <c r="G40" s="437" t="str">
        <f t="shared" si="1"/>
        <v/>
      </c>
      <c r="H40" s="431" t="str">
        <f t="shared" si="2"/>
        <v/>
      </c>
      <c r="I40" s="436" t="str">
        <f t="shared" si="3"/>
        <v/>
      </c>
      <c r="J40" s="429"/>
      <c r="K40" s="428"/>
      <c r="L40" s="1612"/>
      <c r="M40" s="1613"/>
      <c r="N40" s="1613"/>
      <c r="O40" s="1613"/>
      <c r="P40" s="1613"/>
      <c r="Q40" s="1613"/>
      <c r="R40" s="1614"/>
      <c r="T40" s="401">
        <v>30</v>
      </c>
      <c r="U40" s="374" t="e">
        <v>#N/A</v>
      </c>
      <c r="V40" s="421" t="e">
        <v>#N/A</v>
      </c>
      <c r="W40" s="421" t="e">
        <v>#N/A</v>
      </c>
      <c r="X40" s="421" t="e">
        <v>#N/A</v>
      </c>
      <c r="Y40" s="421" t="e">
        <v>#N/A</v>
      </c>
      <c r="Z40" s="393" t="e">
        <v>#N/A</v>
      </c>
      <c r="AA40" s="393" t="e">
        <v>#N/A</v>
      </c>
      <c r="AB40" s="393" t="e">
        <v>#N/A</v>
      </c>
      <c r="AC40" s="421" t="e">
        <v>#N/A</v>
      </c>
      <c r="AD40" s="421" t="e">
        <v>#N/A</v>
      </c>
      <c r="AE40" s="421" t="e">
        <v>#N/A</v>
      </c>
      <c r="AF40" s="421" t="e">
        <v>#N/A</v>
      </c>
      <c r="AG40" s="421" t="e">
        <f t="shared" si="4"/>
        <v>#N/A</v>
      </c>
      <c r="AH40" s="421" t="str">
        <f t="shared" si="5"/>
        <v/>
      </c>
      <c r="AI40" s="427" t="e">
        <f>IF(NOT(OR(Z40=1,Z40=2)),IF(AQ40&gt;0,$AR$47*AQ40/SUMIF($AQ$11:$AQ$42,"&gt;0"),IF(AU40&gt;0,$AV$47*AU40/SUMIF($AU$11:$AU$42,"&gt;0"),IF(AS40&gt;0,$AT$47*AS40/SUMIF($AS$11:$AS$42,"&gt;0"),""))),IF(SUMIF(AJ41:$AJ$42,"=" &amp; AJ40,AI41:$AI$42)=0,"",SUMIF(AJ41:$AJ$42,"=" &amp; AJ40,AI41:$AI$42)))</f>
        <v>#N/A</v>
      </c>
      <c r="AJ40" s="426" t="e">
        <f t="shared" si="36"/>
        <v>#N/A</v>
      </c>
      <c r="AK40" s="421" t="str">
        <f t="shared" si="6"/>
        <v/>
      </c>
      <c r="AL40" s="393" t="str">
        <f t="shared" si="7"/>
        <v/>
      </c>
      <c r="AM40" s="393" t="str">
        <f t="shared" si="8"/>
        <v/>
      </c>
      <c r="AN40" s="393" t="str">
        <f t="shared" si="9"/>
        <v/>
      </c>
      <c r="AO40" s="393" t="e">
        <f t="shared" si="10"/>
        <v>#N/A</v>
      </c>
      <c r="AP40" s="421" t="str">
        <f t="shared" si="11"/>
        <v/>
      </c>
      <c r="AQ40" s="425">
        <f t="shared" si="12"/>
        <v>0</v>
      </c>
      <c r="AR40" s="423" t="str">
        <f t="shared" si="13"/>
        <v/>
      </c>
      <c r="AS40" s="424">
        <f t="shared" si="14"/>
        <v>0</v>
      </c>
      <c r="AT40" s="423" t="str">
        <f t="shared" si="15"/>
        <v/>
      </c>
      <c r="AU40" s="420">
        <f t="shared" si="16"/>
        <v>0</v>
      </c>
      <c r="AV40" s="422" t="str">
        <f t="shared" si="17"/>
        <v/>
      </c>
      <c r="AW40" s="420" t="b">
        <f t="shared" si="18"/>
        <v>0</v>
      </c>
      <c r="AX40" s="419" t="b">
        <f t="shared" si="19"/>
        <v>0</v>
      </c>
      <c r="AY40" s="420" t="b">
        <f t="shared" si="20"/>
        <v>0</v>
      </c>
      <c r="AZ40" s="419" t="b">
        <f t="shared" si="21"/>
        <v>0</v>
      </c>
      <c r="BA40" s="421" t="b">
        <f t="shared" si="22"/>
        <v>0</v>
      </c>
      <c r="BB40" s="421" t="b">
        <f t="shared" si="23"/>
        <v>0</v>
      </c>
      <c r="BC40" s="420" t="b">
        <f t="shared" si="24"/>
        <v>0</v>
      </c>
      <c r="BD40" s="393" t="b">
        <f t="shared" si="25"/>
        <v>0</v>
      </c>
      <c r="BE40" s="419" t="b">
        <f t="shared" si="26"/>
        <v>0</v>
      </c>
      <c r="BF40" s="418" t="b">
        <f t="shared" si="27"/>
        <v>0</v>
      </c>
      <c r="BG40" s="417" t="str">
        <f t="shared" si="28"/>
        <v>NA</v>
      </c>
      <c r="BH40" s="417" t="str">
        <f t="shared" si="29"/>
        <v/>
      </c>
      <c r="BI40" s="417" t="str">
        <f t="shared" si="30"/>
        <v/>
      </c>
      <c r="BJ40" s="417" t="str">
        <f t="shared" si="31"/>
        <v/>
      </c>
      <c r="BK40" s="417" t="str">
        <f t="shared" si="32"/>
        <v/>
      </c>
      <c r="BL40" s="435" t="str">
        <f t="shared" si="33"/>
        <v/>
      </c>
      <c r="BM40" s="417" t="str">
        <f t="shared" si="34"/>
        <v/>
      </c>
      <c r="BN40" s="417" t="str">
        <f t="shared" si="35"/>
        <v/>
      </c>
      <c r="BO40" s="1626"/>
      <c r="BP40" s="1627"/>
      <c r="BQ40" s="1627"/>
      <c r="BR40" s="1627"/>
      <c r="BS40" s="1627"/>
      <c r="BT40" s="1627"/>
      <c r="BU40" s="1628"/>
    </row>
    <row r="41" spans="2:73 1271:1271" s="416" customFormat="1" ht="12.95" customHeight="1" x14ac:dyDescent="0.25">
      <c r="B41" s="433" t="str">
        <f>IF(ISNA(Z41),"",IF(OR(Z41=1,Z41=2),"    ",MAX($B$11:B40)+1))</f>
        <v/>
      </c>
      <c r="C41" s="1618" t="str">
        <f t="shared" si="0"/>
        <v/>
      </c>
      <c r="D41" s="1618"/>
      <c r="E41" s="1618"/>
      <c r="F41" s="1619"/>
      <c r="G41" s="437" t="str">
        <f t="shared" si="1"/>
        <v/>
      </c>
      <c r="H41" s="431" t="str">
        <f t="shared" si="2"/>
        <v/>
      </c>
      <c r="I41" s="436" t="str">
        <f t="shared" si="3"/>
        <v/>
      </c>
      <c r="J41" s="429"/>
      <c r="K41" s="428"/>
      <c r="L41" s="1612"/>
      <c r="M41" s="1613"/>
      <c r="N41" s="1613"/>
      <c r="O41" s="1613"/>
      <c r="P41" s="1613"/>
      <c r="Q41" s="1613"/>
      <c r="R41" s="1614"/>
      <c r="T41" s="401">
        <v>31</v>
      </c>
      <c r="U41" s="374" t="e">
        <v>#N/A</v>
      </c>
      <c r="V41" s="421" t="e">
        <v>#N/A</v>
      </c>
      <c r="W41" s="421" t="e">
        <v>#N/A</v>
      </c>
      <c r="X41" s="421" t="e">
        <v>#N/A</v>
      </c>
      <c r="Y41" s="421" t="e">
        <v>#N/A</v>
      </c>
      <c r="Z41" s="393" t="e">
        <v>#N/A</v>
      </c>
      <c r="AA41" s="393" t="e">
        <v>#N/A</v>
      </c>
      <c r="AB41" s="393" t="e">
        <v>#N/A</v>
      </c>
      <c r="AC41" s="421" t="e">
        <v>#N/A</v>
      </c>
      <c r="AD41" s="421" t="e">
        <v>#N/A</v>
      </c>
      <c r="AE41" s="421" t="e">
        <v>#N/A</v>
      </c>
      <c r="AF41" s="421" t="e">
        <v>#N/A</v>
      </c>
      <c r="AG41" s="421" t="e">
        <f t="shared" si="4"/>
        <v>#N/A</v>
      </c>
      <c r="AH41" s="421" t="str">
        <f t="shared" si="5"/>
        <v/>
      </c>
      <c r="AI41" s="427" t="e">
        <f>IF(NOT(OR(Z41=1,Z41=2)),IF(AQ41&gt;0,$AR$47*AQ41/SUMIF($AQ$11:$AQ$42,"&gt;0"),IF(AU41&gt;0,$AV$47*AU41/SUMIF($AU$11:$AU$42,"&gt;0"),IF(AS41&gt;0,$AT$47*AS41/SUMIF($AS$11:$AS$42,"&gt;0"),""))),IF(SUMIF(AJ42:$AJ$42,"=" &amp; AJ41,AI42:$AI$42)=0,"",SUMIF(AJ42:$AJ$42,"=" &amp; AJ41,AI42:$AI$42)))</f>
        <v>#N/A</v>
      </c>
      <c r="AJ41" s="426" t="e">
        <f t="shared" si="36"/>
        <v>#N/A</v>
      </c>
      <c r="AK41" s="421" t="str">
        <f t="shared" si="6"/>
        <v/>
      </c>
      <c r="AL41" s="393" t="str">
        <f t="shared" si="7"/>
        <v/>
      </c>
      <c r="AM41" s="393" t="str">
        <f t="shared" si="8"/>
        <v/>
      </c>
      <c r="AN41" s="393" t="str">
        <f t="shared" si="9"/>
        <v/>
      </c>
      <c r="AO41" s="393" t="e">
        <f t="shared" si="10"/>
        <v>#N/A</v>
      </c>
      <c r="AP41" s="421" t="str">
        <f t="shared" si="11"/>
        <v/>
      </c>
      <c r="AQ41" s="425">
        <f t="shared" si="12"/>
        <v>0</v>
      </c>
      <c r="AR41" s="423" t="str">
        <f t="shared" si="13"/>
        <v/>
      </c>
      <c r="AS41" s="424">
        <f t="shared" si="14"/>
        <v>0</v>
      </c>
      <c r="AT41" s="423" t="str">
        <f t="shared" si="15"/>
        <v/>
      </c>
      <c r="AU41" s="420">
        <f t="shared" si="16"/>
        <v>0</v>
      </c>
      <c r="AV41" s="422" t="str">
        <f t="shared" si="17"/>
        <v/>
      </c>
      <c r="AW41" s="420" t="b">
        <f t="shared" si="18"/>
        <v>0</v>
      </c>
      <c r="AX41" s="419" t="b">
        <f t="shared" si="19"/>
        <v>0</v>
      </c>
      <c r="AY41" s="420" t="b">
        <f t="shared" si="20"/>
        <v>0</v>
      </c>
      <c r="AZ41" s="419" t="b">
        <f t="shared" si="21"/>
        <v>0</v>
      </c>
      <c r="BA41" s="421" t="b">
        <f t="shared" si="22"/>
        <v>0</v>
      </c>
      <c r="BB41" s="421" t="b">
        <f t="shared" si="23"/>
        <v>0</v>
      </c>
      <c r="BC41" s="420" t="b">
        <f t="shared" si="24"/>
        <v>0</v>
      </c>
      <c r="BD41" s="393" t="b">
        <f t="shared" si="25"/>
        <v>0</v>
      </c>
      <c r="BE41" s="419" t="b">
        <f t="shared" si="26"/>
        <v>0</v>
      </c>
      <c r="BF41" s="418" t="b">
        <f t="shared" si="27"/>
        <v>0</v>
      </c>
      <c r="BG41" s="417" t="str">
        <f t="shared" si="28"/>
        <v>NA</v>
      </c>
      <c r="BH41" s="417" t="str">
        <f t="shared" si="29"/>
        <v/>
      </c>
      <c r="BI41" s="417" t="str">
        <f t="shared" si="30"/>
        <v/>
      </c>
      <c r="BJ41" s="417" t="str">
        <f t="shared" si="31"/>
        <v/>
      </c>
      <c r="BK41" s="417" t="str">
        <f t="shared" si="32"/>
        <v/>
      </c>
      <c r="BL41" s="435" t="str">
        <f t="shared" si="33"/>
        <v/>
      </c>
      <c r="BM41" s="417" t="str">
        <f t="shared" si="34"/>
        <v/>
      </c>
      <c r="BN41" s="417" t="str">
        <f t="shared" si="35"/>
        <v/>
      </c>
      <c r="BO41" s="434" t="s">
        <v>241</v>
      </c>
      <c r="BP41" s="434"/>
      <c r="BQ41" s="434"/>
      <c r="BR41" s="434"/>
      <c r="BS41" s="434"/>
      <c r="BT41" s="434"/>
      <c r="BU41" s="434"/>
    </row>
    <row r="42" spans="2:73 1271:1271" s="416" customFormat="1" ht="12.95" customHeight="1" thickBot="1" x14ac:dyDescent="0.3">
      <c r="B42" s="433" t="str">
        <f>IF(ISNA(Z42),"",IF(OR(Z42=1,Z42=2),"    ",MAX($B$11:B41)+1))</f>
        <v/>
      </c>
      <c r="C42" s="1618" t="str">
        <f t="shared" si="0"/>
        <v/>
      </c>
      <c r="D42" s="1618"/>
      <c r="E42" s="1618"/>
      <c r="F42" s="1619"/>
      <c r="G42" s="432" t="str">
        <f t="shared" si="1"/>
        <v/>
      </c>
      <c r="H42" s="431" t="str">
        <f t="shared" si="2"/>
        <v/>
      </c>
      <c r="I42" s="430" t="str">
        <f t="shared" si="3"/>
        <v/>
      </c>
      <c r="J42" s="429"/>
      <c r="K42" s="428"/>
      <c r="L42" s="1615"/>
      <c r="M42" s="1616"/>
      <c r="N42" s="1616"/>
      <c r="O42" s="1616"/>
      <c r="P42" s="1616"/>
      <c r="Q42" s="1616"/>
      <c r="R42" s="1617"/>
      <c r="T42" s="401">
        <v>32</v>
      </c>
      <c r="U42" s="374" t="e">
        <v>#N/A</v>
      </c>
      <c r="V42" s="421" t="e">
        <v>#N/A</v>
      </c>
      <c r="W42" s="421" t="e">
        <v>#N/A</v>
      </c>
      <c r="X42" s="421" t="e">
        <v>#N/A</v>
      </c>
      <c r="Y42" s="421" t="e">
        <v>#N/A</v>
      </c>
      <c r="Z42" s="393" t="e">
        <v>#N/A</v>
      </c>
      <c r="AA42" s="393" t="e">
        <v>#N/A</v>
      </c>
      <c r="AB42" s="393" t="e">
        <v>#N/A</v>
      </c>
      <c r="AC42" s="421" t="e">
        <v>#N/A</v>
      </c>
      <c r="AD42" s="421" t="e">
        <v>#N/A</v>
      </c>
      <c r="AE42" s="421" t="e">
        <v>#N/A</v>
      </c>
      <c r="AF42" s="421" t="e">
        <v>#N/A</v>
      </c>
      <c r="AG42" s="421" t="e">
        <f t="shared" si="4"/>
        <v>#N/A</v>
      </c>
      <c r="AH42" s="421" t="str">
        <f t="shared" si="5"/>
        <v/>
      </c>
      <c r="AI42" s="427" t="e">
        <f>IF(NOT(OR(Z42=1,Z42=2)),IF(AQ42&gt;0,$AR$47*AQ42/SUMIF($AQ$11:$AQ$42,"&gt;0"),IF(AU42&gt;0,$AV$47*AU42/SUMIF($AU$11:$AU$42,"&gt;0"),IF(AS42&gt;0,$AT$47*AS42/SUMIF($AS$11:$AS$42,"&gt;0"),""))),IF(SUMIF(AJ$42:$AJ43,"=" &amp; AJ42,AI$42:$AI43)=0,"",SUMIF(AJ$42:$AJ43,"=" &amp; AJ42,AI$42:$AI43)))</f>
        <v>#N/A</v>
      </c>
      <c r="AJ42" s="426" t="e">
        <f t="shared" si="36"/>
        <v>#N/A</v>
      </c>
      <c r="AK42" s="421" t="str">
        <f t="shared" si="6"/>
        <v/>
      </c>
      <c r="AL42" s="393" t="str">
        <f t="shared" si="7"/>
        <v/>
      </c>
      <c r="AM42" s="393" t="str">
        <f t="shared" si="8"/>
        <v/>
      </c>
      <c r="AN42" s="393" t="str">
        <f t="shared" si="9"/>
        <v/>
      </c>
      <c r="AO42" s="393" t="e">
        <f t="shared" si="10"/>
        <v>#N/A</v>
      </c>
      <c r="AP42" s="421" t="str">
        <f t="shared" si="11"/>
        <v/>
      </c>
      <c r="AQ42" s="425">
        <f t="shared" si="12"/>
        <v>0</v>
      </c>
      <c r="AR42" s="423" t="str">
        <f t="shared" si="13"/>
        <v/>
      </c>
      <c r="AS42" s="424">
        <f t="shared" si="14"/>
        <v>0</v>
      </c>
      <c r="AT42" s="423" t="str">
        <f t="shared" si="15"/>
        <v/>
      </c>
      <c r="AU42" s="420">
        <f t="shared" si="16"/>
        <v>0</v>
      </c>
      <c r="AV42" s="422" t="str">
        <f t="shared" si="17"/>
        <v/>
      </c>
      <c r="AW42" s="420" t="b">
        <f t="shared" si="18"/>
        <v>0</v>
      </c>
      <c r="AX42" s="419" t="b">
        <f t="shared" si="19"/>
        <v>0</v>
      </c>
      <c r="AY42" s="420" t="b">
        <f t="shared" si="20"/>
        <v>0</v>
      </c>
      <c r="AZ42" s="419" t="b">
        <f t="shared" si="21"/>
        <v>0</v>
      </c>
      <c r="BA42" s="421" t="b">
        <f t="shared" si="22"/>
        <v>0</v>
      </c>
      <c r="BB42" s="421" t="b">
        <f t="shared" si="23"/>
        <v>0</v>
      </c>
      <c r="BC42" s="420" t="b">
        <f t="shared" si="24"/>
        <v>0</v>
      </c>
      <c r="BD42" s="393" t="b">
        <f t="shared" si="25"/>
        <v>0</v>
      </c>
      <c r="BE42" s="419" t="b">
        <f t="shared" si="26"/>
        <v>0</v>
      </c>
      <c r="BF42" s="418" t="b">
        <f t="shared" si="27"/>
        <v>0</v>
      </c>
      <c r="BG42" s="417" t="str">
        <f t="shared" si="28"/>
        <v>NA</v>
      </c>
      <c r="BH42" s="417" t="str">
        <f t="shared" si="29"/>
        <v/>
      </c>
      <c r="BI42" s="417" t="str">
        <f t="shared" si="30"/>
        <v/>
      </c>
      <c r="BJ42" s="417" t="str">
        <f t="shared" si="31"/>
        <v/>
      </c>
      <c r="BK42" s="417" t="str">
        <f t="shared" si="32"/>
        <v/>
      </c>
      <c r="BL42" s="417" t="str">
        <f t="shared" si="33"/>
        <v/>
      </c>
      <c r="BM42" s="417" t="str">
        <f t="shared" si="34"/>
        <v/>
      </c>
      <c r="BN42" s="417" t="str">
        <f t="shared" si="35"/>
        <v/>
      </c>
      <c r="BO42" s="1620"/>
      <c r="BP42" s="1621"/>
      <c r="BQ42" s="1621"/>
      <c r="BR42" s="1621"/>
      <c r="BS42" s="1621"/>
      <c r="BT42" s="1621"/>
      <c r="BU42" s="1622"/>
    </row>
    <row r="43" spans="2:73 1271:1271" s="406" customFormat="1" ht="8.25" customHeight="1" x14ac:dyDescent="0.25">
      <c r="B43" s="1639" t="s">
        <v>242</v>
      </c>
      <c r="C43" s="1640"/>
      <c r="D43" s="1641"/>
      <c r="E43" s="415" t="s">
        <v>243</v>
      </c>
      <c r="F43" s="1642" t="s">
        <v>244</v>
      </c>
      <c r="G43" s="1643"/>
      <c r="H43" s="1643" t="s">
        <v>245</v>
      </c>
      <c r="I43" s="1643"/>
      <c r="J43" s="1647" t="s">
        <v>246</v>
      </c>
      <c r="K43" s="1648"/>
      <c r="L43" s="414" t="s">
        <v>247</v>
      </c>
      <c r="M43" s="1631" t="s">
        <v>248</v>
      </c>
      <c r="N43" s="1631"/>
      <c r="O43" s="1632" t="str">
        <f>IF(U47,"DO REVIEW","DO REV N/A")</f>
        <v>DO REV N/A</v>
      </c>
      <c r="P43" s="1633"/>
      <c r="Q43" s="413" t="str">
        <f>IF(U48,"ED REVIEW","ED REV N/A")</f>
        <v>ED REV N/A</v>
      </c>
      <c r="R43" s="412"/>
      <c r="S43" s="411">
        <v>0</v>
      </c>
      <c r="AI43" s="410"/>
      <c r="AJ43" s="407"/>
      <c r="AK43" s="407"/>
      <c r="AL43" s="407"/>
      <c r="AM43" s="407"/>
      <c r="AN43" s="407"/>
      <c r="AO43" s="373"/>
      <c r="AP43" s="407"/>
      <c r="AQ43" s="409"/>
      <c r="AR43" s="407"/>
      <c r="AS43" s="409"/>
      <c r="AT43" s="407"/>
      <c r="AU43" s="409"/>
      <c r="AV43" s="408"/>
      <c r="AW43" s="407"/>
      <c r="AX43" s="407"/>
      <c r="AY43" s="407"/>
      <c r="AZ43" s="407"/>
      <c r="BA43" s="407"/>
      <c r="BB43" s="407"/>
      <c r="BC43" s="407"/>
      <c r="BD43" s="407"/>
      <c r="BE43" s="407"/>
      <c r="BF43" s="407"/>
      <c r="BG43" s="407"/>
      <c r="BH43" s="373"/>
      <c r="BI43" s="373"/>
      <c r="BJ43" s="373"/>
      <c r="BK43" s="373"/>
      <c r="BL43" s="373"/>
      <c r="BM43" s="373"/>
      <c r="BN43" s="373"/>
      <c r="BO43" s="1623"/>
      <c r="BP43" s="1624"/>
      <c r="BQ43" s="1624"/>
      <c r="BR43" s="1624"/>
      <c r="BS43" s="1624"/>
      <c r="BT43" s="1624"/>
      <c r="BU43" s="1625"/>
    </row>
    <row r="44" spans="2:73 1271:1271" ht="18.75" customHeight="1" thickBot="1" x14ac:dyDescent="0.3">
      <c r="B44" s="1634" t="str">
        <f>IF(ISERROR(AR49),"",TEXT(AR48,"0.0%"))</f>
        <v>90.9%</v>
      </c>
      <c r="C44" s="1635"/>
      <c r="D44" s="1636"/>
      <c r="E44" s="405" t="str">
        <f>IF(AU44=0,"N/A",CONCATENATE(TEXT(AV48,"0.0%")," of ",TEXT(AV47,"0.0%")))</f>
        <v>N/A</v>
      </c>
      <c r="F44" s="1637" t="str">
        <f>IF((graded_aca_events+graded_amn_events)&lt;1,"---",IF(AND(AW7,AX7),"INCOMPLETE",IF(AND(NOT(AW7),AX7),"ACA INC",IF(AND(AW7,NOT(AX7)),"AMN INC","COMPLETE"))))</f>
        <v>COMPLETE</v>
      </c>
      <c r="G44" s="1637"/>
      <c r="H44" s="1637" t="str">
        <f>IF(AU7,IF(OR(AY7="UNK",NOT(AN9)),"---",IF(AY7,"UNSAT",IF(AVERAGEIFS(AT11:AT42,AS11:AS42,"&gt;0")&lt;0.9,"MARG","SAT"))),"N/A")</f>
        <v>N/A</v>
      </c>
      <c r="I44" s="1637"/>
      <c r="J44" s="1649" t="str">
        <f>IF(OR(AZ7="UNK",NOT(AM9)),"---",IF(OR(AZ7,AR48&lt;0.7),"FAIL","PASS"))</f>
        <v>PASS</v>
      </c>
      <c r="K44" s="1650"/>
      <c r="L44" s="404"/>
      <c r="M44" s="1651"/>
      <c r="N44" s="1651"/>
      <c r="O44" s="1644" t="s">
        <v>139</v>
      </c>
      <c r="P44" s="1644"/>
      <c r="Q44" s="1644" t="s">
        <v>139</v>
      </c>
      <c r="R44" s="1645"/>
      <c r="S44" s="403"/>
      <c r="T44" s="401" t="s">
        <v>249</v>
      </c>
      <c r="U44" s="393" t="s">
        <v>250</v>
      </c>
      <c r="V44" s="396"/>
      <c r="W44" s="396"/>
      <c r="X44" s="396"/>
      <c r="Y44" s="396"/>
      <c r="Z44" s="396"/>
      <c r="AA44" s="396"/>
      <c r="AB44" s="396"/>
      <c r="AC44" s="396"/>
      <c r="AD44" s="396"/>
      <c r="AE44" s="396"/>
      <c r="AF44" s="396"/>
      <c r="AG44" s="396"/>
      <c r="AH44" s="396"/>
      <c r="AI44" s="402"/>
      <c r="AJ44" s="378"/>
      <c r="AK44" s="396"/>
      <c r="AL44" s="396"/>
      <c r="AM44" s="396">
        <f>SUM(AM11:AM42)</f>
        <v>13</v>
      </c>
      <c r="AN44" s="396">
        <f>SUM(AN11:AN42)</f>
        <v>0</v>
      </c>
      <c r="AO44" s="401"/>
      <c r="AP44" s="378"/>
      <c r="AQ44" s="400">
        <f>SUMIF(AQ11:AQ42,"&gt;0")</f>
        <v>33.333332260000006</v>
      </c>
      <c r="AR44" s="395">
        <f>IF(AQ44=0,0,SUMPRODUCT($AQ$11:$AQ$42,AR11:AR42)/SUM($AQ$11:$AQ$42))</f>
        <v>0.90900000022979988</v>
      </c>
      <c r="AS44" s="399">
        <f>SUMIF(AS11:AS42,"&gt;0")</f>
        <v>0</v>
      </c>
      <c r="AT44" s="395">
        <f>IF(AS44=0,0,SUMPRODUCT($AS$11:$AS$42,AT11:AT42)/SUM($AS$11:$AS$42))</f>
        <v>0</v>
      </c>
      <c r="AU44" s="399">
        <f>SUM(AU12:AU42)</f>
        <v>0</v>
      </c>
      <c r="AV44" s="395">
        <f>IF(AU44=0,0,SUMPRODUCT($AU$11:$AU$42,AV11:AV42)/SUM($AU$11:$AU$42))</f>
        <v>0</v>
      </c>
      <c r="AW44" s="398"/>
      <c r="AX44" s="398"/>
      <c r="AY44" s="398"/>
      <c r="AZ44" s="398"/>
      <c r="BA44" s="398"/>
      <c r="BB44" s="398"/>
      <c r="BC44" s="374" t="s">
        <v>251</v>
      </c>
      <c r="BD44" s="374" t="s">
        <v>252</v>
      </c>
      <c r="BE44" s="374" t="s">
        <v>253</v>
      </c>
      <c r="BF44" s="374"/>
      <c r="BG44" s="373"/>
      <c r="BO44" s="1623"/>
      <c r="BP44" s="1624"/>
      <c r="BQ44" s="1624"/>
      <c r="BR44" s="1624"/>
      <c r="BS44" s="1624"/>
      <c r="BT44" s="1624"/>
      <c r="BU44" s="1625"/>
      <c r="AVW44" s="397"/>
    </row>
    <row r="45" spans="2:73 1271:1271" ht="7.5" customHeight="1" thickTop="1" x14ac:dyDescent="0.25">
      <c r="L45" s="1646" t="s">
        <v>630</v>
      </c>
      <c r="M45" s="1646"/>
      <c r="N45" s="1646"/>
      <c r="O45" s="1646"/>
      <c r="P45" s="1646"/>
      <c r="Q45" s="1646"/>
      <c r="R45" s="1646"/>
      <c r="AP45" s="396"/>
      <c r="AQ45" s="378"/>
      <c r="AR45" s="378"/>
      <c r="AT45" s="395"/>
      <c r="AU45" s="395"/>
      <c r="AV45" s="395"/>
      <c r="AW45" s="378"/>
      <c r="AX45" s="395"/>
      <c r="BE45" s="374"/>
      <c r="BF45" s="374"/>
      <c r="BO45" s="1626"/>
      <c r="BP45" s="1627"/>
      <c r="BQ45" s="1627"/>
      <c r="BR45" s="1627"/>
      <c r="BS45" s="1627"/>
      <c r="BT45" s="1627"/>
      <c r="BU45" s="1628"/>
    </row>
    <row r="46" spans="2:73 1271:1271" ht="30.75" customHeight="1" x14ac:dyDescent="0.25">
      <c r="T46" s="394" t="s">
        <v>254</v>
      </c>
      <c r="U46" s="393" t="b">
        <v>0</v>
      </c>
      <c r="AI46" s="375">
        <f ca="1">SUMIF(AJ11:$AJ$42,"=" &amp; AJ11,AI12:$AI$42)</f>
        <v>0.69999999153999959</v>
      </c>
      <c r="AK46" s="373"/>
      <c r="AL46" s="373"/>
      <c r="AM46" s="373"/>
      <c r="AN46" s="373"/>
      <c r="AO46" s="392"/>
      <c r="AQ46" s="373"/>
      <c r="AR46" s="373"/>
      <c r="AS46" s="385" t="s">
        <v>255</v>
      </c>
      <c r="AT46" s="387">
        <f>SUMIF(X11:X42,"&gt;0")/SUMIF(W11:W42,"&gt;0")</f>
        <v>0</v>
      </c>
      <c r="AU46" s="385" t="s">
        <v>256</v>
      </c>
      <c r="AV46" s="391">
        <f>SUMIF(AU11:AU42,"&gt;0")/SUMIF(AQ11:AQ42,"&gt;0")</f>
        <v>0</v>
      </c>
      <c r="AW46" s="390"/>
      <c r="AY46" s="373"/>
      <c r="AZ46" s="373"/>
      <c r="BE46" s="374" t="b">
        <f>AND(ISBLANK($K33),J33&gt;0)</f>
        <v>0</v>
      </c>
      <c r="BF46" s="374"/>
      <c r="BH46" s="374"/>
      <c r="BO46" s="373"/>
      <c r="BP46" s="373"/>
      <c r="BQ46" s="372"/>
    </row>
    <row r="47" spans="2:73 1271:1271" ht="30.75" customHeight="1" x14ac:dyDescent="0.25">
      <c r="J47" s="389"/>
      <c r="T47" s="381" t="s">
        <v>257</v>
      </c>
      <c r="U47" s="374" t="b">
        <f>IF(AND(Flight?,OR(AW7,AY7,BA7,AZ7,AR48&lt;0.7,H44="MARG")),TRUE,FALSE)</f>
        <v>0</v>
      </c>
      <c r="AK47" s="373"/>
      <c r="AL47" s="373"/>
      <c r="AM47" s="373"/>
      <c r="AN47" s="373"/>
      <c r="AO47" s="380"/>
      <c r="AP47" s="373"/>
      <c r="AQ47" s="385" t="s">
        <v>258</v>
      </c>
      <c r="AR47" s="388">
        <f>1-AT47</f>
        <v>1</v>
      </c>
      <c r="AS47" s="385" t="s">
        <v>259</v>
      </c>
      <c r="AT47" s="387">
        <f>MIN(AT46,AT9)</f>
        <v>0</v>
      </c>
      <c r="AU47" s="385" t="s">
        <v>260</v>
      </c>
      <c r="AV47" s="382">
        <f>MIN(AV46,AV9)</f>
        <v>0</v>
      </c>
      <c r="AZ47" s="373"/>
      <c r="BE47" s="374"/>
      <c r="BF47" s="374"/>
      <c r="BH47" s="374"/>
      <c r="BO47" s="373"/>
      <c r="BP47" s="373"/>
      <c r="BQ47" s="372"/>
    </row>
    <row r="48" spans="2:73 1271:1271" ht="26.25" x14ac:dyDescent="0.25">
      <c r="T48" s="381" t="s">
        <v>261</v>
      </c>
      <c r="U48" s="374" t="b">
        <f>IF(OR(AX7,AY7,AZ7,BB7,AR48&lt;0.7),TRUE,FALSE)</f>
        <v>0</v>
      </c>
      <c r="Y48" s="386"/>
      <c r="AK48" s="373"/>
      <c r="AL48" s="373"/>
      <c r="AM48" s="373"/>
      <c r="AN48" s="373"/>
      <c r="AO48" s="384"/>
      <c r="AP48" s="373"/>
      <c r="AQ48" s="385" t="s">
        <v>262</v>
      </c>
      <c r="AR48" s="375">
        <f>AR44*(1-AT47)+(AT44*AT47)</f>
        <v>0.90900000022979988</v>
      </c>
      <c r="AU48" s="373" t="s">
        <v>196</v>
      </c>
      <c r="AV48" s="382">
        <f>AV44*AV47</f>
        <v>0</v>
      </c>
      <c r="AY48" s="373"/>
      <c r="AZ48" s="373"/>
      <c r="BE48" s="374"/>
      <c r="BF48" s="374"/>
      <c r="BH48" s="374"/>
      <c r="BO48" s="373"/>
      <c r="BP48" s="373"/>
      <c r="BQ48" s="372"/>
    </row>
    <row r="49" spans="20:69" ht="26.25" x14ac:dyDescent="0.25">
      <c r="T49" s="381" t="s">
        <v>263</v>
      </c>
      <c r="U49" s="374" t="b">
        <v>0</v>
      </c>
      <c r="AK49" s="373"/>
      <c r="AL49" s="373"/>
      <c r="AM49" s="373"/>
      <c r="AN49" s="373"/>
      <c r="AO49" s="384"/>
      <c r="AP49" s="373"/>
      <c r="AQ49" s="385" t="s">
        <v>264</v>
      </c>
      <c r="AR49" s="382">
        <f>MIN(1,IF(NOT(OR(AY7,AZ7)),AR48+AV48,MIN(0.69,AR48+AV48)))</f>
        <v>0.90900000022979988</v>
      </c>
      <c r="AY49" s="373"/>
      <c r="BE49" s="374"/>
      <c r="BF49" s="374"/>
      <c r="BI49" s="374"/>
      <c r="BO49" s="373"/>
      <c r="BP49" s="373"/>
      <c r="BQ49" s="372"/>
    </row>
    <row r="50" spans="20:69" x14ac:dyDescent="0.25">
      <c r="T50" s="381" t="s">
        <v>265</v>
      </c>
      <c r="U50" s="374" t="b">
        <f>IF(NOT(Flight?),TRUE,NOT(OR(ISBLANK(comments),ISBLANK(hdr_class),ISBLANK(hdr_date),ISBLANK(hdr_stud),ISBLANK(hdr_instr),ISBLANK(hdr_acft),ISBLANK(hdr_time),F44="---")))</f>
        <v>1</v>
      </c>
      <c r="AK50" s="373"/>
      <c r="AL50" s="373"/>
      <c r="AM50" s="373"/>
      <c r="AN50" s="373"/>
      <c r="AO50" s="384"/>
      <c r="AP50" s="373"/>
      <c r="AQ50" s="373"/>
      <c r="AR50" s="383"/>
      <c r="AS50" s="382"/>
      <c r="AU50" s="373"/>
      <c r="AV50" s="373"/>
      <c r="AW50" s="373"/>
    </row>
    <row r="51" spans="20:69" x14ac:dyDescent="0.25">
      <c r="T51" s="381" t="s">
        <v>266</v>
      </c>
      <c r="U51" s="374" t="b">
        <f>IF(Flight?,TRUE,NOT(OR(ISBLANK(comments),ISBLANK(hdr_class),ISBLANK(hdr_date),ISBLANK(hdr_stud),ISBLANK(hdr_instr),F44="---")))</f>
        <v>1</v>
      </c>
      <c r="AK51" s="373"/>
      <c r="AL51" s="373"/>
      <c r="AM51" s="373"/>
      <c r="AN51" s="373"/>
      <c r="AO51" s="380"/>
      <c r="AP51" s="378" t="s">
        <v>267</v>
      </c>
      <c r="AQ51" s="378"/>
      <c r="AR51" s="378"/>
      <c r="AS51" s="378"/>
      <c r="AT51" s="378"/>
      <c r="AU51" s="373"/>
      <c r="AV51" s="373"/>
      <c r="AW51" s="373"/>
    </row>
    <row r="52" spans="20:69" x14ac:dyDescent="0.25">
      <c r="T52" s="381" t="s">
        <v>268</v>
      </c>
      <c r="U52" s="374" t="b">
        <f>AND(U50:U51)</f>
        <v>1</v>
      </c>
      <c r="AK52" s="373"/>
      <c r="AL52" s="373"/>
      <c r="AM52" s="373"/>
      <c r="AN52" s="373"/>
      <c r="AO52" s="380"/>
      <c r="AP52" s="378"/>
      <c r="AQ52" s="378"/>
      <c r="AR52" s="378">
        <v>0</v>
      </c>
      <c r="AS52" s="378">
        <v>1</v>
      </c>
      <c r="AT52" s="378">
        <v>2</v>
      </c>
      <c r="AU52" s="378">
        <v>3</v>
      </c>
      <c r="AV52" s="378">
        <v>4</v>
      </c>
      <c r="AW52" s="373"/>
    </row>
    <row r="53" spans="20:69" x14ac:dyDescent="0.25">
      <c r="AK53" s="373"/>
      <c r="AL53" s="373"/>
      <c r="AM53" s="373"/>
      <c r="AN53" s="373"/>
      <c r="AO53" s="380"/>
      <c r="AP53" s="378" t="s">
        <v>227</v>
      </c>
      <c r="AQ53" s="378">
        <v>1</v>
      </c>
      <c r="AR53" s="377">
        <v>0.7</v>
      </c>
      <c r="AS53" s="377">
        <v>0.9</v>
      </c>
      <c r="AT53" s="377">
        <v>0.93330000000000002</v>
      </c>
      <c r="AU53" s="377">
        <v>0.9667</v>
      </c>
      <c r="AV53" s="377">
        <v>1</v>
      </c>
      <c r="AW53" s="373"/>
    </row>
    <row r="54" spans="20:69" x14ac:dyDescent="0.25">
      <c r="AK54" s="373"/>
      <c r="AL54" s="373"/>
      <c r="AM54" s="373"/>
      <c r="AN54" s="373"/>
      <c r="AO54" s="380"/>
      <c r="AP54" s="378" t="s">
        <v>228</v>
      </c>
      <c r="AQ54" s="378">
        <v>2</v>
      </c>
      <c r="AR54" s="377">
        <v>0.7</v>
      </c>
      <c r="AS54" s="377">
        <v>0.8</v>
      </c>
      <c r="AT54" s="377">
        <v>0.9</v>
      </c>
      <c r="AU54" s="377">
        <v>0.95</v>
      </c>
      <c r="AV54" s="377">
        <v>1</v>
      </c>
      <c r="AW54" s="373"/>
    </row>
    <row r="55" spans="20:69" x14ac:dyDescent="0.25">
      <c r="AK55" s="373"/>
      <c r="AL55" s="373"/>
      <c r="AM55" s="373"/>
      <c r="AN55" s="373"/>
      <c r="AO55" s="380"/>
      <c r="AP55" s="378" t="s">
        <v>229</v>
      </c>
      <c r="AQ55" s="378">
        <v>3</v>
      </c>
      <c r="AR55" s="377">
        <v>0.7</v>
      </c>
      <c r="AS55" s="377">
        <v>0.76670000000000005</v>
      </c>
      <c r="AT55" s="377">
        <v>0.83330000000000004</v>
      </c>
      <c r="AU55" s="377">
        <v>0.9</v>
      </c>
      <c r="AV55" s="377">
        <v>1</v>
      </c>
      <c r="AW55" s="373"/>
    </row>
    <row r="56" spans="20:69" x14ac:dyDescent="0.25">
      <c r="AP56" s="379" t="s">
        <v>230</v>
      </c>
      <c r="AQ56" s="378">
        <v>11</v>
      </c>
      <c r="AR56" s="377">
        <v>0.6</v>
      </c>
      <c r="AS56" s="377">
        <v>0.9</v>
      </c>
      <c r="AT56" s="377">
        <v>0.93330000000000002</v>
      </c>
      <c r="AU56" s="377">
        <v>0.9667</v>
      </c>
      <c r="AV56" s="377">
        <v>1</v>
      </c>
      <c r="AW56" s="373"/>
    </row>
    <row r="57" spans="20:69" x14ac:dyDescent="0.25">
      <c r="AP57" s="379" t="s">
        <v>231</v>
      </c>
      <c r="AQ57" s="378">
        <v>12</v>
      </c>
      <c r="AR57" s="377">
        <v>0.6</v>
      </c>
      <c r="AS57" s="377">
        <v>0.7</v>
      </c>
      <c r="AT57" s="377">
        <v>0.9</v>
      </c>
      <c r="AU57" s="377">
        <v>0.95</v>
      </c>
      <c r="AV57" s="377">
        <v>1</v>
      </c>
      <c r="AW57" s="373"/>
    </row>
    <row r="58" spans="20:69" x14ac:dyDescent="0.25">
      <c r="AP58" s="379" t="s">
        <v>232</v>
      </c>
      <c r="AQ58" s="378">
        <v>13</v>
      </c>
      <c r="AR58" s="377">
        <v>0.6</v>
      </c>
      <c r="AS58" s="377">
        <v>0.7</v>
      </c>
      <c r="AT58" s="377">
        <v>0.8</v>
      </c>
      <c r="AU58" s="377">
        <v>0.9</v>
      </c>
      <c r="AV58" s="377">
        <v>1</v>
      </c>
      <c r="AW58" s="373"/>
    </row>
    <row r="59" spans="20:69" x14ac:dyDescent="0.25">
      <c r="AP59" s="379" t="s">
        <v>233</v>
      </c>
      <c r="AQ59" s="378">
        <v>22</v>
      </c>
      <c r="AR59" s="377">
        <v>0.3</v>
      </c>
      <c r="AS59" s="377">
        <v>0.6</v>
      </c>
      <c r="AT59" s="377">
        <v>0.9</v>
      </c>
      <c r="AU59" s="377">
        <v>0.95</v>
      </c>
      <c r="AV59" s="377">
        <v>1</v>
      </c>
      <c r="AW59" s="373"/>
    </row>
    <row r="60" spans="20:69" x14ac:dyDescent="0.25">
      <c r="AP60" s="379" t="s">
        <v>234</v>
      </c>
      <c r="AQ60" s="378">
        <v>23</v>
      </c>
      <c r="AR60" s="377">
        <v>0.3</v>
      </c>
      <c r="AS60" s="377">
        <v>0.6</v>
      </c>
      <c r="AT60" s="377">
        <v>0.7</v>
      </c>
      <c r="AU60" s="377">
        <v>0.9</v>
      </c>
      <c r="AV60" s="377">
        <v>1</v>
      </c>
      <c r="AW60" s="373"/>
    </row>
    <row r="61" spans="20:69" x14ac:dyDescent="0.25">
      <c r="AP61" s="379" t="s">
        <v>235</v>
      </c>
      <c r="AQ61" s="378">
        <v>33</v>
      </c>
      <c r="AR61" s="377">
        <v>0</v>
      </c>
      <c r="AS61" s="377">
        <v>0.3</v>
      </c>
      <c r="AT61" s="377">
        <v>0.6</v>
      </c>
      <c r="AU61" s="377">
        <v>0.9</v>
      </c>
      <c r="AV61" s="377">
        <v>1</v>
      </c>
      <c r="AW61" s="83"/>
      <c r="AX61" s="84"/>
      <c r="BC61" s="84"/>
      <c r="BD61" s="84"/>
    </row>
    <row r="62" spans="20:69" x14ac:dyDescent="0.25">
      <c r="AP62" s="373"/>
      <c r="AQ62" s="373"/>
      <c r="AR62" s="373"/>
      <c r="AS62" s="373"/>
      <c r="AT62" s="373"/>
      <c r="AU62" s="373"/>
      <c r="AV62" s="373"/>
      <c r="AW62" s="84"/>
      <c r="AX62" s="84"/>
      <c r="BC62" s="84"/>
      <c r="BD62" s="84"/>
    </row>
    <row r="63" spans="20:69" x14ac:dyDescent="0.25">
      <c r="AP63" s="84"/>
      <c r="AQ63" s="83"/>
      <c r="AR63" s="84"/>
      <c r="AS63" s="84"/>
      <c r="AT63" s="84"/>
      <c r="AU63" s="84"/>
      <c r="AV63" s="84"/>
      <c r="AW63" s="83"/>
      <c r="AX63" s="83"/>
      <c r="BC63" s="84"/>
      <c r="BD63" s="84"/>
    </row>
    <row r="64" spans="20:69" x14ac:dyDescent="0.25">
      <c r="AP64" s="101"/>
      <c r="AQ64" s="83"/>
      <c r="AR64" s="84"/>
      <c r="AS64" s="84"/>
      <c r="AT64" s="84"/>
      <c r="AU64" s="84"/>
      <c r="AV64" s="84"/>
      <c r="AW64" s="83"/>
      <c r="AX64" s="83"/>
      <c r="BC64" s="84"/>
      <c r="BD64" s="84"/>
    </row>
    <row r="65" spans="42:56" x14ac:dyDescent="0.25">
      <c r="AP65" s="83"/>
      <c r="AQ65" s="83"/>
      <c r="AR65" s="84"/>
      <c r="AS65" s="84"/>
      <c r="AT65" s="84"/>
      <c r="AU65" s="84"/>
      <c r="AV65" s="84"/>
      <c r="AW65" s="83"/>
      <c r="AX65" s="83"/>
      <c r="BC65" s="84"/>
      <c r="BD65" s="84"/>
    </row>
    <row r="66" spans="42:56" x14ac:dyDescent="0.25">
      <c r="AP66" s="83"/>
      <c r="AQ66" s="83"/>
      <c r="AR66" s="84"/>
      <c r="AS66" s="84"/>
      <c r="AT66" s="84"/>
      <c r="AU66" s="84"/>
      <c r="AV66" s="84"/>
      <c r="AW66" s="83"/>
      <c r="AX66" s="84"/>
      <c r="BC66" s="84"/>
      <c r="BD66" s="84"/>
    </row>
    <row r="67" spans="42:56" x14ac:dyDescent="0.25">
      <c r="AP67" s="83"/>
      <c r="AQ67" s="83"/>
      <c r="AR67" s="84"/>
      <c r="AS67" s="84"/>
      <c r="AT67" s="84"/>
      <c r="AU67" s="84"/>
      <c r="AV67" s="84"/>
      <c r="AW67" s="83"/>
      <c r="AX67" s="84"/>
      <c r="BC67" s="84"/>
      <c r="BD67" s="84"/>
    </row>
    <row r="68" spans="42:56" x14ac:dyDescent="0.25">
      <c r="AP68" s="83"/>
      <c r="AQ68" s="83"/>
      <c r="AR68" s="84"/>
      <c r="AS68" s="84"/>
      <c r="AT68" s="84"/>
      <c r="AU68" s="84"/>
      <c r="AV68" s="84"/>
    </row>
    <row r="69" spans="42:56" x14ac:dyDescent="0.25">
      <c r="AP69" s="83"/>
      <c r="AQ69" s="83"/>
      <c r="AR69" s="84"/>
      <c r="AS69" s="84"/>
      <c r="AT69" s="84"/>
      <c r="AU69" s="84"/>
      <c r="AV69" s="84"/>
    </row>
  </sheetData>
  <mergeCells count="76">
    <mergeCell ref="BP6:BU7"/>
    <mergeCell ref="C41:F41"/>
    <mergeCell ref="C42:F42"/>
    <mergeCell ref="BO42:BU45"/>
    <mergeCell ref="B43:D43"/>
    <mergeCell ref="F43:G43"/>
    <mergeCell ref="H43:I43"/>
    <mergeCell ref="Q44:R44"/>
    <mergeCell ref="L45:R45"/>
    <mergeCell ref="J43:K43"/>
    <mergeCell ref="J44:K44"/>
    <mergeCell ref="M44:N44"/>
    <mergeCell ref="C37:F37"/>
    <mergeCell ref="C23:F23"/>
    <mergeCell ref="C24:F24"/>
    <mergeCell ref="O44:P44"/>
    <mergeCell ref="M43:N43"/>
    <mergeCell ref="O43:P43"/>
    <mergeCell ref="B44:D44"/>
    <mergeCell ref="F44:G44"/>
    <mergeCell ref="H44:I44"/>
    <mergeCell ref="BO37:BU40"/>
    <mergeCell ref="C38:F38"/>
    <mergeCell ref="C39:F39"/>
    <mergeCell ref="C40:F40"/>
    <mergeCell ref="BQ22:BU22"/>
    <mergeCell ref="C33:F33"/>
    <mergeCell ref="C34:F34"/>
    <mergeCell ref="C35:F35"/>
    <mergeCell ref="C36:F36"/>
    <mergeCell ref="BO24:BO32"/>
    <mergeCell ref="C25:F25"/>
    <mergeCell ref="C26:F26"/>
    <mergeCell ref="C27:F27"/>
    <mergeCell ref="C28:F28"/>
    <mergeCell ref="C29:F29"/>
    <mergeCell ref="C30:F30"/>
    <mergeCell ref="C11:F11"/>
    <mergeCell ref="L11:R42"/>
    <mergeCell ref="C12:F12"/>
    <mergeCell ref="C13:F13"/>
    <mergeCell ref="C14:F14"/>
    <mergeCell ref="C15:F15"/>
    <mergeCell ref="C16:F16"/>
    <mergeCell ref="C17:F17"/>
    <mergeCell ref="C32:F32"/>
    <mergeCell ref="C19:F19"/>
    <mergeCell ref="C20:F20"/>
    <mergeCell ref="C21:F21"/>
    <mergeCell ref="C22:F22"/>
    <mergeCell ref="C18:F18"/>
    <mergeCell ref="C31:F31"/>
    <mergeCell ref="B6:G6"/>
    <mergeCell ref="B7:G7"/>
    <mergeCell ref="B10:F10"/>
    <mergeCell ref="O9:P9"/>
    <mergeCell ref="Q9:R9"/>
    <mergeCell ref="H6:N6"/>
    <mergeCell ref="O6:P6"/>
    <mergeCell ref="Q6:R6"/>
    <mergeCell ref="O8:P8"/>
    <mergeCell ref="Q8:R8"/>
    <mergeCell ref="H7:N7"/>
    <mergeCell ref="O7:P7"/>
    <mergeCell ref="Q7:R7"/>
    <mergeCell ref="L10:R10"/>
    <mergeCell ref="BH7:BK9"/>
    <mergeCell ref="BL7:BN9"/>
    <mergeCell ref="B8:E8"/>
    <mergeCell ref="F8:G8"/>
    <mergeCell ref="H8:L8"/>
    <mergeCell ref="M8:N8"/>
    <mergeCell ref="B9:E9"/>
    <mergeCell ref="F9:G9"/>
    <mergeCell ref="H9:L9"/>
    <mergeCell ref="M9:N9"/>
  </mergeCells>
  <conditionalFormatting sqref="B11:F42">
    <cfRule type="expression" dxfId="107" priority="13" stopIfTrue="1">
      <formula>IF($Z11=1,TRUE,FALSE)</formula>
    </cfRule>
    <cfRule type="expression" dxfId="106" priority="14">
      <formula>IF($Z11=2,TRUE,FALSE)</formula>
    </cfRule>
  </conditionalFormatting>
  <conditionalFormatting sqref="C11:F42">
    <cfRule type="expression" dxfId="105" priority="6" stopIfTrue="1">
      <formula>IF($AF11=FALSE,TRUE,FALSE)</formula>
    </cfRule>
  </conditionalFormatting>
  <conditionalFormatting sqref="F8:G9 M8:P9">
    <cfRule type="expression" dxfId="104" priority="9" stopIfTrue="1">
      <formula>NOT($AU$7)</formula>
    </cfRule>
  </conditionalFormatting>
  <conditionalFormatting sqref="F9:G9">
    <cfRule type="cellIs" dxfId="103" priority="8" operator="equal">
      <formula>""</formula>
    </cfRule>
  </conditionalFormatting>
  <conditionalFormatting sqref="G11:K42">
    <cfRule type="expression" dxfId="102" priority="11" stopIfTrue="1">
      <formula>IF($Z11=1,TRUE,FALSE)</formula>
    </cfRule>
    <cfRule type="expression" dxfId="101" priority="12" stopIfTrue="1">
      <formula>IF($Z11=2,TRUE,FALSE)</formula>
    </cfRule>
  </conditionalFormatting>
  <conditionalFormatting sqref="H11:H42">
    <cfRule type="expression" dxfId="100" priority="15" stopIfTrue="1">
      <formula>IF($AB11=0,TRUE,FALSE)</formula>
    </cfRule>
  </conditionalFormatting>
  <conditionalFormatting sqref="H43:I44">
    <cfRule type="expression" dxfId="99" priority="7" stopIfTrue="1">
      <formula>IF($H$44="N/A",TRUE,FALSE)</formula>
    </cfRule>
  </conditionalFormatting>
  <conditionalFormatting sqref="M9:P9 L11">
    <cfRule type="containsBlanks" dxfId="98" priority="10">
      <formula>LEN(TRIM(L9))=0</formula>
    </cfRule>
  </conditionalFormatting>
  <conditionalFormatting sqref="J11:J42">
    <cfRule type="expression" dxfId="97" priority="19">
      <formula>IF($Z11=1,FALSE,OR($BE11,$BD11))</formula>
    </cfRule>
  </conditionalFormatting>
  <conditionalFormatting sqref="J11:K42 C11:F42">
    <cfRule type="expression" dxfId="96" priority="18">
      <formula>IF($Z11=1,FALSE,OR($AW11,$AX11,$AY11,$AZ11))</formula>
    </cfRule>
  </conditionalFormatting>
  <conditionalFormatting sqref="J11:K42">
    <cfRule type="expression" dxfId="95" priority="16" stopIfTrue="1">
      <formula>IF(ISNA($Z11),TRUE,FALSE)</formula>
    </cfRule>
  </conditionalFormatting>
  <conditionalFormatting sqref="K11:K42">
    <cfRule type="expression" dxfId="94" priority="17">
      <formula>IF(OR($Z11=1,$Z11=2),FALSE,OR($BC11,$BE11,$BF11))</formula>
    </cfRule>
  </conditionalFormatting>
  <conditionalFormatting sqref="L44">
    <cfRule type="expression" dxfId="93" priority="5">
      <formula>NOT($U$52)</formula>
    </cfRule>
  </conditionalFormatting>
  <conditionalFormatting sqref="B9">
    <cfRule type="containsBlanks" dxfId="92" priority="4">
      <formula>LEN(TRIM(B9))=0</formula>
    </cfRule>
  </conditionalFormatting>
  <conditionalFormatting sqref="H9:L9">
    <cfRule type="containsBlanks" dxfId="91" priority="3">
      <formula>LEN(TRIM(H9))=0</formula>
    </cfRule>
  </conditionalFormatting>
  <conditionalFormatting sqref="O7:P7">
    <cfRule type="containsBlanks" dxfId="90" priority="2">
      <formula>LEN(TRIM(O7))=0</formula>
    </cfRule>
  </conditionalFormatting>
  <conditionalFormatting sqref="Q7:R7">
    <cfRule type="containsBlanks" dxfId="89" priority="1">
      <formula>LEN(TRIM(Q7))=0</formula>
    </cfRule>
  </conditionalFormatting>
  <dataValidations count="6">
    <dataValidation type="list" allowBlank="1" showInputMessage="1" showErrorMessage="1" sqref="F9:G9" xr:uid="{C81E008F-3350-4973-8A21-86C50378954C}">
      <formula1>"No,Yes"</formula1>
    </dataValidation>
    <dataValidation type="list" allowBlank="1" showInputMessage="1" showErrorMessage="1" sqref="J11:J42" xr:uid="{771AF5F4-56DA-4F2D-B129-215DD2201C26}">
      <formula1>"NA,0,1,2,3,4,5,6,7,8,9,10,11,12,13,14,15"</formula1>
    </dataValidation>
    <dataValidation type="list" allowBlank="1" showInputMessage="1" showErrorMessage="1" sqref="K11:K42" xr:uid="{E45AB24F-B99F-4A57-972B-F597434C1DAC}">
      <formula1>"D,0,1,2,3,4"</formula1>
    </dataValidation>
    <dataValidation showInputMessage="1" showErrorMessage="1" sqref="O44:R44" xr:uid="{697717DF-67E0-4D52-8EF2-19C2AB903ED5}"/>
    <dataValidation type="decimal" allowBlank="1" showInputMessage="1" showErrorMessage="1" sqref="O9:P9" xr:uid="{5B4F9172-40FE-42B9-A2F6-3FE6E5FEA7CD}">
      <formula1>0</formula1>
      <formula2>10</formula2>
    </dataValidation>
    <dataValidation type="date" allowBlank="1" showInputMessage="1" showErrorMessage="1" sqref="Q7:R7" xr:uid="{CF3EC8B7-281C-415D-9D0D-17564FB5FE34}">
      <formula1>41151</formula1>
      <formula2>77433</formula2>
    </dataValidation>
  </dataValidations>
  <hyperlinks>
    <hyperlink ref="BP6" location="PF!A1" display="PF phase Summary Page" xr:uid="{23635107-7C21-46C5-BBF6-E2ECF259DEB9}"/>
    <hyperlink ref="BP6:BU7" location="TF!A1" display="TF Summary Page" xr:uid="{4DE4276F-E375-41D7-90EA-3734AE1C086E}"/>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8F4DB-98D5-433C-8B87-6E2F7FFD4EA9}">
  <sheetPr>
    <tabColor rgb="FFFFFF00"/>
    <pageSetUpPr autoPageBreaks="0"/>
  </sheetPr>
  <dimension ref="A1:AVW67"/>
  <sheetViews>
    <sheetView showGridLines="0" showRowColHeaders="0" topLeftCell="A5" zoomScaleNormal="100" workbookViewId="0">
      <selection activeCell="L9" sqref="L9:R40"/>
    </sheetView>
  </sheetViews>
  <sheetFormatPr defaultColWidth="9.140625" defaultRowHeight="15" x14ac:dyDescent="0.25"/>
  <cols>
    <col min="1" max="1" width="1.5703125" style="376" customWidth="1"/>
    <col min="2" max="2" width="3.5703125" style="376" customWidth="1"/>
    <col min="3" max="3" width="5.5703125" style="371" customWidth="1"/>
    <col min="4" max="4" width="9.140625" style="371"/>
    <col min="5" max="5" width="14" style="371" customWidth="1"/>
    <col min="6" max="6" width="7.85546875" style="371" customWidth="1"/>
    <col min="7" max="11" width="5.140625" style="371" customWidth="1"/>
    <col min="12" max="12" width="21.5703125" style="371" customWidth="1"/>
    <col min="13" max="13" width="6.5703125" style="371" customWidth="1"/>
    <col min="14" max="14" width="12.5703125" style="371" customWidth="1"/>
    <col min="15" max="15" width="7.85546875" style="371" customWidth="1"/>
    <col min="16" max="16" width="2.7109375" style="371" customWidth="1"/>
    <col min="17" max="17" width="4.85546875" style="371" customWidth="1"/>
    <col min="18" max="18" width="7.28515625" style="371" customWidth="1"/>
    <col min="19" max="19" width="1.7109375" style="371" customWidth="1"/>
    <col min="20" max="20" width="19.140625" style="374" hidden="1" customWidth="1"/>
    <col min="21" max="21" width="31.140625" style="374" hidden="1" customWidth="1"/>
    <col min="22" max="22" width="5.140625" style="374" hidden="1" customWidth="1"/>
    <col min="23" max="24" width="6.28515625" style="374" hidden="1" customWidth="1"/>
    <col min="25" max="25" width="8.42578125" style="374" hidden="1" customWidth="1"/>
    <col min="26" max="26" width="7.85546875" style="374" hidden="1" customWidth="1"/>
    <col min="27" max="27" width="10.7109375" style="374" hidden="1" customWidth="1"/>
    <col min="28" max="28" width="8" style="374" hidden="1" customWidth="1"/>
    <col min="29" max="31" width="5.140625" style="374" hidden="1" customWidth="1"/>
    <col min="32" max="34" width="5.85546875" style="374" hidden="1" customWidth="1"/>
    <col min="35" max="35" width="8.5703125" style="375" hidden="1" customWidth="1"/>
    <col min="36" max="36" width="7" style="374" hidden="1" customWidth="1"/>
    <col min="37" max="38" width="5.28515625" style="374" hidden="1" customWidth="1"/>
    <col min="39" max="40" width="7" style="374" hidden="1" customWidth="1"/>
    <col min="41" max="41" width="5.140625" style="374" hidden="1" customWidth="1"/>
    <col min="42" max="42" width="11.28515625" style="374" hidden="1" customWidth="1"/>
    <col min="43" max="43" width="6.42578125" style="374" hidden="1" customWidth="1"/>
    <col min="44" max="44" width="8.28515625" style="374" hidden="1" customWidth="1"/>
    <col min="45" max="45" width="8.85546875" style="374" hidden="1" customWidth="1"/>
    <col min="46" max="46" width="10.7109375" style="374" hidden="1" customWidth="1"/>
    <col min="47" max="47" width="8.85546875" style="374" hidden="1" customWidth="1"/>
    <col min="48" max="48" width="6.28515625" style="374" hidden="1" customWidth="1"/>
    <col min="49" max="49" width="10" style="374" hidden="1" customWidth="1"/>
    <col min="50" max="50" width="7.5703125" style="374" hidden="1" customWidth="1"/>
    <col min="51" max="51" width="7" style="374" hidden="1" customWidth="1"/>
    <col min="52" max="52" width="8.140625" style="374" hidden="1" customWidth="1"/>
    <col min="53" max="53" width="12.5703125" style="374" hidden="1" customWidth="1"/>
    <col min="54" max="54" width="7.7109375" style="374" hidden="1" customWidth="1"/>
    <col min="55" max="55" width="12.7109375" style="374" hidden="1" customWidth="1"/>
    <col min="56" max="56" width="7" style="374" hidden="1" customWidth="1"/>
    <col min="57" max="57" width="15.5703125" style="373" hidden="1" customWidth="1"/>
    <col min="58" max="58" width="9.140625" style="373" hidden="1" customWidth="1"/>
    <col min="59" max="59" width="10" style="374" hidden="1" customWidth="1"/>
    <col min="60" max="60" width="5.28515625" style="373" hidden="1" customWidth="1"/>
    <col min="61" max="61" width="4" style="373" hidden="1" customWidth="1"/>
    <col min="62" max="62" width="4.7109375" style="373" hidden="1" customWidth="1"/>
    <col min="63" max="63" width="5.5703125" style="373" hidden="1" customWidth="1"/>
    <col min="64" max="64" width="5.28515625" style="373" hidden="1" customWidth="1"/>
    <col min="65" max="65" width="4" style="373" hidden="1" customWidth="1"/>
    <col min="66" max="66" width="5.5703125" style="373" hidden="1" customWidth="1"/>
    <col min="67" max="67" width="5.140625" style="372" customWidth="1"/>
    <col min="68" max="73" width="5.140625" style="371" customWidth="1"/>
    <col min="74" max="16384" width="9.140625" style="371"/>
  </cols>
  <sheetData>
    <row r="1" spans="2:73" s="447" customFormat="1" ht="12" hidden="1" x14ac:dyDescent="0.2">
      <c r="T1" s="378"/>
      <c r="U1" s="378"/>
      <c r="V1" s="378"/>
      <c r="W1" s="378"/>
      <c r="X1" s="378"/>
      <c r="Y1" s="378"/>
      <c r="Z1" s="378"/>
      <c r="AA1" s="378"/>
      <c r="AB1" s="378"/>
      <c r="AC1" s="378"/>
      <c r="AD1" s="378"/>
      <c r="AE1" s="378"/>
      <c r="AF1" s="378"/>
      <c r="AG1" s="378"/>
      <c r="AH1" s="378"/>
      <c r="AI1" s="402"/>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row>
    <row r="2" spans="2:73" s="447" customFormat="1" ht="12" hidden="1" x14ac:dyDescent="0.2">
      <c r="T2" s="378"/>
      <c r="U2" s="378"/>
      <c r="V2" s="378"/>
      <c r="W2" s="378"/>
      <c r="X2" s="378"/>
      <c r="Y2" s="378"/>
      <c r="Z2" s="378"/>
      <c r="AA2" s="378"/>
      <c r="AB2" s="378"/>
      <c r="AC2" s="378"/>
      <c r="AD2" s="378"/>
      <c r="AE2" s="378"/>
      <c r="AF2" s="378"/>
      <c r="AG2" s="378"/>
      <c r="AH2" s="378"/>
      <c r="AI2" s="402"/>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row>
    <row r="3" spans="2:73" ht="15.75" thickBot="1" x14ac:dyDescent="0.3">
      <c r="BE3" s="374"/>
      <c r="BF3" s="374"/>
      <c r="BG3" s="373"/>
    </row>
    <row r="4" spans="2:73" ht="13.5" customHeight="1" thickTop="1" x14ac:dyDescent="0.25">
      <c r="B4" s="1576" t="s">
        <v>141</v>
      </c>
      <c r="C4" s="1577"/>
      <c r="D4" s="1577"/>
      <c r="E4" s="1577"/>
      <c r="F4" s="1577"/>
      <c r="G4" s="1578"/>
      <c r="H4" s="1589" t="s">
        <v>653</v>
      </c>
      <c r="I4" s="1590"/>
      <c r="J4" s="1590"/>
      <c r="K4" s="1590"/>
      <c r="L4" s="1590"/>
      <c r="M4" s="1590"/>
      <c r="N4" s="1591"/>
      <c r="O4" s="1592" t="s">
        <v>142</v>
      </c>
      <c r="P4" s="1593"/>
      <c r="Q4" s="1592" t="s">
        <v>143</v>
      </c>
      <c r="R4" s="1594"/>
      <c r="S4" s="406"/>
      <c r="T4" s="407"/>
      <c r="U4" s="407"/>
      <c r="V4" s="407"/>
      <c r="W4" s="407"/>
      <c r="X4" s="407"/>
      <c r="Y4" s="407"/>
      <c r="Z4" s="407"/>
      <c r="AA4" s="407"/>
      <c r="AB4" s="407"/>
      <c r="AC4" s="407"/>
      <c r="AD4" s="407"/>
      <c r="AE4" s="407"/>
      <c r="AF4" s="407"/>
      <c r="AG4" s="407"/>
      <c r="AH4" s="407"/>
      <c r="AI4" s="492"/>
      <c r="AJ4" s="407"/>
      <c r="AK4" s="407"/>
      <c r="AL4" s="407"/>
      <c r="AM4" s="407"/>
      <c r="AN4" s="407"/>
      <c r="AO4" s="407"/>
      <c r="AP4" s="407"/>
      <c r="AQ4" s="378"/>
      <c r="AR4" s="378"/>
      <c r="AW4" s="374" t="s">
        <v>144</v>
      </c>
      <c r="AX4" s="374" t="s">
        <v>145</v>
      </c>
      <c r="AY4" s="374" t="s">
        <v>146</v>
      </c>
      <c r="AZ4" s="374" t="s">
        <v>147</v>
      </c>
      <c r="BA4" s="374" t="s">
        <v>148</v>
      </c>
      <c r="BB4" s="374" t="s">
        <v>149</v>
      </c>
      <c r="BE4" s="374"/>
      <c r="BF4" s="374"/>
      <c r="BG4" s="373"/>
      <c r="BP4" s="1668" t="s">
        <v>313</v>
      </c>
      <c r="BQ4" s="1668"/>
      <c r="BR4" s="1668"/>
      <c r="BS4" s="1668"/>
      <c r="BT4" s="1668"/>
      <c r="BU4" s="1668"/>
    </row>
    <row r="5" spans="2:73" s="416" customFormat="1" ht="15.75" customHeight="1" x14ac:dyDescent="0.2">
      <c r="B5" s="1579" t="s">
        <v>293</v>
      </c>
      <c r="C5" s="1580"/>
      <c r="D5" s="1580"/>
      <c r="E5" s="1580"/>
      <c r="F5" s="1580"/>
      <c r="G5" s="1581"/>
      <c r="H5" s="1598" t="s">
        <v>316</v>
      </c>
      <c r="I5" s="1599"/>
      <c r="J5" s="1599"/>
      <c r="K5" s="1599"/>
      <c r="L5" s="1599"/>
      <c r="M5" s="1599"/>
      <c r="N5" s="1600"/>
      <c r="O5" s="1601"/>
      <c r="P5" s="1602"/>
      <c r="Q5" s="1603"/>
      <c r="R5" s="1604"/>
      <c r="S5" s="498"/>
      <c r="T5" s="496"/>
      <c r="U5" s="496"/>
      <c r="V5" s="496"/>
      <c r="W5" s="496"/>
      <c r="X5" s="496"/>
      <c r="Y5" s="496"/>
      <c r="Z5" s="496"/>
      <c r="AA5" s="496"/>
      <c r="AB5" s="496"/>
      <c r="AC5" s="496"/>
      <c r="AD5" s="496"/>
      <c r="AE5" s="496"/>
      <c r="AF5" s="496"/>
      <c r="AG5" s="496"/>
      <c r="AH5" s="496"/>
      <c r="AI5" s="497"/>
      <c r="AJ5" s="496"/>
      <c r="AK5" s="496"/>
      <c r="AL5" s="496"/>
      <c r="AM5" s="496"/>
      <c r="AN5" s="496"/>
      <c r="AO5" s="496"/>
      <c r="AP5" s="496"/>
      <c r="AQ5" s="487"/>
      <c r="AR5" s="487"/>
      <c r="AS5" s="401"/>
      <c r="AT5" s="495" t="s">
        <v>151</v>
      </c>
      <c r="AU5" s="494" t="b">
        <v>0</v>
      </c>
      <c r="AV5" s="401">
        <v>0</v>
      </c>
      <c r="AW5" s="401" t="b">
        <f>IF(ISERR(OR(AW9:AW40)),"UNK",IF(AND(graded_aca_events&gt;=1,input_test),FALSE,OR(AW9:AW40)))</f>
        <v>0</v>
      </c>
      <c r="AX5" s="401" t="b">
        <f>IF(ISERR(OR(AX9:AX40)),"UNK",IF(AND(graded_aca_events&gt;=1,input_test),FALSE,OR(AX9:AX40)))</f>
        <v>1</v>
      </c>
      <c r="AY5" s="401" t="b">
        <f>IF(ISERR(OR(AY9:AY40)),"UNK",OR(AY9:AY40))</f>
        <v>0</v>
      </c>
      <c r="AZ5" s="401" t="b">
        <f>IF(ISERR(OR(AZ9:AZ40)),"UNK",OR(AZ9:AZ40))</f>
        <v>0</v>
      </c>
      <c r="BA5" s="401" t="b">
        <f>IF(ISERR(OR(BA9:BA40)),"UNK",OR(BA9:BA40))</f>
        <v>0</v>
      </c>
      <c r="BB5" s="401" t="b">
        <f>IF(ISERR(OR(BB9:BB40)),"UNK",OR(BB9:BB40))</f>
        <v>0</v>
      </c>
      <c r="BC5" s="493" t="b">
        <f>OR(BC9:BC40)</f>
        <v>0</v>
      </c>
      <c r="BD5" s="493" t="b">
        <f>OR(BD9:BD40)</f>
        <v>0</v>
      </c>
      <c r="BE5" s="493" t="b">
        <f>OR(BE9:BE40)</f>
        <v>0</v>
      </c>
      <c r="BF5" s="493"/>
      <c r="BG5" s="401"/>
      <c r="BH5" s="1558" t="s">
        <v>152</v>
      </c>
      <c r="BI5" s="1558"/>
      <c r="BJ5" s="1558"/>
      <c r="BK5" s="1558"/>
      <c r="BL5" s="1559" t="s">
        <v>153</v>
      </c>
      <c r="BM5" s="1559"/>
      <c r="BN5" s="1559"/>
      <c r="BO5" s="372"/>
      <c r="BP5" s="1668"/>
      <c r="BQ5" s="1668"/>
      <c r="BR5" s="1668"/>
      <c r="BS5" s="1668"/>
      <c r="BT5" s="1668"/>
      <c r="BU5" s="1668"/>
    </row>
    <row r="6" spans="2:73" s="406" customFormat="1" ht="7.5" customHeight="1" x14ac:dyDescent="0.25">
      <c r="B6" s="1560" t="s">
        <v>154</v>
      </c>
      <c r="C6" s="1561"/>
      <c r="D6" s="1561"/>
      <c r="E6" s="1562"/>
      <c r="F6" s="1563" t="s">
        <v>155</v>
      </c>
      <c r="G6" s="1562"/>
      <c r="H6" s="1563" t="s">
        <v>156</v>
      </c>
      <c r="I6" s="1561"/>
      <c r="J6" s="1561"/>
      <c r="K6" s="1561"/>
      <c r="L6" s="1562"/>
      <c r="M6" s="1564" t="s">
        <v>157</v>
      </c>
      <c r="N6" s="1565"/>
      <c r="O6" s="1595" t="s">
        <v>158</v>
      </c>
      <c r="P6" s="1596"/>
      <c r="Q6" s="1563" t="str">
        <f>IF(AU42=0,"GRADE","GRADE (inc. bonus)")</f>
        <v>GRADE</v>
      </c>
      <c r="R6" s="1597"/>
      <c r="T6" s="407"/>
      <c r="U6" s="407"/>
      <c r="V6" s="407"/>
      <c r="W6" s="407"/>
      <c r="X6" s="407"/>
      <c r="Y6" s="407"/>
      <c r="Z6" s="407"/>
      <c r="AA6" s="407"/>
      <c r="AB6" s="407"/>
      <c r="AC6" s="407"/>
      <c r="AD6" s="407"/>
      <c r="AE6" s="407"/>
      <c r="AF6" s="407"/>
      <c r="AG6" s="407"/>
      <c r="AH6" s="407"/>
      <c r="AI6" s="492"/>
      <c r="AJ6" s="407"/>
      <c r="AK6" s="407"/>
      <c r="AL6" s="407"/>
      <c r="AM6" s="407"/>
      <c r="AN6" s="407"/>
      <c r="AO6" s="407"/>
      <c r="AP6" s="407"/>
      <c r="AQ6" s="407"/>
      <c r="AR6" s="407"/>
      <c r="AS6" s="407"/>
      <c r="AT6" s="407"/>
      <c r="AU6" s="407"/>
      <c r="AV6" s="407"/>
      <c r="AW6" s="407"/>
      <c r="AX6" s="407"/>
      <c r="AY6" s="407"/>
      <c r="AZ6" s="407"/>
      <c r="BA6" s="407"/>
      <c r="BB6" s="407"/>
      <c r="BC6" s="407"/>
      <c r="BD6" s="407"/>
      <c r="BE6" s="407"/>
      <c r="BF6" s="407"/>
      <c r="BG6" s="407"/>
      <c r="BH6" s="1558"/>
      <c r="BI6" s="1558"/>
      <c r="BJ6" s="1558"/>
      <c r="BK6" s="1558"/>
      <c r="BL6" s="1559"/>
      <c r="BM6" s="1559"/>
      <c r="BN6" s="1559"/>
      <c r="BO6" s="491"/>
    </row>
    <row r="7" spans="2:73" s="416" customFormat="1" ht="15.75" customHeight="1" thickBot="1" x14ac:dyDescent="0.25">
      <c r="B7" s="1566"/>
      <c r="C7" s="1567"/>
      <c r="D7" s="1567"/>
      <c r="E7" s="1568"/>
      <c r="F7" s="1569" t="s">
        <v>270</v>
      </c>
      <c r="G7" s="1570"/>
      <c r="H7" s="1571"/>
      <c r="I7" s="1572"/>
      <c r="J7" s="1572"/>
      <c r="K7" s="1572"/>
      <c r="L7" s="1573"/>
      <c r="M7" s="1574"/>
      <c r="N7" s="1575"/>
      <c r="O7" s="1585"/>
      <c r="P7" s="1586"/>
      <c r="Q7" s="1587" t="str">
        <f>IF((graded_aca_events+graded_amn_events)&lt;1,"---",IF(ISERROR(AR47),"",IF(F42&lt;&gt;"COMPLETE","INCOMPLETE",AR47)))</f>
        <v>---</v>
      </c>
      <c r="R7" s="1588"/>
      <c r="S7" s="371"/>
      <c r="T7" s="401"/>
      <c r="U7" s="401">
        <v>2</v>
      </c>
      <c r="V7" s="401">
        <v>3</v>
      </c>
      <c r="W7" s="401">
        <v>6</v>
      </c>
      <c r="X7" s="401">
        <v>7</v>
      </c>
      <c r="Y7" s="401">
        <v>11</v>
      </c>
      <c r="Z7" s="401">
        <v>8</v>
      </c>
      <c r="AA7" s="490">
        <v>9</v>
      </c>
      <c r="AB7" s="490">
        <v>10</v>
      </c>
      <c r="AC7" s="490">
        <v>5</v>
      </c>
      <c r="AD7" s="490">
        <v>4</v>
      </c>
      <c r="AE7" s="490">
        <v>12</v>
      </c>
      <c r="AF7" s="490">
        <v>13</v>
      </c>
      <c r="AG7" s="490"/>
      <c r="AH7" s="490"/>
      <c r="AI7" s="489"/>
      <c r="AJ7" s="488"/>
      <c r="AK7" s="488"/>
      <c r="AL7" s="488"/>
      <c r="AM7" s="488" t="b">
        <f>IF(COUNT(AM9:AM40)&gt;0,TRUE,FALSE)</f>
        <v>0</v>
      </c>
      <c r="AN7" s="488" t="b">
        <f>IF(COUNT(AN9:AN40)&gt;0,TRUE,FALSE)</f>
        <v>0</v>
      </c>
      <c r="AO7" s="401"/>
      <c r="AP7" s="401"/>
      <c r="AQ7" s="487"/>
      <c r="AR7" s="487"/>
      <c r="AS7" s="401"/>
      <c r="AT7" s="486">
        <v>0.2</v>
      </c>
      <c r="AU7" s="401"/>
      <c r="AV7" s="485">
        <f>0.01*input_maxb</f>
        <v>0</v>
      </c>
      <c r="AW7" s="483" t="s">
        <v>159</v>
      </c>
      <c r="AX7" s="484"/>
      <c r="AY7" s="483" t="s">
        <v>160</v>
      </c>
      <c r="AZ7" s="484"/>
      <c r="BA7" s="482" t="s">
        <v>161</v>
      </c>
      <c r="BB7" s="482"/>
      <c r="BC7" s="483" t="s">
        <v>162</v>
      </c>
      <c r="BD7" s="482"/>
      <c r="BE7" s="481"/>
      <c r="BF7" s="480"/>
      <c r="BG7" s="401" t="s">
        <v>163</v>
      </c>
      <c r="BH7" s="1558"/>
      <c r="BI7" s="1558"/>
      <c r="BJ7" s="1558"/>
      <c r="BK7" s="1558"/>
      <c r="BL7" s="1559"/>
      <c r="BM7" s="1559"/>
      <c r="BN7" s="1559"/>
      <c r="BO7" s="372"/>
    </row>
    <row r="8" spans="2:73" ht="27" customHeight="1" thickBot="1" x14ac:dyDescent="0.3">
      <c r="B8" s="1582" t="s">
        <v>164</v>
      </c>
      <c r="C8" s="1583"/>
      <c r="D8" s="1583"/>
      <c r="E8" s="1583"/>
      <c r="F8" s="1584"/>
      <c r="G8" s="479" t="s">
        <v>165</v>
      </c>
      <c r="H8" s="478" t="s">
        <v>166</v>
      </c>
      <c r="I8" s="477" t="s">
        <v>167</v>
      </c>
      <c r="J8" s="476" t="s">
        <v>168</v>
      </c>
      <c r="K8" s="475" t="s">
        <v>169</v>
      </c>
      <c r="L8" s="1605" t="s">
        <v>170</v>
      </c>
      <c r="M8" s="1583"/>
      <c r="N8" s="1583"/>
      <c r="O8" s="1583"/>
      <c r="P8" s="1583"/>
      <c r="Q8" s="1583"/>
      <c r="R8" s="1606"/>
      <c r="S8" s="376"/>
      <c r="T8" s="385" t="s">
        <v>171</v>
      </c>
      <c r="U8" s="385"/>
      <c r="V8" s="385" t="s">
        <v>172</v>
      </c>
      <c r="W8" s="385" t="s">
        <v>173</v>
      </c>
      <c r="X8" s="385" t="s">
        <v>174</v>
      </c>
      <c r="Y8" s="385" t="s">
        <v>175</v>
      </c>
      <c r="Z8" s="385" t="s">
        <v>176</v>
      </c>
      <c r="AA8" s="385" t="s">
        <v>177</v>
      </c>
      <c r="AB8" s="385" t="s">
        <v>178</v>
      </c>
      <c r="AC8" s="385" t="s">
        <v>179</v>
      </c>
      <c r="AD8" s="385" t="s">
        <v>180</v>
      </c>
      <c r="AE8" s="385" t="s">
        <v>181</v>
      </c>
      <c r="AF8" s="385" t="s">
        <v>182</v>
      </c>
      <c r="AG8" s="385" t="s">
        <v>183</v>
      </c>
      <c r="AH8" s="385" t="s">
        <v>184</v>
      </c>
      <c r="AI8" s="474" t="s">
        <v>185</v>
      </c>
      <c r="AJ8" s="472" t="s">
        <v>186</v>
      </c>
      <c r="AK8" s="473" t="s">
        <v>187</v>
      </c>
      <c r="AL8" s="473" t="s">
        <v>188</v>
      </c>
      <c r="AM8" s="473" t="s">
        <v>189</v>
      </c>
      <c r="AN8" s="473" t="s">
        <v>190</v>
      </c>
      <c r="AO8" s="472" t="s">
        <v>191</v>
      </c>
      <c r="AP8" s="472" t="s">
        <v>192</v>
      </c>
      <c r="AQ8" s="470" t="s">
        <v>193</v>
      </c>
      <c r="AR8" s="471" t="s">
        <v>1</v>
      </c>
      <c r="AS8" s="470" t="s">
        <v>194</v>
      </c>
      <c r="AT8" s="471" t="s">
        <v>1</v>
      </c>
      <c r="AU8" s="470" t="s">
        <v>195</v>
      </c>
      <c r="AV8" s="469" t="s">
        <v>196</v>
      </c>
      <c r="AW8" s="468" t="s">
        <v>197</v>
      </c>
      <c r="AX8" s="467" t="s">
        <v>198</v>
      </c>
      <c r="AY8" s="468" t="s">
        <v>199</v>
      </c>
      <c r="AZ8" s="467" t="s">
        <v>200</v>
      </c>
      <c r="BA8" s="466" t="s">
        <v>201</v>
      </c>
      <c r="BB8" s="466" t="s">
        <v>202</v>
      </c>
      <c r="BC8" s="465" t="s">
        <v>203</v>
      </c>
      <c r="BD8" s="464" t="s">
        <v>204</v>
      </c>
      <c r="BE8" s="463" t="s">
        <v>205</v>
      </c>
      <c r="BF8" s="462" t="s">
        <v>206</v>
      </c>
      <c r="BG8" s="373"/>
      <c r="BH8" s="373" t="s">
        <v>207</v>
      </c>
      <c r="BI8" s="373" t="s">
        <v>208</v>
      </c>
      <c r="BJ8" s="385" t="s">
        <v>209</v>
      </c>
      <c r="BK8" s="373" t="s">
        <v>210</v>
      </c>
      <c r="BL8" s="373" t="s">
        <v>207</v>
      </c>
      <c r="BM8" s="373" t="s">
        <v>208</v>
      </c>
      <c r="BN8" s="373" t="s">
        <v>210</v>
      </c>
    </row>
    <row r="9" spans="2:73" ht="12.95" customHeight="1" x14ac:dyDescent="0.25">
      <c r="B9" s="461" t="str">
        <f>IF(ISNA(Z9),"",IF(OR(Z9=1,Z9=2),"",1))</f>
        <v/>
      </c>
      <c r="C9" s="1607" t="str">
        <f t="shared" ref="C9:C40" si="0">IF(ISNA(Z9),"",CONCATENATE($U9,IF(ISNUMBER(AI9),TEXT(ROUND($AI9,3)," (0.0%)"),""),IF(AU9&gt;0," Bonus","")))</f>
        <v>Structure &amp; Logic (30.0%)</v>
      </c>
      <c r="D9" s="1607"/>
      <c r="E9" s="1607"/>
      <c r="F9" s="1608"/>
      <c r="G9" s="437" t="str">
        <f t="shared" ref="G9:G40" si="1">BH9</f>
        <v/>
      </c>
      <c r="H9" s="431" t="str">
        <f t="shared" ref="H9:H40" si="2">BJ9</f>
        <v/>
      </c>
      <c r="I9" s="460" t="str">
        <f t="shared" ref="I9:I40" si="3">BK9</f>
        <v/>
      </c>
      <c r="J9" s="459"/>
      <c r="K9" s="458"/>
      <c r="L9" s="1609"/>
      <c r="M9" s="1610"/>
      <c r="N9" s="1610"/>
      <c r="O9" s="1610"/>
      <c r="P9" s="1610"/>
      <c r="Q9" s="1610"/>
      <c r="R9" s="1611"/>
      <c r="T9" s="374">
        <v>1</v>
      </c>
      <c r="U9" s="374" t="s">
        <v>646</v>
      </c>
      <c r="V9" s="421" t="s">
        <v>212</v>
      </c>
      <c r="W9" s="421" t="s">
        <v>212</v>
      </c>
      <c r="X9" s="421" t="s">
        <v>212</v>
      </c>
      <c r="Y9" s="421" t="s">
        <v>212</v>
      </c>
      <c r="Z9" s="421">
        <v>2</v>
      </c>
      <c r="AA9" s="421">
        <v>1</v>
      </c>
      <c r="AB9" s="421">
        <v>1</v>
      </c>
      <c r="AC9" s="421" t="s">
        <v>212</v>
      </c>
      <c r="AD9" s="421" t="s">
        <v>212</v>
      </c>
      <c r="AE9" s="421" t="s">
        <v>212</v>
      </c>
      <c r="AF9" s="421" t="s">
        <v>212</v>
      </c>
      <c r="AG9" s="421" t="str">
        <f t="shared" ref="AG9:AG40" si="4">IF(CrewSoloQual="Yes",$AC9,$AD9)</f>
        <v/>
      </c>
      <c r="AH9" s="421" t="str">
        <f t="shared" ref="AH9:AH40" si="5">IF(ISNUMBER(AC9),IF(CrewSoloQual="Yes",$AC9-1,$AD9-1),"")</f>
        <v/>
      </c>
      <c r="AI9" s="427">
        <f>IF(NOT(OR(Z9=1,Z9=2)),IF(AQ9&gt;0,$AR$45*AQ9/SUMIF($AQ$9:$AQ$40,"&gt;0"),IF(AU9&gt;0,$AV$45*AU9/SUMIF($AU$9:$AU$40,"&gt;0"),IF(AS9&gt;0,$AT$45*AS9/SUMIF($AS$9:$AS$40,"&gt;0"),""))),IF(SUMIF(AJ10:$AJ$40,"=" &amp; AJ9,AI10:$AI$40)=0,"",SUMIF(AJ10:$AJ$40,"=" &amp; AJ9,AI10:$AI$40)))</f>
        <v>0.29999997947999935</v>
      </c>
      <c r="AJ9" s="426">
        <f>0</f>
        <v>0</v>
      </c>
      <c r="AK9" s="421" t="str">
        <f t="shared" ref="AK9:AK40" si="6">BI9</f>
        <v/>
      </c>
      <c r="AL9" s="421" t="str">
        <f t="shared" ref="AL9:AL40" si="7">IF(ISBLANK(K9),"",K9)</f>
        <v/>
      </c>
      <c r="AM9" s="421" t="str">
        <f t="shared" ref="AM9:AM40" si="8">IF(ISNUMBER(AK9),IF(ISNUMBER(AL9),1,""),"")</f>
        <v/>
      </c>
      <c r="AN9" s="421" t="str">
        <f t="shared" ref="AN9:AN40" si="9">IF(ISNUMBER(AH9),IF(AND(AB9=0,ISNUMBER(AC9),ISNUMBER(AL9)),1,""),"")</f>
        <v/>
      </c>
      <c r="AO9" s="421" t="str">
        <f t="shared" ref="AO9:AO40" si="10">IF(AB9=0,IF(CrewSoloQual="No",BI9,BK9),"")</f>
        <v/>
      </c>
      <c r="AP9" s="421" t="str">
        <f t="shared" ref="AP9:AP40" si="11">IF(ISNA(Z9),"",IF(AND(ISNUMBER(B9),G9&gt;=1,H9&lt;&gt;"NG"),IF(K9&lt;BK9,TRUE,FALSE),IF(AND(G9&gt;=1,J9="NA"),TRUE,IF(AND(AM9=1,G9=0,AL9&lt;BI9),TRUE,""))))</f>
        <v/>
      </c>
      <c r="AQ9" s="425">
        <f t="shared" ref="AQ9:AQ40" si="12">IF(ISNA(Z9),0,IF(OR(J9="NA",W9="",AB9=0),0,W9))</f>
        <v>0</v>
      </c>
      <c r="AR9" s="423" t="str">
        <f t="shared" ref="AR9:AR40" si="13">IF(ISNA(Z9),"",IF(AND(NOT(OR(Z9=1,Z9=2,AK9="NG",AB9=0)),IF(ISNUMBER(AL9),AL9&gt;=0,FALSE)),VLOOKUP((10*AD9+AC9),$AQ$51:$AV$59,2+AL9,FALSE),IF(AND(input_test=TRUE,ISNUMBER(AD9),V9&lt;&gt;0),VLOOKUP((10*AD9+AC9),$AQ$51:$AV$59,2,FALSE),"")))</f>
        <v/>
      </c>
      <c r="AS9" s="424">
        <f t="shared" ref="AS9:AS40" si="14">IF(ISNA(Z9),0,IF(OR(J9="NA",X9="",AB9=1),0,X9))</f>
        <v>0</v>
      </c>
      <c r="AT9" s="423" t="str">
        <f t="shared" ref="AT9:AT40" si="15">IF(ISNA(Z9),"",IF(AND(NOT(OR(Z9=1,Z9=2,AK9="NG",AB9=1)),IF(ISNUMBER(AL9),AL9&gt;=0,FALSE)),VLOOKUP((10*AH9+AG9),$AQ$51:$AV$59,2+AL9,FALSE),IF(AND(input_test=TRUE,ISNUMBER(AD9),V9&lt;&gt;0),VLOOKUP((10*AH9+AG9),$AQ$51:$AV$59,2,FALSE),"")))</f>
        <v/>
      </c>
      <c r="AU9" s="420">
        <f t="shared" ref="AU9:AU40" si="16">IF(ISNA(Z9),0,IF(OR(J9="NA",Y9=""),0,Y9))</f>
        <v>0</v>
      </c>
      <c r="AV9" s="422" t="str">
        <f t="shared" ref="AV9:AV40" si="17">AR9</f>
        <v/>
      </c>
      <c r="AW9" s="420" t="b">
        <f t="shared" ref="AW9:AW40" si="18">IF(ISNA(Z9),FALSE,IF(OR(AB9=1,G9=0,Z9=1,Z9=2),FALSE,IF(OR(J9="NA",J9&gt;=G9),FALSE,TRUE)))</f>
        <v>0</v>
      </c>
      <c r="AX9" s="419" t="b">
        <f t="shared" ref="AX9:AX40" si="19">IF(ISNA(Z9),FALSE,IF(OR(AB9=0,G9=0,Z9=1,Z9=2,J9="NA"),FALSE,IF(AK9="NG",IF(NOT(ISBLANK(K9)),FALSE,TRUE),IF(J9&gt;=G9,FALSE,TRUE))))</f>
        <v>0</v>
      </c>
      <c r="AY9" s="420" t="b">
        <f t="shared" ref="AY9:AY40" si="20">IF(ISNA(Z9),FALSE,IF(OR(AB9=1,G9&lt;1,Z9=1,Z9=2,AE9=0,ISBLANK(K9)),FALSE,IF(OR(J9="NA",K9&gt;=BI9),FALSE,TRUE)))</f>
        <v>0</v>
      </c>
      <c r="AZ9" s="419" t="b">
        <f t="shared" ref="AZ9:AZ40" si="21">IF(ISNA(Z9),FALSE,IF(OR(AB9=0,G9=0,Z9=1,Z9=2,AE9=0,BI9="NG",K9="",ISBLANK(K9)),FALSE,IF(OR(J9="NA",K9&gt;=AK9),FALSE,TRUE)))</f>
        <v>0</v>
      </c>
      <c r="BA9" s="421" t="b">
        <f t="shared" ref="BA9:BA40" si="22">IF(ISNA(Z9),FALSE,IF(OR(AB9=1,G9&lt;1,Z9=1,Z9=2,AE9=0),FALSE,IF(J9="NA",TRUE,FALSE)))</f>
        <v>0</v>
      </c>
      <c r="BB9" s="421" t="b">
        <f t="shared" ref="BB9:BB40" si="23">IF(ISNA(Z9),FALSE,IF(OR(AB9=0,G9=0,Z9=1,Z9=2),FALSE,IF(J9="NA",TRUE,FALSE)))</f>
        <v>0</v>
      </c>
      <c r="BC9" s="420" t="b">
        <f t="shared" ref="BC9:BC40" si="24">IF(OR(ISNA($Z9),ISNUMBER($Z9),NOT(ISNUMBER($J9)),K9="D"),FALSE,IF(AND(NOT(ISNUMBER($K9)),J9&gt;0),TRUE,FALSE))</f>
        <v>0</v>
      </c>
      <c r="BD9" s="393" t="b">
        <f t="shared" ref="BD9:BD40" si="25">IF(OR(ISNA($Z9),ISNUMBER($Z9),NOT(ISNUMBER(K9))),FALSE,OR(NOT(ISNUMBER(J9)),J9=0,AND(J9=0,K9&lt;&gt;0)))</f>
        <v>0</v>
      </c>
      <c r="BE9" s="419" t="b">
        <f t="shared" ref="BE9:BE40" si="26">IF(OR(ISNA($Z9),K9&lt;&gt;"D"),FALSE,IF(OR(AND(H9="NG",J9=0),AND(H9&lt;&gt;"NG",NOT(OR(J9="NA",J9=0)))),TRUE,FALSE))</f>
        <v>0</v>
      </c>
      <c r="BF9" s="418" t="b">
        <f t="shared" ref="BF9:BF40" si="27">IF(OR(ISNA($Z9),H9&lt;&gt;"NG"),FALSE,IF(AND(J9="NA",K9&lt;&gt;""),TRUE,FALSE))</f>
        <v>0</v>
      </c>
      <c r="BG9" s="417" t="b">
        <f t="shared" ref="BG9:BG40" si="28">IF(ISNA($Z9),"NA",IF(OR(AZ9,AY9,AX9,AW9,AP9,BA9,BB9),TRUE,FALSE))</f>
        <v>0</v>
      </c>
      <c r="BH9" s="435" t="str">
        <f t="shared" ref="BH9:BH40" si="29">IF(ISNA($Z9),"",IF(OR($Z9=1,$Z9=2),"",$V9))</f>
        <v/>
      </c>
      <c r="BI9" s="417" t="str">
        <f t="shared" ref="BI9:BI40" si="30">IF(ISNA($Z9),"",IF(OR($Z9=1,$Z9=2,$G9=""),"",IF(AB9=0,AH9,$AD9)))</f>
        <v/>
      </c>
      <c r="BJ9" s="417" t="str">
        <f t="shared" ref="BJ9:BJ40" si="31">IF(ISNA(AE9),"",IF(OR(Z9=1,Z9=2),"",IF(OR(AE9=0,AD9="NG"),TEXT(BI9,"0"),CONCATENATE(TEXT(BI9,"0"),"*"))))</f>
        <v/>
      </c>
      <c r="BK9" s="417" t="str">
        <f t="shared" ref="BK9:BK40" si="32">IF(ISNA($Z9),"",IF(OR($Z9=1,$Z9=2,$G9=""),"",IF(AB9=0,AG9,$AC9)))</f>
        <v/>
      </c>
      <c r="BL9" s="435" t="str">
        <f t="shared" ref="BL9:BL40" si="33">IF(ISBLANK(BH9),"",IF(BH9=0,"",BH9))</f>
        <v/>
      </c>
      <c r="BM9" s="417" t="str">
        <f t="shared" ref="BM9:BM40" si="34">IF($BH9=0,"",IF($BI9="NG","D",$BI9))</f>
        <v/>
      </c>
      <c r="BN9" s="417" t="str">
        <f t="shared" ref="BN9:BN40" si="35">IF(ISNA(U9),"",IF($BH9=0,"",IF($BI9="NG","D",BK9)))</f>
        <v/>
      </c>
      <c r="BO9" s="457" t="s">
        <v>213</v>
      </c>
      <c r="BP9" s="434"/>
    </row>
    <row r="10" spans="2:73" s="416" customFormat="1" ht="12.95" customHeight="1" x14ac:dyDescent="0.25">
      <c r="B10" s="433">
        <f>IF(ISNA(Z10),"",IF(OR(Z10=1,Z10=2),"    ",MAX($B$9:B9)+1))</f>
        <v>1</v>
      </c>
      <c r="C10" s="1618" t="str">
        <f t="shared" si="0"/>
        <v xml:space="preserve">      - Executive Summary (8.0%)</v>
      </c>
      <c r="D10" s="1618"/>
      <c r="E10" s="1618"/>
      <c r="F10" s="1619"/>
      <c r="G10" s="437">
        <f t="shared" si="1"/>
        <v>1</v>
      </c>
      <c r="H10" s="431" t="str">
        <f t="shared" si="2"/>
        <v>2*</v>
      </c>
      <c r="I10" s="436">
        <f t="shared" si="3"/>
        <v>3</v>
      </c>
      <c r="J10" s="456"/>
      <c r="K10" s="448"/>
      <c r="L10" s="1612"/>
      <c r="M10" s="1613"/>
      <c r="N10" s="1613"/>
      <c r="O10" s="1613"/>
      <c r="P10" s="1613"/>
      <c r="Q10" s="1613"/>
      <c r="R10" s="1614"/>
      <c r="T10" s="401">
        <v>2</v>
      </c>
      <c r="U10" s="374" t="s">
        <v>290</v>
      </c>
      <c r="V10" s="421">
        <v>1</v>
      </c>
      <c r="W10" s="421">
        <v>2.6666660000000002</v>
      </c>
      <c r="X10" s="421" t="s">
        <v>212</v>
      </c>
      <c r="Y10" s="421" t="s">
        <v>212</v>
      </c>
      <c r="Z10" s="393" t="s">
        <v>212</v>
      </c>
      <c r="AA10" s="393">
        <v>2</v>
      </c>
      <c r="AB10" s="393">
        <v>1</v>
      </c>
      <c r="AC10" s="421">
        <v>3</v>
      </c>
      <c r="AD10" s="421">
        <v>2</v>
      </c>
      <c r="AE10" s="421">
        <v>1</v>
      </c>
      <c r="AF10" s="421" t="b">
        <v>1</v>
      </c>
      <c r="AG10" s="421">
        <f t="shared" si="4"/>
        <v>2</v>
      </c>
      <c r="AH10" s="421">
        <f t="shared" si="5"/>
        <v>1</v>
      </c>
      <c r="AI10" s="427">
        <f>IF(NOT(OR(Z10=1,Z10=2)),IF(AQ10&gt;0,$AR$45*AQ10/SUMIF($AQ$9:$AQ$40,"&gt;0"),IF(AU10&gt;0,$AV$45*AU10/SUMIF($AU$9:$AU$40,"&gt;0"),IF(AS10&gt;0,$AT$45*AS10/SUMIF($AS$9:$AS$40,"&gt;0"),""))),IF(SUMIF(AJ11:$AJ$40,"=" &amp; AJ10,AI11:$AI$40)=0,"",SUMIF(AJ11:$AJ$40,"=" &amp; AJ10,AI11:$AI$40)))</f>
        <v>7.9999982527999447E-2</v>
      </c>
      <c r="AJ10" s="426">
        <f t="shared" ref="AJ10:AJ40" si="36">IF(OR(Z10=1,Z10=2,AA10&lt;AA9),AJ9+1,AJ9)</f>
        <v>0</v>
      </c>
      <c r="AK10" s="421">
        <f t="shared" si="6"/>
        <v>2</v>
      </c>
      <c r="AL10" s="393" t="str">
        <f t="shared" si="7"/>
        <v/>
      </c>
      <c r="AM10" s="393" t="str">
        <f t="shared" si="8"/>
        <v/>
      </c>
      <c r="AN10" s="393" t="str">
        <f t="shared" si="9"/>
        <v/>
      </c>
      <c r="AO10" s="393" t="str">
        <f t="shared" si="10"/>
        <v/>
      </c>
      <c r="AP10" s="421" t="b">
        <f t="shared" si="11"/>
        <v>1</v>
      </c>
      <c r="AQ10" s="425">
        <f t="shared" si="12"/>
        <v>2.6666660000000002</v>
      </c>
      <c r="AR10" s="423" t="str">
        <f t="shared" si="13"/>
        <v/>
      </c>
      <c r="AS10" s="424">
        <f t="shared" si="14"/>
        <v>0</v>
      </c>
      <c r="AT10" s="423" t="str">
        <f t="shared" si="15"/>
        <v/>
      </c>
      <c r="AU10" s="420">
        <f t="shared" si="16"/>
        <v>0</v>
      </c>
      <c r="AV10" s="422" t="str">
        <f t="shared" si="17"/>
        <v/>
      </c>
      <c r="AW10" s="420" t="b">
        <f t="shared" si="18"/>
        <v>0</v>
      </c>
      <c r="AX10" s="419" t="b">
        <f t="shared" si="19"/>
        <v>1</v>
      </c>
      <c r="AY10" s="420" t="b">
        <f t="shared" si="20"/>
        <v>0</v>
      </c>
      <c r="AZ10" s="419" t="b">
        <f t="shared" si="21"/>
        <v>0</v>
      </c>
      <c r="BA10" s="421" t="b">
        <f t="shared" si="22"/>
        <v>0</v>
      </c>
      <c r="BB10" s="421" t="b">
        <f t="shared" si="23"/>
        <v>0</v>
      </c>
      <c r="BC10" s="420" t="b">
        <f t="shared" si="24"/>
        <v>0</v>
      </c>
      <c r="BD10" s="393" t="b">
        <f t="shared" si="25"/>
        <v>0</v>
      </c>
      <c r="BE10" s="419" t="b">
        <f t="shared" si="26"/>
        <v>0</v>
      </c>
      <c r="BF10" s="418" t="b">
        <f t="shared" si="27"/>
        <v>0</v>
      </c>
      <c r="BG10" s="417" t="b">
        <f t="shared" si="28"/>
        <v>1</v>
      </c>
      <c r="BH10" s="417">
        <f t="shared" si="29"/>
        <v>1</v>
      </c>
      <c r="BI10" s="417">
        <f t="shared" si="30"/>
        <v>2</v>
      </c>
      <c r="BJ10" s="417" t="str">
        <f t="shared" si="31"/>
        <v>2*</v>
      </c>
      <c r="BK10" s="417">
        <f t="shared" si="32"/>
        <v>3</v>
      </c>
      <c r="BL10" s="435">
        <f t="shared" si="33"/>
        <v>1</v>
      </c>
      <c r="BM10" s="417">
        <f t="shared" si="34"/>
        <v>2</v>
      </c>
      <c r="BN10" s="417">
        <f t="shared" si="35"/>
        <v>3</v>
      </c>
      <c r="BO10" s="439" t="s">
        <v>214</v>
      </c>
      <c r="BP10" s="455" t="s">
        <v>139</v>
      </c>
    </row>
    <row r="11" spans="2:73" s="416" customFormat="1" ht="12.95" customHeight="1" x14ac:dyDescent="0.25">
      <c r="B11" s="433">
        <f>IF(ISNA(Z11),"",IF(OR(Z11=1,Z11=2),"    ",MAX($B$9:B10)+1))</f>
        <v>2</v>
      </c>
      <c r="C11" s="1618" t="str">
        <f t="shared" si="0"/>
        <v xml:space="preserve">      - Report Org. &amp; Structure (10.0%)</v>
      </c>
      <c r="D11" s="1618"/>
      <c r="E11" s="1618"/>
      <c r="F11" s="1619"/>
      <c r="G11" s="437">
        <f t="shared" si="1"/>
        <v>1</v>
      </c>
      <c r="H11" s="431" t="str">
        <f t="shared" si="2"/>
        <v>2*</v>
      </c>
      <c r="I11" s="436">
        <f t="shared" si="3"/>
        <v>3</v>
      </c>
      <c r="J11" s="449"/>
      <c r="K11" s="448"/>
      <c r="L11" s="1612"/>
      <c r="M11" s="1613"/>
      <c r="N11" s="1613"/>
      <c r="O11" s="1613"/>
      <c r="P11" s="1613"/>
      <c r="Q11" s="1613"/>
      <c r="R11" s="1614"/>
      <c r="T11" s="401">
        <v>3</v>
      </c>
      <c r="U11" s="374" t="s">
        <v>645</v>
      </c>
      <c r="V11" s="421">
        <v>1</v>
      </c>
      <c r="W11" s="421">
        <v>3.3333330000000001</v>
      </c>
      <c r="X11" s="421" t="s">
        <v>212</v>
      </c>
      <c r="Y11" s="421" t="s">
        <v>212</v>
      </c>
      <c r="Z11" s="393" t="s">
        <v>212</v>
      </c>
      <c r="AA11" s="393">
        <v>2</v>
      </c>
      <c r="AB11" s="393">
        <v>1</v>
      </c>
      <c r="AC11" s="421">
        <v>3</v>
      </c>
      <c r="AD11" s="421">
        <v>2</v>
      </c>
      <c r="AE11" s="421">
        <v>1</v>
      </c>
      <c r="AF11" s="421" t="b">
        <v>1</v>
      </c>
      <c r="AG11" s="421">
        <f t="shared" si="4"/>
        <v>2</v>
      </c>
      <c r="AH11" s="421">
        <f t="shared" si="5"/>
        <v>1</v>
      </c>
      <c r="AI11" s="427">
        <f>IF(NOT(OR(Z11=1,Z11=2)),IF(AQ11&gt;0,$AR$45*AQ11/SUMIF($AQ$9:$AQ$40,"&gt;0"),IF(AU11&gt;0,$AV$45*AU11/SUMIF($AU$9:$AU$40,"&gt;0"),IF(AS11&gt;0,$AT$45*AS11/SUMIF($AS$9:$AS$40,"&gt;0"),""))),IF(SUMIF(AJ12:$AJ$40,"=" &amp; AJ11,AI12:$AI$40)=0,"",SUMIF(AJ12:$AJ$40,"=" &amp; AJ11,AI12:$AI$40)))</f>
        <v>9.9999993159999787E-2</v>
      </c>
      <c r="AJ11" s="426">
        <f t="shared" si="36"/>
        <v>0</v>
      </c>
      <c r="AK11" s="421">
        <f t="shared" si="6"/>
        <v>2</v>
      </c>
      <c r="AL11" s="393" t="str">
        <f t="shared" si="7"/>
        <v/>
      </c>
      <c r="AM11" s="393" t="str">
        <f t="shared" si="8"/>
        <v/>
      </c>
      <c r="AN11" s="393" t="str">
        <f t="shared" si="9"/>
        <v/>
      </c>
      <c r="AO11" s="393" t="str">
        <f t="shared" si="10"/>
        <v/>
      </c>
      <c r="AP11" s="421" t="b">
        <f t="shared" si="11"/>
        <v>1</v>
      </c>
      <c r="AQ11" s="425">
        <f t="shared" si="12"/>
        <v>3.3333330000000001</v>
      </c>
      <c r="AR11" s="423" t="str">
        <f t="shared" si="13"/>
        <v/>
      </c>
      <c r="AS11" s="424">
        <f t="shared" si="14"/>
        <v>0</v>
      </c>
      <c r="AT11" s="423" t="str">
        <f t="shared" si="15"/>
        <v/>
      </c>
      <c r="AU11" s="420">
        <f t="shared" si="16"/>
        <v>0</v>
      </c>
      <c r="AV11" s="422" t="str">
        <f t="shared" si="17"/>
        <v/>
      </c>
      <c r="AW11" s="420" t="b">
        <f t="shared" si="18"/>
        <v>0</v>
      </c>
      <c r="AX11" s="419" t="b">
        <f t="shared" si="19"/>
        <v>1</v>
      </c>
      <c r="AY11" s="420" t="b">
        <f t="shared" si="20"/>
        <v>0</v>
      </c>
      <c r="AZ11" s="419" t="b">
        <f t="shared" si="21"/>
        <v>0</v>
      </c>
      <c r="BA11" s="421" t="b">
        <f t="shared" si="22"/>
        <v>0</v>
      </c>
      <c r="BB11" s="421" t="b">
        <f t="shared" si="23"/>
        <v>0</v>
      </c>
      <c r="BC11" s="420" t="b">
        <f t="shared" si="24"/>
        <v>0</v>
      </c>
      <c r="BD11" s="393" t="b">
        <f t="shared" si="25"/>
        <v>0</v>
      </c>
      <c r="BE11" s="419" t="b">
        <f t="shared" si="26"/>
        <v>0</v>
      </c>
      <c r="BF11" s="418" t="b">
        <f t="shared" si="27"/>
        <v>0</v>
      </c>
      <c r="BG11" s="417" t="b">
        <f t="shared" si="28"/>
        <v>1</v>
      </c>
      <c r="BH11" s="417">
        <f t="shared" si="29"/>
        <v>1</v>
      </c>
      <c r="BI11" s="417">
        <f t="shared" si="30"/>
        <v>2</v>
      </c>
      <c r="BJ11" s="417" t="str">
        <f t="shared" si="31"/>
        <v>2*</v>
      </c>
      <c r="BK11" s="417">
        <f t="shared" si="32"/>
        <v>3</v>
      </c>
      <c r="BL11" s="435">
        <f t="shared" si="33"/>
        <v>1</v>
      </c>
      <c r="BM11" s="417">
        <f t="shared" si="34"/>
        <v>2</v>
      </c>
      <c r="BN11" s="417">
        <f t="shared" si="35"/>
        <v>3</v>
      </c>
      <c r="BO11" s="439">
        <v>0</v>
      </c>
      <c r="BP11" s="455" t="s">
        <v>287</v>
      </c>
    </row>
    <row r="12" spans="2:73" s="416" customFormat="1" ht="12.95" customHeight="1" x14ac:dyDescent="0.25">
      <c r="B12" s="433">
        <f>IF(ISNA(Z12),"",IF(OR(Z12=1,Z12=2),"    ",MAX($B$9:B11)+1))</f>
        <v>3</v>
      </c>
      <c r="C12" s="1618" t="str">
        <f t="shared" si="0"/>
        <v xml:space="preserve">      - Logical Chain of Reasoning (12.0%)</v>
      </c>
      <c r="D12" s="1618"/>
      <c r="E12" s="1618"/>
      <c r="F12" s="1619"/>
      <c r="G12" s="437">
        <f t="shared" si="1"/>
        <v>1</v>
      </c>
      <c r="H12" s="431" t="str">
        <f t="shared" si="2"/>
        <v>2*</v>
      </c>
      <c r="I12" s="436">
        <f t="shared" si="3"/>
        <v>3</v>
      </c>
      <c r="J12" s="449"/>
      <c r="K12" s="448"/>
      <c r="L12" s="1612"/>
      <c r="M12" s="1613"/>
      <c r="N12" s="1613"/>
      <c r="O12" s="1613"/>
      <c r="P12" s="1613"/>
      <c r="Q12" s="1613"/>
      <c r="R12" s="1614"/>
      <c r="T12" s="401">
        <v>4</v>
      </c>
      <c r="U12" s="374" t="s">
        <v>644</v>
      </c>
      <c r="V12" s="421">
        <v>1</v>
      </c>
      <c r="W12" s="421">
        <v>4</v>
      </c>
      <c r="X12" s="421" t="s">
        <v>212</v>
      </c>
      <c r="Y12" s="421" t="s">
        <v>212</v>
      </c>
      <c r="Z12" s="393" t="s">
        <v>212</v>
      </c>
      <c r="AA12" s="393">
        <v>2</v>
      </c>
      <c r="AB12" s="393">
        <v>1</v>
      </c>
      <c r="AC12" s="421">
        <v>3</v>
      </c>
      <c r="AD12" s="421">
        <v>2</v>
      </c>
      <c r="AE12" s="421">
        <v>1</v>
      </c>
      <c r="AF12" s="421" t="b">
        <v>1</v>
      </c>
      <c r="AG12" s="421">
        <f t="shared" si="4"/>
        <v>2</v>
      </c>
      <c r="AH12" s="421">
        <f t="shared" si="5"/>
        <v>1</v>
      </c>
      <c r="AI12" s="427">
        <f>IF(NOT(OR(Z12=1,Z12=2)),IF(AQ12&gt;0,$AR$45*AQ12/SUMIF($AQ$9:$AQ$40,"&gt;0"),IF(AU12&gt;0,$AV$45*AU12/SUMIF($AU$9:$AU$40,"&gt;0"),IF(AS12&gt;0,$AT$45*AS12/SUMIF($AS$9:$AS$40,"&gt;0"),""))),IF(SUMIF(AJ13:$AJ$40,"=" &amp; AJ12,AI13:$AI$40)=0,"",SUMIF(AJ13:$AJ$40,"=" &amp; AJ12,AI13:$AI$40)))</f>
        <v>0.12000000379200011</v>
      </c>
      <c r="AJ12" s="426">
        <f t="shared" si="36"/>
        <v>0</v>
      </c>
      <c r="AK12" s="421">
        <f t="shared" si="6"/>
        <v>2</v>
      </c>
      <c r="AL12" s="393" t="str">
        <f t="shared" si="7"/>
        <v/>
      </c>
      <c r="AM12" s="393" t="str">
        <f t="shared" si="8"/>
        <v/>
      </c>
      <c r="AN12" s="393" t="str">
        <f t="shared" si="9"/>
        <v/>
      </c>
      <c r="AO12" s="393" t="str">
        <f t="shared" si="10"/>
        <v/>
      </c>
      <c r="AP12" s="421" t="b">
        <f t="shared" si="11"/>
        <v>1</v>
      </c>
      <c r="AQ12" s="425">
        <f t="shared" si="12"/>
        <v>4</v>
      </c>
      <c r="AR12" s="423" t="str">
        <f t="shared" si="13"/>
        <v/>
      </c>
      <c r="AS12" s="424">
        <f t="shared" si="14"/>
        <v>0</v>
      </c>
      <c r="AT12" s="423" t="str">
        <f t="shared" si="15"/>
        <v/>
      </c>
      <c r="AU12" s="420">
        <f t="shared" si="16"/>
        <v>0</v>
      </c>
      <c r="AV12" s="422" t="str">
        <f t="shared" si="17"/>
        <v/>
      </c>
      <c r="AW12" s="420" t="b">
        <f t="shared" si="18"/>
        <v>0</v>
      </c>
      <c r="AX12" s="419" t="b">
        <f t="shared" si="19"/>
        <v>1</v>
      </c>
      <c r="AY12" s="420" t="b">
        <f t="shared" si="20"/>
        <v>0</v>
      </c>
      <c r="AZ12" s="419" t="b">
        <f t="shared" si="21"/>
        <v>0</v>
      </c>
      <c r="BA12" s="421" t="b">
        <f t="shared" si="22"/>
        <v>0</v>
      </c>
      <c r="BB12" s="421" t="b">
        <f t="shared" si="23"/>
        <v>0</v>
      </c>
      <c r="BC12" s="420" t="b">
        <f t="shared" si="24"/>
        <v>0</v>
      </c>
      <c r="BD12" s="393" t="b">
        <f t="shared" si="25"/>
        <v>0</v>
      </c>
      <c r="BE12" s="419" t="b">
        <f t="shared" si="26"/>
        <v>0</v>
      </c>
      <c r="BF12" s="418" t="b">
        <f t="shared" si="27"/>
        <v>0</v>
      </c>
      <c r="BG12" s="417" t="b">
        <f t="shared" si="28"/>
        <v>1</v>
      </c>
      <c r="BH12" s="417">
        <f t="shared" si="29"/>
        <v>1</v>
      </c>
      <c r="BI12" s="417">
        <f t="shared" si="30"/>
        <v>2</v>
      </c>
      <c r="BJ12" s="417" t="str">
        <f t="shared" si="31"/>
        <v>2*</v>
      </c>
      <c r="BK12" s="417">
        <f t="shared" si="32"/>
        <v>3</v>
      </c>
      <c r="BL12" s="435">
        <f t="shared" si="33"/>
        <v>1</v>
      </c>
      <c r="BM12" s="417">
        <f t="shared" si="34"/>
        <v>2</v>
      </c>
      <c r="BN12" s="417">
        <f t="shared" si="35"/>
        <v>3</v>
      </c>
      <c r="BO12" s="439">
        <v>1</v>
      </c>
      <c r="BP12" s="455" t="s">
        <v>288</v>
      </c>
    </row>
    <row r="13" spans="2:73" s="416" customFormat="1" ht="12.95" customHeight="1" x14ac:dyDescent="0.25">
      <c r="B13" s="433" t="str">
        <f>IF(ISNA(Z13),"",IF(OR(Z13=1,Z13=2),"    ",MAX($B$9:B12)+1))</f>
        <v xml:space="preserve">    </v>
      </c>
      <c r="C13" s="1618" t="str">
        <f t="shared" si="0"/>
        <v>Take-Off Ground Roll (20.0%)</v>
      </c>
      <c r="D13" s="1618"/>
      <c r="E13" s="1618"/>
      <c r="F13" s="1619"/>
      <c r="G13" s="437" t="str">
        <f t="shared" si="1"/>
        <v/>
      </c>
      <c r="H13" s="431" t="str">
        <f t="shared" si="2"/>
        <v/>
      </c>
      <c r="I13" s="436" t="str">
        <f t="shared" si="3"/>
        <v/>
      </c>
      <c r="J13" s="429"/>
      <c r="K13" s="428"/>
      <c r="L13" s="1612"/>
      <c r="M13" s="1613"/>
      <c r="N13" s="1613"/>
      <c r="O13" s="1613"/>
      <c r="P13" s="1613"/>
      <c r="Q13" s="1613"/>
      <c r="R13" s="1614"/>
      <c r="T13" s="401">
        <v>5</v>
      </c>
      <c r="U13" s="374" t="s">
        <v>652</v>
      </c>
      <c r="V13" s="421" t="s">
        <v>212</v>
      </c>
      <c r="W13" s="421" t="s">
        <v>212</v>
      </c>
      <c r="X13" s="421" t="s">
        <v>212</v>
      </c>
      <c r="Y13" s="421" t="s">
        <v>212</v>
      </c>
      <c r="Z13" s="393">
        <v>2</v>
      </c>
      <c r="AA13" s="393">
        <v>1</v>
      </c>
      <c r="AB13" s="393">
        <v>1</v>
      </c>
      <c r="AC13" s="421" t="s">
        <v>212</v>
      </c>
      <c r="AD13" s="421" t="s">
        <v>212</v>
      </c>
      <c r="AE13" s="421" t="s">
        <v>212</v>
      </c>
      <c r="AF13" s="421" t="s">
        <v>212</v>
      </c>
      <c r="AG13" s="421" t="str">
        <f t="shared" si="4"/>
        <v/>
      </c>
      <c r="AH13" s="421" t="str">
        <f t="shared" si="5"/>
        <v/>
      </c>
      <c r="AI13" s="427">
        <f>IF(NOT(OR(Z13=1,Z13=2)),IF(AQ13&gt;0,$AR$45*AQ13/SUMIF($AQ$9:$AQ$40,"&gt;0"),IF(AU13&gt;0,$AV$45*AU13/SUMIF($AU$9:$AU$40,"&gt;0"),IF(AS13&gt;0,$AT$45*AS13/SUMIF($AS$9:$AS$40,"&gt;0"),""))),IF(SUMIF(AJ14:$AJ$40,"=" &amp; AJ13,AI14:$AI$40)=0,"",SUMIF(AJ14:$AJ$40,"=" &amp; AJ13,AI14:$AI$40)))</f>
        <v>0.20000000612000018</v>
      </c>
      <c r="AJ13" s="426">
        <f t="shared" si="36"/>
        <v>1</v>
      </c>
      <c r="AK13" s="421" t="str">
        <f t="shared" si="6"/>
        <v/>
      </c>
      <c r="AL13" s="393" t="str">
        <f t="shared" si="7"/>
        <v/>
      </c>
      <c r="AM13" s="393" t="str">
        <f t="shared" si="8"/>
        <v/>
      </c>
      <c r="AN13" s="393" t="str">
        <f t="shared" si="9"/>
        <v/>
      </c>
      <c r="AO13" s="393" t="str">
        <f t="shared" si="10"/>
        <v/>
      </c>
      <c r="AP13" s="421" t="str">
        <f t="shared" si="11"/>
        <v/>
      </c>
      <c r="AQ13" s="425">
        <f t="shared" si="12"/>
        <v>0</v>
      </c>
      <c r="AR13" s="423" t="str">
        <f t="shared" si="13"/>
        <v/>
      </c>
      <c r="AS13" s="424">
        <f t="shared" si="14"/>
        <v>0</v>
      </c>
      <c r="AT13" s="423" t="str">
        <f t="shared" si="15"/>
        <v/>
      </c>
      <c r="AU13" s="420">
        <f t="shared" si="16"/>
        <v>0</v>
      </c>
      <c r="AV13" s="422" t="str">
        <f t="shared" si="17"/>
        <v/>
      </c>
      <c r="AW13" s="420" t="b">
        <f t="shared" si="18"/>
        <v>0</v>
      </c>
      <c r="AX13" s="419" t="b">
        <f t="shared" si="19"/>
        <v>0</v>
      </c>
      <c r="AY13" s="420" t="b">
        <f t="shared" si="20"/>
        <v>0</v>
      </c>
      <c r="AZ13" s="419" t="b">
        <f t="shared" si="21"/>
        <v>0</v>
      </c>
      <c r="BA13" s="421" t="b">
        <f t="shared" si="22"/>
        <v>0</v>
      </c>
      <c r="BB13" s="421" t="b">
        <f t="shared" si="23"/>
        <v>0</v>
      </c>
      <c r="BC13" s="420" t="b">
        <f t="shared" si="24"/>
        <v>0</v>
      </c>
      <c r="BD13" s="393" t="b">
        <f t="shared" si="25"/>
        <v>0</v>
      </c>
      <c r="BE13" s="419" t="b">
        <f t="shared" si="26"/>
        <v>0</v>
      </c>
      <c r="BF13" s="418" t="b">
        <f t="shared" si="27"/>
        <v>0</v>
      </c>
      <c r="BG13" s="417" t="b">
        <f t="shared" si="28"/>
        <v>0</v>
      </c>
      <c r="BH13" s="417" t="str">
        <f t="shared" si="29"/>
        <v/>
      </c>
      <c r="BI13" s="417" t="str">
        <f t="shared" si="30"/>
        <v/>
      </c>
      <c r="BJ13" s="417" t="str">
        <f t="shared" si="31"/>
        <v/>
      </c>
      <c r="BK13" s="417" t="str">
        <f t="shared" si="32"/>
        <v/>
      </c>
      <c r="BL13" s="435" t="str">
        <f t="shared" si="33"/>
        <v/>
      </c>
      <c r="BM13" s="417" t="str">
        <f t="shared" si="34"/>
        <v/>
      </c>
      <c r="BN13" s="417" t="str">
        <f t="shared" si="35"/>
        <v/>
      </c>
      <c r="BO13" s="439">
        <v>2</v>
      </c>
      <c r="BP13" s="455" t="s">
        <v>218</v>
      </c>
    </row>
    <row r="14" spans="2:73" s="416" customFormat="1" ht="12.95" customHeight="1" x14ac:dyDescent="0.25">
      <c r="B14" s="433">
        <f>IF(ISNA(Z14),"",IF(OR(Z14=1,Z14=2),"    ",MAX($B$9:B13)+1))</f>
        <v>4</v>
      </c>
      <c r="C14" s="1618" t="str">
        <f t="shared" si="0"/>
        <v xml:space="preserve">      - Test Methods and Conditions (3.0%)</v>
      </c>
      <c r="D14" s="1618"/>
      <c r="E14" s="1618"/>
      <c r="F14" s="1619"/>
      <c r="G14" s="437">
        <f t="shared" si="1"/>
        <v>1</v>
      </c>
      <c r="H14" s="431" t="str">
        <f t="shared" si="2"/>
        <v>2*</v>
      </c>
      <c r="I14" s="436">
        <f t="shared" si="3"/>
        <v>3</v>
      </c>
      <c r="J14" s="449"/>
      <c r="K14" s="448"/>
      <c r="L14" s="1612"/>
      <c r="M14" s="1613"/>
      <c r="N14" s="1613"/>
      <c r="O14" s="1613"/>
      <c r="P14" s="1613"/>
      <c r="Q14" s="1613"/>
      <c r="R14" s="1614"/>
      <c r="T14" s="401">
        <v>6</v>
      </c>
      <c r="U14" s="374" t="s">
        <v>642</v>
      </c>
      <c r="V14" s="421">
        <v>1</v>
      </c>
      <c r="W14" s="421">
        <v>1</v>
      </c>
      <c r="X14" s="421" t="s">
        <v>212</v>
      </c>
      <c r="Y14" s="421" t="s">
        <v>212</v>
      </c>
      <c r="Z14" s="393" t="s">
        <v>212</v>
      </c>
      <c r="AA14" s="393">
        <v>2</v>
      </c>
      <c r="AB14" s="393">
        <v>1</v>
      </c>
      <c r="AC14" s="421">
        <v>3</v>
      </c>
      <c r="AD14" s="421">
        <v>2</v>
      </c>
      <c r="AE14" s="421">
        <v>1</v>
      </c>
      <c r="AF14" s="421" t="b">
        <v>1</v>
      </c>
      <c r="AG14" s="421">
        <f t="shared" si="4"/>
        <v>2</v>
      </c>
      <c r="AH14" s="421">
        <f t="shared" si="5"/>
        <v>1</v>
      </c>
      <c r="AI14" s="427">
        <f>IF(NOT(OR(Z14=1,Z14=2)),IF(AQ14&gt;0,$AR$45*AQ14/SUMIF($AQ$9:$AQ$40,"&gt;0"),IF(AU14&gt;0,$AV$45*AU14/SUMIF($AU$9:$AU$40,"&gt;0"),IF(AS14&gt;0,$AT$45*AS14/SUMIF($AS$9:$AS$40,"&gt;0"),""))),IF(SUMIF(AJ15:$AJ$40,"=" &amp; AJ14,AI15:$AI$40)=0,"",SUMIF(AJ15:$AJ$40,"=" &amp; AJ14,AI15:$AI$40)))</f>
        <v>3.0000000948000028E-2</v>
      </c>
      <c r="AJ14" s="426">
        <f t="shared" si="36"/>
        <v>1</v>
      </c>
      <c r="AK14" s="421">
        <f t="shared" si="6"/>
        <v>2</v>
      </c>
      <c r="AL14" s="393" t="str">
        <f t="shared" si="7"/>
        <v/>
      </c>
      <c r="AM14" s="393" t="str">
        <f t="shared" si="8"/>
        <v/>
      </c>
      <c r="AN14" s="393" t="str">
        <f t="shared" si="9"/>
        <v/>
      </c>
      <c r="AO14" s="393" t="str">
        <f t="shared" si="10"/>
        <v/>
      </c>
      <c r="AP14" s="421" t="b">
        <f t="shared" si="11"/>
        <v>1</v>
      </c>
      <c r="AQ14" s="425">
        <f t="shared" si="12"/>
        <v>1</v>
      </c>
      <c r="AR14" s="423" t="str">
        <f t="shared" si="13"/>
        <v/>
      </c>
      <c r="AS14" s="424">
        <f t="shared" si="14"/>
        <v>0</v>
      </c>
      <c r="AT14" s="423" t="str">
        <f t="shared" si="15"/>
        <v/>
      </c>
      <c r="AU14" s="420">
        <f t="shared" si="16"/>
        <v>0</v>
      </c>
      <c r="AV14" s="422" t="str">
        <f t="shared" si="17"/>
        <v/>
      </c>
      <c r="AW14" s="420" t="b">
        <f t="shared" si="18"/>
        <v>0</v>
      </c>
      <c r="AX14" s="419" t="b">
        <f t="shared" si="19"/>
        <v>1</v>
      </c>
      <c r="AY14" s="420" t="b">
        <f t="shared" si="20"/>
        <v>0</v>
      </c>
      <c r="AZ14" s="419" t="b">
        <f t="shared" si="21"/>
        <v>0</v>
      </c>
      <c r="BA14" s="421" t="b">
        <f t="shared" si="22"/>
        <v>0</v>
      </c>
      <c r="BB14" s="421" t="b">
        <f t="shared" si="23"/>
        <v>0</v>
      </c>
      <c r="BC14" s="420" t="b">
        <f t="shared" si="24"/>
        <v>0</v>
      </c>
      <c r="BD14" s="393" t="b">
        <f t="shared" si="25"/>
        <v>0</v>
      </c>
      <c r="BE14" s="419" t="b">
        <f t="shared" si="26"/>
        <v>0</v>
      </c>
      <c r="BF14" s="418" t="b">
        <f t="shared" si="27"/>
        <v>0</v>
      </c>
      <c r="BG14" s="417" t="b">
        <f t="shared" si="28"/>
        <v>1</v>
      </c>
      <c r="BH14" s="417">
        <f t="shared" si="29"/>
        <v>1</v>
      </c>
      <c r="BI14" s="417">
        <f t="shared" si="30"/>
        <v>2</v>
      </c>
      <c r="BJ14" s="417" t="str">
        <f t="shared" si="31"/>
        <v>2*</v>
      </c>
      <c r="BK14" s="417">
        <f t="shared" si="32"/>
        <v>3</v>
      </c>
      <c r="BL14" s="435">
        <f t="shared" si="33"/>
        <v>1</v>
      </c>
      <c r="BM14" s="417">
        <f t="shared" si="34"/>
        <v>2</v>
      </c>
      <c r="BN14" s="417">
        <f t="shared" si="35"/>
        <v>3</v>
      </c>
      <c r="BO14" s="439">
        <v>3</v>
      </c>
      <c r="BP14" s="455" t="s">
        <v>220</v>
      </c>
    </row>
    <row r="15" spans="2:73" s="416" customFormat="1" ht="12.95" customHeight="1" x14ac:dyDescent="0.25">
      <c r="B15" s="433">
        <f>IF(ISNA(Z15),"",IF(OR(Z15=1,Z15=2),"    ",MAX($B$9:B14)+1))</f>
        <v>5</v>
      </c>
      <c r="C15" s="1618" t="str">
        <f t="shared" si="0"/>
        <v xml:space="preserve">      - Objective Results (6.0%)</v>
      </c>
      <c r="D15" s="1618"/>
      <c r="E15" s="1618"/>
      <c r="F15" s="1619"/>
      <c r="G15" s="437">
        <f t="shared" si="1"/>
        <v>1</v>
      </c>
      <c r="H15" s="431" t="str">
        <f t="shared" si="2"/>
        <v>2*</v>
      </c>
      <c r="I15" s="436">
        <f t="shared" si="3"/>
        <v>3</v>
      </c>
      <c r="J15" s="449"/>
      <c r="K15" s="448"/>
      <c r="L15" s="1612"/>
      <c r="M15" s="1613"/>
      <c r="N15" s="1613"/>
      <c r="O15" s="1613"/>
      <c r="P15" s="1613"/>
      <c r="Q15" s="1613"/>
      <c r="R15" s="1614"/>
      <c r="T15" s="401">
        <v>7</v>
      </c>
      <c r="U15" s="374" t="s">
        <v>641</v>
      </c>
      <c r="V15" s="421">
        <v>1</v>
      </c>
      <c r="W15" s="421">
        <v>2</v>
      </c>
      <c r="X15" s="421" t="s">
        <v>212</v>
      </c>
      <c r="Y15" s="421" t="s">
        <v>212</v>
      </c>
      <c r="Z15" s="393" t="s">
        <v>212</v>
      </c>
      <c r="AA15" s="393">
        <v>2</v>
      </c>
      <c r="AB15" s="393">
        <v>1</v>
      </c>
      <c r="AC15" s="421">
        <v>3</v>
      </c>
      <c r="AD15" s="421">
        <v>2</v>
      </c>
      <c r="AE15" s="421">
        <v>1</v>
      </c>
      <c r="AF15" s="421" t="b">
        <v>1</v>
      </c>
      <c r="AG15" s="421">
        <f t="shared" si="4"/>
        <v>2</v>
      </c>
      <c r="AH15" s="421">
        <f t="shared" si="5"/>
        <v>1</v>
      </c>
      <c r="AI15" s="427">
        <f>IF(NOT(OR(Z15=1,Z15=2)),IF(AQ15&gt;0,$AR$45*AQ15/SUMIF($AQ$9:$AQ$40,"&gt;0"),IF(AU15&gt;0,$AV$45*AU15/SUMIF($AU$9:$AU$40,"&gt;0"),IF(AS15&gt;0,$AT$45*AS15/SUMIF($AS$9:$AS$40,"&gt;0"),""))),IF(SUMIF(AJ16:$AJ$40,"=" &amp; AJ15,AI16:$AI$40)=0,"",SUMIF(AJ16:$AJ$40,"=" &amp; AJ15,AI16:$AI$40)))</f>
        <v>6.0000001896000056E-2</v>
      </c>
      <c r="AJ15" s="426">
        <f t="shared" si="36"/>
        <v>1</v>
      </c>
      <c r="AK15" s="421">
        <f t="shared" si="6"/>
        <v>2</v>
      </c>
      <c r="AL15" s="393" t="str">
        <f t="shared" si="7"/>
        <v/>
      </c>
      <c r="AM15" s="393" t="str">
        <f t="shared" si="8"/>
        <v/>
      </c>
      <c r="AN15" s="393" t="str">
        <f t="shared" si="9"/>
        <v/>
      </c>
      <c r="AO15" s="393" t="str">
        <f t="shared" si="10"/>
        <v/>
      </c>
      <c r="AP15" s="421" t="b">
        <f t="shared" si="11"/>
        <v>1</v>
      </c>
      <c r="AQ15" s="425">
        <f t="shared" si="12"/>
        <v>2</v>
      </c>
      <c r="AR15" s="423" t="str">
        <f t="shared" si="13"/>
        <v/>
      </c>
      <c r="AS15" s="424">
        <f t="shared" si="14"/>
        <v>0</v>
      </c>
      <c r="AT15" s="423" t="str">
        <f t="shared" si="15"/>
        <v/>
      </c>
      <c r="AU15" s="420">
        <f t="shared" si="16"/>
        <v>0</v>
      </c>
      <c r="AV15" s="422" t="str">
        <f t="shared" si="17"/>
        <v/>
      </c>
      <c r="AW15" s="420" t="b">
        <f t="shared" si="18"/>
        <v>0</v>
      </c>
      <c r="AX15" s="419" t="b">
        <f t="shared" si="19"/>
        <v>1</v>
      </c>
      <c r="AY15" s="420" t="b">
        <f t="shared" si="20"/>
        <v>0</v>
      </c>
      <c r="AZ15" s="419" t="b">
        <f t="shared" si="21"/>
        <v>0</v>
      </c>
      <c r="BA15" s="421" t="b">
        <f t="shared" si="22"/>
        <v>0</v>
      </c>
      <c r="BB15" s="421" t="b">
        <f t="shared" si="23"/>
        <v>0</v>
      </c>
      <c r="BC15" s="420" t="b">
        <f t="shared" si="24"/>
        <v>0</v>
      </c>
      <c r="BD15" s="393" t="b">
        <f t="shared" si="25"/>
        <v>0</v>
      </c>
      <c r="BE15" s="419" t="b">
        <f t="shared" si="26"/>
        <v>0</v>
      </c>
      <c r="BF15" s="418" t="b">
        <f t="shared" si="27"/>
        <v>0</v>
      </c>
      <c r="BG15" s="417" t="b">
        <f t="shared" si="28"/>
        <v>1</v>
      </c>
      <c r="BH15" s="417">
        <f t="shared" si="29"/>
        <v>1</v>
      </c>
      <c r="BI15" s="417">
        <f t="shared" si="30"/>
        <v>2</v>
      </c>
      <c r="BJ15" s="417" t="str">
        <f t="shared" si="31"/>
        <v>2*</v>
      </c>
      <c r="BK15" s="417">
        <f t="shared" si="32"/>
        <v>3</v>
      </c>
      <c r="BL15" s="435">
        <f t="shared" si="33"/>
        <v>1</v>
      </c>
      <c r="BM15" s="417">
        <f t="shared" si="34"/>
        <v>2</v>
      </c>
      <c r="BN15" s="417">
        <f t="shared" si="35"/>
        <v>3</v>
      </c>
      <c r="BO15" s="439">
        <v>4</v>
      </c>
      <c r="BP15" s="455" t="s">
        <v>222</v>
      </c>
    </row>
    <row r="16" spans="2:73" s="416" customFormat="1" ht="12.95" customHeight="1" x14ac:dyDescent="0.25">
      <c r="B16" s="433">
        <f>IF(ISNA(Z16),"",IF(OR(Z16=1,Z16=2),"    ",MAX($B$9:B15)+1))</f>
        <v>6</v>
      </c>
      <c r="C16" s="1618" t="str">
        <f t="shared" si="0"/>
        <v xml:space="preserve">      - Eng Analysis &amp; Oper. Impact (6.0%)</v>
      </c>
      <c r="D16" s="1618"/>
      <c r="E16" s="1618"/>
      <c r="F16" s="1619"/>
      <c r="G16" s="437">
        <f t="shared" si="1"/>
        <v>1</v>
      </c>
      <c r="H16" s="431" t="str">
        <f t="shared" si="2"/>
        <v>2*</v>
      </c>
      <c r="I16" s="436">
        <f t="shared" si="3"/>
        <v>3</v>
      </c>
      <c r="J16" s="449"/>
      <c r="K16" s="448"/>
      <c r="L16" s="1612"/>
      <c r="M16" s="1613"/>
      <c r="N16" s="1613"/>
      <c r="O16" s="1613"/>
      <c r="P16" s="1613"/>
      <c r="Q16" s="1613"/>
      <c r="R16" s="1614"/>
      <c r="T16" s="401">
        <v>8</v>
      </c>
      <c r="U16" s="374" t="s">
        <v>640</v>
      </c>
      <c r="V16" s="421">
        <v>1</v>
      </c>
      <c r="W16" s="421">
        <v>2</v>
      </c>
      <c r="X16" s="421" t="s">
        <v>212</v>
      </c>
      <c r="Y16" s="421" t="s">
        <v>212</v>
      </c>
      <c r="Z16" s="393" t="s">
        <v>212</v>
      </c>
      <c r="AA16" s="393">
        <v>2</v>
      </c>
      <c r="AB16" s="393">
        <v>1</v>
      </c>
      <c r="AC16" s="421">
        <v>3</v>
      </c>
      <c r="AD16" s="421">
        <v>2</v>
      </c>
      <c r="AE16" s="421">
        <v>1</v>
      </c>
      <c r="AF16" s="421" t="b">
        <v>1</v>
      </c>
      <c r="AG16" s="421">
        <f t="shared" si="4"/>
        <v>2</v>
      </c>
      <c r="AH16" s="421">
        <f t="shared" si="5"/>
        <v>1</v>
      </c>
      <c r="AI16" s="427">
        <f>IF(NOT(OR(Z16=1,Z16=2)),IF(AQ16&gt;0,$AR$45*AQ16/SUMIF($AQ$9:$AQ$40,"&gt;0"),IF(AU16&gt;0,$AV$45*AU16/SUMIF($AU$9:$AU$40,"&gt;0"),IF(AS16&gt;0,$AT$45*AS16/SUMIF($AS$9:$AS$40,"&gt;0"),""))),IF(SUMIF(AJ17:$AJ$40,"=" &amp; AJ16,AI17:$AI$40)=0,"",SUMIF(AJ17:$AJ$40,"=" &amp; AJ16,AI17:$AI$40)))</f>
        <v>6.0000001896000056E-2</v>
      </c>
      <c r="AJ16" s="426">
        <f t="shared" si="36"/>
        <v>1</v>
      </c>
      <c r="AK16" s="421">
        <f t="shared" si="6"/>
        <v>2</v>
      </c>
      <c r="AL16" s="393" t="str">
        <f t="shared" si="7"/>
        <v/>
      </c>
      <c r="AM16" s="393" t="str">
        <f t="shared" si="8"/>
        <v/>
      </c>
      <c r="AN16" s="393" t="str">
        <f t="shared" si="9"/>
        <v/>
      </c>
      <c r="AO16" s="393" t="str">
        <f t="shared" si="10"/>
        <v/>
      </c>
      <c r="AP16" s="421" t="b">
        <f t="shared" si="11"/>
        <v>1</v>
      </c>
      <c r="AQ16" s="425">
        <f t="shared" si="12"/>
        <v>2</v>
      </c>
      <c r="AR16" s="423" t="str">
        <f t="shared" si="13"/>
        <v/>
      </c>
      <c r="AS16" s="424">
        <f t="shared" si="14"/>
        <v>0</v>
      </c>
      <c r="AT16" s="423" t="str">
        <f t="shared" si="15"/>
        <v/>
      </c>
      <c r="AU16" s="420">
        <f t="shared" si="16"/>
        <v>0</v>
      </c>
      <c r="AV16" s="422" t="str">
        <f t="shared" si="17"/>
        <v/>
      </c>
      <c r="AW16" s="420" t="b">
        <f t="shared" si="18"/>
        <v>0</v>
      </c>
      <c r="AX16" s="419" t="b">
        <f t="shared" si="19"/>
        <v>1</v>
      </c>
      <c r="AY16" s="420" t="b">
        <f t="shared" si="20"/>
        <v>0</v>
      </c>
      <c r="AZ16" s="419" t="b">
        <f t="shared" si="21"/>
        <v>0</v>
      </c>
      <c r="BA16" s="421" t="b">
        <f t="shared" si="22"/>
        <v>0</v>
      </c>
      <c r="BB16" s="421" t="b">
        <f t="shared" si="23"/>
        <v>0</v>
      </c>
      <c r="BC16" s="420" t="b">
        <f t="shared" si="24"/>
        <v>0</v>
      </c>
      <c r="BD16" s="393" t="b">
        <f t="shared" si="25"/>
        <v>0</v>
      </c>
      <c r="BE16" s="419" t="b">
        <f t="shared" si="26"/>
        <v>0</v>
      </c>
      <c r="BF16" s="418" t="b">
        <f t="shared" si="27"/>
        <v>0</v>
      </c>
      <c r="BG16" s="417" t="b">
        <f t="shared" si="28"/>
        <v>1</v>
      </c>
      <c r="BH16" s="417">
        <f t="shared" si="29"/>
        <v>1</v>
      </c>
      <c r="BI16" s="417">
        <f t="shared" si="30"/>
        <v>2</v>
      </c>
      <c r="BJ16" s="417" t="str">
        <f t="shared" si="31"/>
        <v>2*</v>
      </c>
      <c r="BK16" s="417">
        <f t="shared" si="32"/>
        <v>3</v>
      </c>
      <c r="BL16" s="435">
        <f t="shared" si="33"/>
        <v>1</v>
      </c>
      <c r="BM16" s="417">
        <f t="shared" si="34"/>
        <v>2</v>
      </c>
      <c r="BN16" s="417">
        <f t="shared" si="35"/>
        <v>3</v>
      </c>
      <c r="BO16" s="372"/>
    </row>
    <row r="17" spans="2:75" s="416" customFormat="1" ht="12.95" customHeight="1" x14ac:dyDescent="0.25">
      <c r="B17" s="433">
        <f>IF(ISNA(Z17),"",IF(OR(Z17=1,Z17=2),"    ",MAX($B$9:B16)+1))</f>
        <v>7</v>
      </c>
      <c r="C17" s="1618" t="str">
        <f t="shared" si="0"/>
        <v xml:space="preserve">      - Conclusions &amp; Recomm. (5.0%)</v>
      </c>
      <c r="D17" s="1618"/>
      <c r="E17" s="1618"/>
      <c r="F17" s="1619"/>
      <c r="G17" s="437">
        <f t="shared" si="1"/>
        <v>1</v>
      </c>
      <c r="H17" s="431" t="str">
        <f t="shared" si="2"/>
        <v>2*</v>
      </c>
      <c r="I17" s="436">
        <f t="shared" si="3"/>
        <v>3</v>
      </c>
      <c r="J17" s="449"/>
      <c r="K17" s="448"/>
      <c r="L17" s="1612"/>
      <c r="M17" s="1613"/>
      <c r="N17" s="1613"/>
      <c r="O17" s="1613"/>
      <c r="P17" s="1613"/>
      <c r="Q17" s="1613"/>
      <c r="R17" s="1614"/>
      <c r="T17" s="401">
        <v>9</v>
      </c>
      <c r="U17" s="374" t="s">
        <v>639</v>
      </c>
      <c r="V17" s="421">
        <v>1</v>
      </c>
      <c r="W17" s="421">
        <v>1.66666666</v>
      </c>
      <c r="X17" s="421" t="s">
        <v>212</v>
      </c>
      <c r="Y17" s="421" t="s">
        <v>212</v>
      </c>
      <c r="Z17" s="393" t="s">
        <v>212</v>
      </c>
      <c r="AA17" s="393">
        <v>2</v>
      </c>
      <c r="AB17" s="393">
        <v>1</v>
      </c>
      <c r="AC17" s="421">
        <v>3</v>
      </c>
      <c r="AD17" s="421">
        <v>2</v>
      </c>
      <c r="AE17" s="421">
        <v>1</v>
      </c>
      <c r="AF17" s="421" t="b">
        <v>1</v>
      </c>
      <c r="AG17" s="421">
        <f t="shared" si="4"/>
        <v>2</v>
      </c>
      <c r="AH17" s="421">
        <f t="shared" si="5"/>
        <v>1</v>
      </c>
      <c r="AI17" s="427">
        <f>IF(NOT(OR(Z17=1,Z17=2)),IF(AQ17&gt;0,$AR$45*AQ17/SUMIF($AQ$9:$AQ$40,"&gt;0"),IF(AU17&gt;0,$AV$45*AU17/SUMIF($AU$9:$AU$40,"&gt;0"),IF(AS17&gt;0,$AT$45*AS17/SUMIF($AS$9:$AS$40,"&gt;0"),""))),IF(SUMIF(AJ18:$AJ$40,"=" &amp; AJ17,AI18:$AI$40)=0,"",SUMIF(AJ18:$AJ$40,"=" &amp; AJ17,AI18:$AI$40)))</f>
        <v>5.0000001380000041E-2</v>
      </c>
      <c r="AJ17" s="426">
        <f t="shared" si="36"/>
        <v>1</v>
      </c>
      <c r="AK17" s="421">
        <f t="shared" si="6"/>
        <v>2</v>
      </c>
      <c r="AL17" s="393" t="str">
        <f t="shared" si="7"/>
        <v/>
      </c>
      <c r="AM17" s="393" t="str">
        <f t="shared" si="8"/>
        <v/>
      </c>
      <c r="AN17" s="393" t="str">
        <f t="shared" si="9"/>
        <v/>
      </c>
      <c r="AO17" s="393" t="str">
        <f t="shared" si="10"/>
        <v/>
      </c>
      <c r="AP17" s="421" t="b">
        <f t="shared" si="11"/>
        <v>1</v>
      </c>
      <c r="AQ17" s="425">
        <f t="shared" si="12"/>
        <v>1.66666666</v>
      </c>
      <c r="AR17" s="423" t="str">
        <f t="shared" si="13"/>
        <v/>
      </c>
      <c r="AS17" s="424">
        <f t="shared" si="14"/>
        <v>0</v>
      </c>
      <c r="AT17" s="423" t="str">
        <f t="shared" si="15"/>
        <v/>
      </c>
      <c r="AU17" s="420">
        <f t="shared" si="16"/>
        <v>0</v>
      </c>
      <c r="AV17" s="422" t="str">
        <f t="shared" si="17"/>
        <v/>
      </c>
      <c r="AW17" s="420" t="b">
        <f t="shared" si="18"/>
        <v>0</v>
      </c>
      <c r="AX17" s="419" t="b">
        <f t="shared" si="19"/>
        <v>1</v>
      </c>
      <c r="AY17" s="420" t="b">
        <f t="shared" si="20"/>
        <v>0</v>
      </c>
      <c r="AZ17" s="419" t="b">
        <f t="shared" si="21"/>
        <v>0</v>
      </c>
      <c r="BA17" s="421" t="b">
        <f t="shared" si="22"/>
        <v>0</v>
      </c>
      <c r="BB17" s="421" t="b">
        <f t="shared" si="23"/>
        <v>0</v>
      </c>
      <c r="BC17" s="420" t="b">
        <f t="shared" si="24"/>
        <v>0</v>
      </c>
      <c r="BD17" s="393" t="b">
        <f t="shared" si="25"/>
        <v>0</v>
      </c>
      <c r="BE17" s="419" t="b">
        <f t="shared" si="26"/>
        <v>0</v>
      </c>
      <c r="BF17" s="418" t="b">
        <f t="shared" si="27"/>
        <v>0</v>
      </c>
      <c r="BG17" s="417" t="b">
        <f t="shared" si="28"/>
        <v>1</v>
      </c>
      <c r="BH17" s="417">
        <f t="shared" si="29"/>
        <v>1</v>
      </c>
      <c r="BI17" s="417">
        <f t="shared" si="30"/>
        <v>2</v>
      </c>
      <c r="BJ17" s="417" t="str">
        <f t="shared" si="31"/>
        <v>2*</v>
      </c>
      <c r="BK17" s="417">
        <f t="shared" si="32"/>
        <v>3</v>
      </c>
      <c r="BL17" s="435">
        <f t="shared" si="33"/>
        <v>1</v>
      </c>
      <c r="BM17" s="417">
        <f t="shared" si="34"/>
        <v>2</v>
      </c>
      <c r="BN17" s="417">
        <f t="shared" si="35"/>
        <v>3</v>
      </c>
      <c r="BO17" s="439"/>
      <c r="BP17" s="454"/>
    </row>
    <row r="18" spans="2:75" s="416" customFormat="1" ht="12.95" customHeight="1" x14ac:dyDescent="0.25">
      <c r="B18" s="433" t="str">
        <f>IF(ISNA(Z18),"",IF(OR(Z18=1,Z18=2),"    ",MAX($B$9:B17)+1))</f>
        <v xml:space="preserve">    </v>
      </c>
      <c r="C18" s="1618" t="str">
        <f t="shared" si="0"/>
        <v>Time/Fuel/Dist to Climb (20.0%)</v>
      </c>
      <c r="D18" s="1618"/>
      <c r="E18" s="1618"/>
      <c r="F18" s="1619"/>
      <c r="G18" s="437" t="str">
        <f t="shared" si="1"/>
        <v/>
      </c>
      <c r="H18" s="431" t="str">
        <f t="shared" si="2"/>
        <v/>
      </c>
      <c r="I18" s="436" t="str">
        <f t="shared" si="3"/>
        <v/>
      </c>
      <c r="J18" s="429"/>
      <c r="K18" s="428"/>
      <c r="L18" s="1612"/>
      <c r="M18" s="1613"/>
      <c r="N18" s="1613"/>
      <c r="O18" s="1613"/>
      <c r="P18" s="1613"/>
      <c r="Q18" s="1613"/>
      <c r="R18" s="1614"/>
      <c r="T18" s="401">
        <v>10</v>
      </c>
      <c r="U18" s="374" t="s">
        <v>651</v>
      </c>
      <c r="V18" s="421" t="s">
        <v>212</v>
      </c>
      <c r="W18" s="421" t="s">
        <v>212</v>
      </c>
      <c r="X18" s="421" t="s">
        <v>212</v>
      </c>
      <c r="Y18" s="421" t="s">
        <v>212</v>
      </c>
      <c r="Z18" s="393">
        <v>2</v>
      </c>
      <c r="AA18" s="393">
        <v>1</v>
      </c>
      <c r="AB18" s="393">
        <v>1</v>
      </c>
      <c r="AC18" s="421" t="s">
        <v>212</v>
      </c>
      <c r="AD18" s="421" t="s">
        <v>212</v>
      </c>
      <c r="AE18" s="421" t="s">
        <v>212</v>
      </c>
      <c r="AF18" s="421" t="s">
        <v>212</v>
      </c>
      <c r="AG18" s="421" t="str">
        <f t="shared" si="4"/>
        <v/>
      </c>
      <c r="AH18" s="421" t="str">
        <f t="shared" si="5"/>
        <v/>
      </c>
      <c r="AI18" s="427">
        <f>IF(NOT(OR(Z18=1,Z18=2)),IF(AQ18&gt;0,$AR$45*AQ18/SUMIF($AQ$9:$AQ$40,"&gt;0"),IF(AU18&gt;0,$AV$45*AU18/SUMIF($AU$9:$AU$40,"&gt;0"),IF(AS18&gt;0,$AT$45*AS18/SUMIF($AS$9:$AS$40,"&gt;0"),""))),IF(SUMIF(AJ19:$AJ$40,"=" &amp; AJ18,AI19:$AI$40)=0,"",SUMIF(AJ19:$AJ$40,"=" &amp; AJ18,AI19:$AI$40)))</f>
        <v>0.20000000612000018</v>
      </c>
      <c r="AJ18" s="426">
        <f t="shared" si="36"/>
        <v>2</v>
      </c>
      <c r="AK18" s="421" t="str">
        <f t="shared" si="6"/>
        <v/>
      </c>
      <c r="AL18" s="393" t="str">
        <f t="shared" si="7"/>
        <v/>
      </c>
      <c r="AM18" s="393" t="str">
        <f t="shared" si="8"/>
        <v/>
      </c>
      <c r="AN18" s="393" t="str">
        <f t="shared" si="9"/>
        <v/>
      </c>
      <c r="AO18" s="393" t="str">
        <f t="shared" si="10"/>
        <v/>
      </c>
      <c r="AP18" s="421" t="str">
        <f t="shared" si="11"/>
        <v/>
      </c>
      <c r="AQ18" s="425">
        <f t="shared" si="12"/>
        <v>0</v>
      </c>
      <c r="AR18" s="423" t="str">
        <f t="shared" si="13"/>
        <v/>
      </c>
      <c r="AS18" s="424">
        <f t="shared" si="14"/>
        <v>0</v>
      </c>
      <c r="AT18" s="423" t="str">
        <f t="shared" si="15"/>
        <v/>
      </c>
      <c r="AU18" s="420">
        <f t="shared" si="16"/>
        <v>0</v>
      </c>
      <c r="AV18" s="422" t="str">
        <f t="shared" si="17"/>
        <v/>
      </c>
      <c r="AW18" s="420" t="b">
        <f t="shared" si="18"/>
        <v>0</v>
      </c>
      <c r="AX18" s="419" t="b">
        <f t="shared" si="19"/>
        <v>0</v>
      </c>
      <c r="AY18" s="420" t="b">
        <f t="shared" si="20"/>
        <v>0</v>
      </c>
      <c r="AZ18" s="419" t="b">
        <f t="shared" si="21"/>
        <v>0</v>
      </c>
      <c r="BA18" s="421" t="b">
        <f t="shared" si="22"/>
        <v>0</v>
      </c>
      <c r="BB18" s="421" t="b">
        <f t="shared" si="23"/>
        <v>0</v>
      </c>
      <c r="BC18" s="420" t="b">
        <f t="shared" si="24"/>
        <v>0</v>
      </c>
      <c r="BD18" s="393" t="b">
        <f t="shared" si="25"/>
        <v>0</v>
      </c>
      <c r="BE18" s="419" t="b">
        <f t="shared" si="26"/>
        <v>0</v>
      </c>
      <c r="BF18" s="418" t="b">
        <f t="shared" si="27"/>
        <v>0</v>
      </c>
      <c r="BG18" s="417" t="b">
        <f t="shared" si="28"/>
        <v>0</v>
      </c>
      <c r="BH18" s="417" t="str">
        <f t="shared" si="29"/>
        <v/>
      </c>
      <c r="BI18" s="417" t="str">
        <f t="shared" si="30"/>
        <v/>
      </c>
      <c r="BJ18" s="417" t="str">
        <f t="shared" si="31"/>
        <v/>
      </c>
      <c r="BK18" s="417" t="str">
        <f t="shared" si="32"/>
        <v/>
      </c>
      <c r="BL18" s="435" t="str">
        <f t="shared" si="33"/>
        <v/>
      </c>
      <c r="BM18" s="417" t="str">
        <f t="shared" si="34"/>
        <v/>
      </c>
      <c r="BN18" s="417" t="str">
        <f t="shared" si="35"/>
        <v/>
      </c>
      <c r="BO18" s="372"/>
    </row>
    <row r="19" spans="2:75" s="416" customFormat="1" ht="12.95" customHeight="1" x14ac:dyDescent="0.25">
      <c r="B19" s="433">
        <f>IF(ISNA(Z19),"",IF(OR(Z19=1,Z19=2),"    ",MAX($B$9:B18)+1))</f>
        <v>8</v>
      </c>
      <c r="C19" s="1618" t="str">
        <f t="shared" si="0"/>
        <v xml:space="preserve">      - Test Methods and Conditions (3.0%)</v>
      </c>
      <c r="D19" s="1618"/>
      <c r="E19" s="1618"/>
      <c r="F19" s="1619"/>
      <c r="G19" s="437">
        <f t="shared" si="1"/>
        <v>1</v>
      </c>
      <c r="H19" s="431" t="str">
        <f t="shared" si="2"/>
        <v>2*</v>
      </c>
      <c r="I19" s="436">
        <f t="shared" si="3"/>
        <v>3</v>
      </c>
      <c r="J19" s="449"/>
      <c r="K19" s="448"/>
      <c r="L19" s="1612"/>
      <c r="M19" s="1613"/>
      <c r="N19" s="1613"/>
      <c r="O19" s="1613"/>
      <c r="P19" s="1613"/>
      <c r="Q19" s="1613"/>
      <c r="R19" s="1614"/>
      <c r="T19" s="401">
        <v>11</v>
      </c>
      <c r="U19" s="374" t="s">
        <v>642</v>
      </c>
      <c r="V19" s="421">
        <v>1</v>
      </c>
      <c r="W19" s="421">
        <v>1</v>
      </c>
      <c r="X19" s="421" t="s">
        <v>212</v>
      </c>
      <c r="Y19" s="421" t="s">
        <v>212</v>
      </c>
      <c r="Z19" s="393" t="s">
        <v>212</v>
      </c>
      <c r="AA19" s="393">
        <v>2</v>
      </c>
      <c r="AB19" s="393">
        <v>1</v>
      </c>
      <c r="AC19" s="421">
        <v>3</v>
      </c>
      <c r="AD19" s="421">
        <v>2</v>
      </c>
      <c r="AE19" s="421">
        <v>1</v>
      </c>
      <c r="AF19" s="421" t="b">
        <v>1</v>
      </c>
      <c r="AG19" s="421">
        <f t="shared" si="4"/>
        <v>2</v>
      </c>
      <c r="AH19" s="421">
        <f t="shared" si="5"/>
        <v>1</v>
      </c>
      <c r="AI19" s="427">
        <f>IF(NOT(OR(Z19=1,Z19=2)),IF(AQ19&gt;0,$AR$45*AQ19/SUMIF($AQ$9:$AQ$40,"&gt;0"),IF(AU19&gt;0,$AV$45*AU19/SUMIF($AU$9:$AU$40,"&gt;0"),IF(AS19&gt;0,$AT$45*AS19/SUMIF($AS$9:$AS$40,"&gt;0"),""))),IF(SUMIF(AJ20:$AJ$40,"=" &amp; AJ19,AI20:$AI$40)=0,"",SUMIF(AJ20:$AJ$40,"=" &amp; AJ19,AI20:$AI$40)))</f>
        <v>3.0000000948000028E-2</v>
      </c>
      <c r="AJ19" s="426">
        <f t="shared" si="36"/>
        <v>2</v>
      </c>
      <c r="AK19" s="421">
        <f t="shared" si="6"/>
        <v>2</v>
      </c>
      <c r="AL19" s="393" t="str">
        <f t="shared" si="7"/>
        <v/>
      </c>
      <c r="AM19" s="393" t="str">
        <f t="shared" si="8"/>
        <v/>
      </c>
      <c r="AN19" s="393" t="str">
        <f t="shared" si="9"/>
        <v/>
      </c>
      <c r="AO19" s="393" t="str">
        <f t="shared" si="10"/>
        <v/>
      </c>
      <c r="AP19" s="421" t="b">
        <f t="shared" si="11"/>
        <v>1</v>
      </c>
      <c r="AQ19" s="425">
        <f t="shared" si="12"/>
        <v>1</v>
      </c>
      <c r="AR19" s="423" t="str">
        <f t="shared" si="13"/>
        <v/>
      </c>
      <c r="AS19" s="424">
        <f t="shared" si="14"/>
        <v>0</v>
      </c>
      <c r="AT19" s="423" t="str">
        <f t="shared" si="15"/>
        <v/>
      </c>
      <c r="AU19" s="420">
        <f t="shared" si="16"/>
        <v>0</v>
      </c>
      <c r="AV19" s="422" t="str">
        <f t="shared" si="17"/>
        <v/>
      </c>
      <c r="AW19" s="420" t="b">
        <f t="shared" si="18"/>
        <v>0</v>
      </c>
      <c r="AX19" s="419" t="b">
        <f t="shared" si="19"/>
        <v>1</v>
      </c>
      <c r="AY19" s="420" t="b">
        <f t="shared" si="20"/>
        <v>0</v>
      </c>
      <c r="AZ19" s="419" t="b">
        <f t="shared" si="21"/>
        <v>0</v>
      </c>
      <c r="BA19" s="421" t="b">
        <f t="shared" si="22"/>
        <v>0</v>
      </c>
      <c r="BB19" s="421" t="b">
        <f t="shared" si="23"/>
        <v>0</v>
      </c>
      <c r="BC19" s="420" t="b">
        <f t="shared" si="24"/>
        <v>0</v>
      </c>
      <c r="BD19" s="393" t="b">
        <f t="shared" si="25"/>
        <v>0</v>
      </c>
      <c r="BE19" s="419" t="b">
        <f t="shared" si="26"/>
        <v>0</v>
      </c>
      <c r="BF19" s="418" t="b">
        <f t="shared" si="27"/>
        <v>0</v>
      </c>
      <c r="BG19" s="417" t="b">
        <f t="shared" si="28"/>
        <v>1</v>
      </c>
      <c r="BH19" s="417">
        <f t="shared" si="29"/>
        <v>1</v>
      </c>
      <c r="BI19" s="417">
        <f t="shared" si="30"/>
        <v>2</v>
      </c>
      <c r="BJ19" s="417" t="str">
        <f t="shared" si="31"/>
        <v>2*</v>
      </c>
      <c r="BK19" s="417">
        <f t="shared" si="32"/>
        <v>3</v>
      </c>
      <c r="BL19" s="435">
        <f t="shared" si="33"/>
        <v>1</v>
      </c>
      <c r="BM19" s="417">
        <f t="shared" si="34"/>
        <v>2</v>
      </c>
      <c r="BN19" s="417">
        <f t="shared" si="35"/>
        <v>3</v>
      </c>
      <c r="BO19" s="443"/>
      <c r="BP19" s="454" t="s">
        <v>223</v>
      </c>
      <c r="BQ19" s="438"/>
      <c r="BR19" s="438"/>
      <c r="BS19" s="438"/>
      <c r="BT19" s="438"/>
      <c r="BU19" s="438"/>
    </row>
    <row r="20" spans="2:75" s="416" customFormat="1" ht="12.95" customHeight="1" x14ac:dyDescent="0.25">
      <c r="B20" s="433">
        <f>IF(ISNA(Z20),"",IF(OR(Z20=1,Z20=2),"    ",MAX($B$9:B19)+1))</f>
        <v>9</v>
      </c>
      <c r="C20" s="1618" t="str">
        <f t="shared" si="0"/>
        <v xml:space="preserve">      - Objective Results (6.0%)</v>
      </c>
      <c r="D20" s="1618"/>
      <c r="E20" s="1618"/>
      <c r="F20" s="1619"/>
      <c r="G20" s="437">
        <f t="shared" si="1"/>
        <v>1</v>
      </c>
      <c r="H20" s="431" t="str">
        <f t="shared" si="2"/>
        <v>2*</v>
      </c>
      <c r="I20" s="436">
        <f t="shared" si="3"/>
        <v>3</v>
      </c>
      <c r="J20" s="449"/>
      <c r="K20" s="448"/>
      <c r="L20" s="1612"/>
      <c r="M20" s="1613"/>
      <c r="N20" s="1613"/>
      <c r="O20" s="1613"/>
      <c r="P20" s="1613"/>
      <c r="Q20" s="1613"/>
      <c r="R20" s="1614"/>
      <c r="T20" s="401">
        <v>12</v>
      </c>
      <c r="U20" s="374" t="s">
        <v>641</v>
      </c>
      <c r="V20" s="421">
        <v>1</v>
      </c>
      <c r="W20" s="421">
        <v>2</v>
      </c>
      <c r="X20" s="421" t="s">
        <v>212</v>
      </c>
      <c r="Y20" s="421" t="s">
        <v>212</v>
      </c>
      <c r="Z20" s="393" t="s">
        <v>212</v>
      </c>
      <c r="AA20" s="393">
        <v>2</v>
      </c>
      <c r="AB20" s="393">
        <v>1</v>
      </c>
      <c r="AC20" s="421">
        <v>3</v>
      </c>
      <c r="AD20" s="421">
        <v>2</v>
      </c>
      <c r="AE20" s="421">
        <v>1</v>
      </c>
      <c r="AF20" s="421" t="b">
        <v>1</v>
      </c>
      <c r="AG20" s="421">
        <f t="shared" si="4"/>
        <v>2</v>
      </c>
      <c r="AH20" s="421">
        <f t="shared" si="5"/>
        <v>1</v>
      </c>
      <c r="AI20" s="427">
        <f>IF(NOT(OR(Z20=1,Z20=2)),IF(AQ20&gt;0,$AR$45*AQ20/SUMIF($AQ$9:$AQ$40,"&gt;0"),IF(AU20&gt;0,$AV$45*AU20/SUMIF($AU$9:$AU$40,"&gt;0"),IF(AS20&gt;0,$AT$45*AS20/SUMIF($AS$9:$AS$40,"&gt;0"),""))),IF(SUMIF(AJ21:$AJ$40,"=" &amp; AJ20,AI21:$AI$40)=0,"",SUMIF(AJ21:$AJ$40,"=" &amp; AJ20,AI21:$AI$40)))</f>
        <v>6.0000001896000056E-2</v>
      </c>
      <c r="AJ20" s="426">
        <f t="shared" si="36"/>
        <v>2</v>
      </c>
      <c r="AK20" s="421">
        <f t="shared" si="6"/>
        <v>2</v>
      </c>
      <c r="AL20" s="393" t="str">
        <f t="shared" si="7"/>
        <v/>
      </c>
      <c r="AM20" s="393" t="str">
        <f t="shared" si="8"/>
        <v/>
      </c>
      <c r="AN20" s="393" t="str">
        <f t="shared" si="9"/>
        <v/>
      </c>
      <c r="AO20" s="393" t="str">
        <f t="shared" si="10"/>
        <v/>
      </c>
      <c r="AP20" s="421" t="b">
        <f t="shared" si="11"/>
        <v>1</v>
      </c>
      <c r="AQ20" s="425">
        <f t="shared" si="12"/>
        <v>2</v>
      </c>
      <c r="AR20" s="423" t="str">
        <f t="shared" si="13"/>
        <v/>
      </c>
      <c r="AS20" s="424">
        <f t="shared" si="14"/>
        <v>0</v>
      </c>
      <c r="AT20" s="423" t="str">
        <f t="shared" si="15"/>
        <v/>
      </c>
      <c r="AU20" s="420">
        <f t="shared" si="16"/>
        <v>0</v>
      </c>
      <c r="AV20" s="422" t="str">
        <f t="shared" si="17"/>
        <v/>
      </c>
      <c r="AW20" s="420" t="b">
        <f t="shared" si="18"/>
        <v>0</v>
      </c>
      <c r="AX20" s="419" t="b">
        <f t="shared" si="19"/>
        <v>1</v>
      </c>
      <c r="AY20" s="420" t="b">
        <f t="shared" si="20"/>
        <v>0</v>
      </c>
      <c r="AZ20" s="419" t="b">
        <f t="shared" si="21"/>
        <v>0</v>
      </c>
      <c r="BA20" s="421" t="b">
        <f t="shared" si="22"/>
        <v>0</v>
      </c>
      <c r="BB20" s="421" t="b">
        <f t="shared" si="23"/>
        <v>0</v>
      </c>
      <c r="BC20" s="420" t="b">
        <f t="shared" si="24"/>
        <v>0</v>
      </c>
      <c r="BD20" s="393" t="b">
        <f t="shared" si="25"/>
        <v>0</v>
      </c>
      <c r="BE20" s="419" t="b">
        <f t="shared" si="26"/>
        <v>0</v>
      </c>
      <c r="BF20" s="418" t="b">
        <f t="shared" si="27"/>
        <v>0</v>
      </c>
      <c r="BG20" s="417" t="b">
        <f t="shared" si="28"/>
        <v>1</v>
      </c>
      <c r="BH20" s="417">
        <f t="shared" si="29"/>
        <v>1</v>
      </c>
      <c r="BI20" s="417">
        <f t="shared" si="30"/>
        <v>2</v>
      </c>
      <c r="BJ20" s="417" t="str">
        <f t="shared" si="31"/>
        <v>2*</v>
      </c>
      <c r="BK20" s="417">
        <f t="shared" si="32"/>
        <v>3</v>
      </c>
      <c r="BL20" s="435">
        <f t="shared" si="33"/>
        <v>1</v>
      </c>
      <c r="BM20" s="417">
        <f t="shared" si="34"/>
        <v>2</v>
      </c>
      <c r="BN20" s="417">
        <f t="shared" si="35"/>
        <v>3</v>
      </c>
      <c r="BO20" s="443"/>
      <c r="BP20" s="434"/>
      <c r="BQ20" s="1629" t="s">
        <v>224</v>
      </c>
      <c r="BR20" s="1629"/>
      <c r="BS20" s="1629"/>
      <c r="BT20" s="1629"/>
      <c r="BU20" s="1629"/>
    </row>
    <row r="21" spans="2:75" s="416" customFormat="1" ht="12.95" customHeight="1" x14ac:dyDescent="0.25">
      <c r="B21" s="433">
        <f>IF(ISNA(Z21),"",IF(OR(Z21=1,Z21=2),"    ",MAX($B$9:B20)+1))</f>
        <v>10</v>
      </c>
      <c r="C21" s="1618" t="str">
        <f t="shared" si="0"/>
        <v xml:space="preserve">      - Eng Analysis &amp; Oper. Impact (6.0%)</v>
      </c>
      <c r="D21" s="1618"/>
      <c r="E21" s="1618"/>
      <c r="F21" s="1619"/>
      <c r="G21" s="437">
        <f t="shared" si="1"/>
        <v>1</v>
      </c>
      <c r="H21" s="431" t="str">
        <f t="shared" si="2"/>
        <v>2*</v>
      </c>
      <c r="I21" s="436">
        <f t="shared" si="3"/>
        <v>3</v>
      </c>
      <c r="J21" s="449"/>
      <c r="K21" s="448"/>
      <c r="L21" s="1612"/>
      <c r="M21" s="1613"/>
      <c r="N21" s="1613"/>
      <c r="O21" s="1613"/>
      <c r="P21" s="1613"/>
      <c r="Q21" s="1613"/>
      <c r="R21" s="1614"/>
      <c r="T21" s="401">
        <v>13</v>
      </c>
      <c r="U21" s="374" t="s">
        <v>640</v>
      </c>
      <c r="V21" s="421">
        <v>1</v>
      </c>
      <c r="W21" s="421">
        <v>2</v>
      </c>
      <c r="X21" s="421" t="s">
        <v>212</v>
      </c>
      <c r="Y21" s="421" t="s">
        <v>212</v>
      </c>
      <c r="Z21" s="393" t="s">
        <v>212</v>
      </c>
      <c r="AA21" s="393">
        <v>2</v>
      </c>
      <c r="AB21" s="393">
        <v>1</v>
      </c>
      <c r="AC21" s="421">
        <v>3</v>
      </c>
      <c r="AD21" s="421">
        <v>2</v>
      </c>
      <c r="AE21" s="421">
        <v>1</v>
      </c>
      <c r="AF21" s="421" t="b">
        <v>1</v>
      </c>
      <c r="AG21" s="421">
        <f t="shared" si="4"/>
        <v>2</v>
      </c>
      <c r="AH21" s="421">
        <f t="shared" si="5"/>
        <v>1</v>
      </c>
      <c r="AI21" s="427">
        <f>IF(NOT(OR(Z21=1,Z21=2)),IF(AQ21&gt;0,$AR$45*AQ21/SUMIF($AQ$9:$AQ$40,"&gt;0"),IF(AU21&gt;0,$AV$45*AU21/SUMIF($AU$9:$AU$40,"&gt;0"),IF(AS21&gt;0,$AT$45*AS21/SUMIF($AS$9:$AS$40,"&gt;0"),""))),IF(SUMIF(AJ22:$AJ$40,"=" &amp; AJ21,AI22:$AI$40)=0,"",SUMIF(AJ22:$AJ$40,"=" &amp; AJ21,AI22:$AI$40)))</f>
        <v>6.0000001896000056E-2</v>
      </c>
      <c r="AJ21" s="426">
        <f t="shared" si="36"/>
        <v>2</v>
      </c>
      <c r="AK21" s="421">
        <f t="shared" si="6"/>
        <v>2</v>
      </c>
      <c r="AL21" s="393" t="str">
        <f t="shared" si="7"/>
        <v/>
      </c>
      <c r="AM21" s="393" t="str">
        <f t="shared" si="8"/>
        <v/>
      </c>
      <c r="AN21" s="393" t="str">
        <f t="shared" si="9"/>
        <v/>
      </c>
      <c r="AO21" s="393" t="str">
        <f t="shared" si="10"/>
        <v/>
      </c>
      <c r="AP21" s="421" t="b">
        <f t="shared" si="11"/>
        <v>1</v>
      </c>
      <c r="AQ21" s="425">
        <f t="shared" si="12"/>
        <v>2</v>
      </c>
      <c r="AR21" s="423" t="str">
        <f t="shared" si="13"/>
        <v/>
      </c>
      <c r="AS21" s="424">
        <f t="shared" si="14"/>
        <v>0</v>
      </c>
      <c r="AT21" s="423" t="str">
        <f t="shared" si="15"/>
        <v/>
      </c>
      <c r="AU21" s="420">
        <f t="shared" si="16"/>
        <v>0</v>
      </c>
      <c r="AV21" s="422" t="str">
        <f t="shared" si="17"/>
        <v/>
      </c>
      <c r="AW21" s="420" t="b">
        <f t="shared" si="18"/>
        <v>0</v>
      </c>
      <c r="AX21" s="419" t="b">
        <f t="shared" si="19"/>
        <v>1</v>
      </c>
      <c r="AY21" s="420" t="b">
        <f t="shared" si="20"/>
        <v>0</v>
      </c>
      <c r="AZ21" s="419" t="b">
        <f t="shared" si="21"/>
        <v>0</v>
      </c>
      <c r="BA21" s="421" t="b">
        <f t="shared" si="22"/>
        <v>0</v>
      </c>
      <c r="BB21" s="421" t="b">
        <f t="shared" si="23"/>
        <v>0</v>
      </c>
      <c r="BC21" s="420" t="b">
        <f t="shared" si="24"/>
        <v>0</v>
      </c>
      <c r="BD21" s="393" t="b">
        <f t="shared" si="25"/>
        <v>0</v>
      </c>
      <c r="BE21" s="419" t="b">
        <f t="shared" si="26"/>
        <v>0</v>
      </c>
      <c r="BF21" s="418" t="b">
        <f t="shared" si="27"/>
        <v>0</v>
      </c>
      <c r="BG21" s="417" t="b">
        <f t="shared" si="28"/>
        <v>1</v>
      </c>
      <c r="BH21" s="417">
        <f t="shared" si="29"/>
        <v>1</v>
      </c>
      <c r="BI21" s="417">
        <f t="shared" si="30"/>
        <v>2</v>
      </c>
      <c r="BJ21" s="417" t="str">
        <f t="shared" si="31"/>
        <v>2*</v>
      </c>
      <c r="BK21" s="417">
        <f t="shared" si="32"/>
        <v>3</v>
      </c>
      <c r="BL21" s="435">
        <f t="shared" si="33"/>
        <v>1</v>
      </c>
      <c r="BM21" s="417">
        <f t="shared" si="34"/>
        <v>2</v>
      </c>
      <c r="BN21" s="417">
        <f t="shared" si="35"/>
        <v>3</v>
      </c>
      <c r="BO21" s="443"/>
      <c r="BP21" s="443"/>
      <c r="BQ21" s="443">
        <v>0</v>
      </c>
      <c r="BR21" s="443">
        <v>1</v>
      </c>
      <c r="BS21" s="443">
        <v>2</v>
      </c>
      <c r="BT21" s="443">
        <v>3</v>
      </c>
      <c r="BU21" s="443">
        <v>4</v>
      </c>
    </row>
    <row r="22" spans="2:75" s="416" customFormat="1" ht="12.95" customHeight="1" x14ac:dyDescent="0.25">
      <c r="B22" s="433">
        <f>IF(ISNA(Z22),"",IF(OR(Z22=1,Z22=2),"    ",MAX($B$9:B21)+1))</f>
        <v>11</v>
      </c>
      <c r="C22" s="1618" t="str">
        <f t="shared" si="0"/>
        <v xml:space="preserve">      - Conclusions &amp; Recomm. (5.0%)</v>
      </c>
      <c r="D22" s="1618"/>
      <c r="E22" s="1618"/>
      <c r="F22" s="1619"/>
      <c r="G22" s="437">
        <f t="shared" si="1"/>
        <v>1</v>
      </c>
      <c r="H22" s="431" t="str">
        <f t="shared" si="2"/>
        <v>2*</v>
      </c>
      <c r="I22" s="436">
        <f t="shared" si="3"/>
        <v>3</v>
      </c>
      <c r="J22" s="449"/>
      <c r="K22" s="448"/>
      <c r="L22" s="1612"/>
      <c r="M22" s="1613"/>
      <c r="N22" s="1613"/>
      <c r="O22" s="1613"/>
      <c r="P22" s="1613"/>
      <c r="Q22" s="1613"/>
      <c r="R22" s="1614"/>
      <c r="T22" s="401">
        <v>14</v>
      </c>
      <c r="U22" s="374" t="s">
        <v>639</v>
      </c>
      <c r="V22" s="421">
        <v>1</v>
      </c>
      <c r="W22" s="421">
        <v>1.66666666</v>
      </c>
      <c r="X22" s="421" t="s">
        <v>212</v>
      </c>
      <c r="Y22" s="421" t="s">
        <v>212</v>
      </c>
      <c r="Z22" s="393" t="s">
        <v>212</v>
      </c>
      <c r="AA22" s="393">
        <v>2</v>
      </c>
      <c r="AB22" s="393">
        <v>1</v>
      </c>
      <c r="AC22" s="421">
        <v>3</v>
      </c>
      <c r="AD22" s="421">
        <v>2</v>
      </c>
      <c r="AE22" s="421">
        <v>1</v>
      </c>
      <c r="AF22" s="421" t="b">
        <v>1</v>
      </c>
      <c r="AG22" s="421">
        <f t="shared" si="4"/>
        <v>2</v>
      </c>
      <c r="AH22" s="421">
        <f t="shared" si="5"/>
        <v>1</v>
      </c>
      <c r="AI22" s="427">
        <f>IF(NOT(OR(Z22=1,Z22=2)),IF(AQ22&gt;0,$AR$45*AQ22/SUMIF($AQ$9:$AQ$40,"&gt;0"),IF(AU22&gt;0,$AV$45*AU22/SUMIF($AU$9:$AU$40,"&gt;0"),IF(AS22&gt;0,$AT$45*AS22/SUMIF($AS$9:$AS$40,"&gt;0"),""))),IF(SUMIF(AJ23:$AJ$40,"=" &amp; AJ22,AI23:$AI$40)=0,"",SUMIF(AJ23:$AJ$40,"=" &amp; AJ22,AI23:$AI$40)))</f>
        <v>5.0000001380000041E-2</v>
      </c>
      <c r="AJ22" s="426">
        <f t="shared" si="36"/>
        <v>2</v>
      </c>
      <c r="AK22" s="421">
        <f t="shared" si="6"/>
        <v>2</v>
      </c>
      <c r="AL22" s="393" t="str">
        <f t="shared" si="7"/>
        <v/>
      </c>
      <c r="AM22" s="393" t="str">
        <f t="shared" si="8"/>
        <v/>
      </c>
      <c r="AN22" s="393" t="str">
        <f t="shared" si="9"/>
        <v/>
      </c>
      <c r="AO22" s="393" t="str">
        <f t="shared" si="10"/>
        <v/>
      </c>
      <c r="AP22" s="421" t="b">
        <f t="shared" si="11"/>
        <v>1</v>
      </c>
      <c r="AQ22" s="425">
        <f t="shared" si="12"/>
        <v>1.66666666</v>
      </c>
      <c r="AR22" s="423" t="str">
        <f t="shared" si="13"/>
        <v/>
      </c>
      <c r="AS22" s="424">
        <f t="shared" si="14"/>
        <v>0</v>
      </c>
      <c r="AT22" s="423" t="str">
        <f t="shared" si="15"/>
        <v/>
      </c>
      <c r="AU22" s="420">
        <f t="shared" si="16"/>
        <v>0</v>
      </c>
      <c r="AV22" s="422" t="str">
        <f t="shared" si="17"/>
        <v/>
      </c>
      <c r="AW22" s="420" t="b">
        <f t="shared" si="18"/>
        <v>0</v>
      </c>
      <c r="AX22" s="419" t="b">
        <f t="shared" si="19"/>
        <v>1</v>
      </c>
      <c r="AY22" s="420" t="b">
        <f t="shared" si="20"/>
        <v>0</v>
      </c>
      <c r="AZ22" s="419" t="b">
        <f t="shared" si="21"/>
        <v>0</v>
      </c>
      <c r="BA22" s="421" t="b">
        <f t="shared" si="22"/>
        <v>0</v>
      </c>
      <c r="BB22" s="421" t="b">
        <f t="shared" si="23"/>
        <v>0</v>
      </c>
      <c r="BC22" s="420" t="b">
        <f t="shared" si="24"/>
        <v>0</v>
      </c>
      <c r="BD22" s="393" t="b">
        <f t="shared" si="25"/>
        <v>0</v>
      </c>
      <c r="BE22" s="419" t="b">
        <f t="shared" si="26"/>
        <v>0</v>
      </c>
      <c r="BF22" s="418" t="b">
        <f t="shared" si="27"/>
        <v>0</v>
      </c>
      <c r="BG22" s="417" t="b">
        <f t="shared" si="28"/>
        <v>1</v>
      </c>
      <c r="BH22" s="417">
        <f t="shared" si="29"/>
        <v>1</v>
      </c>
      <c r="BI22" s="417">
        <f t="shared" si="30"/>
        <v>2</v>
      </c>
      <c r="BJ22" s="417" t="str">
        <f t="shared" si="31"/>
        <v>2*</v>
      </c>
      <c r="BK22" s="417">
        <f t="shared" si="32"/>
        <v>3</v>
      </c>
      <c r="BL22" s="435">
        <f t="shared" si="33"/>
        <v>1</v>
      </c>
      <c r="BM22" s="417">
        <f t="shared" si="34"/>
        <v>2</v>
      </c>
      <c r="BN22" s="417">
        <f t="shared" si="35"/>
        <v>3</v>
      </c>
      <c r="BO22" s="1630" t="s">
        <v>226</v>
      </c>
      <c r="BP22" s="443" t="s">
        <v>227</v>
      </c>
      <c r="BQ22" s="453">
        <f t="shared" ref="BQ22:BQ30" si="37">AR51</f>
        <v>0.7</v>
      </c>
      <c r="BR22" s="452">
        <f t="shared" ref="BR22:BR30" si="38">AS51</f>
        <v>0.9</v>
      </c>
      <c r="BS22" s="452">
        <f t="shared" ref="BS22:BS30" si="39">AT51</f>
        <v>0.93330000000000002</v>
      </c>
      <c r="BT22" s="452">
        <f t="shared" ref="BT22:BT30" si="40">AU51</f>
        <v>0.9667</v>
      </c>
      <c r="BU22" s="451">
        <f t="shared" ref="BU22:BU30" si="41">AV51</f>
        <v>1</v>
      </c>
      <c r="BV22" s="450"/>
      <c r="BW22" s="447"/>
    </row>
    <row r="23" spans="2:75" s="416" customFormat="1" ht="12.95" customHeight="1" x14ac:dyDescent="0.25">
      <c r="B23" s="433" t="str">
        <f>IF(ISNA(Z23),"",IF(OR(Z23=1,Z23=2),"    ",MAX($B$9:B22)+1))</f>
        <v xml:space="preserve">    </v>
      </c>
      <c r="C23" s="1618" t="str">
        <f t="shared" si="0"/>
        <v>Clarity &amp; Precision (Mechanics) (10.0%)</v>
      </c>
      <c r="D23" s="1618"/>
      <c r="E23" s="1618"/>
      <c r="F23" s="1619"/>
      <c r="G23" s="437" t="str">
        <f t="shared" si="1"/>
        <v/>
      </c>
      <c r="H23" s="431" t="str">
        <f t="shared" si="2"/>
        <v/>
      </c>
      <c r="I23" s="436" t="str">
        <f t="shared" si="3"/>
        <v/>
      </c>
      <c r="J23" s="429"/>
      <c r="K23" s="428"/>
      <c r="L23" s="1612"/>
      <c r="M23" s="1613"/>
      <c r="N23" s="1613"/>
      <c r="O23" s="1613"/>
      <c r="P23" s="1613"/>
      <c r="Q23" s="1613"/>
      <c r="R23" s="1614"/>
      <c r="T23" s="401">
        <v>15</v>
      </c>
      <c r="U23" s="374" t="s">
        <v>638</v>
      </c>
      <c r="V23" s="421" t="s">
        <v>212</v>
      </c>
      <c r="W23" s="421" t="s">
        <v>212</v>
      </c>
      <c r="X23" s="421" t="s">
        <v>212</v>
      </c>
      <c r="Y23" s="421" t="s">
        <v>212</v>
      </c>
      <c r="Z23" s="393">
        <v>2</v>
      </c>
      <c r="AA23" s="393">
        <v>1</v>
      </c>
      <c r="AB23" s="393">
        <v>1</v>
      </c>
      <c r="AC23" s="421" t="s">
        <v>212</v>
      </c>
      <c r="AD23" s="421" t="s">
        <v>212</v>
      </c>
      <c r="AE23" s="421" t="s">
        <v>212</v>
      </c>
      <c r="AF23" s="421" t="s">
        <v>212</v>
      </c>
      <c r="AG23" s="421" t="str">
        <f t="shared" si="4"/>
        <v/>
      </c>
      <c r="AH23" s="421" t="str">
        <f t="shared" si="5"/>
        <v/>
      </c>
      <c r="AI23" s="427">
        <f>IF(NOT(OR(Z23=1,Z23=2)),IF(AQ23&gt;0,$AR$45*AQ23/SUMIF($AQ$9:$AQ$40,"&gt;0"),IF(AU23&gt;0,$AV$45*AU23/SUMIF($AU$9:$AU$40,"&gt;0"),IF(AS23&gt;0,$AT$45*AS23/SUMIF($AS$9:$AS$40,"&gt;0"),""))),IF(SUMIF(AJ24:$AJ$40,"=" &amp; AJ23,AI24:$AI$40)=0,"",SUMIF(AJ24:$AJ$40,"=" &amp; AJ23,AI24:$AI$40)))</f>
        <v>0.10000000216000006</v>
      </c>
      <c r="AJ23" s="426">
        <f t="shared" si="36"/>
        <v>3</v>
      </c>
      <c r="AK23" s="421" t="str">
        <f t="shared" si="6"/>
        <v/>
      </c>
      <c r="AL23" s="393" t="str">
        <f t="shared" si="7"/>
        <v/>
      </c>
      <c r="AM23" s="393" t="str">
        <f t="shared" si="8"/>
        <v/>
      </c>
      <c r="AN23" s="393" t="str">
        <f t="shared" si="9"/>
        <v/>
      </c>
      <c r="AO23" s="393" t="str">
        <f t="shared" si="10"/>
        <v/>
      </c>
      <c r="AP23" s="421" t="str">
        <f t="shared" si="11"/>
        <v/>
      </c>
      <c r="AQ23" s="425">
        <f t="shared" si="12"/>
        <v>0</v>
      </c>
      <c r="AR23" s="423" t="str">
        <f t="shared" si="13"/>
        <v/>
      </c>
      <c r="AS23" s="424">
        <f t="shared" si="14"/>
        <v>0</v>
      </c>
      <c r="AT23" s="423" t="str">
        <f t="shared" si="15"/>
        <v/>
      </c>
      <c r="AU23" s="420">
        <f t="shared" si="16"/>
        <v>0</v>
      </c>
      <c r="AV23" s="422" t="str">
        <f t="shared" si="17"/>
        <v/>
      </c>
      <c r="AW23" s="420" t="b">
        <f t="shared" si="18"/>
        <v>0</v>
      </c>
      <c r="AX23" s="419" t="b">
        <f t="shared" si="19"/>
        <v>0</v>
      </c>
      <c r="AY23" s="420" t="b">
        <f t="shared" si="20"/>
        <v>0</v>
      </c>
      <c r="AZ23" s="419" t="b">
        <f t="shared" si="21"/>
        <v>0</v>
      </c>
      <c r="BA23" s="421" t="b">
        <f t="shared" si="22"/>
        <v>0</v>
      </c>
      <c r="BB23" s="421" t="b">
        <f t="shared" si="23"/>
        <v>0</v>
      </c>
      <c r="BC23" s="420" t="b">
        <f t="shared" si="24"/>
        <v>0</v>
      </c>
      <c r="BD23" s="393" t="b">
        <f t="shared" si="25"/>
        <v>0</v>
      </c>
      <c r="BE23" s="419" t="b">
        <f t="shared" si="26"/>
        <v>0</v>
      </c>
      <c r="BF23" s="418" t="b">
        <f t="shared" si="27"/>
        <v>0</v>
      </c>
      <c r="BG23" s="417" t="b">
        <f t="shared" si="28"/>
        <v>0</v>
      </c>
      <c r="BH23" s="417" t="str">
        <f t="shared" si="29"/>
        <v/>
      </c>
      <c r="BI23" s="417" t="str">
        <f t="shared" si="30"/>
        <v/>
      </c>
      <c r="BJ23" s="417" t="str">
        <f t="shared" si="31"/>
        <v/>
      </c>
      <c r="BK23" s="417" t="str">
        <f t="shared" si="32"/>
        <v/>
      </c>
      <c r="BL23" s="435" t="str">
        <f t="shared" si="33"/>
        <v/>
      </c>
      <c r="BM23" s="417" t="str">
        <f t="shared" si="34"/>
        <v/>
      </c>
      <c r="BN23" s="417" t="str">
        <f t="shared" si="35"/>
        <v/>
      </c>
      <c r="BO23" s="1630"/>
      <c r="BP23" s="443" t="s">
        <v>228</v>
      </c>
      <c r="BQ23" s="446">
        <f t="shared" si="37"/>
        <v>0.7</v>
      </c>
      <c r="BR23" s="445">
        <f t="shared" si="38"/>
        <v>0.8</v>
      </c>
      <c r="BS23" s="445">
        <f t="shared" si="39"/>
        <v>0.9</v>
      </c>
      <c r="BT23" s="445">
        <f t="shared" si="40"/>
        <v>0.95</v>
      </c>
      <c r="BU23" s="444">
        <f t="shared" si="41"/>
        <v>1</v>
      </c>
      <c r="BV23" s="447"/>
      <c r="BW23" s="403"/>
    </row>
    <row r="24" spans="2:75" s="416" customFormat="1" ht="12.95" customHeight="1" x14ac:dyDescent="0.25">
      <c r="B24" s="433">
        <f>IF(ISNA(Z24),"",IF(OR(Z24=1,Z24=2),"    ",MAX($B$9:B23)+1))</f>
        <v>12</v>
      </c>
      <c r="C24" s="1618" t="str">
        <f t="shared" si="0"/>
        <v xml:space="preserve">      - Grammar &amp; Syntax (4.0%)</v>
      </c>
      <c r="D24" s="1618"/>
      <c r="E24" s="1618"/>
      <c r="F24" s="1619"/>
      <c r="G24" s="437">
        <f t="shared" si="1"/>
        <v>1</v>
      </c>
      <c r="H24" s="431" t="str">
        <f t="shared" si="2"/>
        <v>2*</v>
      </c>
      <c r="I24" s="436">
        <f t="shared" si="3"/>
        <v>3</v>
      </c>
      <c r="J24" s="449"/>
      <c r="K24" s="448"/>
      <c r="L24" s="1612"/>
      <c r="M24" s="1613"/>
      <c r="N24" s="1613"/>
      <c r="O24" s="1613"/>
      <c r="P24" s="1613"/>
      <c r="Q24" s="1613"/>
      <c r="R24" s="1614"/>
      <c r="T24" s="401">
        <v>16</v>
      </c>
      <c r="U24" s="374" t="s">
        <v>637</v>
      </c>
      <c r="V24" s="421">
        <v>1</v>
      </c>
      <c r="W24" s="421">
        <v>1.3333333000000001</v>
      </c>
      <c r="X24" s="421" t="s">
        <v>212</v>
      </c>
      <c r="Y24" s="421" t="s">
        <v>212</v>
      </c>
      <c r="Z24" s="393" t="s">
        <v>212</v>
      </c>
      <c r="AA24" s="393">
        <v>2</v>
      </c>
      <c r="AB24" s="393">
        <v>1</v>
      </c>
      <c r="AC24" s="421">
        <v>3</v>
      </c>
      <c r="AD24" s="421">
        <v>2</v>
      </c>
      <c r="AE24" s="421">
        <v>1</v>
      </c>
      <c r="AF24" s="421" t="b">
        <v>1</v>
      </c>
      <c r="AG24" s="421">
        <f t="shared" si="4"/>
        <v>2</v>
      </c>
      <c r="AH24" s="421">
        <f t="shared" si="5"/>
        <v>1</v>
      </c>
      <c r="AI24" s="427">
        <f>IF(NOT(OR(Z24=1,Z24=2)),IF(AQ24&gt;0,$AR$45*AQ24/SUMIF($AQ$9:$AQ$40,"&gt;0"),IF(AU24&gt;0,$AV$45*AU24/SUMIF($AU$9:$AU$40,"&gt;0"),IF(AS24&gt;0,$AT$45*AS24/SUMIF($AS$9:$AS$40,"&gt;0"),""))),IF(SUMIF(AJ25:$AJ$40,"=" &amp; AJ24,AI25:$AI$40)=0,"",SUMIF(AJ25:$AJ$40,"=" &amp; AJ24,AI25:$AI$40)))</f>
        <v>4.000000026400001E-2</v>
      </c>
      <c r="AJ24" s="426">
        <f t="shared" si="36"/>
        <v>3</v>
      </c>
      <c r="AK24" s="421">
        <f t="shared" si="6"/>
        <v>2</v>
      </c>
      <c r="AL24" s="393" t="str">
        <f t="shared" si="7"/>
        <v/>
      </c>
      <c r="AM24" s="393" t="str">
        <f t="shared" si="8"/>
        <v/>
      </c>
      <c r="AN24" s="393" t="str">
        <f t="shared" si="9"/>
        <v/>
      </c>
      <c r="AO24" s="393" t="str">
        <f t="shared" si="10"/>
        <v/>
      </c>
      <c r="AP24" s="421" t="b">
        <f t="shared" si="11"/>
        <v>1</v>
      </c>
      <c r="AQ24" s="425">
        <f t="shared" si="12"/>
        <v>1.3333333000000001</v>
      </c>
      <c r="AR24" s="423" t="str">
        <f t="shared" si="13"/>
        <v/>
      </c>
      <c r="AS24" s="424">
        <f t="shared" si="14"/>
        <v>0</v>
      </c>
      <c r="AT24" s="423" t="str">
        <f t="shared" si="15"/>
        <v/>
      </c>
      <c r="AU24" s="420">
        <f t="shared" si="16"/>
        <v>0</v>
      </c>
      <c r="AV24" s="422" t="str">
        <f t="shared" si="17"/>
        <v/>
      </c>
      <c r="AW24" s="420" t="b">
        <f t="shared" si="18"/>
        <v>0</v>
      </c>
      <c r="AX24" s="419" t="b">
        <f t="shared" si="19"/>
        <v>1</v>
      </c>
      <c r="AY24" s="420" t="b">
        <f t="shared" si="20"/>
        <v>0</v>
      </c>
      <c r="AZ24" s="419" t="b">
        <f t="shared" si="21"/>
        <v>0</v>
      </c>
      <c r="BA24" s="421" t="b">
        <f t="shared" si="22"/>
        <v>0</v>
      </c>
      <c r="BB24" s="421" t="b">
        <f t="shared" si="23"/>
        <v>0</v>
      </c>
      <c r="BC24" s="420" t="b">
        <f t="shared" si="24"/>
        <v>0</v>
      </c>
      <c r="BD24" s="393" t="b">
        <f t="shared" si="25"/>
        <v>0</v>
      </c>
      <c r="BE24" s="419" t="b">
        <f t="shared" si="26"/>
        <v>0</v>
      </c>
      <c r="BF24" s="418" t="b">
        <f t="shared" si="27"/>
        <v>0</v>
      </c>
      <c r="BG24" s="417" t="b">
        <f t="shared" si="28"/>
        <v>1</v>
      </c>
      <c r="BH24" s="417">
        <f t="shared" si="29"/>
        <v>1</v>
      </c>
      <c r="BI24" s="417">
        <f t="shared" si="30"/>
        <v>2</v>
      </c>
      <c r="BJ24" s="417" t="str">
        <f t="shared" si="31"/>
        <v>2*</v>
      </c>
      <c r="BK24" s="417">
        <f t="shared" si="32"/>
        <v>3</v>
      </c>
      <c r="BL24" s="435">
        <f t="shared" si="33"/>
        <v>1</v>
      </c>
      <c r="BM24" s="417">
        <f t="shared" si="34"/>
        <v>2</v>
      </c>
      <c r="BN24" s="417">
        <f t="shared" si="35"/>
        <v>3</v>
      </c>
      <c r="BO24" s="1630"/>
      <c r="BP24" s="443" t="s">
        <v>229</v>
      </c>
      <c r="BQ24" s="446">
        <f t="shared" si="37"/>
        <v>0.7</v>
      </c>
      <c r="BR24" s="445">
        <f t="shared" si="38"/>
        <v>0.76670000000000005</v>
      </c>
      <c r="BS24" s="445">
        <f t="shared" si="39"/>
        <v>0.83330000000000004</v>
      </c>
      <c r="BT24" s="445">
        <f t="shared" si="40"/>
        <v>0.9</v>
      </c>
      <c r="BU24" s="444">
        <f t="shared" si="41"/>
        <v>1</v>
      </c>
      <c r="BV24" s="447"/>
      <c r="BW24" s="403"/>
    </row>
    <row r="25" spans="2:75" s="416" customFormat="1" ht="12.95" customHeight="1" x14ac:dyDescent="0.25">
      <c r="B25" s="433">
        <f>IF(ISNA(Z25),"",IF(OR(Z25=1,Z25=2),"    ",MAX($B$9:B24)+1))</f>
        <v>13</v>
      </c>
      <c r="C25" s="1618" t="str">
        <f t="shared" si="0"/>
        <v xml:space="preserve">      - Punct. Acronyms &amp; Format (3.0%)</v>
      </c>
      <c r="D25" s="1618"/>
      <c r="E25" s="1618"/>
      <c r="F25" s="1619"/>
      <c r="G25" s="437">
        <f t="shared" si="1"/>
        <v>1</v>
      </c>
      <c r="H25" s="431" t="str">
        <f t="shared" si="2"/>
        <v>2*</v>
      </c>
      <c r="I25" s="436">
        <f t="shared" si="3"/>
        <v>3</v>
      </c>
      <c r="J25" s="449"/>
      <c r="K25" s="448"/>
      <c r="L25" s="1612"/>
      <c r="M25" s="1613"/>
      <c r="N25" s="1613"/>
      <c r="O25" s="1613"/>
      <c r="P25" s="1613"/>
      <c r="Q25" s="1613"/>
      <c r="R25" s="1614"/>
      <c r="T25" s="401">
        <v>17</v>
      </c>
      <c r="U25" s="374" t="s">
        <v>636</v>
      </c>
      <c r="V25" s="421">
        <v>1</v>
      </c>
      <c r="W25" s="421">
        <v>1</v>
      </c>
      <c r="X25" s="421" t="s">
        <v>212</v>
      </c>
      <c r="Y25" s="421" t="s">
        <v>212</v>
      </c>
      <c r="Z25" s="393" t="s">
        <v>212</v>
      </c>
      <c r="AA25" s="393">
        <v>2</v>
      </c>
      <c r="AB25" s="393">
        <v>1</v>
      </c>
      <c r="AC25" s="421">
        <v>3</v>
      </c>
      <c r="AD25" s="421">
        <v>2</v>
      </c>
      <c r="AE25" s="421">
        <v>1</v>
      </c>
      <c r="AF25" s="421" t="b">
        <v>1</v>
      </c>
      <c r="AG25" s="421">
        <f t="shared" si="4"/>
        <v>2</v>
      </c>
      <c r="AH25" s="421">
        <f t="shared" si="5"/>
        <v>1</v>
      </c>
      <c r="AI25" s="427">
        <f>IF(NOT(OR(Z25=1,Z25=2)),IF(AQ25&gt;0,$AR$45*AQ25/SUMIF($AQ$9:$AQ$40,"&gt;0"),IF(AU25&gt;0,$AV$45*AU25/SUMIF($AU$9:$AU$40,"&gt;0"),IF(AS25&gt;0,$AT$45*AS25/SUMIF($AS$9:$AS$40,"&gt;0"),""))),IF(SUMIF(AJ26:$AJ$40,"=" &amp; AJ25,AI26:$AI$40)=0,"",SUMIF(AJ26:$AJ$40,"=" &amp; AJ25,AI26:$AI$40)))</f>
        <v>3.0000000948000028E-2</v>
      </c>
      <c r="AJ25" s="426">
        <f t="shared" si="36"/>
        <v>3</v>
      </c>
      <c r="AK25" s="421">
        <f t="shared" si="6"/>
        <v>2</v>
      </c>
      <c r="AL25" s="393" t="str">
        <f t="shared" si="7"/>
        <v/>
      </c>
      <c r="AM25" s="393" t="str">
        <f t="shared" si="8"/>
        <v/>
      </c>
      <c r="AN25" s="393" t="str">
        <f t="shared" si="9"/>
        <v/>
      </c>
      <c r="AO25" s="393" t="str">
        <f t="shared" si="10"/>
        <v/>
      </c>
      <c r="AP25" s="421" t="b">
        <f t="shared" si="11"/>
        <v>1</v>
      </c>
      <c r="AQ25" s="425">
        <f t="shared" si="12"/>
        <v>1</v>
      </c>
      <c r="AR25" s="423" t="str">
        <f t="shared" si="13"/>
        <v/>
      </c>
      <c r="AS25" s="424">
        <f t="shared" si="14"/>
        <v>0</v>
      </c>
      <c r="AT25" s="423" t="str">
        <f t="shared" si="15"/>
        <v/>
      </c>
      <c r="AU25" s="420">
        <f t="shared" si="16"/>
        <v>0</v>
      </c>
      <c r="AV25" s="422" t="str">
        <f t="shared" si="17"/>
        <v/>
      </c>
      <c r="AW25" s="420" t="b">
        <f t="shared" si="18"/>
        <v>0</v>
      </c>
      <c r="AX25" s="419" t="b">
        <f t="shared" si="19"/>
        <v>1</v>
      </c>
      <c r="AY25" s="420" t="b">
        <f t="shared" si="20"/>
        <v>0</v>
      </c>
      <c r="AZ25" s="419" t="b">
        <f t="shared" si="21"/>
        <v>0</v>
      </c>
      <c r="BA25" s="421" t="b">
        <f t="shared" si="22"/>
        <v>0</v>
      </c>
      <c r="BB25" s="421" t="b">
        <f t="shared" si="23"/>
        <v>0</v>
      </c>
      <c r="BC25" s="420" t="b">
        <f t="shared" si="24"/>
        <v>0</v>
      </c>
      <c r="BD25" s="393" t="b">
        <f t="shared" si="25"/>
        <v>0</v>
      </c>
      <c r="BE25" s="419" t="b">
        <f t="shared" si="26"/>
        <v>0</v>
      </c>
      <c r="BF25" s="418" t="b">
        <f t="shared" si="27"/>
        <v>0</v>
      </c>
      <c r="BG25" s="417" t="b">
        <f t="shared" si="28"/>
        <v>1</v>
      </c>
      <c r="BH25" s="417">
        <f t="shared" si="29"/>
        <v>1</v>
      </c>
      <c r="BI25" s="417">
        <f t="shared" si="30"/>
        <v>2</v>
      </c>
      <c r="BJ25" s="417" t="str">
        <f t="shared" si="31"/>
        <v>2*</v>
      </c>
      <c r="BK25" s="417">
        <f t="shared" si="32"/>
        <v>3</v>
      </c>
      <c r="BL25" s="435">
        <f t="shared" si="33"/>
        <v>1</v>
      </c>
      <c r="BM25" s="417">
        <f t="shared" si="34"/>
        <v>2</v>
      </c>
      <c r="BN25" s="417">
        <f t="shared" si="35"/>
        <v>3</v>
      </c>
      <c r="BO25" s="1630"/>
      <c r="BP25" s="443" t="s">
        <v>230</v>
      </c>
      <c r="BQ25" s="446">
        <f t="shared" si="37"/>
        <v>0.6</v>
      </c>
      <c r="BR25" s="445">
        <f t="shared" si="38"/>
        <v>0.9</v>
      </c>
      <c r="BS25" s="445">
        <f t="shared" si="39"/>
        <v>0.93330000000000002</v>
      </c>
      <c r="BT25" s="445">
        <f t="shared" si="40"/>
        <v>0.9667</v>
      </c>
      <c r="BU25" s="444">
        <f t="shared" si="41"/>
        <v>1</v>
      </c>
      <c r="BV25" s="447"/>
      <c r="BW25" s="403"/>
    </row>
    <row r="26" spans="2:75" s="416" customFormat="1" ht="12.95" customHeight="1" x14ac:dyDescent="0.25">
      <c r="B26" s="433">
        <f>IF(ISNA(Z26),"",IF(OR(Z26=1,Z26=2),"    ",MAX($B$9:B25)+1))</f>
        <v>14</v>
      </c>
      <c r="C26" s="1618" t="str">
        <f t="shared" si="0"/>
        <v xml:space="preserve">      - Profess. Tone &amp; Word Choice (3.0%)</v>
      </c>
      <c r="D26" s="1618"/>
      <c r="E26" s="1618"/>
      <c r="F26" s="1619"/>
      <c r="G26" s="437">
        <f t="shared" si="1"/>
        <v>1</v>
      </c>
      <c r="H26" s="431" t="str">
        <f t="shared" si="2"/>
        <v>2*</v>
      </c>
      <c r="I26" s="436">
        <f t="shared" si="3"/>
        <v>3</v>
      </c>
      <c r="J26" s="449"/>
      <c r="K26" s="448"/>
      <c r="L26" s="1612"/>
      <c r="M26" s="1613"/>
      <c r="N26" s="1613"/>
      <c r="O26" s="1613"/>
      <c r="P26" s="1613"/>
      <c r="Q26" s="1613"/>
      <c r="R26" s="1614"/>
      <c r="T26" s="401">
        <v>18</v>
      </c>
      <c r="U26" s="374" t="s">
        <v>635</v>
      </c>
      <c r="V26" s="421">
        <v>1</v>
      </c>
      <c r="W26" s="421">
        <v>1</v>
      </c>
      <c r="X26" s="421" t="s">
        <v>212</v>
      </c>
      <c r="Y26" s="421" t="s">
        <v>212</v>
      </c>
      <c r="Z26" s="393" t="s">
        <v>212</v>
      </c>
      <c r="AA26" s="393">
        <v>2</v>
      </c>
      <c r="AB26" s="393">
        <v>1</v>
      </c>
      <c r="AC26" s="421">
        <v>3</v>
      </c>
      <c r="AD26" s="421">
        <v>2</v>
      </c>
      <c r="AE26" s="421">
        <v>1</v>
      </c>
      <c r="AF26" s="421" t="b">
        <v>1</v>
      </c>
      <c r="AG26" s="421">
        <f t="shared" si="4"/>
        <v>2</v>
      </c>
      <c r="AH26" s="421">
        <f t="shared" si="5"/>
        <v>1</v>
      </c>
      <c r="AI26" s="427">
        <f>IF(NOT(OR(Z26=1,Z26=2)),IF(AQ26&gt;0,$AR$45*AQ26/SUMIF($AQ$9:$AQ$40,"&gt;0"),IF(AU26&gt;0,$AV$45*AU26/SUMIF($AU$9:$AU$40,"&gt;0"),IF(AS26&gt;0,$AT$45*AS26/SUMIF($AS$9:$AS$40,"&gt;0"),""))),IF(SUMIF(AJ27:$AJ$40,"=" &amp; AJ26,AI27:$AI$40)=0,"",SUMIF(AJ27:$AJ$40,"=" &amp; AJ26,AI27:$AI$40)))</f>
        <v>3.0000000948000028E-2</v>
      </c>
      <c r="AJ26" s="426">
        <f t="shared" si="36"/>
        <v>3</v>
      </c>
      <c r="AK26" s="421">
        <f t="shared" si="6"/>
        <v>2</v>
      </c>
      <c r="AL26" s="393" t="str">
        <f t="shared" si="7"/>
        <v/>
      </c>
      <c r="AM26" s="393" t="str">
        <f t="shared" si="8"/>
        <v/>
      </c>
      <c r="AN26" s="393" t="str">
        <f t="shared" si="9"/>
        <v/>
      </c>
      <c r="AO26" s="393" t="str">
        <f t="shared" si="10"/>
        <v/>
      </c>
      <c r="AP26" s="421" t="b">
        <f t="shared" si="11"/>
        <v>1</v>
      </c>
      <c r="AQ26" s="425">
        <f t="shared" si="12"/>
        <v>1</v>
      </c>
      <c r="AR26" s="423" t="str">
        <f t="shared" si="13"/>
        <v/>
      </c>
      <c r="AS26" s="424">
        <f t="shared" si="14"/>
        <v>0</v>
      </c>
      <c r="AT26" s="423" t="str">
        <f t="shared" si="15"/>
        <v/>
      </c>
      <c r="AU26" s="420">
        <f t="shared" si="16"/>
        <v>0</v>
      </c>
      <c r="AV26" s="422" t="str">
        <f t="shared" si="17"/>
        <v/>
      </c>
      <c r="AW26" s="420" t="b">
        <f t="shared" si="18"/>
        <v>0</v>
      </c>
      <c r="AX26" s="419" t="b">
        <f t="shared" si="19"/>
        <v>1</v>
      </c>
      <c r="AY26" s="420" t="b">
        <f t="shared" si="20"/>
        <v>0</v>
      </c>
      <c r="AZ26" s="419" t="b">
        <f t="shared" si="21"/>
        <v>0</v>
      </c>
      <c r="BA26" s="421" t="b">
        <f t="shared" si="22"/>
        <v>0</v>
      </c>
      <c r="BB26" s="421" t="b">
        <f t="shared" si="23"/>
        <v>0</v>
      </c>
      <c r="BC26" s="420" t="b">
        <f t="shared" si="24"/>
        <v>0</v>
      </c>
      <c r="BD26" s="393" t="b">
        <f t="shared" si="25"/>
        <v>0</v>
      </c>
      <c r="BE26" s="419" t="b">
        <f t="shared" si="26"/>
        <v>0</v>
      </c>
      <c r="BF26" s="418" t="b">
        <f t="shared" si="27"/>
        <v>0</v>
      </c>
      <c r="BG26" s="417" t="b">
        <f t="shared" si="28"/>
        <v>1</v>
      </c>
      <c r="BH26" s="417">
        <f t="shared" si="29"/>
        <v>1</v>
      </c>
      <c r="BI26" s="417">
        <f t="shared" si="30"/>
        <v>2</v>
      </c>
      <c r="BJ26" s="417" t="str">
        <f t="shared" si="31"/>
        <v>2*</v>
      </c>
      <c r="BK26" s="417">
        <f t="shared" si="32"/>
        <v>3</v>
      </c>
      <c r="BL26" s="435">
        <f t="shared" si="33"/>
        <v>1</v>
      </c>
      <c r="BM26" s="417">
        <f t="shared" si="34"/>
        <v>2</v>
      </c>
      <c r="BN26" s="417">
        <f t="shared" si="35"/>
        <v>3</v>
      </c>
      <c r="BO26" s="1630"/>
      <c r="BP26" s="443" t="s">
        <v>231</v>
      </c>
      <c r="BQ26" s="446">
        <f t="shared" si="37"/>
        <v>0.6</v>
      </c>
      <c r="BR26" s="445">
        <f t="shared" si="38"/>
        <v>0.7</v>
      </c>
      <c r="BS26" s="445">
        <f t="shared" si="39"/>
        <v>0.9</v>
      </c>
      <c r="BT26" s="445">
        <f t="shared" si="40"/>
        <v>0.95</v>
      </c>
      <c r="BU26" s="444">
        <f t="shared" si="41"/>
        <v>1</v>
      </c>
      <c r="BV26" s="447"/>
      <c r="BW26" s="403"/>
    </row>
    <row r="27" spans="2:75" s="416" customFormat="1" ht="12.95" customHeight="1" x14ac:dyDescent="0.25">
      <c r="B27" s="433" t="str">
        <f>IF(ISNA(Z27),"",IF(OR(Z27=1,Z27=2),"    ",MAX($B$9:B26)+1))</f>
        <v xml:space="preserve">    </v>
      </c>
      <c r="C27" s="1618" t="str">
        <f t="shared" si="0"/>
        <v>Visual Eng &amp; Data Presentation (20.0%)</v>
      </c>
      <c r="D27" s="1618"/>
      <c r="E27" s="1618"/>
      <c r="F27" s="1619"/>
      <c r="G27" s="437" t="str">
        <f t="shared" si="1"/>
        <v/>
      </c>
      <c r="H27" s="431" t="str">
        <f t="shared" si="2"/>
        <v/>
      </c>
      <c r="I27" s="436" t="str">
        <f t="shared" si="3"/>
        <v/>
      </c>
      <c r="J27" s="429"/>
      <c r="K27" s="428"/>
      <c r="L27" s="1612"/>
      <c r="M27" s="1613"/>
      <c r="N27" s="1613"/>
      <c r="O27" s="1613"/>
      <c r="P27" s="1613"/>
      <c r="Q27" s="1613"/>
      <c r="R27" s="1614"/>
      <c r="T27" s="401">
        <v>19</v>
      </c>
      <c r="U27" s="374" t="s">
        <v>634</v>
      </c>
      <c r="V27" s="421" t="s">
        <v>212</v>
      </c>
      <c r="W27" s="421" t="s">
        <v>212</v>
      </c>
      <c r="X27" s="421" t="s">
        <v>212</v>
      </c>
      <c r="Y27" s="421" t="s">
        <v>212</v>
      </c>
      <c r="Z27" s="393">
        <v>2</v>
      </c>
      <c r="AA27" s="393">
        <v>1</v>
      </c>
      <c r="AB27" s="393">
        <v>1</v>
      </c>
      <c r="AC27" s="421" t="s">
        <v>212</v>
      </c>
      <c r="AD27" s="421" t="s">
        <v>212</v>
      </c>
      <c r="AE27" s="421" t="s">
        <v>212</v>
      </c>
      <c r="AF27" s="421" t="s">
        <v>212</v>
      </c>
      <c r="AG27" s="421" t="str">
        <f t="shared" si="4"/>
        <v/>
      </c>
      <c r="AH27" s="421" t="str">
        <f t="shared" si="5"/>
        <v/>
      </c>
      <c r="AI27" s="427">
        <f>IF(NOT(OR(Z27=1,Z27=2)),IF(AQ27&gt;0,$AR$45*AQ27/SUMIF($AQ$9:$AQ$40,"&gt;0"),IF(AU27&gt;0,$AV$45*AU27/SUMIF($AU$9:$AU$40,"&gt;0"),IF(AS27&gt;0,$AT$45*AS27/SUMIF($AS$9:$AS$40,"&gt;0"),""))),IF(SUMIF(AJ28:$AJ$40,"=" &amp; AJ27,AI28:$AI$40)=0,"",SUMIF(AJ28:$AJ$40,"=" &amp; AJ27,AI28:$AI$40)))</f>
        <v>0.20000000612000018</v>
      </c>
      <c r="AJ27" s="426">
        <f t="shared" si="36"/>
        <v>4</v>
      </c>
      <c r="AK27" s="421" t="str">
        <f t="shared" si="6"/>
        <v/>
      </c>
      <c r="AL27" s="393" t="str">
        <f t="shared" si="7"/>
        <v/>
      </c>
      <c r="AM27" s="393" t="str">
        <f t="shared" si="8"/>
        <v/>
      </c>
      <c r="AN27" s="393" t="str">
        <f t="shared" si="9"/>
        <v/>
      </c>
      <c r="AO27" s="393" t="str">
        <f t="shared" si="10"/>
        <v/>
      </c>
      <c r="AP27" s="421" t="str">
        <f t="shared" si="11"/>
        <v/>
      </c>
      <c r="AQ27" s="425">
        <f t="shared" si="12"/>
        <v>0</v>
      </c>
      <c r="AR27" s="423" t="str">
        <f t="shared" si="13"/>
        <v/>
      </c>
      <c r="AS27" s="424">
        <f t="shared" si="14"/>
        <v>0</v>
      </c>
      <c r="AT27" s="423" t="str">
        <f t="shared" si="15"/>
        <v/>
      </c>
      <c r="AU27" s="420">
        <f t="shared" si="16"/>
        <v>0</v>
      </c>
      <c r="AV27" s="422" t="str">
        <f t="shared" si="17"/>
        <v/>
      </c>
      <c r="AW27" s="420" t="b">
        <f t="shared" si="18"/>
        <v>0</v>
      </c>
      <c r="AX27" s="419" t="b">
        <f t="shared" si="19"/>
        <v>0</v>
      </c>
      <c r="AY27" s="420" t="b">
        <f t="shared" si="20"/>
        <v>0</v>
      </c>
      <c r="AZ27" s="419" t="b">
        <f t="shared" si="21"/>
        <v>0</v>
      </c>
      <c r="BA27" s="421" t="b">
        <f t="shared" si="22"/>
        <v>0</v>
      </c>
      <c r="BB27" s="421" t="b">
        <f t="shared" si="23"/>
        <v>0</v>
      </c>
      <c r="BC27" s="420" t="b">
        <f t="shared" si="24"/>
        <v>0</v>
      </c>
      <c r="BD27" s="393" t="b">
        <f t="shared" si="25"/>
        <v>0</v>
      </c>
      <c r="BE27" s="419" t="b">
        <f t="shared" si="26"/>
        <v>0</v>
      </c>
      <c r="BF27" s="418" t="b">
        <f t="shared" si="27"/>
        <v>0</v>
      </c>
      <c r="BG27" s="417" t="b">
        <f t="shared" si="28"/>
        <v>0</v>
      </c>
      <c r="BH27" s="417" t="str">
        <f t="shared" si="29"/>
        <v/>
      </c>
      <c r="BI27" s="417" t="str">
        <f t="shared" si="30"/>
        <v/>
      </c>
      <c r="BJ27" s="417" t="str">
        <f t="shared" si="31"/>
        <v/>
      </c>
      <c r="BK27" s="417" t="str">
        <f t="shared" si="32"/>
        <v/>
      </c>
      <c r="BL27" s="435" t="str">
        <f t="shared" si="33"/>
        <v/>
      </c>
      <c r="BM27" s="417" t="str">
        <f t="shared" si="34"/>
        <v/>
      </c>
      <c r="BN27" s="417" t="str">
        <f t="shared" si="35"/>
        <v/>
      </c>
      <c r="BO27" s="1630"/>
      <c r="BP27" s="443" t="s">
        <v>232</v>
      </c>
      <c r="BQ27" s="446">
        <f t="shared" si="37"/>
        <v>0.6</v>
      </c>
      <c r="BR27" s="445">
        <f t="shared" si="38"/>
        <v>0.7</v>
      </c>
      <c r="BS27" s="445">
        <f t="shared" si="39"/>
        <v>0.8</v>
      </c>
      <c r="BT27" s="445">
        <f t="shared" si="40"/>
        <v>0.9</v>
      </c>
      <c r="BU27" s="444">
        <f t="shared" si="41"/>
        <v>1</v>
      </c>
    </row>
    <row r="28" spans="2:75" s="416" customFormat="1" ht="12.95" customHeight="1" x14ac:dyDescent="0.25">
      <c r="B28" s="433">
        <f>IF(ISNA(Z28),"",IF(OR(Z28=1,Z28=2),"    ",MAX($B$9:B27)+1))</f>
        <v>15</v>
      </c>
      <c r="C28" s="1618" t="str">
        <f t="shared" si="0"/>
        <v xml:space="preserve">      - Anatomy of a Valid Plot/Table (8.0%)</v>
      </c>
      <c r="D28" s="1618"/>
      <c r="E28" s="1618"/>
      <c r="F28" s="1619"/>
      <c r="G28" s="437">
        <f t="shared" si="1"/>
        <v>1</v>
      </c>
      <c r="H28" s="431" t="str">
        <f t="shared" si="2"/>
        <v>2*</v>
      </c>
      <c r="I28" s="436">
        <f t="shared" si="3"/>
        <v>3</v>
      </c>
      <c r="J28" s="449"/>
      <c r="K28" s="448"/>
      <c r="L28" s="1612"/>
      <c r="M28" s="1613"/>
      <c r="N28" s="1613"/>
      <c r="O28" s="1613"/>
      <c r="P28" s="1613"/>
      <c r="Q28" s="1613"/>
      <c r="R28" s="1614"/>
      <c r="T28" s="401">
        <v>20</v>
      </c>
      <c r="U28" s="374" t="s">
        <v>633</v>
      </c>
      <c r="V28" s="421">
        <v>1</v>
      </c>
      <c r="W28" s="421">
        <v>2.6666666600000002</v>
      </c>
      <c r="X28" s="421" t="s">
        <v>212</v>
      </c>
      <c r="Y28" s="421" t="s">
        <v>212</v>
      </c>
      <c r="Z28" s="393" t="s">
        <v>212</v>
      </c>
      <c r="AA28" s="393">
        <v>2</v>
      </c>
      <c r="AB28" s="393">
        <v>1</v>
      </c>
      <c r="AC28" s="421">
        <v>3</v>
      </c>
      <c r="AD28" s="421">
        <v>2</v>
      </c>
      <c r="AE28" s="421">
        <v>1</v>
      </c>
      <c r="AF28" s="421" t="b">
        <v>1</v>
      </c>
      <c r="AG28" s="421">
        <f t="shared" si="4"/>
        <v>2</v>
      </c>
      <c r="AH28" s="421">
        <f t="shared" si="5"/>
        <v>1</v>
      </c>
      <c r="AI28" s="427">
        <f>IF(NOT(OR(Z28=1,Z28=2)),IF(AQ28&gt;0,$AR$45*AQ28/SUMIF($AQ$9:$AQ$40,"&gt;0"),IF(AU28&gt;0,$AV$45*AU28/SUMIF($AU$9:$AU$40,"&gt;0"),IF(AS28&gt;0,$AT$45*AS28/SUMIF($AS$9:$AS$40,"&gt;0"),""))),IF(SUMIF(AJ29:$AJ$40,"=" &amp; AJ28,AI29:$AI$40)=0,"",SUMIF(AJ29:$AJ$40,"=" &amp; AJ28,AI29:$AI$40)))</f>
        <v>8.0000002328000072E-2</v>
      </c>
      <c r="AJ28" s="426">
        <f t="shared" si="36"/>
        <v>4</v>
      </c>
      <c r="AK28" s="421">
        <f t="shared" si="6"/>
        <v>2</v>
      </c>
      <c r="AL28" s="393" t="str">
        <f t="shared" si="7"/>
        <v/>
      </c>
      <c r="AM28" s="393" t="str">
        <f t="shared" si="8"/>
        <v/>
      </c>
      <c r="AN28" s="393" t="str">
        <f t="shared" si="9"/>
        <v/>
      </c>
      <c r="AO28" s="393" t="str">
        <f t="shared" si="10"/>
        <v/>
      </c>
      <c r="AP28" s="421" t="b">
        <f t="shared" si="11"/>
        <v>1</v>
      </c>
      <c r="AQ28" s="425">
        <f t="shared" si="12"/>
        <v>2.6666666600000002</v>
      </c>
      <c r="AR28" s="423" t="str">
        <f t="shared" si="13"/>
        <v/>
      </c>
      <c r="AS28" s="424">
        <f t="shared" si="14"/>
        <v>0</v>
      </c>
      <c r="AT28" s="423" t="str">
        <f t="shared" si="15"/>
        <v/>
      </c>
      <c r="AU28" s="420">
        <f t="shared" si="16"/>
        <v>0</v>
      </c>
      <c r="AV28" s="422" t="str">
        <f t="shared" si="17"/>
        <v/>
      </c>
      <c r="AW28" s="420" t="b">
        <f t="shared" si="18"/>
        <v>0</v>
      </c>
      <c r="AX28" s="419" t="b">
        <f t="shared" si="19"/>
        <v>1</v>
      </c>
      <c r="AY28" s="420" t="b">
        <f t="shared" si="20"/>
        <v>0</v>
      </c>
      <c r="AZ28" s="419" t="b">
        <f t="shared" si="21"/>
        <v>0</v>
      </c>
      <c r="BA28" s="421" t="b">
        <f t="shared" si="22"/>
        <v>0</v>
      </c>
      <c r="BB28" s="421" t="b">
        <f t="shared" si="23"/>
        <v>0</v>
      </c>
      <c r="BC28" s="420" t="b">
        <f t="shared" si="24"/>
        <v>0</v>
      </c>
      <c r="BD28" s="393" t="b">
        <f t="shared" si="25"/>
        <v>0</v>
      </c>
      <c r="BE28" s="419" t="b">
        <f t="shared" si="26"/>
        <v>0</v>
      </c>
      <c r="BF28" s="418" t="b">
        <f t="shared" si="27"/>
        <v>0</v>
      </c>
      <c r="BG28" s="417" t="b">
        <f t="shared" si="28"/>
        <v>1</v>
      </c>
      <c r="BH28" s="417">
        <f t="shared" si="29"/>
        <v>1</v>
      </c>
      <c r="BI28" s="417">
        <f t="shared" si="30"/>
        <v>2</v>
      </c>
      <c r="BJ28" s="417" t="str">
        <f t="shared" si="31"/>
        <v>2*</v>
      </c>
      <c r="BK28" s="417">
        <f t="shared" si="32"/>
        <v>3</v>
      </c>
      <c r="BL28" s="435">
        <f t="shared" si="33"/>
        <v>1</v>
      </c>
      <c r="BM28" s="417">
        <f t="shared" si="34"/>
        <v>2</v>
      </c>
      <c r="BN28" s="417">
        <f t="shared" si="35"/>
        <v>3</v>
      </c>
      <c r="BO28" s="1630"/>
      <c r="BP28" s="443" t="s">
        <v>233</v>
      </c>
      <c r="BQ28" s="446">
        <f t="shared" si="37"/>
        <v>0.3</v>
      </c>
      <c r="BR28" s="445">
        <f t="shared" si="38"/>
        <v>0.6</v>
      </c>
      <c r="BS28" s="445">
        <f t="shared" si="39"/>
        <v>0.9</v>
      </c>
      <c r="BT28" s="445">
        <f t="shared" si="40"/>
        <v>0.95</v>
      </c>
      <c r="BU28" s="444">
        <f t="shared" si="41"/>
        <v>1</v>
      </c>
    </row>
    <row r="29" spans="2:75" s="416" customFormat="1" ht="12.95" customHeight="1" x14ac:dyDescent="0.25">
      <c r="B29" s="433">
        <f>IF(ISNA(Z29),"",IF(OR(Z29=1,Z29=2),"    ",MAX($B$9:B28)+1))</f>
        <v>16</v>
      </c>
      <c r="C29" s="1618" t="str">
        <f t="shared" si="0"/>
        <v xml:space="preserve">      - Data-Ink Ratio &amp; Clarity (6.0%)</v>
      </c>
      <c r="D29" s="1618"/>
      <c r="E29" s="1618"/>
      <c r="F29" s="1619"/>
      <c r="G29" s="437">
        <f t="shared" si="1"/>
        <v>1</v>
      </c>
      <c r="H29" s="431" t="str">
        <f t="shared" si="2"/>
        <v>2*</v>
      </c>
      <c r="I29" s="436">
        <f t="shared" si="3"/>
        <v>3</v>
      </c>
      <c r="J29" s="449"/>
      <c r="K29" s="448"/>
      <c r="L29" s="1612"/>
      <c r="M29" s="1613"/>
      <c r="N29" s="1613"/>
      <c r="O29" s="1613"/>
      <c r="P29" s="1613"/>
      <c r="Q29" s="1613"/>
      <c r="R29" s="1614"/>
      <c r="T29" s="401">
        <v>21</v>
      </c>
      <c r="U29" s="374" t="s">
        <v>632</v>
      </c>
      <c r="V29" s="421">
        <v>1</v>
      </c>
      <c r="W29" s="421">
        <v>2</v>
      </c>
      <c r="X29" s="421" t="s">
        <v>212</v>
      </c>
      <c r="Y29" s="421" t="s">
        <v>212</v>
      </c>
      <c r="Z29" s="393" t="s">
        <v>212</v>
      </c>
      <c r="AA29" s="393">
        <v>2</v>
      </c>
      <c r="AB29" s="393">
        <v>1</v>
      </c>
      <c r="AC29" s="421">
        <v>3</v>
      </c>
      <c r="AD29" s="421">
        <v>2</v>
      </c>
      <c r="AE29" s="421">
        <v>1</v>
      </c>
      <c r="AF29" s="421" t="b">
        <v>1</v>
      </c>
      <c r="AG29" s="421">
        <f t="shared" si="4"/>
        <v>2</v>
      </c>
      <c r="AH29" s="421">
        <f t="shared" si="5"/>
        <v>1</v>
      </c>
      <c r="AI29" s="427">
        <f>IF(NOT(OR(Z29=1,Z29=2)),IF(AQ29&gt;0,$AR$45*AQ29/SUMIF($AQ$9:$AQ$40,"&gt;0"),IF(AU29&gt;0,$AV$45*AU29/SUMIF($AU$9:$AU$40,"&gt;0"),IF(AS29&gt;0,$AT$45*AS29/SUMIF($AS$9:$AS$40,"&gt;0"),""))),IF(SUMIF(AJ30:$AJ$40,"=" &amp; AJ29,AI30:$AI$40)=0,"",SUMIF(AJ30:$AJ$40,"=" &amp; AJ29,AI30:$AI$40)))</f>
        <v>6.0000001896000056E-2</v>
      </c>
      <c r="AJ29" s="426">
        <f t="shared" si="36"/>
        <v>4</v>
      </c>
      <c r="AK29" s="421">
        <f t="shared" si="6"/>
        <v>2</v>
      </c>
      <c r="AL29" s="393" t="str">
        <f t="shared" si="7"/>
        <v/>
      </c>
      <c r="AM29" s="393" t="str">
        <f t="shared" si="8"/>
        <v/>
      </c>
      <c r="AN29" s="393" t="str">
        <f t="shared" si="9"/>
        <v/>
      </c>
      <c r="AO29" s="393" t="str">
        <f t="shared" si="10"/>
        <v/>
      </c>
      <c r="AP29" s="421" t="b">
        <f t="shared" si="11"/>
        <v>1</v>
      </c>
      <c r="AQ29" s="425">
        <f t="shared" si="12"/>
        <v>2</v>
      </c>
      <c r="AR29" s="423" t="str">
        <f t="shared" si="13"/>
        <v/>
      </c>
      <c r="AS29" s="424">
        <f t="shared" si="14"/>
        <v>0</v>
      </c>
      <c r="AT29" s="423" t="str">
        <f t="shared" si="15"/>
        <v/>
      </c>
      <c r="AU29" s="420">
        <f t="shared" si="16"/>
        <v>0</v>
      </c>
      <c r="AV29" s="422" t="str">
        <f t="shared" si="17"/>
        <v/>
      </c>
      <c r="AW29" s="420" t="b">
        <f t="shared" si="18"/>
        <v>0</v>
      </c>
      <c r="AX29" s="419" t="b">
        <f t="shared" si="19"/>
        <v>1</v>
      </c>
      <c r="AY29" s="420" t="b">
        <f t="shared" si="20"/>
        <v>0</v>
      </c>
      <c r="AZ29" s="419" t="b">
        <f t="shared" si="21"/>
        <v>0</v>
      </c>
      <c r="BA29" s="421" t="b">
        <f t="shared" si="22"/>
        <v>0</v>
      </c>
      <c r="BB29" s="421" t="b">
        <f t="shared" si="23"/>
        <v>0</v>
      </c>
      <c r="BC29" s="420" t="b">
        <f t="shared" si="24"/>
        <v>0</v>
      </c>
      <c r="BD29" s="393" t="b">
        <f t="shared" si="25"/>
        <v>0</v>
      </c>
      <c r="BE29" s="419" t="b">
        <f t="shared" si="26"/>
        <v>0</v>
      </c>
      <c r="BF29" s="418" t="b">
        <f t="shared" si="27"/>
        <v>0</v>
      </c>
      <c r="BG29" s="417" t="b">
        <f t="shared" si="28"/>
        <v>1</v>
      </c>
      <c r="BH29" s="417">
        <f t="shared" si="29"/>
        <v>1</v>
      </c>
      <c r="BI29" s="417">
        <f t="shared" si="30"/>
        <v>2</v>
      </c>
      <c r="BJ29" s="417" t="str">
        <f t="shared" si="31"/>
        <v>2*</v>
      </c>
      <c r="BK29" s="417">
        <f t="shared" si="32"/>
        <v>3</v>
      </c>
      <c r="BL29" s="435">
        <f t="shared" si="33"/>
        <v>1</v>
      </c>
      <c r="BM29" s="417">
        <f t="shared" si="34"/>
        <v>2</v>
      </c>
      <c r="BN29" s="417">
        <f t="shared" si="35"/>
        <v>3</v>
      </c>
      <c r="BO29" s="1630"/>
      <c r="BP29" s="443" t="s">
        <v>234</v>
      </c>
      <c r="BQ29" s="446">
        <f t="shared" si="37"/>
        <v>0.3</v>
      </c>
      <c r="BR29" s="445">
        <f t="shared" si="38"/>
        <v>0.6</v>
      </c>
      <c r="BS29" s="445">
        <f t="shared" si="39"/>
        <v>0.7</v>
      </c>
      <c r="BT29" s="445">
        <f t="shared" si="40"/>
        <v>0.9</v>
      </c>
      <c r="BU29" s="444">
        <f t="shared" si="41"/>
        <v>1</v>
      </c>
    </row>
    <row r="30" spans="2:75" s="416" customFormat="1" ht="12.95" customHeight="1" x14ac:dyDescent="0.25">
      <c r="B30" s="433">
        <f>IF(ISNA(Z30),"",IF(OR(Z30=1,Z30=2),"    ",MAX($B$9:B29)+1))</f>
        <v>17</v>
      </c>
      <c r="C30" s="1618" t="str">
        <f t="shared" si="0"/>
        <v xml:space="preserve">      - Data Honesty &amp; Context (6.0%)</v>
      </c>
      <c r="D30" s="1618"/>
      <c r="E30" s="1618"/>
      <c r="F30" s="1619"/>
      <c r="G30" s="437">
        <f t="shared" si="1"/>
        <v>1</v>
      </c>
      <c r="H30" s="431" t="str">
        <f t="shared" si="2"/>
        <v>2*</v>
      </c>
      <c r="I30" s="436">
        <f t="shared" si="3"/>
        <v>3</v>
      </c>
      <c r="J30" s="449"/>
      <c r="K30" s="448"/>
      <c r="L30" s="1612"/>
      <c r="M30" s="1613"/>
      <c r="N30" s="1613"/>
      <c r="O30" s="1613"/>
      <c r="P30" s="1613"/>
      <c r="Q30" s="1613"/>
      <c r="R30" s="1614"/>
      <c r="T30" s="401">
        <v>22</v>
      </c>
      <c r="U30" s="374" t="s">
        <v>631</v>
      </c>
      <c r="V30" s="421">
        <v>1</v>
      </c>
      <c r="W30" s="421">
        <v>2</v>
      </c>
      <c r="X30" s="421" t="s">
        <v>212</v>
      </c>
      <c r="Y30" s="421" t="s">
        <v>212</v>
      </c>
      <c r="Z30" s="393" t="s">
        <v>212</v>
      </c>
      <c r="AA30" s="393">
        <v>2</v>
      </c>
      <c r="AB30" s="393">
        <v>1</v>
      </c>
      <c r="AC30" s="421">
        <v>3</v>
      </c>
      <c r="AD30" s="421">
        <v>2</v>
      </c>
      <c r="AE30" s="421">
        <v>1</v>
      </c>
      <c r="AF30" s="421" t="b">
        <v>1</v>
      </c>
      <c r="AG30" s="421">
        <f t="shared" si="4"/>
        <v>2</v>
      </c>
      <c r="AH30" s="421">
        <f t="shared" si="5"/>
        <v>1</v>
      </c>
      <c r="AI30" s="427">
        <f>IF(NOT(OR(Z30=1,Z30=2)),IF(AQ30&gt;0,$AR$45*AQ30/SUMIF($AQ$9:$AQ$40,"&gt;0"),IF(AU30&gt;0,$AV$45*AU30/SUMIF($AU$9:$AU$40,"&gt;0"),IF(AS30&gt;0,$AT$45*AS30/SUMIF($AS$9:$AS$40,"&gt;0"),""))),IF(SUMIF(AJ31:$AJ$40,"=" &amp; AJ30,AI31:$AI$40)=0,"",SUMIF(AJ31:$AJ$40,"=" &amp; AJ30,AI31:$AI$40)))</f>
        <v>6.0000001896000056E-2</v>
      </c>
      <c r="AJ30" s="426">
        <f t="shared" si="36"/>
        <v>4</v>
      </c>
      <c r="AK30" s="421">
        <f t="shared" si="6"/>
        <v>2</v>
      </c>
      <c r="AL30" s="393" t="str">
        <f t="shared" si="7"/>
        <v/>
      </c>
      <c r="AM30" s="393" t="str">
        <f t="shared" si="8"/>
        <v/>
      </c>
      <c r="AN30" s="393" t="str">
        <f t="shared" si="9"/>
        <v/>
      </c>
      <c r="AO30" s="393" t="str">
        <f t="shared" si="10"/>
        <v/>
      </c>
      <c r="AP30" s="421" t="b">
        <f t="shared" si="11"/>
        <v>1</v>
      </c>
      <c r="AQ30" s="425">
        <f t="shared" si="12"/>
        <v>2</v>
      </c>
      <c r="AR30" s="423" t="str">
        <f t="shared" si="13"/>
        <v/>
      </c>
      <c r="AS30" s="424">
        <f t="shared" si="14"/>
        <v>0</v>
      </c>
      <c r="AT30" s="423" t="str">
        <f t="shared" si="15"/>
        <v/>
      </c>
      <c r="AU30" s="420">
        <f t="shared" si="16"/>
        <v>0</v>
      </c>
      <c r="AV30" s="422" t="str">
        <f t="shared" si="17"/>
        <v/>
      </c>
      <c r="AW30" s="420" t="b">
        <f t="shared" si="18"/>
        <v>0</v>
      </c>
      <c r="AX30" s="419" t="b">
        <f t="shared" si="19"/>
        <v>1</v>
      </c>
      <c r="AY30" s="420" t="b">
        <f t="shared" si="20"/>
        <v>0</v>
      </c>
      <c r="AZ30" s="419" t="b">
        <f t="shared" si="21"/>
        <v>0</v>
      </c>
      <c r="BA30" s="421" t="b">
        <f t="shared" si="22"/>
        <v>0</v>
      </c>
      <c r="BB30" s="421" t="b">
        <f t="shared" si="23"/>
        <v>0</v>
      </c>
      <c r="BC30" s="420" t="b">
        <f t="shared" si="24"/>
        <v>0</v>
      </c>
      <c r="BD30" s="393" t="b">
        <f t="shared" si="25"/>
        <v>0</v>
      </c>
      <c r="BE30" s="419" t="b">
        <f t="shared" si="26"/>
        <v>0</v>
      </c>
      <c r="BF30" s="418" t="b">
        <f t="shared" si="27"/>
        <v>0</v>
      </c>
      <c r="BG30" s="417" t="b">
        <f t="shared" si="28"/>
        <v>1</v>
      </c>
      <c r="BH30" s="417">
        <f t="shared" si="29"/>
        <v>1</v>
      </c>
      <c r="BI30" s="417">
        <f t="shared" si="30"/>
        <v>2</v>
      </c>
      <c r="BJ30" s="417" t="str">
        <f t="shared" si="31"/>
        <v>2*</v>
      </c>
      <c r="BK30" s="417">
        <f t="shared" si="32"/>
        <v>3</v>
      </c>
      <c r="BL30" s="435">
        <f t="shared" si="33"/>
        <v>1</v>
      </c>
      <c r="BM30" s="417">
        <f t="shared" si="34"/>
        <v>2</v>
      </c>
      <c r="BN30" s="417">
        <f t="shared" si="35"/>
        <v>3</v>
      </c>
      <c r="BO30" s="1630"/>
      <c r="BP30" s="443" t="s">
        <v>235</v>
      </c>
      <c r="BQ30" s="442">
        <f t="shared" si="37"/>
        <v>0</v>
      </c>
      <c r="BR30" s="441">
        <f t="shared" si="38"/>
        <v>0.3</v>
      </c>
      <c r="BS30" s="441">
        <f t="shared" si="39"/>
        <v>0.6</v>
      </c>
      <c r="BT30" s="441">
        <f t="shared" si="40"/>
        <v>0.9</v>
      </c>
      <c r="BU30" s="440">
        <f t="shared" si="41"/>
        <v>1</v>
      </c>
    </row>
    <row r="31" spans="2:75" s="416" customFormat="1" ht="12.95" customHeight="1" x14ac:dyDescent="0.25">
      <c r="B31" s="433" t="str">
        <f>IF(ISNA(Z31),"",IF(OR(Z31=1,Z31=2),"    ",MAX($B$9:B30)+1))</f>
        <v/>
      </c>
      <c r="C31" s="1618" t="str">
        <f t="shared" si="0"/>
        <v/>
      </c>
      <c r="D31" s="1618"/>
      <c r="E31" s="1618"/>
      <c r="F31" s="1619"/>
      <c r="G31" s="437" t="str">
        <f t="shared" si="1"/>
        <v/>
      </c>
      <c r="H31" s="431" t="str">
        <f t="shared" si="2"/>
        <v/>
      </c>
      <c r="I31" s="436" t="str">
        <f t="shared" si="3"/>
        <v/>
      </c>
      <c r="J31" s="429"/>
      <c r="K31" s="428"/>
      <c r="L31" s="1612"/>
      <c r="M31" s="1613"/>
      <c r="N31" s="1613"/>
      <c r="O31" s="1613"/>
      <c r="P31" s="1613"/>
      <c r="Q31" s="1613"/>
      <c r="R31" s="1614"/>
      <c r="T31" s="401">
        <v>23</v>
      </c>
      <c r="U31" s="374" t="e">
        <v>#N/A</v>
      </c>
      <c r="V31" s="421" t="e">
        <v>#N/A</v>
      </c>
      <c r="W31" s="421" t="e">
        <v>#N/A</v>
      </c>
      <c r="X31" s="421" t="e">
        <v>#N/A</v>
      </c>
      <c r="Y31" s="421" t="e">
        <v>#N/A</v>
      </c>
      <c r="Z31" s="393" t="e">
        <v>#N/A</v>
      </c>
      <c r="AA31" s="393" t="e">
        <v>#N/A</v>
      </c>
      <c r="AB31" s="393" t="e">
        <v>#N/A</v>
      </c>
      <c r="AC31" s="421" t="e">
        <v>#N/A</v>
      </c>
      <c r="AD31" s="421" t="e">
        <v>#N/A</v>
      </c>
      <c r="AE31" s="421" t="e">
        <v>#N/A</v>
      </c>
      <c r="AF31" s="421" t="e">
        <v>#N/A</v>
      </c>
      <c r="AG31" s="421" t="e">
        <f t="shared" si="4"/>
        <v>#N/A</v>
      </c>
      <c r="AH31" s="421" t="str">
        <f t="shared" si="5"/>
        <v/>
      </c>
      <c r="AI31" s="427" t="e">
        <f>IF(NOT(OR(Z31=1,Z31=2)),IF(AQ31&gt;0,$AR$45*AQ31/SUMIF($AQ$9:$AQ$40,"&gt;0"),IF(AU31&gt;0,$AV$45*AU31/SUMIF($AU$9:$AU$40,"&gt;0"),IF(AS31&gt;0,$AT$45*AS31/SUMIF($AS$9:$AS$40,"&gt;0"),""))),IF(SUMIF(AJ32:$AJ$40,"=" &amp; AJ31,AI32:$AI$40)=0,"",SUMIF(AJ32:$AJ$40,"=" &amp; AJ31,AI32:$AI$40)))</f>
        <v>#N/A</v>
      </c>
      <c r="AJ31" s="426" t="e">
        <f t="shared" si="36"/>
        <v>#N/A</v>
      </c>
      <c r="AK31" s="421" t="str">
        <f t="shared" si="6"/>
        <v/>
      </c>
      <c r="AL31" s="393" t="str">
        <f t="shared" si="7"/>
        <v/>
      </c>
      <c r="AM31" s="393" t="str">
        <f t="shared" si="8"/>
        <v/>
      </c>
      <c r="AN31" s="393" t="str">
        <f t="shared" si="9"/>
        <v/>
      </c>
      <c r="AO31" s="393" t="e">
        <f t="shared" si="10"/>
        <v>#N/A</v>
      </c>
      <c r="AP31" s="421" t="str">
        <f t="shared" si="11"/>
        <v/>
      </c>
      <c r="AQ31" s="425">
        <f t="shared" si="12"/>
        <v>0</v>
      </c>
      <c r="AR31" s="423" t="str">
        <f t="shared" si="13"/>
        <v/>
      </c>
      <c r="AS31" s="424">
        <f t="shared" si="14"/>
        <v>0</v>
      </c>
      <c r="AT31" s="423" t="str">
        <f t="shared" si="15"/>
        <v/>
      </c>
      <c r="AU31" s="420">
        <f t="shared" si="16"/>
        <v>0</v>
      </c>
      <c r="AV31" s="422" t="str">
        <f t="shared" si="17"/>
        <v/>
      </c>
      <c r="AW31" s="420" t="b">
        <f t="shared" si="18"/>
        <v>0</v>
      </c>
      <c r="AX31" s="419" t="b">
        <f t="shared" si="19"/>
        <v>0</v>
      </c>
      <c r="AY31" s="420" t="b">
        <f t="shared" si="20"/>
        <v>0</v>
      </c>
      <c r="AZ31" s="419" t="b">
        <f t="shared" si="21"/>
        <v>0</v>
      </c>
      <c r="BA31" s="421" t="b">
        <f t="shared" si="22"/>
        <v>0</v>
      </c>
      <c r="BB31" s="421" t="b">
        <f t="shared" si="23"/>
        <v>0</v>
      </c>
      <c r="BC31" s="420" t="b">
        <f t="shared" si="24"/>
        <v>0</v>
      </c>
      <c r="BD31" s="393" t="b">
        <f t="shared" si="25"/>
        <v>0</v>
      </c>
      <c r="BE31" s="419" t="b">
        <f t="shared" si="26"/>
        <v>0</v>
      </c>
      <c r="BF31" s="418" t="b">
        <f t="shared" si="27"/>
        <v>0</v>
      </c>
      <c r="BG31" s="417" t="str">
        <f t="shared" si="28"/>
        <v>NA</v>
      </c>
      <c r="BH31" s="417" t="str">
        <f t="shared" si="29"/>
        <v/>
      </c>
      <c r="BI31" s="417" t="str">
        <f t="shared" si="30"/>
        <v/>
      </c>
      <c r="BJ31" s="417" t="str">
        <f t="shared" si="31"/>
        <v/>
      </c>
      <c r="BK31" s="417" t="str">
        <f t="shared" si="32"/>
        <v/>
      </c>
      <c r="BL31" s="435" t="str">
        <f t="shared" si="33"/>
        <v/>
      </c>
      <c r="BM31" s="417" t="str">
        <f t="shared" si="34"/>
        <v/>
      </c>
      <c r="BN31" s="417" t="str">
        <f t="shared" si="35"/>
        <v/>
      </c>
      <c r="BO31" s="372"/>
    </row>
    <row r="32" spans="2:75" s="416" customFormat="1" ht="12.95" customHeight="1" x14ac:dyDescent="0.25">
      <c r="B32" s="433" t="str">
        <f>IF(ISNA(Z32),"",IF(OR(Z32=1,Z32=2),"    ",MAX($B$9:B31)+1))</f>
        <v/>
      </c>
      <c r="C32" s="1618" t="str">
        <f t="shared" si="0"/>
        <v/>
      </c>
      <c r="D32" s="1618"/>
      <c r="E32" s="1618"/>
      <c r="F32" s="1619"/>
      <c r="G32" s="437" t="str">
        <f t="shared" si="1"/>
        <v/>
      </c>
      <c r="H32" s="431" t="str">
        <f t="shared" si="2"/>
        <v/>
      </c>
      <c r="I32" s="436" t="str">
        <f t="shared" si="3"/>
        <v/>
      </c>
      <c r="J32" s="429"/>
      <c r="K32" s="428"/>
      <c r="L32" s="1612"/>
      <c r="M32" s="1613"/>
      <c r="N32" s="1613"/>
      <c r="O32" s="1613"/>
      <c r="P32" s="1613"/>
      <c r="Q32" s="1613"/>
      <c r="R32" s="1614"/>
      <c r="T32" s="401">
        <v>24</v>
      </c>
      <c r="U32" s="374" t="e">
        <v>#N/A</v>
      </c>
      <c r="V32" s="421" t="e">
        <v>#N/A</v>
      </c>
      <c r="W32" s="421" t="e">
        <v>#N/A</v>
      </c>
      <c r="X32" s="421" t="e">
        <v>#N/A</v>
      </c>
      <c r="Y32" s="421" t="e">
        <v>#N/A</v>
      </c>
      <c r="Z32" s="393" t="e">
        <v>#N/A</v>
      </c>
      <c r="AA32" s="393" t="e">
        <v>#N/A</v>
      </c>
      <c r="AB32" s="393" t="e">
        <v>#N/A</v>
      </c>
      <c r="AC32" s="421" t="e">
        <v>#N/A</v>
      </c>
      <c r="AD32" s="421" t="e">
        <v>#N/A</v>
      </c>
      <c r="AE32" s="421" t="e">
        <v>#N/A</v>
      </c>
      <c r="AF32" s="421" t="e">
        <v>#N/A</v>
      </c>
      <c r="AG32" s="421" t="e">
        <f t="shared" si="4"/>
        <v>#N/A</v>
      </c>
      <c r="AH32" s="421" t="str">
        <f t="shared" si="5"/>
        <v/>
      </c>
      <c r="AI32" s="427" t="e">
        <f>IF(NOT(OR(Z32=1,Z32=2)),IF(AQ32&gt;0,$AR$45*AQ32/SUMIF($AQ$9:$AQ$40,"&gt;0"),IF(AU32&gt;0,$AV$45*AU32/SUMIF($AU$9:$AU$40,"&gt;0"),IF(AS32&gt;0,$AT$45*AS32/SUMIF($AS$9:$AS$40,"&gt;0"),""))),IF(SUMIF(AJ33:$AJ$40,"=" &amp; AJ32,AI33:$AI$40)=0,"",SUMIF(AJ33:$AJ$40,"=" &amp; AJ32,AI33:$AI$40)))</f>
        <v>#N/A</v>
      </c>
      <c r="AJ32" s="426" t="e">
        <f t="shared" si="36"/>
        <v>#N/A</v>
      </c>
      <c r="AK32" s="421" t="str">
        <f t="shared" si="6"/>
        <v/>
      </c>
      <c r="AL32" s="393" t="str">
        <f t="shared" si="7"/>
        <v/>
      </c>
      <c r="AM32" s="393" t="str">
        <f t="shared" si="8"/>
        <v/>
      </c>
      <c r="AN32" s="393" t="str">
        <f t="shared" si="9"/>
        <v/>
      </c>
      <c r="AO32" s="393" t="e">
        <f t="shared" si="10"/>
        <v>#N/A</v>
      </c>
      <c r="AP32" s="421" t="str">
        <f t="shared" si="11"/>
        <v/>
      </c>
      <c r="AQ32" s="425">
        <f t="shared" si="12"/>
        <v>0</v>
      </c>
      <c r="AR32" s="423" t="str">
        <f t="shared" si="13"/>
        <v/>
      </c>
      <c r="AS32" s="424">
        <f t="shared" si="14"/>
        <v>0</v>
      </c>
      <c r="AT32" s="423" t="str">
        <f t="shared" si="15"/>
        <v/>
      </c>
      <c r="AU32" s="420">
        <f t="shared" si="16"/>
        <v>0</v>
      </c>
      <c r="AV32" s="422" t="str">
        <f t="shared" si="17"/>
        <v/>
      </c>
      <c r="AW32" s="420" t="b">
        <f t="shared" si="18"/>
        <v>0</v>
      </c>
      <c r="AX32" s="419" t="b">
        <f t="shared" si="19"/>
        <v>0</v>
      </c>
      <c r="AY32" s="420" t="b">
        <f t="shared" si="20"/>
        <v>0</v>
      </c>
      <c r="AZ32" s="419" t="b">
        <f t="shared" si="21"/>
        <v>0</v>
      </c>
      <c r="BA32" s="421" t="b">
        <f t="shared" si="22"/>
        <v>0</v>
      </c>
      <c r="BB32" s="421" t="b">
        <f t="shared" si="23"/>
        <v>0</v>
      </c>
      <c r="BC32" s="420" t="b">
        <f t="shared" si="24"/>
        <v>0</v>
      </c>
      <c r="BD32" s="393" t="b">
        <f t="shared" si="25"/>
        <v>0</v>
      </c>
      <c r="BE32" s="419" t="b">
        <f t="shared" si="26"/>
        <v>0</v>
      </c>
      <c r="BF32" s="418" t="b">
        <f t="shared" si="27"/>
        <v>0</v>
      </c>
      <c r="BG32" s="417" t="str">
        <f t="shared" si="28"/>
        <v>NA</v>
      </c>
      <c r="BH32" s="417" t="str">
        <f t="shared" si="29"/>
        <v/>
      </c>
      <c r="BI32" s="417" t="str">
        <f t="shared" si="30"/>
        <v/>
      </c>
      <c r="BJ32" s="417" t="str">
        <f t="shared" si="31"/>
        <v/>
      </c>
      <c r="BK32" s="417" t="str">
        <f t="shared" si="32"/>
        <v/>
      </c>
      <c r="BL32" s="435" t="str">
        <f t="shared" si="33"/>
        <v/>
      </c>
      <c r="BM32" s="417" t="str">
        <f t="shared" si="34"/>
        <v/>
      </c>
      <c r="BN32" s="417" t="str">
        <f t="shared" si="35"/>
        <v/>
      </c>
      <c r="BO32" s="439" t="s">
        <v>236</v>
      </c>
      <c r="BP32" s="438" t="s">
        <v>237</v>
      </c>
    </row>
    <row r="33" spans="2:73 1271:1271" s="416" customFormat="1" ht="12.95" customHeight="1" x14ac:dyDescent="0.25">
      <c r="B33" s="433" t="str">
        <f>IF(ISNA(Z33),"",IF(OR(Z33=1,Z33=2),"    ",MAX($B$9:B32)+1))</f>
        <v/>
      </c>
      <c r="C33" s="1618" t="str">
        <f t="shared" si="0"/>
        <v/>
      </c>
      <c r="D33" s="1618"/>
      <c r="E33" s="1618"/>
      <c r="F33" s="1619"/>
      <c r="G33" s="437" t="str">
        <f t="shared" si="1"/>
        <v/>
      </c>
      <c r="H33" s="431" t="str">
        <f t="shared" si="2"/>
        <v/>
      </c>
      <c r="I33" s="436" t="str">
        <f t="shared" si="3"/>
        <v/>
      </c>
      <c r="J33" s="429"/>
      <c r="K33" s="428"/>
      <c r="L33" s="1612"/>
      <c r="M33" s="1613"/>
      <c r="N33" s="1613"/>
      <c r="O33" s="1613"/>
      <c r="P33" s="1613"/>
      <c r="Q33" s="1613"/>
      <c r="R33" s="1614"/>
      <c r="T33" s="401">
        <v>25</v>
      </c>
      <c r="U33" s="374" t="e">
        <v>#N/A</v>
      </c>
      <c r="V33" s="421" t="e">
        <v>#N/A</v>
      </c>
      <c r="W33" s="421" t="e">
        <v>#N/A</v>
      </c>
      <c r="X33" s="421" t="e">
        <v>#N/A</v>
      </c>
      <c r="Y33" s="421" t="e">
        <v>#N/A</v>
      </c>
      <c r="Z33" s="393" t="e">
        <v>#N/A</v>
      </c>
      <c r="AA33" s="393" t="e">
        <v>#N/A</v>
      </c>
      <c r="AB33" s="393" t="e">
        <v>#N/A</v>
      </c>
      <c r="AC33" s="421" t="e">
        <v>#N/A</v>
      </c>
      <c r="AD33" s="421" t="e">
        <v>#N/A</v>
      </c>
      <c r="AE33" s="421" t="e">
        <v>#N/A</v>
      </c>
      <c r="AF33" s="421" t="e">
        <v>#N/A</v>
      </c>
      <c r="AG33" s="421" t="e">
        <f t="shared" si="4"/>
        <v>#N/A</v>
      </c>
      <c r="AH33" s="421" t="str">
        <f t="shared" si="5"/>
        <v/>
      </c>
      <c r="AI33" s="427" t="e">
        <f>IF(NOT(OR(Z33=1,Z33=2)),IF(AQ33&gt;0,$AR$45*AQ33/SUMIF($AQ$9:$AQ$40,"&gt;0"),IF(AU33&gt;0,$AV$45*AU33/SUMIF($AU$9:$AU$40,"&gt;0"),IF(AS33&gt;0,$AT$45*AS33/SUMIF($AS$9:$AS$40,"&gt;0"),""))),IF(SUMIF(AJ34:$AJ$40,"=" &amp; AJ33,AI34:$AI$40)=0,"",SUMIF(AJ34:$AJ$40,"=" &amp; AJ33,AI34:$AI$40)))</f>
        <v>#N/A</v>
      </c>
      <c r="AJ33" s="426" t="e">
        <f t="shared" si="36"/>
        <v>#N/A</v>
      </c>
      <c r="AK33" s="421" t="str">
        <f t="shared" si="6"/>
        <v/>
      </c>
      <c r="AL33" s="393" t="str">
        <f t="shared" si="7"/>
        <v/>
      </c>
      <c r="AM33" s="393" t="str">
        <f t="shared" si="8"/>
        <v/>
      </c>
      <c r="AN33" s="393" t="str">
        <f t="shared" si="9"/>
        <v/>
      </c>
      <c r="AO33" s="393" t="e">
        <f t="shared" si="10"/>
        <v>#N/A</v>
      </c>
      <c r="AP33" s="421" t="str">
        <f t="shared" si="11"/>
        <v/>
      </c>
      <c r="AQ33" s="425">
        <f t="shared" si="12"/>
        <v>0</v>
      </c>
      <c r="AR33" s="423" t="str">
        <f t="shared" si="13"/>
        <v/>
      </c>
      <c r="AS33" s="424">
        <f t="shared" si="14"/>
        <v>0</v>
      </c>
      <c r="AT33" s="423" t="str">
        <f t="shared" si="15"/>
        <v/>
      </c>
      <c r="AU33" s="420">
        <f t="shared" si="16"/>
        <v>0</v>
      </c>
      <c r="AV33" s="422" t="str">
        <f t="shared" si="17"/>
        <v/>
      </c>
      <c r="AW33" s="420" t="b">
        <f t="shared" si="18"/>
        <v>0</v>
      </c>
      <c r="AX33" s="419" t="b">
        <f t="shared" si="19"/>
        <v>0</v>
      </c>
      <c r="AY33" s="420" t="b">
        <f t="shared" si="20"/>
        <v>0</v>
      </c>
      <c r="AZ33" s="419" t="b">
        <f t="shared" si="21"/>
        <v>0</v>
      </c>
      <c r="BA33" s="421" t="b">
        <f t="shared" si="22"/>
        <v>0</v>
      </c>
      <c r="BB33" s="421" t="b">
        <f t="shared" si="23"/>
        <v>0</v>
      </c>
      <c r="BC33" s="420" t="b">
        <f t="shared" si="24"/>
        <v>0</v>
      </c>
      <c r="BD33" s="393" t="b">
        <f t="shared" si="25"/>
        <v>0</v>
      </c>
      <c r="BE33" s="419" t="b">
        <f t="shared" si="26"/>
        <v>0</v>
      </c>
      <c r="BF33" s="418" t="b">
        <f t="shared" si="27"/>
        <v>0</v>
      </c>
      <c r="BG33" s="417" t="str">
        <f t="shared" si="28"/>
        <v>NA</v>
      </c>
      <c r="BH33" s="417" t="str">
        <f t="shared" si="29"/>
        <v/>
      </c>
      <c r="BI33" s="417" t="str">
        <f t="shared" si="30"/>
        <v/>
      </c>
      <c r="BJ33" s="417" t="str">
        <f t="shared" si="31"/>
        <v/>
      </c>
      <c r="BK33" s="417" t="str">
        <f t="shared" si="32"/>
        <v/>
      </c>
      <c r="BL33" s="435" t="str">
        <f t="shared" si="33"/>
        <v/>
      </c>
      <c r="BM33" s="417" t="str">
        <f t="shared" si="34"/>
        <v/>
      </c>
      <c r="BN33" s="417" t="str">
        <f t="shared" si="35"/>
        <v/>
      </c>
      <c r="BO33" s="439" t="s">
        <v>238</v>
      </c>
      <c r="BP33" s="438" t="s">
        <v>239</v>
      </c>
    </row>
    <row r="34" spans="2:73 1271:1271" s="416" customFormat="1" ht="12.95" customHeight="1" x14ac:dyDescent="0.25">
      <c r="B34" s="433" t="str">
        <f>IF(ISNA(Z34),"",IF(OR(Z34=1,Z34=2),"    ",MAX($B$9:B33)+1))</f>
        <v/>
      </c>
      <c r="C34" s="1618" t="str">
        <f t="shared" si="0"/>
        <v/>
      </c>
      <c r="D34" s="1618"/>
      <c r="E34" s="1618"/>
      <c r="F34" s="1619"/>
      <c r="G34" s="437" t="str">
        <f t="shared" si="1"/>
        <v/>
      </c>
      <c r="H34" s="431" t="str">
        <f t="shared" si="2"/>
        <v/>
      </c>
      <c r="I34" s="436" t="str">
        <f t="shared" si="3"/>
        <v/>
      </c>
      <c r="J34" s="429"/>
      <c r="K34" s="428"/>
      <c r="L34" s="1612"/>
      <c r="M34" s="1613"/>
      <c r="N34" s="1613"/>
      <c r="O34" s="1613"/>
      <c r="P34" s="1613"/>
      <c r="Q34" s="1613"/>
      <c r="R34" s="1614"/>
      <c r="T34" s="401">
        <v>26</v>
      </c>
      <c r="U34" s="374" t="e">
        <v>#N/A</v>
      </c>
      <c r="V34" s="421" t="e">
        <v>#N/A</v>
      </c>
      <c r="W34" s="421" t="e">
        <v>#N/A</v>
      </c>
      <c r="X34" s="421" t="e">
        <v>#N/A</v>
      </c>
      <c r="Y34" s="421" t="e">
        <v>#N/A</v>
      </c>
      <c r="Z34" s="393" t="e">
        <v>#N/A</v>
      </c>
      <c r="AA34" s="393" t="e">
        <v>#N/A</v>
      </c>
      <c r="AB34" s="393" t="e">
        <v>#N/A</v>
      </c>
      <c r="AC34" s="421" t="e">
        <v>#N/A</v>
      </c>
      <c r="AD34" s="421" t="e">
        <v>#N/A</v>
      </c>
      <c r="AE34" s="421" t="e">
        <v>#N/A</v>
      </c>
      <c r="AF34" s="421" t="e">
        <v>#N/A</v>
      </c>
      <c r="AG34" s="421" t="e">
        <f t="shared" si="4"/>
        <v>#N/A</v>
      </c>
      <c r="AH34" s="421" t="str">
        <f t="shared" si="5"/>
        <v/>
      </c>
      <c r="AI34" s="427" t="e">
        <f>IF(NOT(OR(Z34=1,Z34=2)),IF(AQ34&gt;0,$AR$45*AQ34/SUMIF($AQ$9:$AQ$40,"&gt;0"),IF(AU34&gt;0,$AV$45*AU34/SUMIF($AU$9:$AU$40,"&gt;0"),IF(AS34&gt;0,$AT$45*AS34/SUMIF($AS$9:$AS$40,"&gt;0"),""))),IF(SUMIF(AJ35:$AJ$40,"=" &amp; AJ34,AI35:$AI$40)=0,"",SUMIF(AJ35:$AJ$40,"=" &amp; AJ34,AI35:$AI$40)))</f>
        <v>#N/A</v>
      </c>
      <c r="AJ34" s="426" t="e">
        <f t="shared" si="36"/>
        <v>#N/A</v>
      </c>
      <c r="AK34" s="421" t="str">
        <f t="shared" si="6"/>
        <v/>
      </c>
      <c r="AL34" s="393" t="str">
        <f t="shared" si="7"/>
        <v/>
      </c>
      <c r="AM34" s="393" t="str">
        <f t="shared" si="8"/>
        <v/>
      </c>
      <c r="AN34" s="393" t="str">
        <f t="shared" si="9"/>
        <v/>
      </c>
      <c r="AO34" s="393" t="e">
        <f t="shared" si="10"/>
        <v>#N/A</v>
      </c>
      <c r="AP34" s="421" t="str">
        <f t="shared" si="11"/>
        <v/>
      </c>
      <c r="AQ34" s="425">
        <f t="shared" si="12"/>
        <v>0</v>
      </c>
      <c r="AR34" s="423" t="str">
        <f t="shared" si="13"/>
        <v/>
      </c>
      <c r="AS34" s="424">
        <f t="shared" si="14"/>
        <v>0</v>
      </c>
      <c r="AT34" s="423" t="str">
        <f t="shared" si="15"/>
        <v/>
      </c>
      <c r="AU34" s="420">
        <f t="shared" si="16"/>
        <v>0</v>
      </c>
      <c r="AV34" s="422" t="str">
        <f t="shared" si="17"/>
        <v/>
      </c>
      <c r="AW34" s="420" t="b">
        <f t="shared" si="18"/>
        <v>0</v>
      </c>
      <c r="AX34" s="419" t="b">
        <f t="shared" si="19"/>
        <v>0</v>
      </c>
      <c r="AY34" s="420" t="b">
        <f t="shared" si="20"/>
        <v>0</v>
      </c>
      <c r="AZ34" s="419" t="b">
        <f t="shared" si="21"/>
        <v>0</v>
      </c>
      <c r="BA34" s="421" t="b">
        <f t="shared" si="22"/>
        <v>0</v>
      </c>
      <c r="BB34" s="421" t="b">
        <f t="shared" si="23"/>
        <v>0</v>
      </c>
      <c r="BC34" s="420" t="b">
        <f t="shared" si="24"/>
        <v>0</v>
      </c>
      <c r="BD34" s="393" t="b">
        <f t="shared" si="25"/>
        <v>0</v>
      </c>
      <c r="BE34" s="419" t="b">
        <f t="shared" si="26"/>
        <v>0</v>
      </c>
      <c r="BF34" s="418" t="b">
        <f t="shared" si="27"/>
        <v>0</v>
      </c>
      <c r="BG34" s="417" t="str">
        <f t="shared" si="28"/>
        <v>NA</v>
      </c>
      <c r="BH34" s="417" t="str">
        <f t="shared" si="29"/>
        <v/>
      </c>
      <c r="BI34" s="417" t="str">
        <f t="shared" si="30"/>
        <v/>
      </c>
      <c r="BJ34" s="417" t="str">
        <f t="shared" si="31"/>
        <v/>
      </c>
      <c r="BK34" s="417" t="str">
        <f t="shared" si="32"/>
        <v/>
      </c>
      <c r="BL34" s="435" t="str">
        <f t="shared" si="33"/>
        <v/>
      </c>
      <c r="BM34" s="417" t="str">
        <f t="shared" si="34"/>
        <v/>
      </c>
      <c r="BN34" s="417" t="str">
        <f t="shared" si="35"/>
        <v/>
      </c>
      <c r="BO34" s="434" t="s">
        <v>240</v>
      </c>
      <c r="BP34" s="438"/>
      <c r="BQ34" s="438"/>
      <c r="BR34" s="438"/>
      <c r="BS34" s="438"/>
      <c r="BT34" s="438"/>
      <c r="BU34" s="438"/>
    </row>
    <row r="35" spans="2:73 1271:1271" s="416" customFormat="1" ht="12.95" customHeight="1" x14ac:dyDescent="0.25">
      <c r="B35" s="433" t="str">
        <f>IF(ISNA(Z35),"",IF(OR(Z35=1,Z35=2),"    ",MAX($B$9:B34)+1))</f>
        <v/>
      </c>
      <c r="C35" s="1618" t="str">
        <f t="shared" si="0"/>
        <v/>
      </c>
      <c r="D35" s="1618"/>
      <c r="E35" s="1618"/>
      <c r="F35" s="1619"/>
      <c r="G35" s="437" t="str">
        <f t="shared" si="1"/>
        <v/>
      </c>
      <c r="H35" s="431" t="str">
        <f t="shared" si="2"/>
        <v/>
      </c>
      <c r="I35" s="436" t="str">
        <f t="shared" si="3"/>
        <v/>
      </c>
      <c r="J35" s="429"/>
      <c r="K35" s="428"/>
      <c r="L35" s="1612"/>
      <c r="M35" s="1613"/>
      <c r="N35" s="1613"/>
      <c r="O35" s="1613"/>
      <c r="P35" s="1613"/>
      <c r="Q35" s="1613"/>
      <c r="R35" s="1614"/>
      <c r="T35" s="401">
        <v>27</v>
      </c>
      <c r="U35" s="374" t="e">
        <v>#N/A</v>
      </c>
      <c r="V35" s="421" t="e">
        <v>#N/A</v>
      </c>
      <c r="W35" s="421" t="e">
        <v>#N/A</v>
      </c>
      <c r="X35" s="421" t="e">
        <v>#N/A</v>
      </c>
      <c r="Y35" s="421" t="e">
        <v>#N/A</v>
      </c>
      <c r="Z35" s="393" t="e">
        <v>#N/A</v>
      </c>
      <c r="AA35" s="393" t="e">
        <v>#N/A</v>
      </c>
      <c r="AB35" s="393" t="e">
        <v>#N/A</v>
      </c>
      <c r="AC35" s="421" t="e">
        <v>#N/A</v>
      </c>
      <c r="AD35" s="421" t="e">
        <v>#N/A</v>
      </c>
      <c r="AE35" s="421" t="e">
        <v>#N/A</v>
      </c>
      <c r="AF35" s="421" t="e">
        <v>#N/A</v>
      </c>
      <c r="AG35" s="421" t="e">
        <f t="shared" si="4"/>
        <v>#N/A</v>
      </c>
      <c r="AH35" s="421" t="str">
        <f t="shared" si="5"/>
        <v/>
      </c>
      <c r="AI35" s="427" t="e">
        <f>IF(NOT(OR(Z35=1,Z35=2)),IF(AQ35&gt;0,$AR$45*AQ35/SUMIF($AQ$9:$AQ$40,"&gt;0"),IF(AU35&gt;0,$AV$45*AU35/SUMIF($AU$9:$AU$40,"&gt;0"),IF(AS35&gt;0,$AT$45*AS35/SUMIF($AS$9:$AS$40,"&gt;0"),""))),IF(SUMIF(AJ36:$AJ$40,"=" &amp; AJ35,AI36:$AI$40)=0,"",SUMIF(AJ36:$AJ$40,"=" &amp; AJ35,AI36:$AI$40)))</f>
        <v>#N/A</v>
      </c>
      <c r="AJ35" s="426" t="e">
        <f t="shared" si="36"/>
        <v>#N/A</v>
      </c>
      <c r="AK35" s="421" t="str">
        <f t="shared" si="6"/>
        <v/>
      </c>
      <c r="AL35" s="393" t="str">
        <f t="shared" si="7"/>
        <v/>
      </c>
      <c r="AM35" s="393" t="str">
        <f t="shared" si="8"/>
        <v/>
      </c>
      <c r="AN35" s="393" t="str">
        <f t="shared" si="9"/>
        <v/>
      </c>
      <c r="AO35" s="393" t="e">
        <f t="shared" si="10"/>
        <v>#N/A</v>
      </c>
      <c r="AP35" s="421" t="str">
        <f t="shared" si="11"/>
        <v/>
      </c>
      <c r="AQ35" s="425">
        <f t="shared" si="12"/>
        <v>0</v>
      </c>
      <c r="AR35" s="423" t="str">
        <f t="shared" si="13"/>
        <v/>
      </c>
      <c r="AS35" s="424">
        <f t="shared" si="14"/>
        <v>0</v>
      </c>
      <c r="AT35" s="423" t="str">
        <f t="shared" si="15"/>
        <v/>
      </c>
      <c r="AU35" s="420">
        <f t="shared" si="16"/>
        <v>0</v>
      </c>
      <c r="AV35" s="422" t="str">
        <f t="shared" si="17"/>
        <v/>
      </c>
      <c r="AW35" s="420" t="b">
        <f t="shared" si="18"/>
        <v>0</v>
      </c>
      <c r="AX35" s="419" t="b">
        <f t="shared" si="19"/>
        <v>0</v>
      </c>
      <c r="AY35" s="420" t="b">
        <f t="shared" si="20"/>
        <v>0</v>
      </c>
      <c r="AZ35" s="419" t="b">
        <f t="shared" si="21"/>
        <v>0</v>
      </c>
      <c r="BA35" s="421" t="b">
        <f t="shared" si="22"/>
        <v>0</v>
      </c>
      <c r="BB35" s="421" t="b">
        <f t="shared" si="23"/>
        <v>0</v>
      </c>
      <c r="BC35" s="420" t="b">
        <f t="shared" si="24"/>
        <v>0</v>
      </c>
      <c r="BD35" s="393" t="b">
        <f t="shared" si="25"/>
        <v>0</v>
      </c>
      <c r="BE35" s="419" t="b">
        <f t="shared" si="26"/>
        <v>0</v>
      </c>
      <c r="BF35" s="418" t="b">
        <f t="shared" si="27"/>
        <v>0</v>
      </c>
      <c r="BG35" s="417" t="str">
        <f t="shared" si="28"/>
        <v>NA</v>
      </c>
      <c r="BH35" s="417" t="str">
        <f t="shared" si="29"/>
        <v/>
      </c>
      <c r="BI35" s="417" t="str">
        <f t="shared" si="30"/>
        <v/>
      </c>
      <c r="BJ35" s="417" t="str">
        <f t="shared" si="31"/>
        <v/>
      </c>
      <c r="BK35" s="417" t="str">
        <f t="shared" si="32"/>
        <v/>
      </c>
      <c r="BL35" s="435" t="str">
        <f t="shared" si="33"/>
        <v/>
      </c>
      <c r="BM35" s="417" t="str">
        <f t="shared" si="34"/>
        <v/>
      </c>
      <c r="BN35" s="417" t="str">
        <f t="shared" si="35"/>
        <v/>
      </c>
      <c r="BO35" s="1620"/>
      <c r="BP35" s="1621"/>
      <c r="BQ35" s="1621"/>
      <c r="BR35" s="1621"/>
      <c r="BS35" s="1621"/>
      <c r="BT35" s="1621"/>
      <c r="BU35" s="1622"/>
    </row>
    <row r="36" spans="2:73 1271:1271" s="416" customFormat="1" ht="12.95" customHeight="1" x14ac:dyDescent="0.25">
      <c r="B36" s="433" t="str">
        <f>IF(ISNA(Z36),"",IF(OR(Z36=1,Z36=2),"    ",MAX($B$9:B35)+1))</f>
        <v/>
      </c>
      <c r="C36" s="1618" t="str">
        <f t="shared" si="0"/>
        <v/>
      </c>
      <c r="D36" s="1618"/>
      <c r="E36" s="1618"/>
      <c r="F36" s="1619"/>
      <c r="G36" s="437" t="str">
        <f t="shared" si="1"/>
        <v/>
      </c>
      <c r="H36" s="431" t="str">
        <f t="shared" si="2"/>
        <v/>
      </c>
      <c r="I36" s="436" t="str">
        <f t="shared" si="3"/>
        <v/>
      </c>
      <c r="J36" s="429"/>
      <c r="K36" s="428"/>
      <c r="L36" s="1612"/>
      <c r="M36" s="1613"/>
      <c r="N36" s="1613"/>
      <c r="O36" s="1613"/>
      <c r="P36" s="1613"/>
      <c r="Q36" s="1613"/>
      <c r="R36" s="1614"/>
      <c r="T36" s="401">
        <v>28</v>
      </c>
      <c r="U36" s="374" t="e">
        <v>#N/A</v>
      </c>
      <c r="V36" s="421" t="e">
        <v>#N/A</v>
      </c>
      <c r="W36" s="421" t="e">
        <v>#N/A</v>
      </c>
      <c r="X36" s="421" t="e">
        <v>#N/A</v>
      </c>
      <c r="Y36" s="421" t="e">
        <v>#N/A</v>
      </c>
      <c r="Z36" s="393" t="e">
        <v>#N/A</v>
      </c>
      <c r="AA36" s="393" t="e">
        <v>#N/A</v>
      </c>
      <c r="AB36" s="393" t="e">
        <v>#N/A</v>
      </c>
      <c r="AC36" s="421" t="e">
        <v>#N/A</v>
      </c>
      <c r="AD36" s="421" t="e">
        <v>#N/A</v>
      </c>
      <c r="AE36" s="421" t="e">
        <v>#N/A</v>
      </c>
      <c r="AF36" s="421" t="e">
        <v>#N/A</v>
      </c>
      <c r="AG36" s="421" t="e">
        <f t="shared" si="4"/>
        <v>#N/A</v>
      </c>
      <c r="AH36" s="421" t="str">
        <f t="shared" si="5"/>
        <v/>
      </c>
      <c r="AI36" s="427" t="e">
        <f>IF(NOT(OR(Z36=1,Z36=2)),IF(AQ36&gt;0,$AR$45*AQ36/SUMIF($AQ$9:$AQ$40,"&gt;0"),IF(AU36&gt;0,$AV$45*AU36/SUMIF($AU$9:$AU$40,"&gt;0"),IF(AS36&gt;0,$AT$45*AS36/SUMIF($AS$9:$AS$40,"&gt;0"),""))),IF(SUMIF(AJ37:$AJ$40,"=" &amp; AJ36,AI37:$AI$40)=0,"",SUMIF(AJ37:$AJ$40,"=" &amp; AJ36,AI37:$AI$40)))</f>
        <v>#N/A</v>
      </c>
      <c r="AJ36" s="426" t="e">
        <f t="shared" si="36"/>
        <v>#N/A</v>
      </c>
      <c r="AK36" s="421" t="str">
        <f t="shared" si="6"/>
        <v/>
      </c>
      <c r="AL36" s="393" t="str">
        <f t="shared" si="7"/>
        <v/>
      </c>
      <c r="AM36" s="393" t="str">
        <f t="shared" si="8"/>
        <v/>
      </c>
      <c r="AN36" s="393" t="str">
        <f t="shared" si="9"/>
        <v/>
      </c>
      <c r="AO36" s="393" t="e">
        <f t="shared" si="10"/>
        <v>#N/A</v>
      </c>
      <c r="AP36" s="421" t="str">
        <f t="shared" si="11"/>
        <v/>
      </c>
      <c r="AQ36" s="425">
        <f t="shared" si="12"/>
        <v>0</v>
      </c>
      <c r="AR36" s="423" t="str">
        <f t="shared" si="13"/>
        <v/>
      </c>
      <c r="AS36" s="424">
        <f t="shared" si="14"/>
        <v>0</v>
      </c>
      <c r="AT36" s="423" t="str">
        <f t="shared" si="15"/>
        <v/>
      </c>
      <c r="AU36" s="420">
        <f t="shared" si="16"/>
        <v>0</v>
      </c>
      <c r="AV36" s="422" t="str">
        <f t="shared" si="17"/>
        <v/>
      </c>
      <c r="AW36" s="420" t="b">
        <f t="shared" si="18"/>
        <v>0</v>
      </c>
      <c r="AX36" s="419" t="b">
        <f t="shared" si="19"/>
        <v>0</v>
      </c>
      <c r="AY36" s="420" t="b">
        <f t="shared" si="20"/>
        <v>0</v>
      </c>
      <c r="AZ36" s="419" t="b">
        <f t="shared" si="21"/>
        <v>0</v>
      </c>
      <c r="BA36" s="421" t="b">
        <f t="shared" si="22"/>
        <v>0</v>
      </c>
      <c r="BB36" s="421" t="b">
        <f t="shared" si="23"/>
        <v>0</v>
      </c>
      <c r="BC36" s="420" t="b">
        <f t="shared" si="24"/>
        <v>0</v>
      </c>
      <c r="BD36" s="393" t="b">
        <f t="shared" si="25"/>
        <v>0</v>
      </c>
      <c r="BE36" s="419" t="b">
        <f t="shared" si="26"/>
        <v>0</v>
      </c>
      <c r="BF36" s="418" t="b">
        <f t="shared" si="27"/>
        <v>0</v>
      </c>
      <c r="BG36" s="417" t="str">
        <f t="shared" si="28"/>
        <v>NA</v>
      </c>
      <c r="BH36" s="417" t="str">
        <f t="shared" si="29"/>
        <v/>
      </c>
      <c r="BI36" s="417" t="str">
        <f t="shared" si="30"/>
        <v/>
      </c>
      <c r="BJ36" s="417" t="str">
        <f t="shared" si="31"/>
        <v/>
      </c>
      <c r="BK36" s="417" t="str">
        <f t="shared" si="32"/>
        <v/>
      </c>
      <c r="BL36" s="435" t="str">
        <f t="shared" si="33"/>
        <v/>
      </c>
      <c r="BM36" s="417" t="str">
        <f t="shared" si="34"/>
        <v/>
      </c>
      <c r="BN36" s="417" t="str">
        <f t="shared" si="35"/>
        <v/>
      </c>
      <c r="BO36" s="1623"/>
      <c r="BP36" s="1624"/>
      <c r="BQ36" s="1624"/>
      <c r="BR36" s="1624"/>
      <c r="BS36" s="1624"/>
      <c r="BT36" s="1624"/>
      <c r="BU36" s="1625"/>
    </row>
    <row r="37" spans="2:73 1271:1271" s="416" customFormat="1" ht="12.95" customHeight="1" x14ac:dyDescent="0.25">
      <c r="B37" s="433" t="str">
        <f>IF(ISNA(Z37),"",IF(OR(Z37=1,Z37=2),"    ",MAX($B$9:B36)+1))</f>
        <v/>
      </c>
      <c r="C37" s="1618" t="str">
        <f t="shared" si="0"/>
        <v/>
      </c>
      <c r="D37" s="1618"/>
      <c r="E37" s="1618"/>
      <c r="F37" s="1619"/>
      <c r="G37" s="437" t="str">
        <f t="shared" si="1"/>
        <v/>
      </c>
      <c r="H37" s="431" t="str">
        <f t="shared" si="2"/>
        <v/>
      </c>
      <c r="I37" s="436" t="str">
        <f t="shared" si="3"/>
        <v/>
      </c>
      <c r="J37" s="429"/>
      <c r="K37" s="428"/>
      <c r="L37" s="1612"/>
      <c r="M37" s="1613"/>
      <c r="N37" s="1613"/>
      <c r="O37" s="1613"/>
      <c r="P37" s="1613"/>
      <c r="Q37" s="1613"/>
      <c r="R37" s="1614"/>
      <c r="T37" s="401">
        <v>29</v>
      </c>
      <c r="U37" s="374" t="e">
        <v>#N/A</v>
      </c>
      <c r="V37" s="421" t="e">
        <v>#N/A</v>
      </c>
      <c r="W37" s="421" t="e">
        <v>#N/A</v>
      </c>
      <c r="X37" s="421" t="e">
        <v>#N/A</v>
      </c>
      <c r="Y37" s="421" t="e">
        <v>#N/A</v>
      </c>
      <c r="Z37" s="393" t="e">
        <v>#N/A</v>
      </c>
      <c r="AA37" s="393" t="e">
        <v>#N/A</v>
      </c>
      <c r="AB37" s="393" t="e">
        <v>#N/A</v>
      </c>
      <c r="AC37" s="421" t="e">
        <v>#N/A</v>
      </c>
      <c r="AD37" s="421" t="e">
        <v>#N/A</v>
      </c>
      <c r="AE37" s="421" t="e">
        <v>#N/A</v>
      </c>
      <c r="AF37" s="421" t="e">
        <v>#N/A</v>
      </c>
      <c r="AG37" s="421" t="e">
        <f t="shared" si="4"/>
        <v>#N/A</v>
      </c>
      <c r="AH37" s="421" t="str">
        <f t="shared" si="5"/>
        <v/>
      </c>
      <c r="AI37" s="427" t="e">
        <f>IF(NOT(OR(Z37=1,Z37=2)),IF(AQ37&gt;0,$AR$45*AQ37/SUMIF($AQ$9:$AQ$40,"&gt;0"),IF(AU37&gt;0,$AV$45*AU37/SUMIF($AU$9:$AU$40,"&gt;0"),IF(AS37&gt;0,$AT$45*AS37/SUMIF($AS$9:$AS$40,"&gt;0"),""))),IF(SUMIF(AJ38:$AJ$40,"=" &amp; AJ37,AI38:$AI$40)=0,"",SUMIF(AJ38:$AJ$40,"=" &amp; AJ37,AI38:$AI$40)))</f>
        <v>#N/A</v>
      </c>
      <c r="AJ37" s="426" t="e">
        <f t="shared" si="36"/>
        <v>#N/A</v>
      </c>
      <c r="AK37" s="421" t="str">
        <f t="shared" si="6"/>
        <v/>
      </c>
      <c r="AL37" s="393" t="str">
        <f t="shared" si="7"/>
        <v/>
      </c>
      <c r="AM37" s="393" t="str">
        <f t="shared" si="8"/>
        <v/>
      </c>
      <c r="AN37" s="393" t="str">
        <f t="shared" si="9"/>
        <v/>
      </c>
      <c r="AO37" s="393" t="e">
        <f t="shared" si="10"/>
        <v>#N/A</v>
      </c>
      <c r="AP37" s="421" t="str">
        <f t="shared" si="11"/>
        <v/>
      </c>
      <c r="AQ37" s="425">
        <f t="shared" si="12"/>
        <v>0</v>
      </c>
      <c r="AR37" s="423" t="str">
        <f t="shared" si="13"/>
        <v/>
      </c>
      <c r="AS37" s="424">
        <f t="shared" si="14"/>
        <v>0</v>
      </c>
      <c r="AT37" s="423" t="str">
        <f t="shared" si="15"/>
        <v/>
      </c>
      <c r="AU37" s="420">
        <f t="shared" si="16"/>
        <v>0</v>
      </c>
      <c r="AV37" s="422" t="str">
        <f t="shared" si="17"/>
        <v/>
      </c>
      <c r="AW37" s="420" t="b">
        <f t="shared" si="18"/>
        <v>0</v>
      </c>
      <c r="AX37" s="419" t="b">
        <f t="shared" si="19"/>
        <v>0</v>
      </c>
      <c r="AY37" s="420" t="b">
        <f t="shared" si="20"/>
        <v>0</v>
      </c>
      <c r="AZ37" s="419" t="b">
        <f t="shared" si="21"/>
        <v>0</v>
      </c>
      <c r="BA37" s="421" t="b">
        <f t="shared" si="22"/>
        <v>0</v>
      </c>
      <c r="BB37" s="421" t="b">
        <f t="shared" si="23"/>
        <v>0</v>
      </c>
      <c r="BC37" s="420" t="b">
        <f t="shared" si="24"/>
        <v>0</v>
      </c>
      <c r="BD37" s="393" t="b">
        <f t="shared" si="25"/>
        <v>0</v>
      </c>
      <c r="BE37" s="419" t="b">
        <f t="shared" si="26"/>
        <v>0</v>
      </c>
      <c r="BF37" s="418" t="b">
        <f t="shared" si="27"/>
        <v>0</v>
      </c>
      <c r="BG37" s="417" t="str">
        <f t="shared" si="28"/>
        <v>NA</v>
      </c>
      <c r="BH37" s="417" t="str">
        <f t="shared" si="29"/>
        <v/>
      </c>
      <c r="BI37" s="417" t="str">
        <f t="shared" si="30"/>
        <v/>
      </c>
      <c r="BJ37" s="417" t="str">
        <f t="shared" si="31"/>
        <v/>
      </c>
      <c r="BK37" s="417" t="str">
        <f t="shared" si="32"/>
        <v/>
      </c>
      <c r="BL37" s="435" t="str">
        <f t="shared" si="33"/>
        <v/>
      </c>
      <c r="BM37" s="417" t="str">
        <f t="shared" si="34"/>
        <v/>
      </c>
      <c r="BN37" s="417" t="str">
        <f t="shared" si="35"/>
        <v/>
      </c>
      <c r="BO37" s="1623"/>
      <c r="BP37" s="1624"/>
      <c r="BQ37" s="1624"/>
      <c r="BR37" s="1624"/>
      <c r="BS37" s="1624"/>
      <c r="BT37" s="1624"/>
      <c r="BU37" s="1625"/>
    </row>
    <row r="38" spans="2:73 1271:1271" s="416" customFormat="1" ht="12.95" customHeight="1" x14ac:dyDescent="0.25">
      <c r="B38" s="433" t="str">
        <f>IF(ISNA(Z38),"",IF(OR(Z38=1,Z38=2),"    ",MAX($B$9:B37)+1))</f>
        <v/>
      </c>
      <c r="C38" s="1618" t="str">
        <f t="shared" si="0"/>
        <v/>
      </c>
      <c r="D38" s="1618"/>
      <c r="E38" s="1618"/>
      <c r="F38" s="1619"/>
      <c r="G38" s="437" t="str">
        <f t="shared" si="1"/>
        <v/>
      </c>
      <c r="H38" s="431" t="str">
        <f t="shared" si="2"/>
        <v/>
      </c>
      <c r="I38" s="436" t="str">
        <f t="shared" si="3"/>
        <v/>
      </c>
      <c r="J38" s="429"/>
      <c r="K38" s="428"/>
      <c r="L38" s="1612"/>
      <c r="M38" s="1613"/>
      <c r="N38" s="1613"/>
      <c r="O38" s="1613"/>
      <c r="P38" s="1613"/>
      <c r="Q38" s="1613"/>
      <c r="R38" s="1614"/>
      <c r="T38" s="401">
        <v>30</v>
      </c>
      <c r="U38" s="374" t="e">
        <v>#N/A</v>
      </c>
      <c r="V38" s="421" t="e">
        <v>#N/A</v>
      </c>
      <c r="W38" s="421" t="e">
        <v>#N/A</v>
      </c>
      <c r="X38" s="421" t="e">
        <v>#N/A</v>
      </c>
      <c r="Y38" s="421" t="e">
        <v>#N/A</v>
      </c>
      <c r="Z38" s="393" t="e">
        <v>#N/A</v>
      </c>
      <c r="AA38" s="393" t="e">
        <v>#N/A</v>
      </c>
      <c r="AB38" s="393" t="e">
        <v>#N/A</v>
      </c>
      <c r="AC38" s="421" t="e">
        <v>#N/A</v>
      </c>
      <c r="AD38" s="421" t="e">
        <v>#N/A</v>
      </c>
      <c r="AE38" s="421" t="e">
        <v>#N/A</v>
      </c>
      <c r="AF38" s="421" t="e">
        <v>#N/A</v>
      </c>
      <c r="AG38" s="421" t="e">
        <f t="shared" si="4"/>
        <v>#N/A</v>
      </c>
      <c r="AH38" s="421" t="str">
        <f t="shared" si="5"/>
        <v/>
      </c>
      <c r="AI38" s="427" t="e">
        <f>IF(NOT(OR(Z38=1,Z38=2)),IF(AQ38&gt;0,$AR$45*AQ38/SUMIF($AQ$9:$AQ$40,"&gt;0"),IF(AU38&gt;0,$AV$45*AU38/SUMIF($AU$9:$AU$40,"&gt;0"),IF(AS38&gt;0,$AT$45*AS38/SUMIF($AS$9:$AS$40,"&gt;0"),""))),IF(SUMIF(AJ39:$AJ$40,"=" &amp; AJ38,AI39:$AI$40)=0,"",SUMIF(AJ39:$AJ$40,"=" &amp; AJ38,AI39:$AI$40)))</f>
        <v>#N/A</v>
      </c>
      <c r="AJ38" s="426" t="e">
        <f t="shared" si="36"/>
        <v>#N/A</v>
      </c>
      <c r="AK38" s="421" t="str">
        <f t="shared" si="6"/>
        <v/>
      </c>
      <c r="AL38" s="393" t="str">
        <f t="shared" si="7"/>
        <v/>
      </c>
      <c r="AM38" s="393" t="str">
        <f t="shared" si="8"/>
        <v/>
      </c>
      <c r="AN38" s="393" t="str">
        <f t="shared" si="9"/>
        <v/>
      </c>
      <c r="AO38" s="393" t="e">
        <f t="shared" si="10"/>
        <v>#N/A</v>
      </c>
      <c r="AP38" s="421" t="str">
        <f t="shared" si="11"/>
        <v/>
      </c>
      <c r="AQ38" s="425">
        <f t="shared" si="12"/>
        <v>0</v>
      </c>
      <c r="AR38" s="423" t="str">
        <f t="shared" si="13"/>
        <v/>
      </c>
      <c r="AS38" s="424">
        <f t="shared" si="14"/>
        <v>0</v>
      </c>
      <c r="AT38" s="423" t="str">
        <f t="shared" si="15"/>
        <v/>
      </c>
      <c r="AU38" s="420">
        <f t="shared" si="16"/>
        <v>0</v>
      </c>
      <c r="AV38" s="422" t="str">
        <f t="shared" si="17"/>
        <v/>
      </c>
      <c r="AW38" s="420" t="b">
        <f t="shared" si="18"/>
        <v>0</v>
      </c>
      <c r="AX38" s="419" t="b">
        <f t="shared" si="19"/>
        <v>0</v>
      </c>
      <c r="AY38" s="420" t="b">
        <f t="shared" si="20"/>
        <v>0</v>
      </c>
      <c r="AZ38" s="419" t="b">
        <f t="shared" si="21"/>
        <v>0</v>
      </c>
      <c r="BA38" s="421" t="b">
        <f t="shared" si="22"/>
        <v>0</v>
      </c>
      <c r="BB38" s="421" t="b">
        <f t="shared" si="23"/>
        <v>0</v>
      </c>
      <c r="BC38" s="420" t="b">
        <f t="shared" si="24"/>
        <v>0</v>
      </c>
      <c r="BD38" s="393" t="b">
        <f t="shared" si="25"/>
        <v>0</v>
      </c>
      <c r="BE38" s="419" t="b">
        <f t="shared" si="26"/>
        <v>0</v>
      </c>
      <c r="BF38" s="418" t="b">
        <f t="shared" si="27"/>
        <v>0</v>
      </c>
      <c r="BG38" s="417" t="str">
        <f t="shared" si="28"/>
        <v>NA</v>
      </c>
      <c r="BH38" s="417" t="str">
        <f t="shared" si="29"/>
        <v/>
      </c>
      <c r="BI38" s="417" t="str">
        <f t="shared" si="30"/>
        <v/>
      </c>
      <c r="BJ38" s="417" t="str">
        <f t="shared" si="31"/>
        <v/>
      </c>
      <c r="BK38" s="417" t="str">
        <f t="shared" si="32"/>
        <v/>
      </c>
      <c r="BL38" s="435" t="str">
        <f t="shared" si="33"/>
        <v/>
      </c>
      <c r="BM38" s="417" t="str">
        <f t="shared" si="34"/>
        <v/>
      </c>
      <c r="BN38" s="417" t="str">
        <f t="shared" si="35"/>
        <v/>
      </c>
      <c r="BO38" s="1626"/>
      <c r="BP38" s="1627"/>
      <c r="BQ38" s="1627"/>
      <c r="BR38" s="1627"/>
      <c r="BS38" s="1627"/>
      <c r="BT38" s="1627"/>
      <c r="BU38" s="1628"/>
    </row>
    <row r="39" spans="2:73 1271:1271" s="416" customFormat="1" ht="12.95" customHeight="1" x14ac:dyDescent="0.25">
      <c r="B39" s="433" t="str">
        <f>IF(ISNA(Z39),"",IF(OR(Z39=1,Z39=2),"    ",MAX($B$9:B38)+1))</f>
        <v/>
      </c>
      <c r="C39" s="1618" t="str">
        <f t="shared" si="0"/>
        <v/>
      </c>
      <c r="D39" s="1618"/>
      <c r="E39" s="1618"/>
      <c r="F39" s="1619"/>
      <c r="G39" s="437" t="str">
        <f t="shared" si="1"/>
        <v/>
      </c>
      <c r="H39" s="431" t="str">
        <f t="shared" si="2"/>
        <v/>
      </c>
      <c r="I39" s="436" t="str">
        <f t="shared" si="3"/>
        <v/>
      </c>
      <c r="J39" s="429"/>
      <c r="K39" s="428"/>
      <c r="L39" s="1612"/>
      <c r="M39" s="1613"/>
      <c r="N39" s="1613"/>
      <c r="O39" s="1613"/>
      <c r="P39" s="1613"/>
      <c r="Q39" s="1613"/>
      <c r="R39" s="1614"/>
      <c r="T39" s="401">
        <v>31</v>
      </c>
      <c r="U39" s="374" t="e">
        <v>#N/A</v>
      </c>
      <c r="V39" s="421" t="e">
        <v>#N/A</v>
      </c>
      <c r="W39" s="421" t="e">
        <v>#N/A</v>
      </c>
      <c r="X39" s="421" t="e">
        <v>#N/A</v>
      </c>
      <c r="Y39" s="421" t="e">
        <v>#N/A</v>
      </c>
      <c r="Z39" s="393" t="e">
        <v>#N/A</v>
      </c>
      <c r="AA39" s="393" t="e">
        <v>#N/A</v>
      </c>
      <c r="AB39" s="393" t="e">
        <v>#N/A</v>
      </c>
      <c r="AC39" s="421" t="e">
        <v>#N/A</v>
      </c>
      <c r="AD39" s="421" t="e">
        <v>#N/A</v>
      </c>
      <c r="AE39" s="421" t="e">
        <v>#N/A</v>
      </c>
      <c r="AF39" s="421" t="e">
        <v>#N/A</v>
      </c>
      <c r="AG39" s="421" t="e">
        <f t="shared" si="4"/>
        <v>#N/A</v>
      </c>
      <c r="AH39" s="421" t="str">
        <f t="shared" si="5"/>
        <v/>
      </c>
      <c r="AI39" s="427" t="e">
        <f>IF(NOT(OR(Z39=1,Z39=2)),IF(AQ39&gt;0,$AR$45*AQ39/SUMIF($AQ$9:$AQ$40,"&gt;0"),IF(AU39&gt;0,$AV$45*AU39/SUMIF($AU$9:$AU$40,"&gt;0"),IF(AS39&gt;0,$AT$45*AS39/SUMIF($AS$9:$AS$40,"&gt;0"),""))),IF(SUMIF(AJ40:$AJ$40,"=" &amp; AJ39,AI40:$AI$40)=0,"",SUMIF(AJ40:$AJ$40,"=" &amp; AJ39,AI40:$AI$40)))</f>
        <v>#N/A</v>
      </c>
      <c r="AJ39" s="426" t="e">
        <f t="shared" si="36"/>
        <v>#N/A</v>
      </c>
      <c r="AK39" s="421" t="str">
        <f t="shared" si="6"/>
        <v/>
      </c>
      <c r="AL39" s="393" t="str">
        <f t="shared" si="7"/>
        <v/>
      </c>
      <c r="AM39" s="393" t="str">
        <f t="shared" si="8"/>
        <v/>
      </c>
      <c r="AN39" s="393" t="str">
        <f t="shared" si="9"/>
        <v/>
      </c>
      <c r="AO39" s="393" t="e">
        <f t="shared" si="10"/>
        <v>#N/A</v>
      </c>
      <c r="AP39" s="421" t="str">
        <f t="shared" si="11"/>
        <v/>
      </c>
      <c r="AQ39" s="425">
        <f t="shared" si="12"/>
        <v>0</v>
      </c>
      <c r="AR39" s="423" t="str">
        <f t="shared" si="13"/>
        <v/>
      </c>
      <c r="AS39" s="424">
        <f t="shared" si="14"/>
        <v>0</v>
      </c>
      <c r="AT39" s="423" t="str">
        <f t="shared" si="15"/>
        <v/>
      </c>
      <c r="AU39" s="420">
        <f t="shared" si="16"/>
        <v>0</v>
      </c>
      <c r="AV39" s="422" t="str">
        <f t="shared" si="17"/>
        <v/>
      </c>
      <c r="AW39" s="420" t="b">
        <f t="shared" si="18"/>
        <v>0</v>
      </c>
      <c r="AX39" s="419" t="b">
        <f t="shared" si="19"/>
        <v>0</v>
      </c>
      <c r="AY39" s="420" t="b">
        <f t="shared" si="20"/>
        <v>0</v>
      </c>
      <c r="AZ39" s="419" t="b">
        <f t="shared" si="21"/>
        <v>0</v>
      </c>
      <c r="BA39" s="421" t="b">
        <f t="shared" si="22"/>
        <v>0</v>
      </c>
      <c r="BB39" s="421" t="b">
        <f t="shared" si="23"/>
        <v>0</v>
      </c>
      <c r="BC39" s="420" t="b">
        <f t="shared" si="24"/>
        <v>0</v>
      </c>
      <c r="BD39" s="393" t="b">
        <f t="shared" si="25"/>
        <v>0</v>
      </c>
      <c r="BE39" s="419" t="b">
        <f t="shared" si="26"/>
        <v>0</v>
      </c>
      <c r="BF39" s="418" t="b">
        <f t="shared" si="27"/>
        <v>0</v>
      </c>
      <c r="BG39" s="417" t="str">
        <f t="shared" si="28"/>
        <v>NA</v>
      </c>
      <c r="BH39" s="417" t="str">
        <f t="shared" si="29"/>
        <v/>
      </c>
      <c r="BI39" s="417" t="str">
        <f t="shared" si="30"/>
        <v/>
      </c>
      <c r="BJ39" s="417" t="str">
        <f t="shared" si="31"/>
        <v/>
      </c>
      <c r="BK39" s="417" t="str">
        <f t="shared" si="32"/>
        <v/>
      </c>
      <c r="BL39" s="435" t="str">
        <f t="shared" si="33"/>
        <v/>
      </c>
      <c r="BM39" s="417" t="str">
        <f t="shared" si="34"/>
        <v/>
      </c>
      <c r="BN39" s="417" t="str">
        <f t="shared" si="35"/>
        <v/>
      </c>
      <c r="BO39" s="434" t="s">
        <v>241</v>
      </c>
      <c r="BP39" s="434"/>
      <c r="BQ39" s="434"/>
      <c r="BR39" s="434"/>
      <c r="BS39" s="434"/>
      <c r="BT39" s="434"/>
      <c r="BU39" s="434"/>
    </row>
    <row r="40" spans="2:73 1271:1271" s="416" customFormat="1" ht="12.95" customHeight="1" thickBot="1" x14ac:dyDescent="0.3">
      <c r="B40" s="433" t="str">
        <f>IF(ISNA(Z40),"",IF(OR(Z40=1,Z40=2),"    ",MAX($B$9:B39)+1))</f>
        <v/>
      </c>
      <c r="C40" s="1618" t="str">
        <f t="shared" si="0"/>
        <v/>
      </c>
      <c r="D40" s="1618"/>
      <c r="E40" s="1618"/>
      <c r="F40" s="1619"/>
      <c r="G40" s="432" t="str">
        <f t="shared" si="1"/>
        <v/>
      </c>
      <c r="H40" s="431" t="str">
        <f t="shared" si="2"/>
        <v/>
      </c>
      <c r="I40" s="430" t="str">
        <f t="shared" si="3"/>
        <v/>
      </c>
      <c r="J40" s="500"/>
      <c r="K40" s="499"/>
      <c r="L40" s="1615"/>
      <c r="M40" s="1616"/>
      <c r="N40" s="1616"/>
      <c r="O40" s="1616"/>
      <c r="P40" s="1616"/>
      <c r="Q40" s="1616"/>
      <c r="R40" s="1617"/>
      <c r="T40" s="401">
        <v>32</v>
      </c>
      <c r="U40" s="374" t="e">
        <v>#N/A</v>
      </c>
      <c r="V40" s="421" t="e">
        <v>#N/A</v>
      </c>
      <c r="W40" s="421" t="e">
        <v>#N/A</v>
      </c>
      <c r="X40" s="421" t="e">
        <v>#N/A</v>
      </c>
      <c r="Y40" s="421" t="e">
        <v>#N/A</v>
      </c>
      <c r="Z40" s="393" t="e">
        <v>#N/A</v>
      </c>
      <c r="AA40" s="393" t="e">
        <v>#N/A</v>
      </c>
      <c r="AB40" s="393" t="e">
        <v>#N/A</v>
      </c>
      <c r="AC40" s="421" t="e">
        <v>#N/A</v>
      </c>
      <c r="AD40" s="421" t="e">
        <v>#N/A</v>
      </c>
      <c r="AE40" s="421" t="e">
        <v>#N/A</v>
      </c>
      <c r="AF40" s="421" t="e">
        <v>#N/A</v>
      </c>
      <c r="AG40" s="421" t="e">
        <f t="shared" si="4"/>
        <v>#N/A</v>
      </c>
      <c r="AH40" s="421" t="str">
        <f t="shared" si="5"/>
        <v/>
      </c>
      <c r="AI40" s="427" t="e">
        <f>IF(NOT(OR(Z40=1,Z40=2)),IF(AQ40&gt;0,$AR$45*AQ40/SUMIF($AQ$9:$AQ$40,"&gt;0"),IF(AU40&gt;0,$AV$45*AU40/SUMIF($AU$9:$AU$40,"&gt;0"),IF(AS40&gt;0,$AT$45*AS40/SUMIF($AS$9:$AS$40,"&gt;0"),""))),IF(SUMIF(AJ$40:$AJ41,"=" &amp; AJ40,AI$40:$AI41)=0,"",SUMIF(AJ$40:$AJ41,"=" &amp; AJ40,AI$40:$AI41)))</f>
        <v>#N/A</v>
      </c>
      <c r="AJ40" s="426" t="e">
        <f t="shared" si="36"/>
        <v>#N/A</v>
      </c>
      <c r="AK40" s="421" t="str">
        <f t="shared" si="6"/>
        <v/>
      </c>
      <c r="AL40" s="393" t="str">
        <f t="shared" si="7"/>
        <v/>
      </c>
      <c r="AM40" s="393" t="str">
        <f t="shared" si="8"/>
        <v/>
      </c>
      <c r="AN40" s="393" t="str">
        <f t="shared" si="9"/>
        <v/>
      </c>
      <c r="AO40" s="393" t="e">
        <f t="shared" si="10"/>
        <v>#N/A</v>
      </c>
      <c r="AP40" s="421" t="str">
        <f t="shared" si="11"/>
        <v/>
      </c>
      <c r="AQ40" s="425">
        <f t="shared" si="12"/>
        <v>0</v>
      </c>
      <c r="AR40" s="423" t="str">
        <f t="shared" si="13"/>
        <v/>
      </c>
      <c r="AS40" s="424">
        <f t="shared" si="14"/>
        <v>0</v>
      </c>
      <c r="AT40" s="423" t="str">
        <f t="shared" si="15"/>
        <v/>
      </c>
      <c r="AU40" s="420">
        <f t="shared" si="16"/>
        <v>0</v>
      </c>
      <c r="AV40" s="422" t="str">
        <f t="shared" si="17"/>
        <v/>
      </c>
      <c r="AW40" s="420" t="b">
        <f t="shared" si="18"/>
        <v>0</v>
      </c>
      <c r="AX40" s="419" t="b">
        <f t="shared" si="19"/>
        <v>0</v>
      </c>
      <c r="AY40" s="420" t="b">
        <f t="shared" si="20"/>
        <v>0</v>
      </c>
      <c r="AZ40" s="419" t="b">
        <f t="shared" si="21"/>
        <v>0</v>
      </c>
      <c r="BA40" s="421" t="b">
        <f t="shared" si="22"/>
        <v>0</v>
      </c>
      <c r="BB40" s="421" t="b">
        <f t="shared" si="23"/>
        <v>0</v>
      </c>
      <c r="BC40" s="420" t="b">
        <f t="shared" si="24"/>
        <v>0</v>
      </c>
      <c r="BD40" s="393" t="b">
        <f t="shared" si="25"/>
        <v>0</v>
      </c>
      <c r="BE40" s="419" t="b">
        <f t="shared" si="26"/>
        <v>0</v>
      </c>
      <c r="BF40" s="418" t="b">
        <f t="shared" si="27"/>
        <v>0</v>
      </c>
      <c r="BG40" s="417" t="str">
        <f t="shared" si="28"/>
        <v>NA</v>
      </c>
      <c r="BH40" s="417" t="str">
        <f t="shared" si="29"/>
        <v/>
      </c>
      <c r="BI40" s="417" t="str">
        <f t="shared" si="30"/>
        <v/>
      </c>
      <c r="BJ40" s="417" t="str">
        <f t="shared" si="31"/>
        <v/>
      </c>
      <c r="BK40" s="417" t="str">
        <f t="shared" si="32"/>
        <v/>
      </c>
      <c r="BL40" s="417" t="str">
        <f t="shared" si="33"/>
        <v/>
      </c>
      <c r="BM40" s="417" t="str">
        <f t="shared" si="34"/>
        <v/>
      </c>
      <c r="BN40" s="417" t="str">
        <f t="shared" si="35"/>
        <v/>
      </c>
      <c r="BO40" s="1620"/>
      <c r="BP40" s="1621"/>
      <c r="BQ40" s="1621"/>
      <c r="BR40" s="1621"/>
      <c r="BS40" s="1621"/>
      <c r="BT40" s="1621"/>
      <c r="BU40" s="1622"/>
    </row>
    <row r="41" spans="2:73 1271:1271" s="406" customFormat="1" ht="8.25" customHeight="1" x14ac:dyDescent="0.25">
      <c r="B41" s="1639" t="s">
        <v>242</v>
      </c>
      <c r="C41" s="1640"/>
      <c r="D41" s="1641"/>
      <c r="E41" s="415" t="s">
        <v>243</v>
      </c>
      <c r="F41" s="1642" t="s">
        <v>244</v>
      </c>
      <c r="G41" s="1643"/>
      <c r="H41" s="1643" t="s">
        <v>245</v>
      </c>
      <c r="I41" s="1643"/>
      <c r="J41" s="1647" t="s">
        <v>246</v>
      </c>
      <c r="K41" s="1648"/>
      <c r="L41" s="414" t="s">
        <v>247</v>
      </c>
      <c r="M41" s="1631" t="s">
        <v>248</v>
      </c>
      <c r="N41" s="1631"/>
      <c r="O41" s="1632" t="str">
        <f>IF(U45,"DO REVIEW","DO REV N/A")</f>
        <v>DO REV N/A</v>
      </c>
      <c r="P41" s="1633"/>
      <c r="Q41" s="413" t="str">
        <f>IF(U46,"ED REVIEW","ED REV N/A")</f>
        <v>ED REVIEW</v>
      </c>
      <c r="R41" s="412"/>
      <c r="S41" s="411">
        <v>0</v>
      </c>
      <c r="AI41" s="410"/>
      <c r="AJ41" s="407"/>
      <c r="AK41" s="407"/>
      <c r="AL41" s="407"/>
      <c r="AM41" s="407"/>
      <c r="AN41" s="407"/>
      <c r="AO41" s="373"/>
      <c r="AP41" s="407"/>
      <c r="AQ41" s="409"/>
      <c r="AR41" s="407"/>
      <c r="AS41" s="409"/>
      <c r="AT41" s="407"/>
      <c r="AU41" s="409"/>
      <c r="AV41" s="408"/>
      <c r="AW41" s="407"/>
      <c r="AX41" s="407"/>
      <c r="AY41" s="407"/>
      <c r="AZ41" s="407"/>
      <c r="BA41" s="407"/>
      <c r="BB41" s="407"/>
      <c r="BC41" s="407"/>
      <c r="BD41" s="407"/>
      <c r="BE41" s="407"/>
      <c r="BF41" s="407"/>
      <c r="BG41" s="407"/>
      <c r="BH41" s="373"/>
      <c r="BI41" s="373"/>
      <c r="BJ41" s="373"/>
      <c r="BK41" s="373"/>
      <c r="BL41" s="373"/>
      <c r="BM41" s="373"/>
      <c r="BN41" s="373"/>
      <c r="BO41" s="1623"/>
      <c r="BP41" s="1624"/>
      <c r="BQ41" s="1624"/>
      <c r="BR41" s="1624"/>
      <c r="BS41" s="1624"/>
      <c r="BT41" s="1624"/>
      <c r="BU41" s="1625"/>
    </row>
    <row r="42" spans="2:73 1271:1271" ht="18.75" customHeight="1" thickBot="1" x14ac:dyDescent="0.3">
      <c r="B42" s="1634" t="str">
        <f>IF(ISERROR(AR47),"",TEXT(AR46,"0.0%"))</f>
        <v>0.0%</v>
      </c>
      <c r="C42" s="1635"/>
      <c r="D42" s="1636"/>
      <c r="E42" s="405" t="str">
        <f>IF(AU42=0,"N/A",CONCATENATE(TEXT(AV46,"0.0%")," of ",TEXT(AV45,"0.0%")))</f>
        <v>N/A</v>
      </c>
      <c r="F42" s="1637" t="str">
        <f>IF((graded_aca_events+graded_amn_events)&lt;1,"---",IF(AND(AW5,AX5),"INCOMPLETE",IF(AND(NOT(AW5),AX5),"ACA INC",IF(AND(AW5,NOT(AX5)),"AMN INC","COMPLETE"))))</f>
        <v>---</v>
      </c>
      <c r="G42" s="1637"/>
      <c r="H42" s="1637" t="str">
        <f>IF(AU5,IF(OR(AY5="UNK",NOT(AN7)),"---",IF(AY5,"UNSAT",IF(AVERAGEIFS(AT9:AT40,AS9:AS40,"&gt;0")&lt;0.9,"MARG","SAT"))),"N/A")</f>
        <v>N/A</v>
      </c>
      <c r="I42" s="1637"/>
      <c r="J42" s="1649" t="str">
        <f>IF(OR(AZ5="UNK",NOT(AM7)),"---",IF(OR(AZ5,AR46&lt;0.7),"FAIL","PASS"))</f>
        <v>---</v>
      </c>
      <c r="K42" s="1650"/>
      <c r="L42" s="404"/>
      <c r="M42" s="1651"/>
      <c r="N42" s="1651"/>
      <c r="O42" s="1644" t="s">
        <v>139</v>
      </c>
      <c r="P42" s="1644"/>
      <c r="Q42" s="1644" t="s">
        <v>139</v>
      </c>
      <c r="R42" s="1645"/>
      <c r="S42" s="403"/>
      <c r="T42" s="401" t="s">
        <v>249</v>
      </c>
      <c r="U42" s="393" t="s">
        <v>250</v>
      </c>
      <c r="V42" s="396"/>
      <c r="W42" s="396"/>
      <c r="X42" s="396"/>
      <c r="Y42" s="396"/>
      <c r="Z42" s="396"/>
      <c r="AA42" s="396"/>
      <c r="AB42" s="396"/>
      <c r="AC42" s="396"/>
      <c r="AD42" s="396"/>
      <c r="AE42" s="396"/>
      <c r="AF42" s="396"/>
      <c r="AG42" s="396"/>
      <c r="AH42" s="396"/>
      <c r="AI42" s="402"/>
      <c r="AJ42" s="378"/>
      <c r="AK42" s="396"/>
      <c r="AL42" s="396"/>
      <c r="AM42" s="396">
        <f>SUM(AM9:AM40)</f>
        <v>0</v>
      </c>
      <c r="AN42" s="396">
        <f>SUM(AN9:AN40)</f>
        <v>0</v>
      </c>
      <c r="AO42" s="401"/>
      <c r="AP42" s="378"/>
      <c r="AQ42" s="400">
        <f>SUMIF(AQ9:AQ40,"&gt;0")</f>
        <v>33.33333228</v>
      </c>
      <c r="AR42" s="395">
        <f>IF(AQ42=0,0,SUMPRODUCT($AQ$9:$AQ$40,AR9:AR40)/SUM($AQ$9:$AQ$40))</f>
        <v>0</v>
      </c>
      <c r="AS42" s="399">
        <f>SUMIF(AS9:AS40,"&gt;0")</f>
        <v>0</v>
      </c>
      <c r="AT42" s="395">
        <f>IF(AS42=0,0,SUMPRODUCT($AS$9:$AS$40,AT9:AT40)/SUM($AS$9:$AS$40))</f>
        <v>0</v>
      </c>
      <c r="AU42" s="399">
        <f>SUM(AU10:AU40)</f>
        <v>0</v>
      </c>
      <c r="AV42" s="395">
        <f>IF(AU42=0,0,SUMPRODUCT($AU$9:$AU$40,AV9:AV40)/SUM($AU$9:$AU$40))</f>
        <v>0</v>
      </c>
      <c r="AW42" s="398"/>
      <c r="AX42" s="398"/>
      <c r="AY42" s="398"/>
      <c r="AZ42" s="398"/>
      <c r="BA42" s="398"/>
      <c r="BB42" s="398"/>
      <c r="BC42" s="374" t="s">
        <v>251</v>
      </c>
      <c r="BD42" s="374" t="s">
        <v>252</v>
      </c>
      <c r="BE42" s="374" t="s">
        <v>253</v>
      </c>
      <c r="BF42" s="374"/>
      <c r="BG42" s="373"/>
      <c r="BO42" s="1623"/>
      <c r="BP42" s="1624"/>
      <c r="BQ42" s="1624"/>
      <c r="BR42" s="1624"/>
      <c r="BS42" s="1624"/>
      <c r="BT42" s="1624"/>
      <c r="BU42" s="1625"/>
      <c r="AVW42" s="397"/>
    </row>
    <row r="43" spans="2:73 1271:1271" ht="7.5" customHeight="1" thickTop="1" x14ac:dyDescent="0.25">
      <c r="L43" s="1646" t="s">
        <v>630</v>
      </c>
      <c r="M43" s="1646"/>
      <c r="N43" s="1646"/>
      <c r="O43" s="1646"/>
      <c r="P43" s="1646"/>
      <c r="Q43" s="1646"/>
      <c r="R43" s="1646"/>
      <c r="AP43" s="396"/>
      <c r="AQ43" s="378"/>
      <c r="AR43" s="378"/>
      <c r="AT43" s="395"/>
      <c r="AU43" s="395"/>
      <c r="AV43" s="395"/>
      <c r="AW43" s="378"/>
      <c r="AX43" s="395"/>
      <c r="BE43" s="374"/>
      <c r="BF43" s="374"/>
      <c r="BO43" s="1626"/>
      <c r="BP43" s="1627"/>
      <c r="BQ43" s="1627"/>
      <c r="BR43" s="1627"/>
      <c r="BS43" s="1627"/>
      <c r="BT43" s="1627"/>
      <c r="BU43" s="1628"/>
    </row>
    <row r="44" spans="2:73 1271:1271" ht="30.75" customHeight="1" x14ac:dyDescent="0.25">
      <c r="T44" s="394" t="s">
        <v>254</v>
      </c>
      <c r="U44" s="393" t="b">
        <v>0</v>
      </c>
      <c r="AI44" s="375">
        <f ca="1">SUMIF(AJ9:$AJ$40,"=" &amp; AJ9,AI10:$AI$40)</f>
        <v>0.49999998559999953</v>
      </c>
      <c r="AK44" s="373"/>
      <c r="AL44" s="373"/>
      <c r="AM44" s="373"/>
      <c r="AN44" s="373"/>
      <c r="AO44" s="392"/>
      <c r="AQ44" s="373"/>
      <c r="AR44" s="373"/>
      <c r="AS44" s="385" t="s">
        <v>255</v>
      </c>
      <c r="AT44" s="387">
        <f>SUMIF(X9:X40,"&gt;0")/SUMIF(W9:W40,"&gt;0")</f>
        <v>0</v>
      </c>
      <c r="AU44" s="385" t="s">
        <v>256</v>
      </c>
      <c r="AV44" s="391">
        <f>SUMIF(AU9:AU40,"&gt;0")/SUMIF(AQ9:AQ40,"&gt;0")</f>
        <v>0</v>
      </c>
      <c r="AW44" s="390"/>
      <c r="AY44" s="373"/>
      <c r="AZ44" s="373"/>
      <c r="BE44" s="374" t="b">
        <f>AND(ISBLANK($K31),J31&gt;0)</f>
        <v>0</v>
      </c>
      <c r="BF44" s="374"/>
      <c r="BH44" s="374"/>
      <c r="BO44" s="373"/>
      <c r="BP44" s="373"/>
      <c r="BQ44" s="372"/>
    </row>
    <row r="45" spans="2:73 1271:1271" ht="30.75" customHeight="1" x14ac:dyDescent="0.25">
      <c r="J45" s="389"/>
      <c r="T45" s="381" t="s">
        <v>257</v>
      </c>
      <c r="U45" s="374" t="b">
        <f>IF(AND(Flight?,OR(AW5,AY5,BA5,AZ5,AR46&lt;0.7,H42="MARG")),TRUE,FALSE)</f>
        <v>0</v>
      </c>
      <c r="AK45" s="373"/>
      <c r="AL45" s="373"/>
      <c r="AM45" s="373"/>
      <c r="AN45" s="373"/>
      <c r="AO45" s="380"/>
      <c r="AP45" s="373"/>
      <c r="AQ45" s="385" t="s">
        <v>258</v>
      </c>
      <c r="AR45" s="388">
        <f>1-AT45</f>
        <v>1</v>
      </c>
      <c r="AS45" s="385" t="s">
        <v>259</v>
      </c>
      <c r="AT45" s="387">
        <f>MIN(AT44,AT7)</f>
        <v>0</v>
      </c>
      <c r="AU45" s="385" t="s">
        <v>260</v>
      </c>
      <c r="AV45" s="382">
        <f>MIN(AV44,AV7)</f>
        <v>0</v>
      </c>
      <c r="AZ45" s="373"/>
      <c r="BE45" s="374"/>
      <c r="BF45" s="374"/>
      <c r="BH45" s="374"/>
      <c r="BO45" s="373"/>
      <c r="BP45" s="373"/>
      <c r="BQ45" s="372"/>
    </row>
    <row r="46" spans="2:73 1271:1271" ht="26.25" x14ac:dyDescent="0.25">
      <c r="T46" s="381" t="s">
        <v>261</v>
      </c>
      <c r="U46" s="374" t="b">
        <f>IF(OR(AX5,AY5,AZ5,BB5,AR46&lt;0.7),TRUE,FALSE)</f>
        <v>1</v>
      </c>
      <c r="AK46" s="373"/>
      <c r="AL46" s="373"/>
      <c r="AM46" s="373"/>
      <c r="AN46" s="373"/>
      <c r="AO46" s="384"/>
      <c r="AP46" s="373"/>
      <c r="AQ46" s="385" t="s">
        <v>262</v>
      </c>
      <c r="AR46" s="375">
        <f>AR42*(1-AT45)+(AT42*AT45)</f>
        <v>0</v>
      </c>
      <c r="AU46" s="373" t="s">
        <v>196</v>
      </c>
      <c r="AV46" s="382">
        <f>AV42*AV45</f>
        <v>0</v>
      </c>
      <c r="AY46" s="373"/>
      <c r="AZ46" s="373"/>
      <c r="BE46" s="374"/>
      <c r="BF46" s="374"/>
      <c r="BH46" s="374"/>
      <c r="BO46" s="373"/>
      <c r="BP46" s="373"/>
      <c r="BQ46" s="372"/>
    </row>
    <row r="47" spans="2:73 1271:1271" ht="26.25" x14ac:dyDescent="0.25">
      <c r="T47" s="381" t="s">
        <v>263</v>
      </c>
      <c r="U47" s="374" t="b">
        <v>0</v>
      </c>
      <c r="AK47" s="373"/>
      <c r="AL47" s="373"/>
      <c r="AM47" s="373"/>
      <c r="AN47" s="373"/>
      <c r="AO47" s="384"/>
      <c r="AP47" s="373"/>
      <c r="AQ47" s="385" t="s">
        <v>264</v>
      </c>
      <c r="AR47" s="382">
        <f>MIN(1,IF(NOT(OR(AY5,AZ5)),AR46+AV46,MIN(0.69,AR46+AV46)))</f>
        <v>0</v>
      </c>
      <c r="AY47" s="373"/>
      <c r="BE47" s="374"/>
      <c r="BF47" s="374"/>
      <c r="BI47" s="374"/>
      <c r="BO47" s="373"/>
      <c r="BP47" s="373"/>
      <c r="BQ47" s="372"/>
    </row>
    <row r="48" spans="2:73 1271:1271" x14ac:dyDescent="0.25">
      <c r="T48" s="381" t="s">
        <v>265</v>
      </c>
      <c r="U48" s="374" t="b">
        <f>IF(NOT(Flight?),TRUE,NOT(OR(ISBLANK(comments),ISBLANK(hdr_class),ISBLANK(hdr_date),ISBLANK(hdr_stud),ISBLANK(hdr_instr),ISBLANK(hdr_acft),ISBLANK(hdr_time),F42="---")))</f>
        <v>1</v>
      </c>
      <c r="AK48" s="373"/>
      <c r="AL48" s="373"/>
      <c r="AM48" s="373"/>
      <c r="AN48" s="373"/>
      <c r="AO48" s="384"/>
      <c r="AP48" s="373"/>
      <c r="AQ48" s="373"/>
      <c r="AR48" s="383"/>
      <c r="AS48" s="382"/>
      <c r="AU48" s="373"/>
      <c r="AV48" s="373"/>
      <c r="AW48" s="373"/>
    </row>
    <row r="49" spans="20:56" x14ac:dyDescent="0.25">
      <c r="T49" s="381" t="s">
        <v>266</v>
      </c>
      <c r="U49" s="374" t="b">
        <f>IF(Flight?,TRUE,NOT(OR(ISBLANK(comments),ISBLANK(hdr_class),ISBLANK(hdr_date),ISBLANK(hdr_stud),ISBLANK(hdr_instr),F42="---")))</f>
        <v>0</v>
      </c>
      <c r="AK49" s="373"/>
      <c r="AL49" s="373"/>
      <c r="AM49" s="373"/>
      <c r="AN49" s="373"/>
      <c r="AO49" s="380"/>
      <c r="AP49" s="378" t="s">
        <v>267</v>
      </c>
      <c r="AQ49" s="378"/>
      <c r="AR49" s="378"/>
      <c r="AS49" s="378"/>
      <c r="AT49" s="378"/>
      <c r="AU49" s="373"/>
      <c r="AV49" s="373"/>
      <c r="AW49" s="373"/>
    </row>
    <row r="50" spans="20:56" x14ac:dyDescent="0.25">
      <c r="T50" s="381" t="s">
        <v>268</v>
      </c>
      <c r="U50" s="374" t="b">
        <f>AND(U48:U49)</f>
        <v>0</v>
      </c>
      <c r="AK50" s="373"/>
      <c r="AL50" s="373"/>
      <c r="AM50" s="373"/>
      <c r="AN50" s="373"/>
      <c r="AO50" s="380"/>
      <c r="AP50" s="378"/>
      <c r="AQ50" s="378"/>
      <c r="AR50" s="378">
        <v>0</v>
      </c>
      <c r="AS50" s="378">
        <v>1</v>
      </c>
      <c r="AT50" s="378">
        <v>2</v>
      </c>
      <c r="AU50" s="378">
        <v>3</v>
      </c>
      <c r="AV50" s="378">
        <v>4</v>
      </c>
      <c r="AW50" s="373"/>
    </row>
    <row r="51" spans="20:56" x14ac:dyDescent="0.25">
      <c r="AK51" s="373"/>
      <c r="AL51" s="373"/>
      <c r="AM51" s="373"/>
      <c r="AN51" s="373"/>
      <c r="AO51" s="380"/>
      <c r="AP51" s="378" t="s">
        <v>227</v>
      </c>
      <c r="AQ51" s="378">
        <v>1</v>
      </c>
      <c r="AR51" s="377">
        <v>0.7</v>
      </c>
      <c r="AS51" s="377">
        <v>0.9</v>
      </c>
      <c r="AT51" s="377">
        <v>0.93330000000000002</v>
      </c>
      <c r="AU51" s="377">
        <v>0.9667</v>
      </c>
      <c r="AV51" s="377">
        <v>1</v>
      </c>
      <c r="AW51" s="373"/>
    </row>
    <row r="52" spans="20:56" x14ac:dyDescent="0.25">
      <c r="AK52" s="373"/>
      <c r="AL52" s="373"/>
      <c r="AM52" s="373"/>
      <c r="AN52" s="373"/>
      <c r="AO52" s="380"/>
      <c r="AP52" s="378" t="s">
        <v>228</v>
      </c>
      <c r="AQ52" s="378">
        <v>2</v>
      </c>
      <c r="AR52" s="377">
        <v>0.7</v>
      </c>
      <c r="AS52" s="377">
        <v>0.8</v>
      </c>
      <c r="AT52" s="377">
        <v>0.9</v>
      </c>
      <c r="AU52" s="377">
        <v>0.95</v>
      </c>
      <c r="AV52" s="377">
        <v>1</v>
      </c>
      <c r="AW52" s="373"/>
    </row>
    <row r="53" spans="20:56" x14ac:dyDescent="0.25">
      <c r="AK53" s="373"/>
      <c r="AL53" s="373"/>
      <c r="AM53" s="373"/>
      <c r="AN53" s="373"/>
      <c r="AO53" s="380"/>
      <c r="AP53" s="378" t="s">
        <v>229</v>
      </c>
      <c r="AQ53" s="378">
        <v>3</v>
      </c>
      <c r="AR53" s="377">
        <v>0.7</v>
      </c>
      <c r="AS53" s="377">
        <v>0.76670000000000005</v>
      </c>
      <c r="AT53" s="377">
        <v>0.83330000000000004</v>
      </c>
      <c r="AU53" s="377">
        <v>0.9</v>
      </c>
      <c r="AV53" s="377">
        <v>1</v>
      </c>
      <c r="AW53" s="373"/>
    </row>
    <row r="54" spans="20:56" x14ac:dyDescent="0.25">
      <c r="AP54" s="379" t="s">
        <v>230</v>
      </c>
      <c r="AQ54" s="378">
        <v>11</v>
      </c>
      <c r="AR54" s="377">
        <v>0.6</v>
      </c>
      <c r="AS54" s="377">
        <v>0.9</v>
      </c>
      <c r="AT54" s="377">
        <v>0.93330000000000002</v>
      </c>
      <c r="AU54" s="377">
        <v>0.9667</v>
      </c>
      <c r="AV54" s="377">
        <v>1</v>
      </c>
      <c r="AW54" s="373"/>
    </row>
    <row r="55" spans="20:56" x14ac:dyDescent="0.25">
      <c r="AP55" s="379" t="s">
        <v>231</v>
      </c>
      <c r="AQ55" s="378">
        <v>12</v>
      </c>
      <c r="AR55" s="377">
        <v>0.6</v>
      </c>
      <c r="AS55" s="377">
        <v>0.7</v>
      </c>
      <c r="AT55" s="377">
        <v>0.9</v>
      </c>
      <c r="AU55" s="377">
        <v>0.95</v>
      </c>
      <c r="AV55" s="377">
        <v>1</v>
      </c>
      <c r="AW55" s="373"/>
    </row>
    <row r="56" spans="20:56" x14ac:dyDescent="0.25">
      <c r="AP56" s="379" t="s">
        <v>232</v>
      </c>
      <c r="AQ56" s="378">
        <v>13</v>
      </c>
      <c r="AR56" s="377">
        <v>0.6</v>
      </c>
      <c r="AS56" s="377">
        <v>0.7</v>
      </c>
      <c r="AT56" s="377">
        <v>0.8</v>
      </c>
      <c r="AU56" s="377">
        <v>0.9</v>
      </c>
      <c r="AV56" s="377">
        <v>1</v>
      </c>
      <c r="AW56" s="373"/>
    </row>
    <row r="57" spans="20:56" x14ac:dyDescent="0.25">
      <c r="AP57" s="379" t="s">
        <v>233</v>
      </c>
      <c r="AQ57" s="378">
        <v>22</v>
      </c>
      <c r="AR57" s="377">
        <v>0.3</v>
      </c>
      <c r="AS57" s="377">
        <v>0.6</v>
      </c>
      <c r="AT57" s="377">
        <v>0.9</v>
      </c>
      <c r="AU57" s="377">
        <v>0.95</v>
      </c>
      <c r="AV57" s="377">
        <v>1</v>
      </c>
      <c r="AW57" s="373"/>
    </row>
    <row r="58" spans="20:56" x14ac:dyDescent="0.25">
      <c r="AP58" s="379" t="s">
        <v>234</v>
      </c>
      <c r="AQ58" s="378">
        <v>23</v>
      </c>
      <c r="AR58" s="377">
        <v>0.3</v>
      </c>
      <c r="AS58" s="377">
        <v>0.6</v>
      </c>
      <c r="AT58" s="377">
        <v>0.7</v>
      </c>
      <c r="AU58" s="377">
        <v>0.9</v>
      </c>
      <c r="AV58" s="377">
        <v>1</v>
      </c>
      <c r="AW58" s="373"/>
    </row>
    <row r="59" spans="20:56" x14ac:dyDescent="0.25">
      <c r="AP59" s="379" t="s">
        <v>235</v>
      </c>
      <c r="AQ59" s="378">
        <v>33</v>
      </c>
      <c r="AR59" s="377">
        <v>0</v>
      </c>
      <c r="AS59" s="377">
        <v>0.3</v>
      </c>
      <c r="AT59" s="377">
        <v>0.6</v>
      </c>
      <c r="AU59" s="377">
        <v>0.9</v>
      </c>
      <c r="AV59" s="377">
        <v>1</v>
      </c>
      <c r="AW59" s="83"/>
      <c r="AX59" s="84"/>
      <c r="BC59" s="84"/>
      <c r="BD59" s="84"/>
    </row>
    <row r="60" spans="20:56" x14ac:dyDescent="0.25">
      <c r="AP60" s="373"/>
      <c r="AQ60" s="373"/>
      <c r="AR60" s="373"/>
      <c r="AS60" s="373"/>
      <c r="AT60" s="373"/>
      <c r="AU60" s="373"/>
      <c r="AV60" s="373"/>
      <c r="AW60" s="84"/>
      <c r="AX60" s="84"/>
      <c r="BC60" s="84"/>
      <c r="BD60" s="84"/>
    </row>
    <row r="61" spans="20:56" x14ac:dyDescent="0.25">
      <c r="AP61" s="84"/>
      <c r="AQ61" s="83"/>
      <c r="AR61" s="84"/>
      <c r="AS61" s="84"/>
      <c r="AT61" s="84"/>
      <c r="AU61" s="84"/>
      <c r="AV61" s="84"/>
      <c r="AW61" s="83"/>
      <c r="AX61" s="83"/>
      <c r="BC61" s="84"/>
      <c r="BD61" s="84"/>
    </row>
    <row r="62" spans="20:56" x14ac:dyDescent="0.25">
      <c r="AP62" s="101"/>
      <c r="AQ62" s="83"/>
      <c r="AR62" s="84"/>
      <c r="AS62" s="84"/>
      <c r="AT62" s="84"/>
      <c r="AU62" s="84"/>
      <c r="AV62" s="84"/>
      <c r="AW62" s="83"/>
      <c r="AX62" s="83"/>
      <c r="BC62" s="84"/>
      <c r="BD62" s="84"/>
    </row>
    <row r="63" spans="20:56" x14ac:dyDescent="0.25">
      <c r="AP63" s="83"/>
      <c r="AQ63" s="83"/>
      <c r="AR63" s="84"/>
      <c r="AS63" s="84"/>
      <c r="AT63" s="84"/>
      <c r="AU63" s="84"/>
      <c r="AV63" s="84"/>
      <c r="AW63" s="83"/>
      <c r="AX63" s="83"/>
      <c r="BC63" s="84"/>
      <c r="BD63" s="84"/>
    </row>
    <row r="64" spans="20:56" x14ac:dyDescent="0.25">
      <c r="AP64" s="83"/>
      <c r="AQ64" s="83"/>
      <c r="AR64" s="84"/>
      <c r="AS64" s="84"/>
      <c r="AT64" s="84"/>
      <c r="AU64" s="84"/>
      <c r="AV64" s="84"/>
      <c r="AW64" s="83"/>
      <c r="AX64" s="84"/>
      <c r="BC64" s="84"/>
      <c r="BD64" s="84"/>
    </row>
    <row r="65" spans="42:56" x14ac:dyDescent="0.25">
      <c r="AP65" s="83"/>
      <c r="AQ65" s="83"/>
      <c r="AR65" s="84"/>
      <c r="AS65" s="84"/>
      <c r="AT65" s="84"/>
      <c r="AU65" s="84"/>
      <c r="AV65" s="84"/>
      <c r="AW65" s="83"/>
      <c r="AX65" s="84"/>
      <c r="BC65" s="84"/>
      <c r="BD65" s="84"/>
    </row>
    <row r="66" spans="42:56" x14ac:dyDescent="0.25">
      <c r="AP66" s="83"/>
      <c r="AQ66" s="83"/>
      <c r="AR66" s="84"/>
      <c r="AS66" s="84"/>
      <c r="AT66" s="84"/>
      <c r="AU66" s="84"/>
      <c r="AV66" s="84"/>
    </row>
    <row r="67" spans="42:56" x14ac:dyDescent="0.25">
      <c r="AP67" s="83"/>
      <c r="AQ67" s="83"/>
      <c r="AR67" s="84"/>
      <c r="AS67" s="84"/>
      <c r="AT67" s="84"/>
      <c r="AU67" s="84"/>
      <c r="AV67" s="84"/>
    </row>
  </sheetData>
  <mergeCells count="76">
    <mergeCell ref="BP4:BU5"/>
    <mergeCell ref="C39:F39"/>
    <mergeCell ref="C40:F40"/>
    <mergeCell ref="BO40:BU43"/>
    <mergeCell ref="B41:D41"/>
    <mergeCell ref="F41:G41"/>
    <mergeCell ref="H41:I41"/>
    <mergeCell ref="Q42:R42"/>
    <mergeCell ref="L43:R43"/>
    <mergeCell ref="J41:K41"/>
    <mergeCell ref="J42:K42"/>
    <mergeCell ref="M42:N42"/>
    <mergeCell ref="C35:F35"/>
    <mergeCell ref="C21:F21"/>
    <mergeCell ref="C22:F22"/>
    <mergeCell ref="O42:P42"/>
    <mergeCell ref="M41:N41"/>
    <mergeCell ref="O41:P41"/>
    <mergeCell ref="B42:D42"/>
    <mergeCell ref="F42:G42"/>
    <mergeCell ref="H42:I42"/>
    <mergeCell ref="BO35:BU38"/>
    <mergeCell ref="C36:F36"/>
    <mergeCell ref="C37:F37"/>
    <mergeCell ref="C38:F38"/>
    <mergeCell ref="BQ20:BU20"/>
    <mergeCell ref="C31:F31"/>
    <mergeCell ref="C32:F32"/>
    <mergeCell ref="C33:F33"/>
    <mergeCell ref="C34:F34"/>
    <mergeCell ref="BO22:BO30"/>
    <mergeCell ref="C23:F23"/>
    <mergeCell ref="C24:F24"/>
    <mergeCell ref="C25:F25"/>
    <mergeCell ref="C26:F26"/>
    <mergeCell ref="C27:F27"/>
    <mergeCell ref="C28:F28"/>
    <mergeCell ref="C9:F9"/>
    <mergeCell ref="L9:R40"/>
    <mergeCell ref="C10:F10"/>
    <mergeCell ref="C11:F11"/>
    <mergeCell ref="C12:F12"/>
    <mergeCell ref="C13:F13"/>
    <mergeCell ref="C14:F14"/>
    <mergeCell ref="C15:F15"/>
    <mergeCell ref="C30:F30"/>
    <mergeCell ref="C17:F17"/>
    <mergeCell ref="C18:F18"/>
    <mergeCell ref="C19:F19"/>
    <mergeCell ref="C20:F20"/>
    <mergeCell ref="C16:F16"/>
    <mergeCell ref="C29:F29"/>
    <mergeCell ref="B4:G4"/>
    <mergeCell ref="B5:G5"/>
    <mergeCell ref="B8:F8"/>
    <mergeCell ref="O7:P7"/>
    <mergeCell ref="Q7:R7"/>
    <mergeCell ref="H4:N4"/>
    <mergeCell ref="O4:P4"/>
    <mergeCell ref="Q4:R4"/>
    <mergeCell ref="O6:P6"/>
    <mergeCell ref="Q6:R6"/>
    <mergeCell ref="H5:N5"/>
    <mergeCell ref="O5:P5"/>
    <mergeCell ref="Q5:R5"/>
    <mergeCell ref="L8:R8"/>
    <mergeCell ref="BH5:BK7"/>
    <mergeCell ref="BL5:BN7"/>
    <mergeCell ref="B6:E6"/>
    <mergeCell ref="F6:G6"/>
    <mergeCell ref="H6:L6"/>
    <mergeCell ref="M6:N6"/>
    <mergeCell ref="B7:E7"/>
    <mergeCell ref="F7:G7"/>
    <mergeCell ref="H7:L7"/>
    <mergeCell ref="M7:N7"/>
  </mergeCells>
  <conditionalFormatting sqref="B9:F40">
    <cfRule type="expression" dxfId="88" priority="9" stopIfTrue="1">
      <formula>IF($Z9=1,TRUE,FALSE)</formula>
    </cfRule>
    <cfRule type="expression" dxfId="87" priority="10">
      <formula>IF($Z9=2,TRUE,FALSE)</formula>
    </cfRule>
  </conditionalFormatting>
  <conditionalFormatting sqref="C9:F40">
    <cfRule type="expression" dxfId="86" priority="2" stopIfTrue="1">
      <formula>IF($AF9=FALSE,TRUE,FALSE)</formula>
    </cfRule>
  </conditionalFormatting>
  <conditionalFormatting sqref="F6:G7 M6:P7">
    <cfRule type="expression" dxfId="85" priority="5" stopIfTrue="1">
      <formula>NOT($AU$5)</formula>
    </cfRule>
  </conditionalFormatting>
  <conditionalFormatting sqref="F7:G7">
    <cfRule type="cellIs" dxfId="84" priority="4" operator="equal">
      <formula>""</formula>
    </cfRule>
  </conditionalFormatting>
  <conditionalFormatting sqref="G9:K40">
    <cfRule type="expression" dxfId="83" priority="7" stopIfTrue="1">
      <formula>IF($Z9=1,TRUE,FALSE)</formula>
    </cfRule>
    <cfRule type="expression" dxfId="82" priority="8" stopIfTrue="1">
      <formula>IF($Z9=2,TRUE,FALSE)</formula>
    </cfRule>
  </conditionalFormatting>
  <conditionalFormatting sqref="H9:H40">
    <cfRule type="expression" dxfId="81" priority="11" stopIfTrue="1">
      <formula>IF($AB9=0,TRUE,FALSE)</formula>
    </cfRule>
  </conditionalFormatting>
  <conditionalFormatting sqref="H41:I42">
    <cfRule type="expression" dxfId="80" priority="3" stopIfTrue="1">
      <formula>IF($H$42="N/A",TRUE,FALSE)</formula>
    </cfRule>
  </conditionalFormatting>
  <conditionalFormatting sqref="H7:P7 O5:R5 B7 L9">
    <cfRule type="containsBlanks" dxfId="79" priority="6">
      <formula>LEN(TRIM(B5))=0</formula>
    </cfRule>
  </conditionalFormatting>
  <conditionalFormatting sqref="J9:J40">
    <cfRule type="expression" dxfId="78" priority="15">
      <formula>IF($Z9=1,FALSE,OR($BE9,$BD9))</formula>
    </cfRule>
  </conditionalFormatting>
  <conditionalFormatting sqref="J9:K40 C9:F40">
    <cfRule type="expression" dxfId="77" priority="14">
      <formula>IF($Z9=1,FALSE,OR($AW9,$AX9,$AY9,$AZ9))</formula>
    </cfRule>
  </conditionalFormatting>
  <conditionalFormatting sqref="J9:K40">
    <cfRule type="expression" dxfId="76" priority="12" stopIfTrue="1">
      <formula>IF(ISNA($Z9),TRUE,FALSE)</formula>
    </cfRule>
  </conditionalFormatting>
  <conditionalFormatting sqref="K9:K40">
    <cfRule type="expression" dxfId="75" priority="13">
      <formula>IF(OR($Z9=1,$Z9=2),FALSE,OR($BC9,$BE9,$BF9))</formula>
    </cfRule>
  </conditionalFormatting>
  <conditionalFormatting sqref="L42">
    <cfRule type="expression" dxfId="74" priority="1">
      <formula>NOT($U$50)</formula>
    </cfRule>
  </conditionalFormatting>
  <dataValidations count="6">
    <dataValidation type="list" allowBlank="1" showInputMessage="1" showErrorMessage="1" sqref="F7:G7" xr:uid="{C81E008F-3350-4973-8A21-86C50378954C}">
      <formula1>"No,Yes"</formula1>
    </dataValidation>
    <dataValidation type="list" allowBlank="1" showInputMessage="1" showErrorMessage="1" sqref="J9:J40" xr:uid="{771AF5F4-56DA-4F2D-B129-215DD2201C26}">
      <formula1>"NA,0,1,2,3,4,5,6,7,8,9,10,11,12,13,14,15"</formula1>
    </dataValidation>
    <dataValidation type="list" allowBlank="1" showInputMessage="1" showErrorMessage="1" sqref="K9:K40" xr:uid="{E45AB24F-B99F-4A57-972B-F597434C1DAC}">
      <formula1>"D,0,1,2,3,4"</formula1>
    </dataValidation>
    <dataValidation showInputMessage="1" showErrorMessage="1" sqref="O42:R42" xr:uid="{697717DF-67E0-4D52-8EF2-19C2AB903ED5}"/>
    <dataValidation type="decimal" allowBlank="1" showInputMessage="1" showErrorMessage="1" sqref="O7:P7" xr:uid="{5B4F9172-40FE-42B9-A2F6-3FE6E5FEA7CD}">
      <formula1>0</formula1>
      <formula2>10</formula2>
    </dataValidation>
    <dataValidation type="date" allowBlank="1" showInputMessage="1" showErrorMessage="1" sqref="Q5:R5" xr:uid="{1A020227-C504-45DF-B355-5E81CEC6EF50}">
      <formula1>41151</formula1>
      <formula2>77433</formula2>
    </dataValidation>
  </dataValidations>
  <hyperlinks>
    <hyperlink ref="BP4" location="PF!A1" display="PF phase Summary Page" xr:uid="{1A09A6F5-69CE-4A89-8E01-3725671C0B56}"/>
    <hyperlink ref="BP4:BU5" location="TF!A1" display="TF Summary Page" xr:uid="{43135617-0F4E-4D66-A7B4-963F71A4682F}"/>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9CDDD-611F-43D3-AD99-43CBA849EBA1}">
  <sheetPr>
    <tabColor rgb="FFFFFF00"/>
    <pageSetUpPr autoPageBreaks="0"/>
  </sheetPr>
  <dimension ref="A1:AVW69"/>
  <sheetViews>
    <sheetView showGridLines="0" showRowColHeaders="0" topLeftCell="A5" zoomScaleNormal="100" workbookViewId="0">
      <selection activeCell="L11" sqref="L11:R42"/>
    </sheetView>
  </sheetViews>
  <sheetFormatPr defaultColWidth="9.140625" defaultRowHeight="15" x14ac:dyDescent="0.25"/>
  <cols>
    <col min="1" max="1" width="1.5703125" style="376" customWidth="1"/>
    <col min="2" max="2" width="3.5703125" style="376" customWidth="1"/>
    <col min="3" max="3" width="5.5703125" style="371" customWidth="1"/>
    <col min="4" max="4" width="9.140625" style="371"/>
    <col min="5" max="5" width="14" style="371" customWidth="1"/>
    <col min="6" max="6" width="7.85546875" style="371" customWidth="1"/>
    <col min="7" max="11" width="5.140625" style="371" customWidth="1"/>
    <col min="12" max="12" width="21.5703125" style="371" customWidth="1"/>
    <col min="13" max="13" width="6.5703125" style="371" customWidth="1"/>
    <col min="14" max="14" width="12.5703125" style="371" customWidth="1"/>
    <col min="15" max="15" width="7.85546875" style="371" customWidth="1"/>
    <col min="16" max="16" width="2.7109375" style="371" customWidth="1"/>
    <col min="17" max="17" width="4.85546875" style="371" customWidth="1"/>
    <col min="18" max="18" width="7.28515625" style="371" customWidth="1"/>
    <col min="19" max="19" width="1.7109375" style="371" customWidth="1"/>
    <col min="20" max="20" width="19.140625" style="374" hidden="1" customWidth="1"/>
    <col min="21" max="21" width="31.140625" style="374" hidden="1" customWidth="1"/>
    <col min="22" max="22" width="5.140625" style="374" hidden="1" customWidth="1"/>
    <col min="23" max="24" width="6.28515625" style="374" hidden="1" customWidth="1"/>
    <col min="25" max="25" width="8.42578125" style="374" hidden="1" customWidth="1"/>
    <col min="26" max="26" width="7.85546875" style="374" hidden="1" customWidth="1"/>
    <col min="27" max="27" width="10.7109375" style="374" hidden="1" customWidth="1"/>
    <col min="28" max="28" width="8" style="374" hidden="1" customWidth="1"/>
    <col min="29" max="31" width="5.140625" style="374" hidden="1" customWidth="1"/>
    <col min="32" max="34" width="5.85546875" style="374" hidden="1" customWidth="1"/>
    <col min="35" max="35" width="8.5703125" style="375" hidden="1" customWidth="1"/>
    <col min="36" max="36" width="7" style="374" hidden="1" customWidth="1"/>
    <col min="37" max="38" width="5.28515625" style="374" hidden="1" customWidth="1"/>
    <col min="39" max="40" width="7" style="374" hidden="1" customWidth="1"/>
    <col min="41" max="41" width="5.140625" style="374" hidden="1" customWidth="1"/>
    <col min="42" max="42" width="11.28515625" style="374" hidden="1" customWidth="1"/>
    <col min="43" max="43" width="6.42578125" style="374" hidden="1" customWidth="1"/>
    <col min="44" max="44" width="8.28515625" style="374" hidden="1" customWidth="1"/>
    <col min="45" max="45" width="8.85546875" style="374" hidden="1" customWidth="1"/>
    <col min="46" max="46" width="10.7109375" style="374" hidden="1" customWidth="1"/>
    <col min="47" max="47" width="8.85546875" style="374" hidden="1" customWidth="1"/>
    <col min="48" max="48" width="6.28515625" style="374" hidden="1" customWidth="1"/>
    <col min="49" max="49" width="10" style="374" hidden="1" customWidth="1"/>
    <col min="50" max="50" width="7.5703125" style="374" hidden="1" customWidth="1"/>
    <col min="51" max="51" width="7" style="374" hidden="1" customWidth="1"/>
    <col min="52" max="52" width="8.140625" style="374" hidden="1" customWidth="1"/>
    <col min="53" max="53" width="12.5703125" style="374" hidden="1" customWidth="1"/>
    <col min="54" max="54" width="7.7109375" style="374" hidden="1" customWidth="1"/>
    <col min="55" max="55" width="12.7109375" style="374" hidden="1" customWidth="1"/>
    <col min="56" max="56" width="7" style="374" hidden="1" customWidth="1"/>
    <col min="57" max="57" width="15.5703125" style="373" hidden="1" customWidth="1"/>
    <col min="58" max="58" width="9.140625" style="373" hidden="1" customWidth="1"/>
    <col min="59" max="59" width="10" style="374" hidden="1" customWidth="1"/>
    <col min="60" max="60" width="5.28515625" style="373" hidden="1" customWidth="1"/>
    <col min="61" max="61" width="4" style="373" hidden="1" customWidth="1"/>
    <col min="62" max="62" width="4.7109375" style="373" hidden="1" customWidth="1"/>
    <col min="63" max="63" width="5.5703125" style="373" hidden="1" customWidth="1"/>
    <col min="64" max="64" width="5.28515625" style="373" hidden="1" customWidth="1"/>
    <col min="65" max="65" width="4" style="373" hidden="1" customWidth="1"/>
    <col min="66" max="66" width="5.5703125" style="373" hidden="1" customWidth="1"/>
    <col min="67" max="67" width="5.140625" style="372" customWidth="1"/>
    <col min="68" max="73" width="5.140625" style="371" customWidth="1"/>
    <col min="74" max="16384" width="9.140625" style="371"/>
  </cols>
  <sheetData>
    <row r="1" spans="2:73" s="447" customFormat="1" ht="12" hidden="1" x14ac:dyDescent="0.2">
      <c r="T1" s="378"/>
      <c r="U1" s="378"/>
      <c r="V1" s="378"/>
      <c r="W1" s="378"/>
      <c r="X1" s="378"/>
      <c r="Y1" s="378"/>
      <c r="Z1" s="378"/>
      <c r="AA1" s="378"/>
      <c r="AB1" s="378"/>
      <c r="AC1" s="378"/>
      <c r="AD1" s="378"/>
      <c r="AE1" s="378"/>
      <c r="AF1" s="378"/>
      <c r="AG1" s="378"/>
      <c r="AH1" s="378"/>
      <c r="AI1" s="402"/>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row>
    <row r="2" spans="2:73" s="447" customFormat="1" ht="12" hidden="1" x14ac:dyDescent="0.2">
      <c r="T2" s="378"/>
      <c r="U2" s="378"/>
      <c r="V2" s="378"/>
      <c r="W2" s="378"/>
      <c r="X2" s="378"/>
      <c r="Y2" s="378"/>
      <c r="Z2" s="378"/>
      <c r="AA2" s="378"/>
      <c r="AB2" s="378"/>
      <c r="AC2" s="378"/>
      <c r="AD2" s="378"/>
      <c r="AE2" s="378"/>
      <c r="AF2" s="378"/>
      <c r="AG2" s="378"/>
      <c r="AH2" s="378"/>
      <c r="AI2" s="402"/>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row>
    <row r="3" spans="2:73" s="447" customFormat="1" ht="12" hidden="1" x14ac:dyDescent="0.2">
      <c r="T3" s="378"/>
      <c r="U3" s="378"/>
      <c r="V3" s="378"/>
      <c r="W3" s="378"/>
      <c r="X3" s="378"/>
      <c r="Y3" s="378"/>
      <c r="Z3" s="378"/>
      <c r="AA3" s="378"/>
      <c r="AB3" s="378"/>
      <c r="AC3" s="378"/>
      <c r="AD3" s="378"/>
      <c r="AE3" s="378"/>
      <c r="AF3" s="378"/>
      <c r="AG3" s="378"/>
      <c r="AH3" s="378"/>
      <c r="AI3" s="402"/>
      <c r="AJ3" s="378"/>
      <c r="AK3" s="378"/>
      <c r="AL3" s="378"/>
      <c r="AM3" s="378"/>
      <c r="AN3" s="378"/>
      <c r="AO3" s="378"/>
      <c r="AP3" s="378"/>
      <c r="AQ3" s="378"/>
      <c r="AR3" s="378"/>
      <c r="AS3" s="378"/>
      <c r="AT3" s="378"/>
      <c r="AU3" s="378"/>
      <c r="AV3" s="378"/>
      <c r="AW3" s="378"/>
      <c r="AX3" s="378"/>
      <c r="AY3" s="378"/>
      <c r="AZ3" s="378"/>
      <c r="BA3" s="378"/>
      <c r="BB3" s="378"/>
      <c r="BC3" s="378"/>
      <c r="BD3" s="378"/>
      <c r="BE3" s="378"/>
      <c r="BF3" s="378"/>
      <c r="BG3" s="378"/>
      <c r="BH3" s="378"/>
      <c r="BI3" s="378"/>
      <c r="BJ3" s="378"/>
      <c r="BK3" s="378"/>
      <c r="BL3" s="378"/>
      <c r="BM3" s="378"/>
      <c r="BN3" s="378"/>
    </row>
    <row r="4" spans="2:73" s="447" customFormat="1" ht="12" hidden="1" x14ac:dyDescent="0.2">
      <c r="T4" s="378"/>
      <c r="U4" s="378"/>
      <c r="V4" s="378"/>
      <c r="W4" s="378"/>
      <c r="X4" s="378"/>
      <c r="Y4" s="378"/>
      <c r="Z4" s="378"/>
      <c r="AA4" s="378"/>
      <c r="AB4" s="378"/>
      <c r="AC4" s="378"/>
      <c r="AD4" s="378"/>
      <c r="AE4" s="378"/>
      <c r="AF4" s="378"/>
      <c r="AG4" s="378"/>
      <c r="AH4" s="378"/>
      <c r="AI4" s="402"/>
      <c r="AJ4" s="378"/>
      <c r="AK4" s="378"/>
      <c r="AL4" s="378"/>
      <c r="AM4" s="378"/>
      <c r="AN4" s="378"/>
      <c r="AO4" s="378"/>
      <c r="AP4" s="378"/>
      <c r="AQ4" s="378"/>
      <c r="AR4" s="378"/>
      <c r="AS4" s="378"/>
      <c r="AT4" s="378"/>
      <c r="AU4" s="378"/>
      <c r="AV4" s="378"/>
      <c r="AW4" s="378"/>
      <c r="AX4" s="378"/>
      <c r="AY4" s="378"/>
      <c r="AZ4" s="378"/>
      <c r="BA4" s="378"/>
      <c r="BB4" s="378"/>
      <c r="BC4" s="378"/>
      <c r="BD4" s="378"/>
      <c r="BE4" s="378"/>
      <c r="BF4" s="378"/>
      <c r="BG4" s="378"/>
      <c r="BH4" s="378"/>
      <c r="BI4" s="378"/>
      <c r="BJ4" s="378"/>
      <c r="BK4" s="378"/>
      <c r="BL4" s="378"/>
      <c r="BM4" s="378"/>
      <c r="BN4" s="378"/>
    </row>
    <row r="5" spans="2:73" ht="15.75" thickBot="1" x14ac:dyDescent="0.3">
      <c r="BE5" s="374"/>
      <c r="BF5" s="374"/>
      <c r="BG5" s="373"/>
    </row>
    <row r="6" spans="2:73" ht="13.5" customHeight="1" thickTop="1" x14ac:dyDescent="0.25">
      <c r="B6" s="1576" t="s">
        <v>141</v>
      </c>
      <c r="C6" s="1577"/>
      <c r="D6" s="1577"/>
      <c r="E6" s="1577"/>
      <c r="F6" s="1577"/>
      <c r="G6" s="1578"/>
      <c r="H6" s="1589" t="s">
        <v>663</v>
      </c>
      <c r="I6" s="1590"/>
      <c r="J6" s="1590"/>
      <c r="K6" s="1590"/>
      <c r="L6" s="1590"/>
      <c r="M6" s="1590"/>
      <c r="N6" s="1591"/>
      <c r="O6" s="1592" t="s">
        <v>142</v>
      </c>
      <c r="P6" s="1593"/>
      <c r="Q6" s="1592" t="s">
        <v>143</v>
      </c>
      <c r="R6" s="1594"/>
      <c r="S6" s="406"/>
      <c r="T6" s="407"/>
      <c r="U6" s="407"/>
      <c r="V6" s="407"/>
      <c r="W6" s="407"/>
      <c r="X6" s="407"/>
      <c r="Y6" s="407"/>
      <c r="Z6" s="407"/>
      <c r="AA6" s="407"/>
      <c r="AB6" s="407"/>
      <c r="AC6" s="407"/>
      <c r="AD6" s="407"/>
      <c r="AE6" s="407"/>
      <c r="AF6" s="407"/>
      <c r="AG6" s="407"/>
      <c r="AH6" s="407"/>
      <c r="AI6" s="492"/>
      <c r="AJ6" s="407"/>
      <c r="AK6" s="407"/>
      <c r="AL6" s="407"/>
      <c r="AM6" s="407"/>
      <c r="AN6" s="407"/>
      <c r="AO6" s="407"/>
      <c r="AP6" s="407"/>
      <c r="AQ6" s="378"/>
      <c r="AR6" s="378"/>
      <c r="AW6" s="374" t="s">
        <v>144</v>
      </c>
      <c r="AX6" s="374" t="s">
        <v>145</v>
      </c>
      <c r="AY6" s="374" t="s">
        <v>146</v>
      </c>
      <c r="AZ6" s="374" t="s">
        <v>147</v>
      </c>
      <c r="BA6" s="374" t="s">
        <v>148</v>
      </c>
      <c r="BB6" s="374" t="s">
        <v>149</v>
      </c>
      <c r="BE6" s="374"/>
      <c r="BF6" s="374"/>
      <c r="BG6" s="373"/>
      <c r="BP6" s="1668" t="s">
        <v>313</v>
      </c>
      <c r="BQ6" s="1668"/>
      <c r="BR6" s="1668"/>
      <c r="BS6" s="1668"/>
      <c r="BT6" s="1668"/>
      <c r="BU6" s="1668"/>
    </row>
    <row r="7" spans="2:73" s="416" customFormat="1" ht="15.75" customHeight="1" x14ac:dyDescent="0.2">
      <c r="B7" s="1579" t="s">
        <v>293</v>
      </c>
      <c r="C7" s="1580"/>
      <c r="D7" s="1580"/>
      <c r="E7" s="1580"/>
      <c r="F7" s="1580"/>
      <c r="G7" s="1581"/>
      <c r="H7" s="1598" t="s">
        <v>316</v>
      </c>
      <c r="I7" s="1599"/>
      <c r="J7" s="1599"/>
      <c r="K7" s="1599"/>
      <c r="L7" s="1599"/>
      <c r="M7" s="1599"/>
      <c r="N7" s="1600"/>
      <c r="O7" s="1601"/>
      <c r="P7" s="1602"/>
      <c r="Q7" s="1603"/>
      <c r="R7" s="1604"/>
      <c r="S7" s="498"/>
      <c r="T7" s="496"/>
      <c r="U7" s="496"/>
      <c r="V7" s="496"/>
      <c r="W7" s="496"/>
      <c r="X7" s="496"/>
      <c r="Y7" s="496"/>
      <c r="Z7" s="496"/>
      <c r="AA7" s="496"/>
      <c r="AB7" s="496"/>
      <c r="AC7" s="496"/>
      <c r="AD7" s="496"/>
      <c r="AE7" s="496"/>
      <c r="AF7" s="496"/>
      <c r="AG7" s="496"/>
      <c r="AH7" s="496"/>
      <c r="AI7" s="497"/>
      <c r="AJ7" s="496"/>
      <c r="AK7" s="496"/>
      <c r="AL7" s="496"/>
      <c r="AM7" s="496"/>
      <c r="AN7" s="496"/>
      <c r="AO7" s="496"/>
      <c r="AP7" s="496"/>
      <c r="AQ7" s="487"/>
      <c r="AR7" s="487"/>
      <c r="AS7" s="401"/>
      <c r="AT7" s="495" t="s">
        <v>151</v>
      </c>
      <c r="AU7" s="494" t="b">
        <v>0</v>
      </c>
      <c r="AV7" s="401">
        <v>0</v>
      </c>
      <c r="AW7" s="401" t="b">
        <f>IF(ISERR(OR(AW11:AW42)),"UNK",IF(AND(graded_aca_events&gt;=1,input_test),FALSE,OR(AW11:AW42)))</f>
        <v>0</v>
      </c>
      <c r="AX7" s="401" t="b">
        <f>IF(ISERR(OR(AX11:AX42)),"UNK",IF(AND(graded_aca_events&gt;=1,input_test),FALSE,OR(AX11:AX42)))</f>
        <v>1</v>
      </c>
      <c r="AY7" s="401" t="b">
        <f>IF(ISERR(OR(AY11:AY42)),"UNK",OR(AY11:AY42))</f>
        <v>0</v>
      </c>
      <c r="AZ7" s="401" t="b">
        <f>IF(ISERR(OR(AZ11:AZ42)),"UNK",OR(AZ11:AZ42))</f>
        <v>0</v>
      </c>
      <c r="BA7" s="401" t="b">
        <f>IF(ISERR(OR(BA11:BA42)),"UNK",OR(BA11:BA42))</f>
        <v>0</v>
      </c>
      <c r="BB7" s="401" t="b">
        <f>IF(ISERR(OR(BB11:BB42)),"UNK",OR(BB11:BB42))</f>
        <v>0</v>
      </c>
      <c r="BC7" s="493" t="b">
        <f>OR(BC11:BC42)</f>
        <v>0</v>
      </c>
      <c r="BD7" s="493" t="b">
        <f>OR(BD11:BD42)</f>
        <v>0</v>
      </c>
      <c r="BE7" s="493" t="b">
        <f>OR(BE11:BE42)</f>
        <v>0</v>
      </c>
      <c r="BF7" s="493"/>
      <c r="BG7" s="401"/>
      <c r="BH7" s="1558" t="s">
        <v>152</v>
      </c>
      <c r="BI7" s="1558"/>
      <c r="BJ7" s="1558"/>
      <c r="BK7" s="1558"/>
      <c r="BL7" s="1559" t="s">
        <v>153</v>
      </c>
      <c r="BM7" s="1559"/>
      <c r="BN7" s="1559"/>
      <c r="BO7" s="372"/>
      <c r="BP7" s="1668"/>
      <c r="BQ7" s="1668"/>
      <c r="BR7" s="1668"/>
      <c r="BS7" s="1668"/>
      <c r="BT7" s="1668"/>
      <c r="BU7" s="1668"/>
    </row>
    <row r="8" spans="2:73" s="406" customFormat="1" ht="7.5" customHeight="1" x14ac:dyDescent="0.25">
      <c r="B8" s="1560" t="s">
        <v>154</v>
      </c>
      <c r="C8" s="1561"/>
      <c r="D8" s="1561"/>
      <c r="E8" s="1562"/>
      <c r="F8" s="1563" t="s">
        <v>155</v>
      </c>
      <c r="G8" s="1562"/>
      <c r="H8" s="1563" t="s">
        <v>156</v>
      </c>
      <c r="I8" s="1561"/>
      <c r="J8" s="1561"/>
      <c r="K8" s="1561"/>
      <c r="L8" s="1562"/>
      <c r="M8" s="1564" t="s">
        <v>157</v>
      </c>
      <c r="N8" s="1565"/>
      <c r="O8" s="1595" t="s">
        <v>158</v>
      </c>
      <c r="P8" s="1596"/>
      <c r="Q8" s="1563" t="str">
        <f>IF(AU44=0,"GRADE","GRADE (inc. bonus)")</f>
        <v>GRADE</v>
      </c>
      <c r="R8" s="1597"/>
      <c r="T8" s="407"/>
      <c r="U8" s="407"/>
      <c r="V8" s="407"/>
      <c r="W8" s="407"/>
      <c r="X8" s="407"/>
      <c r="Y8" s="407"/>
      <c r="Z8" s="407"/>
      <c r="AA8" s="407"/>
      <c r="AB8" s="407"/>
      <c r="AC8" s="407"/>
      <c r="AD8" s="407"/>
      <c r="AE8" s="407"/>
      <c r="AF8" s="407"/>
      <c r="AG8" s="407"/>
      <c r="AH8" s="407"/>
      <c r="AI8" s="492"/>
      <c r="AJ8" s="407"/>
      <c r="AK8" s="407"/>
      <c r="AL8" s="407"/>
      <c r="AM8" s="407"/>
      <c r="AN8" s="407"/>
      <c r="AO8" s="407"/>
      <c r="AP8" s="407"/>
      <c r="AQ8" s="407"/>
      <c r="AR8" s="407"/>
      <c r="AS8" s="407"/>
      <c r="AT8" s="407"/>
      <c r="AU8" s="407"/>
      <c r="AV8" s="407"/>
      <c r="AW8" s="407"/>
      <c r="AX8" s="407"/>
      <c r="AY8" s="407"/>
      <c r="AZ8" s="407"/>
      <c r="BA8" s="407"/>
      <c r="BB8" s="407"/>
      <c r="BC8" s="407"/>
      <c r="BD8" s="407"/>
      <c r="BE8" s="407"/>
      <c r="BF8" s="407"/>
      <c r="BG8" s="407"/>
      <c r="BH8" s="1558"/>
      <c r="BI8" s="1558"/>
      <c r="BJ8" s="1558"/>
      <c r="BK8" s="1558"/>
      <c r="BL8" s="1559"/>
      <c r="BM8" s="1559"/>
      <c r="BN8" s="1559"/>
      <c r="BO8" s="491"/>
    </row>
    <row r="9" spans="2:73" s="416" customFormat="1" ht="15.75" customHeight="1" thickBot="1" x14ac:dyDescent="0.25">
      <c r="B9" s="1566"/>
      <c r="C9" s="1567"/>
      <c r="D9" s="1567"/>
      <c r="E9" s="1568"/>
      <c r="F9" s="1569" t="s">
        <v>270</v>
      </c>
      <c r="G9" s="1570"/>
      <c r="H9" s="1571"/>
      <c r="I9" s="1572"/>
      <c r="J9" s="1572"/>
      <c r="K9" s="1572"/>
      <c r="L9" s="1573"/>
      <c r="M9" s="1574"/>
      <c r="N9" s="1575"/>
      <c r="O9" s="1585"/>
      <c r="P9" s="1586"/>
      <c r="Q9" s="1587" t="str">
        <f>IF((graded_aca_events+graded_amn_events)&lt;1,"---",IF(ISERROR(AR49),"",IF(F44&lt;&gt;"COMPLETE","INCOMPLETE",AR49)))</f>
        <v>---</v>
      </c>
      <c r="R9" s="1588"/>
      <c r="S9" s="371"/>
      <c r="T9" s="401"/>
      <c r="U9" s="401">
        <v>2</v>
      </c>
      <c r="V9" s="401">
        <v>3</v>
      </c>
      <c r="W9" s="401">
        <v>6</v>
      </c>
      <c r="X9" s="401">
        <v>7</v>
      </c>
      <c r="Y9" s="401">
        <v>11</v>
      </c>
      <c r="Z9" s="401">
        <v>8</v>
      </c>
      <c r="AA9" s="490">
        <v>9</v>
      </c>
      <c r="AB9" s="490">
        <v>10</v>
      </c>
      <c r="AC9" s="490">
        <v>5</v>
      </c>
      <c r="AD9" s="490">
        <v>4</v>
      </c>
      <c r="AE9" s="490">
        <v>12</v>
      </c>
      <c r="AF9" s="490">
        <v>13</v>
      </c>
      <c r="AG9" s="490"/>
      <c r="AH9" s="490"/>
      <c r="AI9" s="489"/>
      <c r="AJ9" s="488"/>
      <c r="AK9" s="488"/>
      <c r="AL9" s="488"/>
      <c r="AM9" s="488" t="b">
        <f>IF(COUNT(AM11:AM42)&gt;0,TRUE,FALSE)</f>
        <v>0</v>
      </c>
      <c r="AN9" s="488" t="b">
        <f>IF(COUNT(AN11:AN42)&gt;0,TRUE,FALSE)</f>
        <v>0</v>
      </c>
      <c r="AO9" s="401"/>
      <c r="AP9" s="401"/>
      <c r="AQ9" s="487"/>
      <c r="AR9" s="487"/>
      <c r="AS9" s="401"/>
      <c r="AT9" s="486">
        <v>0.2</v>
      </c>
      <c r="AU9" s="401"/>
      <c r="AV9" s="485">
        <f>0.01*input_maxb</f>
        <v>0</v>
      </c>
      <c r="AW9" s="483" t="s">
        <v>159</v>
      </c>
      <c r="AX9" s="484"/>
      <c r="AY9" s="483" t="s">
        <v>160</v>
      </c>
      <c r="AZ9" s="484"/>
      <c r="BA9" s="482" t="s">
        <v>161</v>
      </c>
      <c r="BB9" s="482"/>
      <c r="BC9" s="483" t="s">
        <v>162</v>
      </c>
      <c r="BD9" s="482"/>
      <c r="BE9" s="481"/>
      <c r="BF9" s="480"/>
      <c r="BG9" s="401" t="s">
        <v>163</v>
      </c>
      <c r="BH9" s="1558"/>
      <c r="BI9" s="1558"/>
      <c r="BJ9" s="1558"/>
      <c r="BK9" s="1558"/>
      <c r="BL9" s="1559"/>
      <c r="BM9" s="1559"/>
      <c r="BN9" s="1559"/>
      <c r="BO9" s="372"/>
    </row>
    <row r="10" spans="2:73" ht="27" customHeight="1" thickBot="1" x14ac:dyDescent="0.3">
      <c r="B10" s="1582" t="s">
        <v>164</v>
      </c>
      <c r="C10" s="1583"/>
      <c r="D10" s="1583"/>
      <c r="E10" s="1583"/>
      <c r="F10" s="1584"/>
      <c r="G10" s="479" t="s">
        <v>165</v>
      </c>
      <c r="H10" s="478" t="s">
        <v>166</v>
      </c>
      <c r="I10" s="477" t="s">
        <v>167</v>
      </c>
      <c r="J10" s="476" t="s">
        <v>168</v>
      </c>
      <c r="K10" s="475" t="s">
        <v>169</v>
      </c>
      <c r="L10" s="1605" t="s">
        <v>170</v>
      </c>
      <c r="M10" s="1583"/>
      <c r="N10" s="1583"/>
      <c r="O10" s="1583"/>
      <c r="P10" s="1583"/>
      <c r="Q10" s="1583"/>
      <c r="R10" s="1606"/>
      <c r="S10" s="376"/>
      <c r="T10" s="385" t="s">
        <v>171</v>
      </c>
      <c r="U10" s="385"/>
      <c r="V10" s="385" t="s">
        <v>172</v>
      </c>
      <c r="W10" s="385" t="s">
        <v>173</v>
      </c>
      <c r="X10" s="385" t="s">
        <v>174</v>
      </c>
      <c r="Y10" s="385" t="s">
        <v>175</v>
      </c>
      <c r="Z10" s="385" t="s">
        <v>176</v>
      </c>
      <c r="AA10" s="385" t="s">
        <v>177</v>
      </c>
      <c r="AB10" s="385" t="s">
        <v>178</v>
      </c>
      <c r="AC10" s="385" t="s">
        <v>179</v>
      </c>
      <c r="AD10" s="385" t="s">
        <v>180</v>
      </c>
      <c r="AE10" s="385" t="s">
        <v>181</v>
      </c>
      <c r="AF10" s="385" t="s">
        <v>182</v>
      </c>
      <c r="AG10" s="385" t="s">
        <v>183</v>
      </c>
      <c r="AH10" s="385" t="s">
        <v>184</v>
      </c>
      <c r="AI10" s="474" t="s">
        <v>185</v>
      </c>
      <c r="AJ10" s="472" t="s">
        <v>186</v>
      </c>
      <c r="AK10" s="473" t="s">
        <v>187</v>
      </c>
      <c r="AL10" s="473" t="s">
        <v>188</v>
      </c>
      <c r="AM10" s="473" t="s">
        <v>189</v>
      </c>
      <c r="AN10" s="473" t="s">
        <v>190</v>
      </c>
      <c r="AO10" s="472" t="s">
        <v>191</v>
      </c>
      <c r="AP10" s="472" t="s">
        <v>192</v>
      </c>
      <c r="AQ10" s="470" t="s">
        <v>193</v>
      </c>
      <c r="AR10" s="471" t="s">
        <v>1</v>
      </c>
      <c r="AS10" s="470" t="s">
        <v>194</v>
      </c>
      <c r="AT10" s="471" t="s">
        <v>1</v>
      </c>
      <c r="AU10" s="470" t="s">
        <v>195</v>
      </c>
      <c r="AV10" s="469" t="s">
        <v>196</v>
      </c>
      <c r="AW10" s="468" t="s">
        <v>197</v>
      </c>
      <c r="AX10" s="467" t="s">
        <v>198</v>
      </c>
      <c r="AY10" s="468" t="s">
        <v>199</v>
      </c>
      <c r="AZ10" s="467" t="s">
        <v>200</v>
      </c>
      <c r="BA10" s="466" t="s">
        <v>201</v>
      </c>
      <c r="BB10" s="466" t="s">
        <v>202</v>
      </c>
      <c r="BC10" s="465" t="s">
        <v>203</v>
      </c>
      <c r="BD10" s="464" t="s">
        <v>204</v>
      </c>
      <c r="BE10" s="463" t="s">
        <v>205</v>
      </c>
      <c r="BF10" s="462" t="s">
        <v>206</v>
      </c>
      <c r="BG10" s="373"/>
      <c r="BH10" s="373" t="s">
        <v>207</v>
      </c>
      <c r="BI10" s="373" t="s">
        <v>208</v>
      </c>
      <c r="BJ10" s="385" t="s">
        <v>209</v>
      </c>
      <c r="BK10" s="373" t="s">
        <v>210</v>
      </c>
      <c r="BL10" s="373" t="s">
        <v>207</v>
      </c>
      <c r="BM10" s="373" t="s">
        <v>208</v>
      </c>
      <c r="BN10" s="373" t="s">
        <v>210</v>
      </c>
    </row>
    <row r="11" spans="2:73" ht="12.95" customHeight="1" x14ac:dyDescent="0.25">
      <c r="B11" s="461" t="str">
        <f>IF(ISNA(Z11),"",IF(OR(Z11=1,Z11=2),"",1))</f>
        <v/>
      </c>
      <c r="C11" s="1607" t="str">
        <f t="shared" ref="C11:C42" si="0">IF(ISNA(Z11),"",CONCATENATE($U11,IF(ISNUMBER(AI11),TEXT(ROUND($AI11,3)," (0.0%)"),""),IF(AU11&gt;0," Bonus","")))</f>
        <v>Structure &amp; Logic (30.0%)</v>
      </c>
      <c r="D11" s="1607"/>
      <c r="E11" s="1607"/>
      <c r="F11" s="1608"/>
      <c r="G11" s="437" t="str">
        <f t="shared" ref="G11:G42" si="1">BH11</f>
        <v/>
      </c>
      <c r="H11" s="431" t="str">
        <f t="shared" ref="H11:H42" si="2">BJ11</f>
        <v/>
      </c>
      <c r="I11" s="460" t="str">
        <f t="shared" ref="I11:I42" si="3">BK11</f>
        <v/>
      </c>
      <c r="J11" s="459"/>
      <c r="K11" s="458"/>
      <c r="L11" s="1609"/>
      <c r="M11" s="1610"/>
      <c r="N11" s="1610"/>
      <c r="O11" s="1610"/>
      <c r="P11" s="1610"/>
      <c r="Q11" s="1610"/>
      <c r="R11" s="1611"/>
      <c r="T11" s="374">
        <v>1</v>
      </c>
      <c r="U11" s="374" t="s">
        <v>646</v>
      </c>
      <c r="V11" s="421" t="s">
        <v>212</v>
      </c>
      <c r="W11" s="421" t="s">
        <v>212</v>
      </c>
      <c r="X11" s="421" t="s">
        <v>212</v>
      </c>
      <c r="Y11" s="421" t="s">
        <v>212</v>
      </c>
      <c r="Z11" s="421">
        <v>2</v>
      </c>
      <c r="AA11" s="421">
        <v>1</v>
      </c>
      <c r="AB11" s="421">
        <v>1</v>
      </c>
      <c r="AC11" s="421" t="s">
        <v>212</v>
      </c>
      <c r="AD11" s="421" t="s">
        <v>212</v>
      </c>
      <c r="AE11" s="421" t="s">
        <v>212</v>
      </c>
      <c r="AF11" s="421" t="s">
        <v>212</v>
      </c>
      <c r="AG11" s="421" t="str">
        <f t="shared" ref="AG11:AG42" si="4">IF(CrewSoloQual="Yes",$AC11,$AD11)</f>
        <v/>
      </c>
      <c r="AH11" s="421" t="str">
        <f t="shared" ref="AH11:AH42" si="5">IF(ISNUMBER(AC11),IF(CrewSoloQual="Yes",$AC11-1,$AD11-1),"")</f>
        <v/>
      </c>
      <c r="AI11" s="427">
        <f>IF(NOT(OR(Z11=1,Z11=2)),IF(AQ11&gt;0,$AR$47*AQ11/SUMIF($AQ$11:$AQ$42,"&gt;0"),IF(AU11&gt;0,$AV$47*AU11/SUMIF($AU$11:$AU$42,"&gt;0"),IF(AS11&gt;0,$AT$47*AS11/SUMIF($AS$11:$AS$42,"&gt;0"),""))),IF(SUMIF(AJ12:$AJ$42,"=" &amp; AJ11,AI12:$AI$42)=0,"",SUMIF(AJ12:$AJ$42,"=" &amp; AJ11,AI12:$AI$42)))</f>
        <v>0.30000110736419827</v>
      </c>
      <c r="AJ11" s="426">
        <f>0</f>
        <v>0</v>
      </c>
      <c r="AK11" s="421" t="str">
        <f t="shared" ref="AK11:AK42" si="6">BI11</f>
        <v/>
      </c>
      <c r="AL11" s="421" t="str">
        <f t="shared" ref="AL11:AL42" si="7">IF(ISBLANK(K11),"",K11)</f>
        <v/>
      </c>
      <c r="AM11" s="421" t="str">
        <f t="shared" ref="AM11:AM42" si="8">IF(ISNUMBER(AK11),IF(ISNUMBER(AL11),1,""),"")</f>
        <v/>
      </c>
      <c r="AN11" s="421" t="str">
        <f t="shared" ref="AN11:AN42" si="9">IF(ISNUMBER(AH11),IF(AND(AB11=0,ISNUMBER(AC11),ISNUMBER(AL11)),1,""),"")</f>
        <v/>
      </c>
      <c r="AO11" s="421" t="str">
        <f t="shared" ref="AO11:AO42" si="10">IF(AB11=0,IF(CrewSoloQual="No",BI11,BK11),"")</f>
        <v/>
      </c>
      <c r="AP11" s="421" t="str">
        <f t="shared" ref="AP11:AP42" si="11">IF(ISNA(Z11),"",IF(AND(ISNUMBER(B11),G11&gt;=1,H11&lt;&gt;"NG"),IF(K11&lt;BK11,TRUE,FALSE),IF(AND(G11&gt;=1,J11="NA"),TRUE,IF(AND(AM11=1,G11=0,AL11&lt;BI11),TRUE,""))))</f>
        <v/>
      </c>
      <c r="AQ11" s="425">
        <f t="shared" ref="AQ11:AQ42" si="12">IF(ISNA(Z11),0,IF(OR(J11="NA",W11="",AB11=0),0,W11))</f>
        <v>0</v>
      </c>
      <c r="AR11" s="423" t="str">
        <f t="shared" ref="AR11:AR42" si="13">IF(ISNA(Z11),"",IF(AND(NOT(OR(Z11=1,Z11=2,AK11="NG",AB11=0)),IF(ISNUMBER(AL11),AL11&gt;=0,FALSE)),VLOOKUP((10*AD11+AC11),$AQ$53:$AV$61,2+AL11,FALSE),IF(AND(input_test=TRUE,ISNUMBER(AD11),V11&lt;&gt;0),VLOOKUP((10*AD11+AC11),$AQ$53:$AV$61,2,FALSE),"")))</f>
        <v/>
      </c>
      <c r="AS11" s="424">
        <f t="shared" ref="AS11:AS42" si="14">IF(ISNA(Z11),0,IF(OR(J11="NA",X11="",AB11=1),0,X11))</f>
        <v>0</v>
      </c>
      <c r="AT11" s="423" t="str">
        <f t="shared" ref="AT11:AT42" si="15">IF(ISNA(Z11),"",IF(AND(NOT(OR(Z11=1,Z11=2,AK11="NG",AB11=1)),IF(ISNUMBER(AL11),AL11&gt;=0,FALSE)),VLOOKUP((10*AH11+AG11),$AQ$53:$AV$61,2+AL11,FALSE),IF(AND(input_test=TRUE,ISNUMBER(AD11),V11&lt;&gt;0),VLOOKUP((10*AH11+AG11),$AQ$53:$AV$61,2,FALSE),"")))</f>
        <v/>
      </c>
      <c r="AU11" s="420">
        <f t="shared" ref="AU11:AU42" si="16">IF(ISNA(Z11),0,IF(OR(J11="NA",Y11=""),0,Y11))</f>
        <v>0</v>
      </c>
      <c r="AV11" s="422" t="str">
        <f t="shared" ref="AV11:AV42" si="17">AR11</f>
        <v/>
      </c>
      <c r="AW11" s="420" t="b">
        <f t="shared" ref="AW11:AW42" si="18">IF(ISNA(Z11),FALSE,IF(OR(AB11=1,G11=0,Z11=1,Z11=2),FALSE,IF(OR(J11="NA",J11&gt;=G11),FALSE,TRUE)))</f>
        <v>0</v>
      </c>
      <c r="AX11" s="419" t="b">
        <f t="shared" ref="AX11:AX42" si="19">IF(ISNA(Z11),FALSE,IF(OR(AB11=0,G11=0,Z11=1,Z11=2,J11="NA"),FALSE,IF(AK11="NG",IF(NOT(ISBLANK(K11)),FALSE,TRUE),IF(J11&gt;=G11,FALSE,TRUE))))</f>
        <v>0</v>
      </c>
      <c r="AY11" s="420" t="b">
        <f t="shared" ref="AY11:AY42" si="20">IF(ISNA(Z11),FALSE,IF(OR(AB11=1,G11&lt;1,Z11=1,Z11=2,AE11=0,ISBLANK(K11)),FALSE,IF(OR(J11="NA",K11&gt;=BI11),FALSE,TRUE)))</f>
        <v>0</v>
      </c>
      <c r="AZ11" s="419" t="b">
        <f t="shared" ref="AZ11:AZ42" si="21">IF(ISNA(Z11),FALSE,IF(OR(AB11=0,G11=0,Z11=1,Z11=2,AE11=0,BI11="NG",K11="",ISBLANK(K11)),FALSE,IF(OR(J11="NA",K11&gt;=AK11),FALSE,TRUE)))</f>
        <v>0</v>
      </c>
      <c r="BA11" s="421" t="b">
        <f t="shared" ref="BA11:BA42" si="22">IF(ISNA(Z11),FALSE,IF(OR(AB11=1,G11&lt;1,Z11=1,Z11=2,AE11=0),FALSE,IF(J11="NA",TRUE,FALSE)))</f>
        <v>0</v>
      </c>
      <c r="BB11" s="421" t="b">
        <f t="shared" ref="BB11:BB42" si="23">IF(ISNA(Z11),FALSE,IF(OR(AB11=0,G11=0,Z11=1,Z11=2),FALSE,IF(J11="NA",TRUE,FALSE)))</f>
        <v>0</v>
      </c>
      <c r="BC11" s="420" t="b">
        <f t="shared" ref="BC11:BC42" si="24">IF(OR(ISNA($Z11),ISNUMBER($Z11),NOT(ISNUMBER($J11)),K11="D"),FALSE,IF(AND(NOT(ISNUMBER($K11)),J11&gt;0),TRUE,FALSE))</f>
        <v>0</v>
      </c>
      <c r="BD11" s="393" t="b">
        <f t="shared" ref="BD11:BD42" si="25">IF(OR(ISNA($Z11),ISNUMBER($Z11),NOT(ISNUMBER(K11))),FALSE,OR(NOT(ISNUMBER(J11)),J11=0,AND(J11=0,K11&lt;&gt;0)))</f>
        <v>0</v>
      </c>
      <c r="BE11" s="419" t="b">
        <f t="shared" ref="BE11:BE42" si="26">IF(OR(ISNA($Z11),K11&lt;&gt;"D"),FALSE,IF(OR(AND(H11="NG",J11=0),AND(H11&lt;&gt;"NG",NOT(OR(J11="NA",J11=0)))),TRUE,FALSE))</f>
        <v>0</v>
      </c>
      <c r="BF11" s="418" t="b">
        <f t="shared" ref="BF11:BF42" si="27">IF(OR(ISNA($Z11),H11&lt;&gt;"NG"),FALSE,IF(AND(J11="NA",K11&lt;&gt;""),TRUE,FALSE))</f>
        <v>0</v>
      </c>
      <c r="BG11" s="417" t="b">
        <f t="shared" ref="BG11:BG42" si="28">IF(ISNA($Z11),"NA",IF(OR(AZ11,AY11,AX11,AW11,AP11,BA11,BB11),TRUE,FALSE))</f>
        <v>0</v>
      </c>
      <c r="BH11" s="435" t="str">
        <f t="shared" ref="BH11:BH42" si="29">IF(ISNA($Z11),"",IF(OR($Z11=1,$Z11=2),"",$V11))</f>
        <v/>
      </c>
      <c r="BI11" s="417" t="str">
        <f t="shared" ref="BI11:BI42" si="30">IF(ISNA($Z11),"",IF(OR($Z11=1,$Z11=2,$G11=""),"",IF(AB11=0,AH11,$AD11)))</f>
        <v/>
      </c>
      <c r="BJ11" s="417" t="str">
        <f t="shared" ref="BJ11:BJ42" si="31">IF(ISNA(AE11),"",IF(OR(Z11=1,Z11=2),"",IF(OR(AE11=0,AD11="NG"),TEXT(BI11,"0"),CONCATENATE(TEXT(BI11,"0"),"*"))))</f>
        <v/>
      </c>
      <c r="BK11" s="417" t="str">
        <f t="shared" ref="BK11:BK42" si="32">IF(ISNA($Z11),"",IF(OR($Z11=1,$Z11=2,$G11=""),"",IF(AB11=0,AG11,$AC11)))</f>
        <v/>
      </c>
      <c r="BL11" s="435" t="str">
        <f t="shared" ref="BL11:BL42" si="33">IF(ISBLANK(BH11),"",IF(BH11=0,"",BH11))</f>
        <v/>
      </c>
      <c r="BM11" s="417" t="str">
        <f t="shared" ref="BM11:BM42" si="34">IF($BH11=0,"",IF($BI11="NG","D",$BI11))</f>
        <v/>
      </c>
      <c r="BN11" s="417" t="str">
        <f t="shared" ref="BN11:BN42" si="35">IF(ISNA(U11),"",IF($BH11=0,"",IF($BI11="NG","D",BK11)))</f>
        <v/>
      </c>
      <c r="BO11" s="457" t="s">
        <v>213</v>
      </c>
      <c r="BP11" s="434"/>
    </row>
    <row r="12" spans="2:73" s="416" customFormat="1" ht="12.95" customHeight="1" x14ac:dyDescent="0.25">
      <c r="B12" s="433">
        <f>IF(ISNA(Z12),"",IF(OR(Z12=1,Z12=2),"    ",MAX($B$11:B11)+1))</f>
        <v>1</v>
      </c>
      <c r="C12" s="1618" t="str">
        <f t="shared" si="0"/>
        <v xml:space="preserve">      - Executive Summary (8.0%)</v>
      </c>
      <c r="D12" s="1618"/>
      <c r="E12" s="1618"/>
      <c r="F12" s="1619"/>
      <c r="G12" s="437">
        <f t="shared" si="1"/>
        <v>1</v>
      </c>
      <c r="H12" s="431" t="str">
        <f t="shared" si="2"/>
        <v>2*</v>
      </c>
      <c r="I12" s="436">
        <f t="shared" si="3"/>
        <v>3</v>
      </c>
      <c r="J12" s="456"/>
      <c r="K12" s="448"/>
      <c r="L12" s="1612"/>
      <c r="M12" s="1613"/>
      <c r="N12" s="1613"/>
      <c r="O12" s="1613"/>
      <c r="P12" s="1613"/>
      <c r="Q12" s="1613"/>
      <c r="R12" s="1614"/>
      <c r="T12" s="401">
        <v>2</v>
      </c>
      <c r="U12" s="374" t="s">
        <v>290</v>
      </c>
      <c r="V12" s="421">
        <v>1</v>
      </c>
      <c r="W12" s="421">
        <v>2.6666660000000002</v>
      </c>
      <c r="X12" s="421" t="s">
        <v>212</v>
      </c>
      <c r="Y12" s="421" t="s">
        <v>212</v>
      </c>
      <c r="Z12" s="393" t="s">
        <v>212</v>
      </c>
      <c r="AA12" s="393">
        <v>2</v>
      </c>
      <c r="AB12" s="393">
        <v>1</v>
      </c>
      <c r="AC12" s="421">
        <v>3</v>
      </c>
      <c r="AD12" s="421">
        <v>2</v>
      </c>
      <c r="AE12" s="421">
        <v>1</v>
      </c>
      <c r="AF12" s="421" t="b">
        <v>1</v>
      </c>
      <c r="AG12" s="421">
        <f t="shared" si="4"/>
        <v>2</v>
      </c>
      <c r="AH12" s="421">
        <f t="shared" si="5"/>
        <v>1</v>
      </c>
      <c r="AI12" s="427">
        <f>IF(NOT(OR(Z12=1,Z12=2)),IF(AQ12&gt;0,$AR$47*AQ12/SUMIF($AQ$11:$AQ$42,"&gt;0"),IF(AU12&gt;0,$AV$47*AU12/SUMIF($AU$11:$AU$42,"&gt;0"),IF(AS12&gt;0,$AT$47*AS12/SUMIF($AS$11:$AS$42,"&gt;0"),""))),IF(SUMIF(AJ13:$AJ$42,"=" &amp; AJ12,AI13:$AI$42)=0,"",SUMIF(AJ13:$AJ$42,"=" &amp; AJ12,AI13:$AI$42)))</f>
        <v>8.0000283297074051E-2</v>
      </c>
      <c r="AJ12" s="426">
        <f t="shared" ref="AJ12:AJ42" si="36">IF(OR(Z12=1,Z12=2,AA12&lt;AA11),AJ11+1,AJ11)</f>
        <v>0</v>
      </c>
      <c r="AK12" s="421">
        <f t="shared" si="6"/>
        <v>2</v>
      </c>
      <c r="AL12" s="393" t="str">
        <f t="shared" si="7"/>
        <v/>
      </c>
      <c r="AM12" s="393" t="str">
        <f t="shared" si="8"/>
        <v/>
      </c>
      <c r="AN12" s="393" t="str">
        <f t="shared" si="9"/>
        <v/>
      </c>
      <c r="AO12" s="393" t="str">
        <f t="shared" si="10"/>
        <v/>
      </c>
      <c r="AP12" s="421" t="b">
        <f t="shared" si="11"/>
        <v>1</v>
      </c>
      <c r="AQ12" s="425">
        <f t="shared" si="12"/>
        <v>2.6666660000000002</v>
      </c>
      <c r="AR12" s="423" t="str">
        <f t="shared" si="13"/>
        <v/>
      </c>
      <c r="AS12" s="424">
        <f t="shared" si="14"/>
        <v>0</v>
      </c>
      <c r="AT12" s="423" t="str">
        <f t="shared" si="15"/>
        <v/>
      </c>
      <c r="AU12" s="420">
        <f t="shared" si="16"/>
        <v>0</v>
      </c>
      <c r="AV12" s="422" t="str">
        <f t="shared" si="17"/>
        <v/>
      </c>
      <c r="AW12" s="420" t="b">
        <f t="shared" si="18"/>
        <v>0</v>
      </c>
      <c r="AX12" s="419" t="b">
        <f t="shared" si="19"/>
        <v>1</v>
      </c>
      <c r="AY12" s="420" t="b">
        <f t="shared" si="20"/>
        <v>0</v>
      </c>
      <c r="AZ12" s="419" t="b">
        <f t="shared" si="21"/>
        <v>0</v>
      </c>
      <c r="BA12" s="421" t="b">
        <f t="shared" si="22"/>
        <v>0</v>
      </c>
      <c r="BB12" s="421" t="b">
        <f t="shared" si="23"/>
        <v>0</v>
      </c>
      <c r="BC12" s="420" t="b">
        <f t="shared" si="24"/>
        <v>0</v>
      </c>
      <c r="BD12" s="393" t="b">
        <f t="shared" si="25"/>
        <v>0</v>
      </c>
      <c r="BE12" s="419" t="b">
        <f t="shared" si="26"/>
        <v>0</v>
      </c>
      <c r="BF12" s="418" t="b">
        <f t="shared" si="27"/>
        <v>0</v>
      </c>
      <c r="BG12" s="417" t="b">
        <f t="shared" si="28"/>
        <v>1</v>
      </c>
      <c r="BH12" s="417">
        <f t="shared" si="29"/>
        <v>1</v>
      </c>
      <c r="BI12" s="417">
        <f t="shared" si="30"/>
        <v>2</v>
      </c>
      <c r="BJ12" s="417" t="str">
        <f t="shared" si="31"/>
        <v>2*</v>
      </c>
      <c r="BK12" s="417">
        <f t="shared" si="32"/>
        <v>3</v>
      </c>
      <c r="BL12" s="435">
        <f t="shared" si="33"/>
        <v>1</v>
      </c>
      <c r="BM12" s="417">
        <f t="shared" si="34"/>
        <v>2</v>
      </c>
      <c r="BN12" s="417">
        <f t="shared" si="35"/>
        <v>3</v>
      </c>
      <c r="BO12" s="439" t="s">
        <v>214</v>
      </c>
      <c r="BP12" s="455" t="s">
        <v>139</v>
      </c>
    </row>
    <row r="13" spans="2:73" s="416" customFormat="1" ht="12.95" customHeight="1" x14ac:dyDescent="0.25">
      <c r="B13" s="433">
        <f>IF(ISNA(Z13),"",IF(OR(Z13=1,Z13=2),"    ",MAX($B$11:B12)+1))</f>
        <v>2</v>
      </c>
      <c r="C13" s="1618" t="str">
        <f t="shared" si="0"/>
        <v xml:space="preserve">      - Report Org. &amp; Structure (10.0%)</v>
      </c>
      <c r="D13" s="1618"/>
      <c r="E13" s="1618"/>
      <c r="F13" s="1619"/>
      <c r="G13" s="437">
        <f t="shared" si="1"/>
        <v>1</v>
      </c>
      <c r="H13" s="431" t="str">
        <f t="shared" si="2"/>
        <v>2*</v>
      </c>
      <c r="I13" s="436">
        <f t="shared" si="3"/>
        <v>3</v>
      </c>
      <c r="J13" s="449"/>
      <c r="K13" s="448"/>
      <c r="L13" s="1612"/>
      <c r="M13" s="1613"/>
      <c r="N13" s="1613"/>
      <c r="O13" s="1613"/>
      <c r="P13" s="1613"/>
      <c r="Q13" s="1613"/>
      <c r="R13" s="1614"/>
      <c r="T13" s="401">
        <v>3</v>
      </c>
      <c r="U13" s="374" t="s">
        <v>645</v>
      </c>
      <c r="V13" s="421">
        <v>1</v>
      </c>
      <c r="W13" s="421">
        <v>3.3333330000000001</v>
      </c>
      <c r="X13" s="421" t="s">
        <v>212</v>
      </c>
      <c r="Y13" s="421" t="s">
        <v>212</v>
      </c>
      <c r="Z13" s="393" t="s">
        <v>212</v>
      </c>
      <c r="AA13" s="393">
        <v>2</v>
      </c>
      <c r="AB13" s="393">
        <v>1</v>
      </c>
      <c r="AC13" s="421">
        <v>3</v>
      </c>
      <c r="AD13" s="421">
        <v>2</v>
      </c>
      <c r="AE13" s="421">
        <v>1</v>
      </c>
      <c r="AF13" s="421" t="b">
        <v>1</v>
      </c>
      <c r="AG13" s="421">
        <f t="shared" si="4"/>
        <v>2</v>
      </c>
      <c r="AH13" s="421">
        <f t="shared" si="5"/>
        <v>1</v>
      </c>
      <c r="AI13" s="427">
        <f>IF(NOT(OR(Z13=1,Z13=2)),IF(AQ13&gt;0,$AR$47*AQ13/SUMIF($AQ$11:$AQ$42,"&gt;0"),IF(AU13&gt;0,$AV$47*AU13/SUMIF($AU$11:$AU$42,"&gt;0"),IF(AS13&gt;0,$AT$47*AS13/SUMIF($AS$11:$AS$42,"&gt;0"),""))),IF(SUMIF(AJ14:$AJ$42,"=" &amp; AJ13,AI14:$AI$42)=0,"",SUMIF(AJ14:$AJ$42,"=" &amp; AJ13,AI14:$AI$42)))</f>
        <v>0.10000036912139942</v>
      </c>
      <c r="AJ13" s="426">
        <f t="shared" si="36"/>
        <v>0</v>
      </c>
      <c r="AK13" s="421">
        <f t="shared" si="6"/>
        <v>2</v>
      </c>
      <c r="AL13" s="393" t="str">
        <f t="shared" si="7"/>
        <v/>
      </c>
      <c r="AM13" s="393" t="str">
        <f t="shared" si="8"/>
        <v/>
      </c>
      <c r="AN13" s="393" t="str">
        <f t="shared" si="9"/>
        <v/>
      </c>
      <c r="AO13" s="393" t="str">
        <f t="shared" si="10"/>
        <v/>
      </c>
      <c r="AP13" s="421" t="b">
        <f t="shared" si="11"/>
        <v>1</v>
      </c>
      <c r="AQ13" s="425">
        <f t="shared" si="12"/>
        <v>3.3333330000000001</v>
      </c>
      <c r="AR13" s="423" t="str">
        <f t="shared" si="13"/>
        <v/>
      </c>
      <c r="AS13" s="424">
        <f t="shared" si="14"/>
        <v>0</v>
      </c>
      <c r="AT13" s="423" t="str">
        <f t="shared" si="15"/>
        <v/>
      </c>
      <c r="AU13" s="420">
        <f t="shared" si="16"/>
        <v>0</v>
      </c>
      <c r="AV13" s="422" t="str">
        <f t="shared" si="17"/>
        <v/>
      </c>
      <c r="AW13" s="420" t="b">
        <f t="shared" si="18"/>
        <v>0</v>
      </c>
      <c r="AX13" s="419" t="b">
        <f t="shared" si="19"/>
        <v>1</v>
      </c>
      <c r="AY13" s="420" t="b">
        <f t="shared" si="20"/>
        <v>0</v>
      </c>
      <c r="AZ13" s="419" t="b">
        <f t="shared" si="21"/>
        <v>0</v>
      </c>
      <c r="BA13" s="421" t="b">
        <f t="shared" si="22"/>
        <v>0</v>
      </c>
      <c r="BB13" s="421" t="b">
        <f t="shared" si="23"/>
        <v>0</v>
      </c>
      <c r="BC13" s="420" t="b">
        <f t="shared" si="24"/>
        <v>0</v>
      </c>
      <c r="BD13" s="393" t="b">
        <f t="shared" si="25"/>
        <v>0</v>
      </c>
      <c r="BE13" s="419" t="b">
        <f t="shared" si="26"/>
        <v>0</v>
      </c>
      <c r="BF13" s="418" t="b">
        <f t="shared" si="27"/>
        <v>0</v>
      </c>
      <c r="BG13" s="417" t="b">
        <f t="shared" si="28"/>
        <v>1</v>
      </c>
      <c r="BH13" s="417">
        <f t="shared" si="29"/>
        <v>1</v>
      </c>
      <c r="BI13" s="417">
        <f t="shared" si="30"/>
        <v>2</v>
      </c>
      <c r="BJ13" s="417" t="str">
        <f t="shared" si="31"/>
        <v>2*</v>
      </c>
      <c r="BK13" s="417">
        <f t="shared" si="32"/>
        <v>3</v>
      </c>
      <c r="BL13" s="435">
        <f t="shared" si="33"/>
        <v>1</v>
      </c>
      <c r="BM13" s="417">
        <f t="shared" si="34"/>
        <v>2</v>
      </c>
      <c r="BN13" s="417">
        <f t="shared" si="35"/>
        <v>3</v>
      </c>
      <c r="BO13" s="439">
        <v>0</v>
      </c>
      <c r="BP13" s="455" t="s">
        <v>287</v>
      </c>
    </row>
    <row r="14" spans="2:73" s="416" customFormat="1" ht="12.95" customHeight="1" x14ac:dyDescent="0.25">
      <c r="B14" s="433">
        <f>IF(ISNA(Z14),"",IF(OR(Z14=1,Z14=2),"    ",MAX($B$11:B13)+1))</f>
        <v>3</v>
      </c>
      <c r="C14" s="1618" t="str">
        <f t="shared" si="0"/>
        <v xml:space="preserve">      - Logical Chain of Reasoning (12.0%)</v>
      </c>
      <c r="D14" s="1618"/>
      <c r="E14" s="1618"/>
      <c r="F14" s="1619"/>
      <c r="G14" s="437">
        <f t="shared" si="1"/>
        <v>1</v>
      </c>
      <c r="H14" s="431" t="str">
        <f t="shared" si="2"/>
        <v>2*</v>
      </c>
      <c r="I14" s="436">
        <f t="shared" si="3"/>
        <v>3</v>
      </c>
      <c r="J14" s="449"/>
      <c r="K14" s="448"/>
      <c r="L14" s="1612"/>
      <c r="M14" s="1613"/>
      <c r="N14" s="1613"/>
      <c r="O14" s="1613"/>
      <c r="P14" s="1613"/>
      <c r="Q14" s="1613"/>
      <c r="R14" s="1614"/>
      <c r="T14" s="401">
        <v>4</v>
      </c>
      <c r="U14" s="374" t="s">
        <v>644</v>
      </c>
      <c r="V14" s="421">
        <v>1</v>
      </c>
      <c r="W14" s="421">
        <v>4</v>
      </c>
      <c r="X14" s="421" t="s">
        <v>212</v>
      </c>
      <c r="Y14" s="421" t="s">
        <v>212</v>
      </c>
      <c r="Z14" s="393" t="s">
        <v>212</v>
      </c>
      <c r="AA14" s="393">
        <v>2</v>
      </c>
      <c r="AB14" s="393">
        <v>1</v>
      </c>
      <c r="AC14" s="421">
        <v>3</v>
      </c>
      <c r="AD14" s="421">
        <v>2</v>
      </c>
      <c r="AE14" s="421">
        <v>1</v>
      </c>
      <c r="AF14" s="421" t="b">
        <v>1</v>
      </c>
      <c r="AG14" s="421">
        <f t="shared" si="4"/>
        <v>2</v>
      </c>
      <c r="AH14" s="421">
        <f t="shared" si="5"/>
        <v>1</v>
      </c>
      <c r="AI14" s="427">
        <f>IF(NOT(OR(Z14=1,Z14=2)),IF(AQ14&gt;0,$AR$47*AQ14/SUMIF($AQ$11:$AQ$42,"&gt;0"),IF(AU14&gt;0,$AV$47*AU14/SUMIF($AU$11:$AU$42,"&gt;0"),IF(AS14&gt;0,$AT$47*AS14/SUMIF($AS$11:$AS$42,"&gt;0"),""))),IF(SUMIF(AJ15:$AJ$42,"=" &amp; AJ14,AI15:$AI$42)=0,"",SUMIF(AJ15:$AJ$42,"=" &amp; AJ14,AI15:$AI$42)))</f>
        <v>0.1200004549457248</v>
      </c>
      <c r="AJ14" s="426">
        <f t="shared" si="36"/>
        <v>0</v>
      </c>
      <c r="AK14" s="421">
        <f t="shared" si="6"/>
        <v>2</v>
      </c>
      <c r="AL14" s="393" t="str">
        <f t="shared" si="7"/>
        <v/>
      </c>
      <c r="AM14" s="393" t="str">
        <f t="shared" si="8"/>
        <v/>
      </c>
      <c r="AN14" s="393" t="str">
        <f t="shared" si="9"/>
        <v/>
      </c>
      <c r="AO14" s="393" t="str">
        <f t="shared" si="10"/>
        <v/>
      </c>
      <c r="AP14" s="421" t="b">
        <f t="shared" si="11"/>
        <v>1</v>
      </c>
      <c r="AQ14" s="425">
        <f t="shared" si="12"/>
        <v>4</v>
      </c>
      <c r="AR14" s="423" t="str">
        <f t="shared" si="13"/>
        <v/>
      </c>
      <c r="AS14" s="424">
        <f t="shared" si="14"/>
        <v>0</v>
      </c>
      <c r="AT14" s="423" t="str">
        <f t="shared" si="15"/>
        <v/>
      </c>
      <c r="AU14" s="420">
        <f t="shared" si="16"/>
        <v>0</v>
      </c>
      <c r="AV14" s="422" t="str">
        <f t="shared" si="17"/>
        <v/>
      </c>
      <c r="AW14" s="420" t="b">
        <f t="shared" si="18"/>
        <v>0</v>
      </c>
      <c r="AX14" s="419" t="b">
        <f t="shared" si="19"/>
        <v>1</v>
      </c>
      <c r="AY14" s="420" t="b">
        <f t="shared" si="20"/>
        <v>0</v>
      </c>
      <c r="AZ14" s="419" t="b">
        <f t="shared" si="21"/>
        <v>0</v>
      </c>
      <c r="BA14" s="421" t="b">
        <f t="shared" si="22"/>
        <v>0</v>
      </c>
      <c r="BB14" s="421" t="b">
        <f t="shared" si="23"/>
        <v>0</v>
      </c>
      <c r="BC14" s="420" t="b">
        <f t="shared" si="24"/>
        <v>0</v>
      </c>
      <c r="BD14" s="393" t="b">
        <f t="shared" si="25"/>
        <v>0</v>
      </c>
      <c r="BE14" s="419" t="b">
        <f t="shared" si="26"/>
        <v>0</v>
      </c>
      <c r="BF14" s="418" t="b">
        <f t="shared" si="27"/>
        <v>0</v>
      </c>
      <c r="BG14" s="417" t="b">
        <f t="shared" si="28"/>
        <v>1</v>
      </c>
      <c r="BH14" s="417">
        <f t="shared" si="29"/>
        <v>1</v>
      </c>
      <c r="BI14" s="417">
        <f t="shared" si="30"/>
        <v>2</v>
      </c>
      <c r="BJ14" s="417" t="str">
        <f t="shared" si="31"/>
        <v>2*</v>
      </c>
      <c r="BK14" s="417">
        <f t="shared" si="32"/>
        <v>3</v>
      </c>
      <c r="BL14" s="435">
        <f t="shared" si="33"/>
        <v>1</v>
      </c>
      <c r="BM14" s="417">
        <f t="shared" si="34"/>
        <v>2</v>
      </c>
      <c r="BN14" s="417">
        <f t="shared" si="35"/>
        <v>3</v>
      </c>
      <c r="BO14" s="439">
        <v>1</v>
      </c>
      <c r="BP14" s="455" t="s">
        <v>288</v>
      </c>
    </row>
    <row r="15" spans="2:73" s="416" customFormat="1" ht="12.95" customHeight="1" x14ac:dyDescent="0.25">
      <c r="B15" s="433" t="str">
        <f>IF(ISNA(Z15),"",IF(OR(Z15=1,Z15=2),"    ",MAX($B$11:B14)+1))</f>
        <v xml:space="preserve">    </v>
      </c>
      <c r="C15" s="1618" t="str">
        <f t="shared" si="0"/>
        <v>GTO 1 - Cruise Control (20.0%)</v>
      </c>
      <c r="D15" s="1618"/>
      <c r="E15" s="1618"/>
      <c r="F15" s="1619"/>
      <c r="G15" s="437" t="str">
        <f t="shared" si="1"/>
        <v/>
      </c>
      <c r="H15" s="431" t="str">
        <f t="shared" si="2"/>
        <v/>
      </c>
      <c r="I15" s="436" t="str">
        <f t="shared" si="3"/>
        <v/>
      </c>
      <c r="J15" s="429"/>
      <c r="K15" s="428"/>
      <c r="L15" s="1612"/>
      <c r="M15" s="1613"/>
      <c r="N15" s="1613"/>
      <c r="O15" s="1613"/>
      <c r="P15" s="1613"/>
      <c r="Q15" s="1613"/>
      <c r="R15" s="1614"/>
      <c r="T15" s="401">
        <v>5</v>
      </c>
      <c r="U15" s="374" t="s">
        <v>662</v>
      </c>
      <c r="V15" s="421" t="s">
        <v>212</v>
      </c>
      <c r="W15" s="421" t="s">
        <v>212</v>
      </c>
      <c r="X15" s="421" t="s">
        <v>212</v>
      </c>
      <c r="Y15" s="421" t="s">
        <v>212</v>
      </c>
      <c r="Z15" s="393">
        <v>2</v>
      </c>
      <c r="AA15" s="393">
        <v>1</v>
      </c>
      <c r="AB15" s="393">
        <v>1</v>
      </c>
      <c r="AC15" s="421" t="s">
        <v>212</v>
      </c>
      <c r="AD15" s="421" t="s">
        <v>212</v>
      </c>
      <c r="AE15" s="421" t="s">
        <v>212</v>
      </c>
      <c r="AF15" s="421" t="s">
        <v>212</v>
      </c>
      <c r="AG15" s="421" t="str">
        <f t="shared" si="4"/>
        <v/>
      </c>
      <c r="AH15" s="421" t="str">
        <f t="shared" si="5"/>
        <v/>
      </c>
      <c r="AI15" s="427">
        <f>IF(NOT(OR(Z15=1,Z15=2)),IF(AQ15&gt;0,$AR$47*AQ15/SUMIF($AQ$11:$AQ$42,"&gt;0"),IF(AU15&gt;0,$AV$47*AU15/SUMIF($AU$11:$AU$42,"&gt;0"),IF(AS15&gt;0,$AT$47*AS15/SUMIF($AS$11:$AS$42,"&gt;0"),""))),IF(SUMIF(AJ16:$AJ$42,"=" &amp; AJ15,AI16:$AI$42)=0,"",SUMIF(AJ16:$AJ$42,"=" &amp; AJ15,AI16:$AI$42)))</f>
        <v>0.19999941823779444</v>
      </c>
      <c r="AJ15" s="426">
        <f t="shared" si="36"/>
        <v>1</v>
      </c>
      <c r="AK15" s="421" t="str">
        <f t="shared" si="6"/>
        <v/>
      </c>
      <c r="AL15" s="393" t="str">
        <f t="shared" si="7"/>
        <v/>
      </c>
      <c r="AM15" s="393" t="str">
        <f t="shared" si="8"/>
        <v/>
      </c>
      <c r="AN15" s="393" t="str">
        <f t="shared" si="9"/>
        <v/>
      </c>
      <c r="AO15" s="393" t="str">
        <f t="shared" si="10"/>
        <v/>
      </c>
      <c r="AP15" s="421" t="str">
        <f t="shared" si="11"/>
        <v/>
      </c>
      <c r="AQ15" s="425">
        <f t="shared" si="12"/>
        <v>0</v>
      </c>
      <c r="AR15" s="423" t="str">
        <f t="shared" si="13"/>
        <v/>
      </c>
      <c r="AS15" s="424">
        <f t="shared" si="14"/>
        <v>0</v>
      </c>
      <c r="AT15" s="423" t="str">
        <f t="shared" si="15"/>
        <v/>
      </c>
      <c r="AU15" s="420">
        <f t="shared" si="16"/>
        <v>0</v>
      </c>
      <c r="AV15" s="422" t="str">
        <f t="shared" si="17"/>
        <v/>
      </c>
      <c r="AW15" s="420" t="b">
        <f t="shared" si="18"/>
        <v>0</v>
      </c>
      <c r="AX15" s="419" t="b">
        <f t="shared" si="19"/>
        <v>0</v>
      </c>
      <c r="AY15" s="420" t="b">
        <f t="shared" si="20"/>
        <v>0</v>
      </c>
      <c r="AZ15" s="419" t="b">
        <f t="shared" si="21"/>
        <v>0</v>
      </c>
      <c r="BA15" s="421" t="b">
        <f t="shared" si="22"/>
        <v>0</v>
      </c>
      <c r="BB15" s="421" t="b">
        <f t="shared" si="23"/>
        <v>0</v>
      </c>
      <c r="BC15" s="420" t="b">
        <f t="shared" si="24"/>
        <v>0</v>
      </c>
      <c r="BD15" s="393" t="b">
        <f t="shared" si="25"/>
        <v>0</v>
      </c>
      <c r="BE15" s="419" t="b">
        <f t="shared" si="26"/>
        <v>0</v>
      </c>
      <c r="BF15" s="418" t="b">
        <f t="shared" si="27"/>
        <v>0</v>
      </c>
      <c r="BG15" s="417" t="b">
        <f t="shared" si="28"/>
        <v>0</v>
      </c>
      <c r="BH15" s="417" t="str">
        <f t="shared" si="29"/>
        <v/>
      </c>
      <c r="BI15" s="417" t="str">
        <f t="shared" si="30"/>
        <v/>
      </c>
      <c r="BJ15" s="417" t="str">
        <f t="shared" si="31"/>
        <v/>
      </c>
      <c r="BK15" s="417" t="str">
        <f t="shared" si="32"/>
        <v/>
      </c>
      <c r="BL15" s="435" t="str">
        <f t="shared" si="33"/>
        <v/>
      </c>
      <c r="BM15" s="417" t="str">
        <f t="shared" si="34"/>
        <v/>
      </c>
      <c r="BN15" s="417" t="str">
        <f t="shared" si="35"/>
        <v/>
      </c>
      <c r="BO15" s="439">
        <v>2</v>
      </c>
      <c r="BP15" s="455" t="s">
        <v>218</v>
      </c>
    </row>
    <row r="16" spans="2:73" s="416" customFormat="1" ht="12.95" customHeight="1" x14ac:dyDescent="0.25">
      <c r="B16" s="433">
        <f>IF(ISNA(Z16),"",IF(OR(Z16=1,Z16=2),"    ",MAX($B$11:B15)+1))</f>
        <v>4</v>
      </c>
      <c r="C16" s="1618" t="str">
        <f t="shared" si="0"/>
        <v xml:space="preserve">      - STO 1 - Vehicle Speed (6.7%)</v>
      </c>
      <c r="D16" s="1618"/>
      <c r="E16" s="1618"/>
      <c r="F16" s="1619"/>
      <c r="G16" s="437">
        <f t="shared" si="1"/>
        <v>1</v>
      </c>
      <c r="H16" s="431" t="str">
        <f t="shared" si="2"/>
        <v>2*</v>
      </c>
      <c r="I16" s="436">
        <f t="shared" si="3"/>
        <v>3</v>
      </c>
      <c r="J16" s="449"/>
      <c r="K16" s="448"/>
      <c r="L16" s="1612"/>
      <c r="M16" s="1613"/>
      <c r="N16" s="1613"/>
      <c r="O16" s="1613"/>
      <c r="P16" s="1613"/>
      <c r="Q16" s="1613"/>
      <c r="R16" s="1614"/>
      <c r="T16" s="401">
        <v>6</v>
      </c>
      <c r="U16" s="374" t="s">
        <v>661</v>
      </c>
      <c r="V16" s="421">
        <v>1</v>
      </c>
      <c r="W16" s="421">
        <v>2.2222219999999999</v>
      </c>
      <c r="X16" s="421" t="s">
        <v>212</v>
      </c>
      <c r="Y16" s="421" t="s">
        <v>212</v>
      </c>
      <c r="Z16" s="393" t="s">
        <v>212</v>
      </c>
      <c r="AA16" s="393">
        <v>2</v>
      </c>
      <c r="AB16" s="393">
        <v>1</v>
      </c>
      <c r="AC16" s="421">
        <v>3</v>
      </c>
      <c r="AD16" s="421">
        <v>2</v>
      </c>
      <c r="AE16" s="421">
        <v>1</v>
      </c>
      <c r="AF16" s="421" t="b">
        <v>1</v>
      </c>
      <c r="AG16" s="421">
        <f t="shared" si="4"/>
        <v>2</v>
      </c>
      <c r="AH16" s="421">
        <f t="shared" si="5"/>
        <v>1</v>
      </c>
      <c r="AI16" s="427">
        <f>IF(NOT(OR(Z16=1,Z16=2)),IF(AQ16&gt;0,$AR$47*AQ16/SUMIF($AQ$11:$AQ$42,"&gt;0"),IF(AU16&gt;0,$AV$47*AU16/SUMIF($AU$11:$AU$42,"&gt;0"),IF(AS16&gt;0,$AT$47*AS16/SUMIF($AS$11:$AS$42,"&gt;0"),""))),IF(SUMIF(AJ17:$AJ$42,"=" &amp; AJ16,AI17:$AI$42)=0,"",SUMIF(AJ17:$AJ$42,"=" &amp; AJ16,AI17:$AI$42)))</f>
        <v>6.6666912747599616E-2</v>
      </c>
      <c r="AJ16" s="426">
        <f t="shared" si="36"/>
        <v>1</v>
      </c>
      <c r="AK16" s="421">
        <f t="shared" si="6"/>
        <v>2</v>
      </c>
      <c r="AL16" s="393" t="str">
        <f t="shared" si="7"/>
        <v/>
      </c>
      <c r="AM16" s="393" t="str">
        <f t="shared" si="8"/>
        <v/>
      </c>
      <c r="AN16" s="393" t="str">
        <f t="shared" si="9"/>
        <v/>
      </c>
      <c r="AO16" s="393" t="str">
        <f t="shared" si="10"/>
        <v/>
      </c>
      <c r="AP16" s="421" t="b">
        <f t="shared" si="11"/>
        <v>1</v>
      </c>
      <c r="AQ16" s="425">
        <f t="shared" si="12"/>
        <v>2.2222219999999999</v>
      </c>
      <c r="AR16" s="423" t="str">
        <f t="shared" si="13"/>
        <v/>
      </c>
      <c r="AS16" s="424">
        <f t="shared" si="14"/>
        <v>0</v>
      </c>
      <c r="AT16" s="423" t="str">
        <f t="shared" si="15"/>
        <v/>
      </c>
      <c r="AU16" s="420">
        <f t="shared" si="16"/>
        <v>0</v>
      </c>
      <c r="AV16" s="422" t="str">
        <f t="shared" si="17"/>
        <v/>
      </c>
      <c r="AW16" s="420" t="b">
        <f t="shared" si="18"/>
        <v>0</v>
      </c>
      <c r="AX16" s="419" t="b">
        <f t="shared" si="19"/>
        <v>1</v>
      </c>
      <c r="AY16" s="420" t="b">
        <f t="shared" si="20"/>
        <v>0</v>
      </c>
      <c r="AZ16" s="419" t="b">
        <f t="shared" si="21"/>
        <v>0</v>
      </c>
      <c r="BA16" s="421" t="b">
        <f t="shared" si="22"/>
        <v>0</v>
      </c>
      <c r="BB16" s="421" t="b">
        <f t="shared" si="23"/>
        <v>0</v>
      </c>
      <c r="BC16" s="420" t="b">
        <f t="shared" si="24"/>
        <v>0</v>
      </c>
      <c r="BD16" s="393" t="b">
        <f t="shared" si="25"/>
        <v>0</v>
      </c>
      <c r="BE16" s="419" t="b">
        <f t="shared" si="26"/>
        <v>0</v>
      </c>
      <c r="BF16" s="418" t="b">
        <f t="shared" si="27"/>
        <v>0</v>
      </c>
      <c r="BG16" s="417" t="b">
        <f t="shared" si="28"/>
        <v>1</v>
      </c>
      <c r="BH16" s="417">
        <f t="shared" si="29"/>
        <v>1</v>
      </c>
      <c r="BI16" s="417">
        <f t="shared" si="30"/>
        <v>2</v>
      </c>
      <c r="BJ16" s="417" t="str">
        <f t="shared" si="31"/>
        <v>2*</v>
      </c>
      <c r="BK16" s="417">
        <f t="shared" si="32"/>
        <v>3</v>
      </c>
      <c r="BL16" s="435">
        <f t="shared" si="33"/>
        <v>1</v>
      </c>
      <c r="BM16" s="417">
        <f t="shared" si="34"/>
        <v>2</v>
      </c>
      <c r="BN16" s="417">
        <f t="shared" si="35"/>
        <v>3</v>
      </c>
      <c r="BO16" s="439">
        <v>3</v>
      </c>
      <c r="BP16" s="455" t="s">
        <v>220</v>
      </c>
    </row>
    <row r="17" spans="2:75" s="416" customFormat="1" ht="12.95" customHeight="1" x14ac:dyDescent="0.25">
      <c r="B17" s="433">
        <f>IF(ISNA(Z17),"",IF(OR(Z17=1,Z17=2),"    ",MAX($B$11:B16)+1))</f>
        <v>5</v>
      </c>
      <c r="C17" s="1618" t="str">
        <f t="shared" si="0"/>
        <v xml:space="preserve">      - STO 2 - Cruise Control Accuracy (6.7%)</v>
      </c>
      <c r="D17" s="1618"/>
      <c r="E17" s="1618"/>
      <c r="F17" s="1619"/>
      <c r="G17" s="437">
        <f t="shared" si="1"/>
        <v>1</v>
      </c>
      <c r="H17" s="431" t="str">
        <f t="shared" si="2"/>
        <v>2*</v>
      </c>
      <c r="I17" s="436">
        <f t="shared" si="3"/>
        <v>3</v>
      </c>
      <c r="J17" s="449"/>
      <c r="K17" s="448"/>
      <c r="L17" s="1612"/>
      <c r="M17" s="1613"/>
      <c r="N17" s="1613"/>
      <c r="O17" s="1613"/>
      <c r="P17" s="1613"/>
      <c r="Q17" s="1613"/>
      <c r="R17" s="1614"/>
      <c r="T17" s="401">
        <v>7</v>
      </c>
      <c r="U17" s="374" t="s">
        <v>660</v>
      </c>
      <c r="V17" s="421">
        <v>1</v>
      </c>
      <c r="W17" s="421">
        <v>2.2222</v>
      </c>
      <c r="X17" s="421" t="s">
        <v>212</v>
      </c>
      <c r="Y17" s="421" t="s">
        <v>212</v>
      </c>
      <c r="Z17" s="393" t="s">
        <v>212</v>
      </c>
      <c r="AA17" s="393">
        <v>2</v>
      </c>
      <c r="AB17" s="393">
        <v>1</v>
      </c>
      <c r="AC17" s="421">
        <v>3</v>
      </c>
      <c r="AD17" s="421">
        <v>2</v>
      </c>
      <c r="AE17" s="421">
        <v>1</v>
      </c>
      <c r="AF17" s="421" t="b">
        <v>1</v>
      </c>
      <c r="AG17" s="421">
        <f t="shared" si="4"/>
        <v>2</v>
      </c>
      <c r="AH17" s="421">
        <f t="shared" si="5"/>
        <v>1</v>
      </c>
      <c r="AI17" s="427">
        <f>IF(NOT(OR(Z17=1,Z17=2)),IF(AQ17&gt;0,$AR$47*AQ17/SUMIF($AQ$11:$AQ$42,"&gt;0"),IF(AU17&gt;0,$AV$47*AU17/SUMIF($AU$11:$AU$42,"&gt;0"),IF(AS17&gt;0,$AT$47*AS17/SUMIF($AS$11:$AS$42,"&gt;0"),""))),IF(SUMIF(AJ18:$AJ$42,"=" &amp; AJ17,AI18:$AI$42)=0,"",SUMIF(AJ18:$AJ$42,"=" &amp; AJ17,AI18:$AI$42)))</f>
        <v>6.666625274509741E-2</v>
      </c>
      <c r="AJ17" s="426">
        <f t="shared" si="36"/>
        <v>1</v>
      </c>
      <c r="AK17" s="421">
        <f t="shared" si="6"/>
        <v>2</v>
      </c>
      <c r="AL17" s="393" t="str">
        <f t="shared" si="7"/>
        <v/>
      </c>
      <c r="AM17" s="393" t="str">
        <f t="shared" si="8"/>
        <v/>
      </c>
      <c r="AN17" s="393" t="str">
        <f t="shared" si="9"/>
        <v/>
      </c>
      <c r="AO17" s="393" t="str">
        <f t="shared" si="10"/>
        <v/>
      </c>
      <c r="AP17" s="421" t="b">
        <f t="shared" si="11"/>
        <v>1</v>
      </c>
      <c r="AQ17" s="425">
        <f t="shared" si="12"/>
        <v>2.2222</v>
      </c>
      <c r="AR17" s="423" t="str">
        <f t="shared" si="13"/>
        <v/>
      </c>
      <c r="AS17" s="424">
        <f t="shared" si="14"/>
        <v>0</v>
      </c>
      <c r="AT17" s="423" t="str">
        <f t="shared" si="15"/>
        <v/>
      </c>
      <c r="AU17" s="420">
        <f t="shared" si="16"/>
        <v>0</v>
      </c>
      <c r="AV17" s="422" t="str">
        <f t="shared" si="17"/>
        <v/>
      </c>
      <c r="AW17" s="420" t="b">
        <f t="shared" si="18"/>
        <v>0</v>
      </c>
      <c r="AX17" s="419" t="b">
        <f t="shared" si="19"/>
        <v>1</v>
      </c>
      <c r="AY17" s="420" t="b">
        <f t="shared" si="20"/>
        <v>0</v>
      </c>
      <c r="AZ17" s="419" t="b">
        <f t="shared" si="21"/>
        <v>0</v>
      </c>
      <c r="BA17" s="421" t="b">
        <f t="shared" si="22"/>
        <v>0</v>
      </c>
      <c r="BB17" s="421" t="b">
        <f t="shared" si="23"/>
        <v>0</v>
      </c>
      <c r="BC17" s="420" t="b">
        <f t="shared" si="24"/>
        <v>0</v>
      </c>
      <c r="BD17" s="393" t="b">
        <f t="shared" si="25"/>
        <v>0</v>
      </c>
      <c r="BE17" s="419" t="b">
        <f t="shared" si="26"/>
        <v>0</v>
      </c>
      <c r="BF17" s="418" t="b">
        <f t="shared" si="27"/>
        <v>0</v>
      </c>
      <c r="BG17" s="417" t="b">
        <f t="shared" si="28"/>
        <v>1</v>
      </c>
      <c r="BH17" s="417">
        <f t="shared" si="29"/>
        <v>1</v>
      </c>
      <c r="BI17" s="417">
        <f t="shared" si="30"/>
        <v>2</v>
      </c>
      <c r="BJ17" s="417" t="str">
        <f t="shared" si="31"/>
        <v>2*</v>
      </c>
      <c r="BK17" s="417">
        <f t="shared" si="32"/>
        <v>3</v>
      </c>
      <c r="BL17" s="435">
        <f t="shared" si="33"/>
        <v>1</v>
      </c>
      <c r="BM17" s="417">
        <f t="shared" si="34"/>
        <v>2</v>
      </c>
      <c r="BN17" s="417">
        <f t="shared" si="35"/>
        <v>3</v>
      </c>
      <c r="BO17" s="439">
        <v>4</v>
      </c>
      <c r="BP17" s="455" t="s">
        <v>222</v>
      </c>
    </row>
    <row r="18" spans="2:75" s="416" customFormat="1" ht="12.95" customHeight="1" x14ac:dyDescent="0.25">
      <c r="B18" s="433">
        <f>IF(ISNA(Z18),"",IF(OR(Z18=1,Z18=2),"    ",MAX($B$11:B17)+1))</f>
        <v>6</v>
      </c>
      <c r="C18" s="1618" t="str">
        <f t="shared" si="0"/>
        <v xml:space="preserve">      - STO 3 - Cruise Control Interface (6.7%)</v>
      </c>
      <c r="D18" s="1618"/>
      <c r="E18" s="1618"/>
      <c r="F18" s="1619"/>
      <c r="G18" s="437">
        <f t="shared" si="1"/>
        <v>1</v>
      </c>
      <c r="H18" s="431" t="str">
        <f t="shared" si="2"/>
        <v>2*</v>
      </c>
      <c r="I18" s="436">
        <f t="shared" si="3"/>
        <v>3</v>
      </c>
      <c r="J18" s="449"/>
      <c r="K18" s="448"/>
      <c r="L18" s="1612"/>
      <c r="M18" s="1613"/>
      <c r="N18" s="1613"/>
      <c r="O18" s="1613"/>
      <c r="P18" s="1613"/>
      <c r="Q18" s="1613"/>
      <c r="R18" s="1614"/>
      <c r="T18" s="401">
        <v>8</v>
      </c>
      <c r="U18" s="374" t="s">
        <v>659</v>
      </c>
      <c r="V18" s="421">
        <v>1</v>
      </c>
      <c r="W18" s="421">
        <v>2.2222</v>
      </c>
      <c r="X18" s="421" t="s">
        <v>212</v>
      </c>
      <c r="Y18" s="421" t="s">
        <v>212</v>
      </c>
      <c r="Z18" s="393" t="s">
        <v>212</v>
      </c>
      <c r="AA18" s="393">
        <v>2</v>
      </c>
      <c r="AB18" s="393">
        <v>1</v>
      </c>
      <c r="AC18" s="421">
        <v>3</v>
      </c>
      <c r="AD18" s="421">
        <v>2</v>
      </c>
      <c r="AE18" s="421">
        <v>1</v>
      </c>
      <c r="AF18" s="421" t="b">
        <v>1</v>
      </c>
      <c r="AG18" s="421">
        <f t="shared" si="4"/>
        <v>2</v>
      </c>
      <c r="AH18" s="421">
        <f t="shared" si="5"/>
        <v>1</v>
      </c>
      <c r="AI18" s="427">
        <f>IF(NOT(OR(Z18=1,Z18=2)),IF(AQ18&gt;0,$AR$47*AQ18/SUMIF($AQ$11:$AQ$42,"&gt;0"),IF(AU18&gt;0,$AV$47*AU18/SUMIF($AU$11:$AU$42,"&gt;0"),IF(AS18&gt;0,$AT$47*AS18/SUMIF($AS$11:$AS$42,"&gt;0"),""))),IF(SUMIF(AJ19:$AJ$42,"=" &amp; AJ18,AI19:$AI$42)=0,"",SUMIF(AJ19:$AJ$42,"=" &amp; AJ18,AI19:$AI$42)))</f>
        <v>6.666625274509741E-2</v>
      </c>
      <c r="AJ18" s="426">
        <f t="shared" si="36"/>
        <v>1</v>
      </c>
      <c r="AK18" s="421">
        <f t="shared" si="6"/>
        <v>2</v>
      </c>
      <c r="AL18" s="393" t="str">
        <f t="shared" si="7"/>
        <v/>
      </c>
      <c r="AM18" s="393" t="str">
        <f t="shared" si="8"/>
        <v/>
      </c>
      <c r="AN18" s="393" t="str">
        <f t="shared" si="9"/>
        <v/>
      </c>
      <c r="AO18" s="393" t="str">
        <f t="shared" si="10"/>
        <v/>
      </c>
      <c r="AP18" s="421" t="b">
        <f t="shared" si="11"/>
        <v>1</v>
      </c>
      <c r="AQ18" s="425">
        <f t="shared" si="12"/>
        <v>2.2222</v>
      </c>
      <c r="AR18" s="423" t="str">
        <f t="shared" si="13"/>
        <v/>
      </c>
      <c r="AS18" s="424">
        <f t="shared" si="14"/>
        <v>0</v>
      </c>
      <c r="AT18" s="423" t="str">
        <f t="shared" si="15"/>
        <v/>
      </c>
      <c r="AU18" s="420">
        <f t="shared" si="16"/>
        <v>0</v>
      </c>
      <c r="AV18" s="422" t="str">
        <f t="shared" si="17"/>
        <v/>
      </c>
      <c r="AW18" s="420" t="b">
        <f t="shared" si="18"/>
        <v>0</v>
      </c>
      <c r="AX18" s="419" t="b">
        <f t="shared" si="19"/>
        <v>1</v>
      </c>
      <c r="AY18" s="420" t="b">
        <f t="shared" si="20"/>
        <v>0</v>
      </c>
      <c r="AZ18" s="419" t="b">
        <f t="shared" si="21"/>
        <v>0</v>
      </c>
      <c r="BA18" s="421" t="b">
        <f t="shared" si="22"/>
        <v>0</v>
      </c>
      <c r="BB18" s="421" t="b">
        <f t="shared" si="23"/>
        <v>0</v>
      </c>
      <c r="BC18" s="420" t="b">
        <f t="shared" si="24"/>
        <v>0</v>
      </c>
      <c r="BD18" s="393" t="b">
        <f t="shared" si="25"/>
        <v>0</v>
      </c>
      <c r="BE18" s="419" t="b">
        <f t="shared" si="26"/>
        <v>0</v>
      </c>
      <c r="BF18" s="418" t="b">
        <f t="shared" si="27"/>
        <v>0</v>
      </c>
      <c r="BG18" s="417" t="b">
        <f t="shared" si="28"/>
        <v>1</v>
      </c>
      <c r="BH18" s="417">
        <f t="shared" si="29"/>
        <v>1</v>
      </c>
      <c r="BI18" s="417">
        <f t="shared" si="30"/>
        <v>2</v>
      </c>
      <c r="BJ18" s="417" t="str">
        <f t="shared" si="31"/>
        <v>2*</v>
      </c>
      <c r="BK18" s="417">
        <f t="shared" si="32"/>
        <v>3</v>
      </c>
      <c r="BL18" s="435">
        <f t="shared" si="33"/>
        <v>1</v>
      </c>
      <c r="BM18" s="417">
        <f t="shared" si="34"/>
        <v>2</v>
      </c>
      <c r="BN18" s="417">
        <f t="shared" si="35"/>
        <v>3</v>
      </c>
      <c r="BO18" s="372"/>
    </row>
    <row r="19" spans="2:75" s="416" customFormat="1" ht="12.95" customHeight="1" x14ac:dyDescent="0.25">
      <c r="B19" s="433" t="str">
        <f>IF(ISNA(Z19),"",IF(OR(Z19=1,Z19=2),"    ",MAX($B$11:B18)+1))</f>
        <v xml:space="preserve">    </v>
      </c>
      <c r="C19" s="1618" t="str">
        <f t="shared" si="0"/>
        <v>GTO 2 - COTS GPS (20.0%)</v>
      </c>
      <c r="D19" s="1618"/>
      <c r="E19" s="1618"/>
      <c r="F19" s="1619"/>
      <c r="G19" s="437" t="str">
        <f t="shared" si="1"/>
        <v/>
      </c>
      <c r="H19" s="431" t="str">
        <f t="shared" si="2"/>
        <v/>
      </c>
      <c r="I19" s="436" t="str">
        <f t="shared" si="3"/>
        <v/>
      </c>
      <c r="J19" s="429"/>
      <c r="K19" s="428"/>
      <c r="L19" s="1612"/>
      <c r="M19" s="1613"/>
      <c r="N19" s="1613"/>
      <c r="O19" s="1613"/>
      <c r="P19" s="1613"/>
      <c r="Q19" s="1613"/>
      <c r="R19" s="1614"/>
      <c r="T19" s="401">
        <v>9</v>
      </c>
      <c r="U19" s="374" t="s">
        <v>658</v>
      </c>
      <c r="V19" s="421" t="s">
        <v>212</v>
      </c>
      <c r="W19" s="421" t="s">
        <v>212</v>
      </c>
      <c r="X19" s="421" t="s">
        <v>212</v>
      </c>
      <c r="Y19" s="421" t="s">
        <v>212</v>
      </c>
      <c r="Z19" s="393">
        <v>2</v>
      </c>
      <c r="AA19" s="393">
        <v>1</v>
      </c>
      <c r="AB19" s="393">
        <v>1</v>
      </c>
      <c r="AC19" s="421" t="s">
        <v>212</v>
      </c>
      <c r="AD19" s="421" t="s">
        <v>212</v>
      </c>
      <c r="AE19" s="421" t="s">
        <v>212</v>
      </c>
      <c r="AF19" s="421" t="s">
        <v>212</v>
      </c>
      <c r="AG19" s="421" t="str">
        <f t="shared" si="4"/>
        <v/>
      </c>
      <c r="AH19" s="421" t="str">
        <f t="shared" si="5"/>
        <v/>
      </c>
      <c r="AI19" s="427">
        <f>IF(NOT(OR(Z19=1,Z19=2)),IF(AQ19&gt;0,$AR$47*AQ19/SUMIF($AQ$11:$AQ$42,"&gt;0"),IF(AU19&gt;0,$AV$47*AU19/SUMIF($AU$11:$AU$42,"&gt;0"),IF(AS19&gt;0,$AT$47*AS19/SUMIF($AS$11:$AS$42,"&gt;0"),""))),IF(SUMIF(AJ20:$AJ$42,"=" &amp; AJ19,AI20:$AI$42)=0,"",SUMIF(AJ20:$AJ$42,"=" &amp; AJ19,AI20:$AI$42)))</f>
        <v>0.19999833823369995</v>
      </c>
      <c r="AJ19" s="426">
        <f t="shared" si="36"/>
        <v>2</v>
      </c>
      <c r="AK19" s="421" t="str">
        <f t="shared" si="6"/>
        <v/>
      </c>
      <c r="AL19" s="393" t="str">
        <f t="shared" si="7"/>
        <v/>
      </c>
      <c r="AM19" s="393" t="str">
        <f t="shared" si="8"/>
        <v/>
      </c>
      <c r="AN19" s="393" t="str">
        <f t="shared" si="9"/>
        <v/>
      </c>
      <c r="AO19" s="393" t="str">
        <f t="shared" si="10"/>
        <v/>
      </c>
      <c r="AP19" s="421" t="str">
        <f t="shared" si="11"/>
        <v/>
      </c>
      <c r="AQ19" s="425">
        <f t="shared" si="12"/>
        <v>0</v>
      </c>
      <c r="AR19" s="423" t="str">
        <f t="shared" si="13"/>
        <v/>
      </c>
      <c r="AS19" s="424">
        <f t="shared" si="14"/>
        <v>0</v>
      </c>
      <c r="AT19" s="423" t="str">
        <f t="shared" si="15"/>
        <v/>
      </c>
      <c r="AU19" s="420">
        <f t="shared" si="16"/>
        <v>0</v>
      </c>
      <c r="AV19" s="422" t="str">
        <f t="shared" si="17"/>
        <v/>
      </c>
      <c r="AW19" s="420" t="b">
        <f t="shared" si="18"/>
        <v>0</v>
      </c>
      <c r="AX19" s="419" t="b">
        <f t="shared" si="19"/>
        <v>0</v>
      </c>
      <c r="AY19" s="420" t="b">
        <f t="shared" si="20"/>
        <v>0</v>
      </c>
      <c r="AZ19" s="419" t="b">
        <f t="shared" si="21"/>
        <v>0</v>
      </c>
      <c r="BA19" s="421" t="b">
        <f t="shared" si="22"/>
        <v>0</v>
      </c>
      <c r="BB19" s="421" t="b">
        <f t="shared" si="23"/>
        <v>0</v>
      </c>
      <c r="BC19" s="420" t="b">
        <f t="shared" si="24"/>
        <v>0</v>
      </c>
      <c r="BD19" s="393" t="b">
        <f t="shared" si="25"/>
        <v>0</v>
      </c>
      <c r="BE19" s="419" t="b">
        <f t="shared" si="26"/>
        <v>0</v>
      </c>
      <c r="BF19" s="418" t="b">
        <f t="shared" si="27"/>
        <v>0</v>
      </c>
      <c r="BG19" s="417" t="b">
        <f t="shared" si="28"/>
        <v>0</v>
      </c>
      <c r="BH19" s="417" t="str">
        <f t="shared" si="29"/>
        <v/>
      </c>
      <c r="BI19" s="417" t="str">
        <f t="shared" si="30"/>
        <v/>
      </c>
      <c r="BJ19" s="417" t="str">
        <f t="shared" si="31"/>
        <v/>
      </c>
      <c r="BK19" s="417" t="str">
        <f t="shared" si="32"/>
        <v/>
      </c>
      <c r="BL19" s="435" t="str">
        <f t="shared" si="33"/>
        <v/>
      </c>
      <c r="BM19" s="417" t="str">
        <f t="shared" si="34"/>
        <v/>
      </c>
      <c r="BN19" s="417" t="str">
        <f t="shared" si="35"/>
        <v/>
      </c>
      <c r="BO19" s="439"/>
      <c r="BP19" s="454"/>
    </row>
    <row r="20" spans="2:75" s="416" customFormat="1" ht="12.95" customHeight="1" x14ac:dyDescent="0.25">
      <c r="B20" s="433">
        <f>IF(ISNA(Z20),"",IF(OR(Z20=1,Z20=2),"    ",MAX($B$11:B19)+1))</f>
        <v>7</v>
      </c>
      <c r="C20" s="1618" t="str">
        <f t="shared" si="0"/>
        <v xml:space="preserve">      - STO 1 (5.0%)</v>
      </c>
      <c r="D20" s="1618"/>
      <c r="E20" s="1618"/>
      <c r="F20" s="1619"/>
      <c r="G20" s="437">
        <f t="shared" si="1"/>
        <v>1</v>
      </c>
      <c r="H20" s="431" t="str">
        <f t="shared" si="2"/>
        <v>2*</v>
      </c>
      <c r="I20" s="436">
        <f t="shared" si="3"/>
        <v>3</v>
      </c>
      <c r="J20" s="449"/>
      <c r="K20" s="448"/>
      <c r="L20" s="1612"/>
      <c r="M20" s="1613"/>
      <c r="N20" s="1613"/>
      <c r="O20" s="1613"/>
      <c r="P20" s="1613"/>
      <c r="Q20" s="1613"/>
      <c r="R20" s="1614"/>
      <c r="T20" s="401">
        <v>10</v>
      </c>
      <c r="U20" s="374" t="s">
        <v>657</v>
      </c>
      <c r="V20" s="421">
        <v>1</v>
      </c>
      <c r="W20" s="421">
        <v>1.6666000000000001</v>
      </c>
      <c r="X20" s="421" t="s">
        <v>212</v>
      </c>
      <c r="Y20" s="421" t="s">
        <v>212</v>
      </c>
      <c r="Z20" s="393" t="s">
        <v>212</v>
      </c>
      <c r="AA20" s="393">
        <v>2</v>
      </c>
      <c r="AB20" s="393">
        <v>1</v>
      </c>
      <c r="AC20" s="421">
        <v>3</v>
      </c>
      <c r="AD20" s="421">
        <v>2</v>
      </c>
      <c r="AE20" s="421">
        <v>1</v>
      </c>
      <c r="AF20" s="421" t="b">
        <v>1</v>
      </c>
      <c r="AG20" s="421">
        <f t="shared" si="4"/>
        <v>2</v>
      </c>
      <c r="AH20" s="421">
        <f t="shared" si="5"/>
        <v>1</v>
      </c>
      <c r="AI20" s="427">
        <f>IF(NOT(OR(Z20=1,Z20=2)),IF(AQ20&gt;0,$AR$47*AQ20/SUMIF($AQ$11:$AQ$42,"&gt;0"),IF(AU20&gt;0,$AV$47*AU20/SUMIF($AU$11:$AU$42,"&gt;0"),IF(AS20&gt;0,$AT$47*AS20/SUMIF($AS$11:$AS$42,"&gt;0"),""))),IF(SUMIF(AJ21:$AJ$42,"=" &amp; AJ20,AI21:$AI$42)=0,"",SUMIF(AJ21:$AJ$42,"=" &amp; AJ20,AI21:$AI$42)))</f>
        <v>4.9998189553136237E-2</v>
      </c>
      <c r="AJ20" s="426">
        <f t="shared" si="36"/>
        <v>2</v>
      </c>
      <c r="AK20" s="421">
        <f t="shared" si="6"/>
        <v>2</v>
      </c>
      <c r="AL20" s="393" t="str">
        <f t="shared" si="7"/>
        <v/>
      </c>
      <c r="AM20" s="393" t="str">
        <f t="shared" si="8"/>
        <v/>
      </c>
      <c r="AN20" s="393" t="str">
        <f t="shared" si="9"/>
        <v/>
      </c>
      <c r="AO20" s="393" t="str">
        <f t="shared" si="10"/>
        <v/>
      </c>
      <c r="AP20" s="421" t="b">
        <f t="shared" si="11"/>
        <v>1</v>
      </c>
      <c r="AQ20" s="425">
        <f t="shared" si="12"/>
        <v>1.6666000000000001</v>
      </c>
      <c r="AR20" s="423" t="str">
        <f t="shared" si="13"/>
        <v/>
      </c>
      <c r="AS20" s="424">
        <f t="shared" si="14"/>
        <v>0</v>
      </c>
      <c r="AT20" s="423" t="str">
        <f t="shared" si="15"/>
        <v/>
      </c>
      <c r="AU20" s="420">
        <f t="shared" si="16"/>
        <v>0</v>
      </c>
      <c r="AV20" s="422" t="str">
        <f t="shared" si="17"/>
        <v/>
      </c>
      <c r="AW20" s="420" t="b">
        <f t="shared" si="18"/>
        <v>0</v>
      </c>
      <c r="AX20" s="419" t="b">
        <f t="shared" si="19"/>
        <v>1</v>
      </c>
      <c r="AY20" s="420" t="b">
        <f t="shared" si="20"/>
        <v>0</v>
      </c>
      <c r="AZ20" s="419" t="b">
        <f t="shared" si="21"/>
        <v>0</v>
      </c>
      <c r="BA20" s="421" t="b">
        <f t="shared" si="22"/>
        <v>0</v>
      </c>
      <c r="BB20" s="421" t="b">
        <f t="shared" si="23"/>
        <v>0</v>
      </c>
      <c r="BC20" s="420" t="b">
        <f t="shared" si="24"/>
        <v>0</v>
      </c>
      <c r="BD20" s="393" t="b">
        <f t="shared" si="25"/>
        <v>0</v>
      </c>
      <c r="BE20" s="419" t="b">
        <f t="shared" si="26"/>
        <v>0</v>
      </c>
      <c r="BF20" s="418" t="b">
        <f t="shared" si="27"/>
        <v>0</v>
      </c>
      <c r="BG20" s="417" t="b">
        <f t="shared" si="28"/>
        <v>1</v>
      </c>
      <c r="BH20" s="417">
        <f t="shared" si="29"/>
        <v>1</v>
      </c>
      <c r="BI20" s="417">
        <f t="shared" si="30"/>
        <v>2</v>
      </c>
      <c r="BJ20" s="417" t="str">
        <f t="shared" si="31"/>
        <v>2*</v>
      </c>
      <c r="BK20" s="417">
        <f t="shared" si="32"/>
        <v>3</v>
      </c>
      <c r="BL20" s="435">
        <f t="shared" si="33"/>
        <v>1</v>
      </c>
      <c r="BM20" s="417">
        <f t="shared" si="34"/>
        <v>2</v>
      </c>
      <c r="BN20" s="417">
        <f t="shared" si="35"/>
        <v>3</v>
      </c>
      <c r="BO20" s="372"/>
    </row>
    <row r="21" spans="2:75" s="416" customFormat="1" ht="12.95" customHeight="1" x14ac:dyDescent="0.25">
      <c r="B21" s="433">
        <f>IF(ISNA(Z21),"",IF(OR(Z21=1,Z21=2),"    ",MAX($B$11:B20)+1))</f>
        <v>8</v>
      </c>
      <c r="C21" s="1618" t="str">
        <f t="shared" si="0"/>
        <v xml:space="preserve">      - STO 2 (NA if unused) (5.0%)</v>
      </c>
      <c r="D21" s="1618"/>
      <c r="E21" s="1618"/>
      <c r="F21" s="1619"/>
      <c r="G21" s="437">
        <f t="shared" si="1"/>
        <v>1</v>
      </c>
      <c r="H21" s="431" t="str">
        <f t="shared" si="2"/>
        <v>2*</v>
      </c>
      <c r="I21" s="436">
        <f t="shared" si="3"/>
        <v>3</v>
      </c>
      <c r="J21" s="449"/>
      <c r="K21" s="448"/>
      <c r="L21" s="1612"/>
      <c r="M21" s="1613"/>
      <c r="N21" s="1613"/>
      <c r="O21" s="1613"/>
      <c r="P21" s="1613"/>
      <c r="Q21" s="1613"/>
      <c r="R21" s="1614"/>
      <c r="T21" s="401">
        <v>11</v>
      </c>
      <c r="U21" s="374" t="s">
        <v>656</v>
      </c>
      <c r="V21" s="421">
        <v>1</v>
      </c>
      <c r="W21" s="421">
        <v>1.66666</v>
      </c>
      <c r="X21" s="421" t="s">
        <v>212</v>
      </c>
      <c r="Y21" s="421" t="s">
        <v>212</v>
      </c>
      <c r="Z21" s="393" t="s">
        <v>212</v>
      </c>
      <c r="AA21" s="393">
        <v>2</v>
      </c>
      <c r="AB21" s="393">
        <v>1</v>
      </c>
      <c r="AC21" s="421">
        <v>3</v>
      </c>
      <c r="AD21" s="421">
        <v>2</v>
      </c>
      <c r="AE21" s="421">
        <v>1</v>
      </c>
      <c r="AF21" s="421" t="b">
        <v>1</v>
      </c>
      <c r="AG21" s="421">
        <f t="shared" si="4"/>
        <v>2</v>
      </c>
      <c r="AH21" s="421">
        <f t="shared" si="5"/>
        <v>1</v>
      </c>
      <c r="AI21" s="427">
        <f>IF(NOT(OR(Z21=1,Z21=2)),IF(AQ21&gt;0,$AR$47*AQ21/SUMIF($AQ$11:$AQ$42,"&gt;0"),IF(AU21&gt;0,$AV$47*AU21/SUMIF($AU$11:$AU$42,"&gt;0"),IF(AS21&gt;0,$AT$47*AS21/SUMIF($AS$11:$AS$42,"&gt;0"),""))),IF(SUMIF(AJ22:$AJ$42,"=" &amp; AJ21,AI22:$AI$42)=0,"",SUMIF(AJ22:$AJ$42,"=" &amp; AJ21,AI22:$AI$42)))</f>
        <v>4.999998955996042E-2</v>
      </c>
      <c r="AJ21" s="426">
        <f t="shared" si="36"/>
        <v>2</v>
      </c>
      <c r="AK21" s="421">
        <f t="shared" si="6"/>
        <v>2</v>
      </c>
      <c r="AL21" s="393" t="str">
        <f t="shared" si="7"/>
        <v/>
      </c>
      <c r="AM21" s="393" t="str">
        <f t="shared" si="8"/>
        <v/>
      </c>
      <c r="AN21" s="393" t="str">
        <f t="shared" si="9"/>
        <v/>
      </c>
      <c r="AO21" s="393" t="str">
        <f t="shared" si="10"/>
        <v/>
      </c>
      <c r="AP21" s="421" t="b">
        <f t="shared" si="11"/>
        <v>1</v>
      </c>
      <c r="AQ21" s="425">
        <f t="shared" si="12"/>
        <v>1.66666</v>
      </c>
      <c r="AR21" s="423" t="str">
        <f t="shared" si="13"/>
        <v/>
      </c>
      <c r="AS21" s="424">
        <f t="shared" si="14"/>
        <v>0</v>
      </c>
      <c r="AT21" s="423" t="str">
        <f t="shared" si="15"/>
        <v/>
      </c>
      <c r="AU21" s="420">
        <f t="shared" si="16"/>
        <v>0</v>
      </c>
      <c r="AV21" s="422" t="str">
        <f t="shared" si="17"/>
        <v/>
      </c>
      <c r="AW21" s="420" t="b">
        <f t="shared" si="18"/>
        <v>0</v>
      </c>
      <c r="AX21" s="419" t="b">
        <f t="shared" si="19"/>
        <v>1</v>
      </c>
      <c r="AY21" s="420" t="b">
        <f t="shared" si="20"/>
        <v>0</v>
      </c>
      <c r="AZ21" s="419" t="b">
        <f t="shared" si="21"/>
        <v>0</v>
      </c>
      <c r="BA21" s="421" t="b">
        <f t="shared" si="22"/>
        <v>0</v>
      </c>
      <c r="BB21" s="421" t="b">
        <f t="shared" si="23"/>
        <v>0</v>
      </c>
      <c r="BC21" s="420" t="b">
        <f t="shared" si="24"/>
        <v>0</v>
      </c>
      <c r="BD21" s="393" t="b">
        <f t="shared" si="25"/>
        <v>0</v>
      </c>
      <c r="BE21" s="419" t="b">
        <f t="shared" si="26"/>
        <v>0</v>
      </c>
      <c r="BF21" s="418" t="b">
        <f t="shared" si="27"/>
        <v>0</v>
      </c>
      <c r="BG21" s="417" t="b">
        <f t="shared" si="28"/>
        <v>1</v>
      </c>
      <c r="BH21" s="417">
        <f t="shared" si="29"/>
        <v>1</v>
      </c>
      <c r="BI21" s="417">
        <f t="shared" si="30"/>
        <v>2</v>
      </c>
      <c r="BJ21" s="417" t="str">
        <f t="shared" si="31"/>
        <v>2*</v>
      </c>
      <c r="BK21" s="417">
        <f t="shared" si="32"/>
        <v>3</v>
      </c>
      <c r="BL21" s="435">
        <f t="shared" si="33"/>
        <v>1</v>
      </c>
      <c r="BM21" s="417">
        <f t="shared" si="34"/>
        <v>2</v>
      </c>
      <c r="BN21" s="417">
        <f t="shared" si="35"/>
        <v>3</v>
      </c>
      <c r="BO21" s="443"/>
      <c r="BP21" s="454" t="s">
        <v>223</v>
      </c>
      <c r="BQ21" s="438"/>
      <c r="BR21" s="438"/>
      <c r="BS21" s="438"/>
      <c r="BT21" s="438"/>
      <c r="BU21" s="438"/>
    </row>
    <row r="22" spans="2:75" s="416" customFormat="1" ht="12.95" customHeight="1" x14ac:dyDescent="0.25">
      <c r="B22" s="433">
        <f>IF(ISNA(Z22),"",IF(OR(Z22=1,Z22=2),"    ",MAX($B$11:B21)+1))</f>
        <v>9</v>
      </c>
      <c r="C22" s="1618" t="str">
        <f t="shared" si="0"/>
        <v xml:space="preserve">      - STO 3 (NA if unused) (5.0%)</v>
      </c>
      <c r="D22" s="1618"/>
      <c r="E22" s="1618"/>
      <c r="F22" s="1619"/>
      <c r="G22" s="437">
        <f t="shared" si="1"/>
        <v>1</v>
      </c>
      <c r="H22" s="431" t="str">
        <f t="shared" si="2"/>
        <v>2*</v>
      </c>
      <c r="I22" s="436">
        <f t="shared" si="3"/>
        <v>3</v>
      </c>
      <c r="J22" s="449"/>
      <c r="K22" s="448"/>
      <c r="L22" s="1612"/>
      <c r="M22" s="1613"/>
      <c r="N22" s="1613"/>
      <c r="O22" s="1613"/>
      <c r="P22" s="1613"/>
      <c r="Q22" s="1613"/>
      <c r="R22" s="1614"/>
      <c r="T22" s="401">
        <v>12</v>
      </c>
      <c r="U22" s="374" t="s">
        <v>655</v>
      </c>
      <c r="V22" s="421">
        <v>1</v>
      </c>
      <c r="W22" s="421">
        <v>1.66666</v>
      </c>
      <c r="X22" s="421" t="s">
        <v>212</v>
      </c>
      <c r="Y22" s="421" t="s">
        <v>212</v>
      </c>
      <c r="Z22" s="393" t="s">
        <v>212</v>
      </c>
      <c r="AA22" s="393">
        <v>2</v>
      </c>
      <c r="AB22" s="393">
        <v>1</v>
      </c>
      <c r="AC22" s="421">
        <v>3</v>
      </c>
      <c r="AD22" s="421">
        <v>2</v>
      </c>
      <c r="AE22" s="421">
        <v>1</v>
      </c>
      <c r="AF22" s="421" t="b">
        <v>1</v>
      </c>
      <c r="AG22" s="421">
        <f t="shared" si="4"/>
        <v>2</v>
      </c>
      <c r="AH22" s="421">
        <f t="shared" si="5"/>
        <v>1</v>
      </c>
      <c r="AI22" s="427">
        <f>IF(NOT(OR(Z22=1,Z22=2)),IF(AQ22&gt;0,$AR$47*AQ22/SUMIF($AQ$11:$AQ$42,"&gt;0"),IF(AU22&gt;0,$AV$47*AU22/SUMIF($AU$11:$AU$42,"&gt;0"),IF(AS22&gt;0,$AT$47*AS22/SUMIF($AS$11:$AS$42,"&gt;0"),""))),IF(SUMIF(AJ23:$AJ$42,"=" &amp; AJ22,AI23:$AI$42)=0,"",SUMIF(AJ23:$AJ$42,"=" &amp; AJ22,AI23:$AI$42)))</f>
        <v>4.999998955996042E-2</v>
      </c>
      <c r="AJ22" s="426">
        <f t="shared" si="36"/>
        <v>2</v>
      </c>
      <c r="AK22" s="421">
        <f t="shared" si="6"/>
        <v>2</v>
      </c>
      <c r="AL22" s="393" t="str">
        <f t="shared" si="7"/>
        <v/>
      </c>
      <c r="AM22" s="393" t="str">
        <f t="shared" si="8"/>
        <v/>
      </c>
      <c r="AN22" s="393" t="str">
        <f t="shared" si="9"/>
        <v/>
      </c>
      <c r="AO22" s="393" t="str">
        <f t="shared" si="10"/>
        <v/>
      </c>
      <c r="AP22" s="421" t="b">
        <f t="shared" si="11"/>
        <v>1</v>
      </c>
      <c r="AQ22" s="425">
        <f t="shared" si="12"/>
        <v>1.66666</v>
      </c>
      <c r="AR22" s="423" t="str">
        <f t="shared" si="13"/>
        <v/>
      </c>
      <c r="AS22" s="424">
        <f t="shared" si="14"/>
        <v>0</v>
      </c>
      <c r="AT22" s="423" t="str">
        <f t="shared" si="15"/>
        <v/>
      </c>
      <c r="AU22" s="420">
        <f t="shared" si="16"/>
        <v>0</v>
      </c>
      <c r="AV22" s="422" t="str">
        <f t="shared" si="17"/>
        <v/>
      </c>
      <c r="AW22" s="420" t="b">
        <f t="shared" si="18"/>
        <v>0</v>
      </c>
      <c r="AX22" s="419" t="b">
        <f t="shared" si="19"/>
        <v>1</v>
      </c>
      <c r="AY22" s="420" t="b">
        <f t="shared" si="20"/>
        <v>0</v>
      </c>
      <c r="AZ22" s="419" t="b">
        <f t="shared" si="21"/>
        <v>0</v>
      </c>
      <c r="BA22" s="421" t="b">
        <f t="shared" si="22"/>
        <v>0</v>
      </c>
      <c r="BB22" s="421" t="b">
        <f t="shared" si="23"/>
        <v>0</v>
      </c>
      <c r="BC22" s="420" t="b">
        <f t="shared" si="24"/>
        <v>0</v>
      </c>
      <c r="BD22" s="393" t="b">
        <f t="shared" si="25"/>
        <v>0</v>
      </c>
      <c r="BE22" s="419" t="b">
        <f t="shared" si="26"/>
        <v>0</v>
      </c>
      <c r="BF22" s="418" t="b">
        <f t="shared" si="27"/>
        <v>0</v>
      </c>
      <c r="BG22" s="417" t="b">
        <f t="shared" si="28"/>
        <v>1</v>
      </c>
      <c r="BH22" s="417">
        <f t="shared" si="29"/>
        <v>1</v>
      </c>
      <c r="BI22" s="417">
        <f t="shared" si="30"/>
        <v>2</v>
      </c>
      <c r="BJ22" s="417" t="str">
        <f t="shared" si="31"/>
        <v>2*</v>
      </c>
      <c r="BK22" s="417">
        <f t="shared" si="32"/>
        <v>3</v>
      </c>
      <c r="BL22" s="435">
        <f t="shared" si="33"/>
        <v>1</v>
      </c>
      <c r="BM22" s="417">
        <f t="shared" si="34"/>
        <v>2</v>
      </c>
      <c r="BN22" s="417">
        <f t="shared" si="35"/>
        <v>3</v>
      </c>
      <c r="BO22" s="443"/>
      <c r="BP22" s="434"/>
      <c r="BQ22" s="1629" t="s">
        <v>224</v>
      </c>
      <c r="BR22" s="1629"/>
      <c r="BS22" s="1629"/>
      <c r="BT22" s="1629"/>
      <c r="BU22" s="1629"/>
    </row>
    <row r="23" spans="2:75" s="416" customFormat="1" ht="12.95" customHeight="1" x14ac:dyDescent="0.25">
      <c r="B23" s="433">
        <f>IF(ISNA(Z23),"",IF(OR(Z23=1,Z23=2),"    ",MAX($B$11:B22)+1))</f>
        <v>10</v>
      </c>
      <c r="C23" s="1618" t="str">
        <f t="shared" si="0"/>
        <v xml:space="preserve">      - STO 4 (NA if unused) (5.0%)</v>
      </c>
      <c r="D23" s="1618"/>
      <c r="E23" s="1618"/>
      <c r="F23" s="1619"/>
      <c r="G23" s="437">
        <f t="shared" si="1"/>
        <v>1</v>
      </c>
      <c r="H23" s="431" t="str">
        <f t="shared" si="2"/>
        <v>2*</v>
      </c>
      <c r="I23" s="436">
        <f t="shared" si="3"/>
        <v>3</v>
      </c>
      <c r="J23" s="449"/>
      <c r="K23" s="448"/>
      <c r="L23" s="1612"/>
      <c r="M23" s="1613"/>
      <c r="N23" s="1613"/>
      <c r="O23" s="1613"/>
      <c r="P23" s="1613"/>
      <c r="Q23" s="1613"/>
      <c r="R23" s="1614"/>
      <c r="T23" s="401">
        <v>13</v>
      </c>
      <c r="U23" s="374" t="s">
        <v>654</v>
      </c>
      <c r="V23" s="421">
        <v>1</v>
      </c>
      <c r="W23" s="421">
        <v>1.666666</v>
      </c>
      <c r="X23" s="421" t="s">
        <v>212</v>
      </c>
      <c r="Y23" s="421" t="s">
        <v>212</v>
      </c>
      <c r="Z23" s="393" t="s">
        <v>212</v>
      </c>
      <c r="AA23" s="393">
        <v>2</v>
      </c>
      <c r="AB23" s="393">
        <v>1</v>
      </c>
      <c r="AC23" s="421">
        <v>3</v>
      </c>
      <c r="AD23" s="421">
        <v>2</v>
      </c>
      <c r="AE23" s="421">
        <v>1</v>
      </c>
      <c r="AF23" s="421" t="b">
        <v>1</v>
      </c>
      <c r="AG23" s="421">
        <f t="shared" si="4"/>
        <v>2</v>
      </c>
      <c r="AH23" s="421">
        <f t="shared" si="5"/>
        <v>1</v>
      </c>
      <c r="AI23" s="427">
        <f>IF(NOT(OR(Z23=1,Z23=2)),IF(AQ23&gt;0,$AR$47*AQ23/SUMIF($AQ$11:$AQ$42,"&gt;0"),IF(AU23&gt;0,$AV$47*AU23/SUMIF($AU$11:$AU$42,"&gt;0"),IF(AS23&gt;0,$AT$47*AS23/SUMIF($AS$11:$AS$42,"&gt;0"),""))),IF(SUMIF(AJ24:$AJ$42,"=" &amp; AJ23,AI24:$AI$42)=0,"",SUMIF(AJ24:$AJ$42,"=" &amp; AJ23,AI24:$AI$42)))</f>
        <v>5.0000169560642842E-2</v>
      </c>
      <c r="AJ23" s="426">
        <f t="shared" si="36"/>
        <v>2</v>
      </c>
      <c r="AK23" s="421">
        <f t="shared" si="6"/>
        <v>2</v>
      </c>
      <c r="AL23" s="393" t="str">
        <f t="shared" si="7"/>
        <v/>
      </c>
      <c r="AM23" s="393" t="str">
        <f t="shared" si="8"/>
        <v/>
      </c>
      <c r="AN23" s="393" t="str">
        <f t="shared" si="9"/>
        <v/>
      </c>
      <c r="AO23" s="393" t="str">
        <f t="shared" si="10"/>
        <v/>
      </c>
      <c r="AP23" s="421" t="b">
        <f t="shared" si="11"/>
        <v>1</v>
      </c>
      <c r="AQ23" s="425">
        <f t="shared" si="12"/>
        <v>1.666666</v>
      </c>
      <c r="AR23" s="423" t="str">
        <f t="shared" si="13"/>
        <v/>
      </c>
      <c r="AS23" s="424">
        <f t="shared" si="14"/>
        <v>0</v>
      </c>
      <c r="AT23" s="423" t="str">
        <f t="shared" si="15"/>
        <v/>
      </c>
      <c r="AU23" s="420">
        <f t="shared" si="16"/>
        <v>0</v>
      </c>
      <c r="AV23" s="422" t="str">
        <f t="shared" si="17"/>
        <v/>
      </c>
      <c r="AW23" s="420" t="b">
        <f t="shared" si="18"/>
        <v>0</v>
      </c>
      <c r="AX23" s="419" t="b">
        <f t="shared" si="19"/>
        <v>1</v>
      </c>
      <c r="AY23" s="420" t="b">
        <f t="shared" si="20"/>
        <v>0</v>
      </c>
      <c r="AZ23" s="419" t="b">
        <f t="shared" si="21"/>
        <v>0</v>
      </c>
      <c r="BA23" s="421" t="b">
        <f t="shared" si="22"/>
        <v>0</v>
      </c>
      <c r="BB23" s="421" t="b">
        <f t="shared" si="23"/>
        <v>0</v>
      </c>
      <c r="BC23" s="420" t="b">
        <f t="shared" si="24"/>
        <v>0</v>
      </c>
      <c r="BD23" s="393" t="b">
        <f t="shared" si="25"/>
        <v>0</v>
      </c>
      <c r="BE23" s="419" t="b">
        <f t="shared" si="26"/>
        <v>0</v>
      </c>
      <c r="BF23" s="418" t="b">
        <f t="shared" si="27"/>
        <v>0</v>
      </c>
      <c r="BG23" s="417" t="b">
        <f t="shared" si="28"/>
        <v>1</v>
      </c>
      <c r="BH23" s="417">
        <f t="shared" si="29"/>
        <v>1</v>
      </c>
      <c r="BI23" s="417">
        <f t="shared" si="30"/>
        <v>2</v>
      </c>
      <c r="BJ23" s="417" t="str">
        <f t="shared" si="31"/>
        <v>2*</v>
      </c>
      <c r="BK23" s="417">
        <f t="shared" si="32"/>
        <v>3</v>
      </c>
      <c r="BL23" s="435">
        <f t="shared" si="33"/>
        <v>1</v>
      </c>
      <c r="BM23" s="417">
        <f t="shared" si="34"/>
        <v>2</v>
      </c>
      <c r="BN23" s="417">
        <f t="shared" si="35"/>
        <v>3</v>
      </c>
      <c r="BO23" s="443"/>
      <c r="BP23" s="443"/>
      <c r="BQ23" s="443">
        <v>0</v>
      </c>
      <c r="BR23" s="443">
        <v>1</v>
      </c>
      <c r="BS23" s="443">
        <v>2</v>
      </c>
      <c r="BT23" s="443">
        <v>3</v>
      </c>
      <c r="BU23" s="443">
        <v>4</v>
      </c>
    </row>
    <row r="24" spans="2:75" s="416" customFormat="1" ht="12.95" customHeight="1" x14ac:dyDescent="0.25">
      <c r="B24" s="433" t="str">
        <f>IF(ISNA(Z24),"",IF(OR(Z24=1,Z24=2),"    ",MAX($B$11:B23)+1))</f>
        <v xml:space="preserve">    </v>
      </c>
      <c r="C24" s="1618" t="str">
        <f t="shared" si="0"/>
        <v>Clarity &amp; Precision (Mechanics) (10.0%)</v>
      </c>
      <c r="D24" s="1618"/>
      <c r="E24" s="1618"/>
      <c r="F24" s="1619"/>
      <c r="G24" s="437" t="str">
        <f t="shared" si="1"/>
        <v/>
      </c>
      <c r="H24" s="431" t="str">
        <f t="shared" si="2"/>
        <v/>
      </c>
      <c r="I24" s="436" t="str">
        <f t="shared" si="3"/>
        <v/>
      </c>
      <c r="J24" s="429"/>
      <c r="K24" s="428"/>
      <c r="L24" s="1612"/>
      <c r="M24" s="1613"/>
      <c r="N24" s="1613"/>
      <c r="O24" s="1613"/>
      <c r="P24" s="1613"/>
      <c r="Q24" s="1613"/>
      <c r="R24" s="1614"/>
      <c r="T24" s="401">
        <v>14</v>
      </c>
      <c r="U24" s="374" t="s">
        <v>638</v>
      </c>
      <c r="V24" s="421" t="s">
        <v>212</v>
      </c>
      <c r="W24" s="421" t="s">
        <v>212</v>
      </c>
      <c r="X24" s="421" t="s">
        <v>212</v>
      </c>
      <c r="Y24" s="421" t="s">
        <v>212</v>
      </c>
      <c r="Z24" s="393">
        <v>2</v>
      </c>
      <c r="AA24" s="393">
        <v>1</v>
      </c>
      <c r="AB24" s="393">
        <v>1</v>
      </c>
      <c r="AC24" s="421" t="s">
        <v>212</v>
      </c>
      <c r="AD24" s="421" t="s">
        <v>212</v>
      </c>
      <c r="AE24" s="421" t="s">
        <v>212</v>
      </c>
      <c r="AF24" s="421" t="s">
        <v>212</v>
      </c>
      <c r="AG24" s="421" t="str">
        <f t="shared" si="4"/>
        <v/>
      </c>
      <c r="AH24" s="421" t="str">
        <f t="shared" si="5"/>
        <v/>
      </c>
      <c r="AI24" s="427">
        <f>IF(NOT(OR(Z24=1,Z24=2)),IF(AQ24&gt;0,$AR$47*AQ24/SUMIF($AQ$11:$AQ$42,"&gt;0"),IF(AU24&gt;0,$AV$47*AU24/SUMIF($AU$11:$AU$42,"&gt;0"),IF(AS24&gt;0,$AT$47*AS24/SUMIF($AS$11:$AS$42,"&gt;0"),""))),IF(SUMIF(AJ25:$AJ$42,"=" &amp; AJ24,AI25:$AI$42)=0,"",SUMIF(AJ25:$AJ$42,"=" &amp; AJ24,AI25:$AI$42)))</f>
        <v>0.10000037812143354</v>
      </c>
      <c r="AJ24" s="426">
        <f t="shared" si="36"/>
        <v>3</v>
      </c>
      <c r="AK24" s="421" t="str">
        <f t="shared" si="6"/>
        <v/>
      </c>
      <c r="AL24" s="393" t="str">
        <f t="shared" si="7"/>
        <v/>
      </c>
      <c r="AM24" s="393" t="str">
        <f t="shared" si="8"/>
        <v/>
      </c>
      <c r="AN24" s="393" t="str">
        <f t="shared" si="9"/>
        <v/>
      </c>
      <c r="AO24" s="393" t="str">
        <f t="shared" si="10"/>
        <v/>
      </c>
      <c r="AP24" s="421" t="str">
        <f t="shared" si="11"/>
        <v/>
      </c>
      <c r="AQ24" s="425">
        <f t="shared" si="12"/>
        <v>0</v>
      </c>
      <c r="AR24" s="423" t="str">
        <f t="shared" si="13"/>
        <v/>
      </c>
      <c r="AS24" s="424">
        <f t="shared" si="14"/>
        <v>0</v>
      </c>
      <c r="AT24" s="423" t="str">
        <f t="shared" si="15"/>
        <v/>
      </c>
      <c r="AU24" s="420">
        <f t="shared" si="16"/>
        <v>0</v>
      </c>
      <c r="AV24" s="422" t="str">
        <f t="shared" si="17"/>
        <v/>
      </c>
      <c r="AW24" s="420" t="b">
        <f t="shared" si="18"/>
        <v>0</v>
      </c>
      <c r="AX24" s="419" t="b">
        <f t="shared" si="19"/>
        <v>0</v>
      </c>
      <c r="AY24" s="420" t="b">
        <f t="shared" si="20"/>
        <v>0</v>
      </c>
      <c r="AZ24" s="419" t="b">
        <f t="shared" si="21"/>
        <v>0</v>
      </c>
      <c r="BA24" s="421" t="b">
        <f t="shared" si="22"/>
        <v>0</v>
      </c>
      <c r="BB24" s="421" t="b">
        <f t="shared" si="23"/>
        <v>0</v>
      </c>
      <c r="BC24" s="420" t="b">
        <f t="shared" si="24"/>
        <v>0</v>
      </c>
      <c r="BD24" s="393" t="b">
        <f t="shared" si="25"/>
        <v>0</v>
      </c>
      <c r="BE24" s="419" t="b">
        <f t="shared" si="26"/>
        <v>0</v>
      </c>
      <c r="BF24" s="418" t="b">
        <f t="shared" si="27"/>
        <v>0</v>
      </c>
      <c r="BG24" s="417" t="b">
        <f t="shared" si="28"/>
        <v>0</v>
      </c>
      <c r="BH24" s="417" t="str">
        <f t="shared" si="29"/>
        <v/>
      </c>
      <c r="BI24" s="417" t="str">
        <f t="shared" si="30"/>
        <v/>
      </c>
      <c r="BJ24" s="417" t="str">
        <f t="shared" si="31"/>
        <v/>
      </c>
      <c r="BK24" s="417" t="str">
        <f t="shared" si="32"/>
        <v/>
      </c>
      <c r="BL24" s="435" t="str">
        <f t="shared" si="33"/>
        <v/>
      </c>
      <c r="BM24" s="417" t="str">
        <f t="shared" si="34"/>
        <v/>
      </c>
      <c r="BN24" s="417" t="str">
        <f t="shared" si="35"/>
        <v/>
      </c>
      <c r="BO24" s="1630" t="s">
        <v>226</v>
      </c>
      <c r="BP24" s="443" t="s">
        <v>227</v>
      </c>
      <c r="BQ24" s="453">
        <f t="shared" ref="BQ24:BQ32" si="37">AR53</f>
        <v>0.7</v>
      </c>
      <c r="BR24" s="452">
        <f t="shared" ref="BR24:BR32" si="38">AS53</f>
        <v>0.9</v>
      </c>
      <c r="BS24" s="452">
        <f t="shared" ref="BS24:BS32" si="39">AT53</f>
        <v>0.93330000000000002</v>
      </c>
      <c r="BT24" s="452">
        <f t="shared" ref="BT24:BT32" si="40">AU53</f>
        <v>0.9667</v>
      </c>
      <c r="BU24" s="451">
        <f t="shared" ref="BU24:BU32" si="41">AV53</f>
        <v>1</v>
      </c>
      <c r="BV24" s="450"/>
      <c r="BW24" s="447"/>
    </row>
    <row r="25" spans="2:75" s="416" customFormat="1" ht="12.95" customHeight="1" x14ac:dyDescent="0.25">
      <c r="B25" s="433">
        <f>IF(ISNA(Z25),"",IF(OR(Z25=1,Z25=2),"    ",MAX($B$11:B24)+1))</f>
        <v>11</v>
      </c>
      <c r="C25" s="1618" t="str">
        <f t="shared" si="0"/>
        <v xml:space="preserve">      - Grammar &amp; Syntax (4.0%)</v>
      </c>
      <c r="D25" s="1618"/>
      <c r="E25" s="1618"/>
      <c r="F25" s="1619"/>
      <c r="G25" s="437">
        <f t="shared" si="1"/>
        <v>1</v>
      </c>
      <c r="H25" s="431" t="str">
        <f t="shared" si="2"/>
        <v>2*</v>
      </c>
      <c r="I25" s="436">
        <f t="shared" si="3"/>
        <v>3</v>
      </c>
      <c r="J25" s="449"/>
      <c r="K25" s="448"/>
      <c r="L25" s="1612"/>
      <c r="M25" s="1613"/>
      <c r="N25" s="1613"/>
      <c r="O25" s="1613"/>
      <c r="P25" s="1613"/>
      <c r="Q25" s="1613"/>
      <c r="R25" s="1614"/>
      <c r="T25" s="401">
        <v>15</v>
      </c>
      <c r="U25" s="374" t="s">
        <v>637</v>
      </c>
      <c r="V25" s="421">
        <v>1</v>
      </c>
      <c r="W25" s="421">
        <v>1.3333333000000001</v>
      </c>
      <c r="X25" s="421" t="s">
        <v>212</v>
      </c>
      <c r="Y25" s="421" t="s">
        <v>212</v>
      </c>
      <c r="Z25" s="393" t="s">
        <v>212</v>
      </c>
      <c r="AA25" s="393">
        <v>2</v>
      </c>
      <c r="AB25" s="393">
        <v>1</v>
      </c>
      <c r="AC25" s="421">
        <v>3</v>
      </c>
      <c r="AD25" s="421">
        <v>2</v>
      </c>
      <c r="AE25" s="421">
        <v>1</v>
      </c>
      <c r="AF25" s="421" t="b">
        <v>1</v>
      </c>
      <c r="AG25" s="421">
        <f t="shared" si="4"/>
        <v>2</v>
      </c>
      <c r="AH25" s="421">
        <f t="shared" si="5"/>
        <v>1</v>
      </c>
      <c r="AI25" s="427">
        <f>IF(NOT(OR(Z25=1,Z25=2)),IF(AQ25&gt;0,$AR$47*AQ25/SUMIF($AQ$11:$AQ$42,"&gt;0"),IF(AU25&gt;0,$AV$47*AU25/SUMIF($AU$11:$AU$42,"&gt;0"),IF(AS25&gt;0,$AT$47*AS25/SUMIF($AS$11:$AS$42,"&gt;0"),""))),IF(SUMIF(AJ26:$AJ$42,"=" &amp; AJ25,AI26:$AI$42)=0,"",SUMIF(AJ26:$AJ$42,"=" &amp; AJ25,AI26:$AI$42)))</f>
        <v>4.0000150648571139E-2</v>
      </c>
      <c r="AJ25" s="426">
        <f t="shared" si="36"/>
        <v>3</v>
      </c>
      <c r="AK25" s="421">
        <f t="shared" si="6"/>
        <v>2</v>
      </c>
      <c r="AL25" s="393" t="str">
        <f t="shared" si="7"/>
        <v/>
      </c>
      <c r="AM25" s="393" t="str">
        <f t="shared" si="8"/>
        <v/>
      </c>
      <c r="AN25" s="393" t="str">
        <f t="shared" si="9"/>
        <v/>
      </c>
      <c r="AO25" s="393" t="str">
        <f t="shared" si="10"/>
        <v/>
      </c>
      <c r="AP25" s="421" t="b">
        <f t="shared" si="11"/>
        <v>1</v>
      </c>
      <c r="AQ25" s="425">
        <f t="shared" si="12"/>
        <v>1.3333333000000001</v>
      </c>
      <c r="AR25" s="423" t="str">
        <f t="shared" si="13"/>
        <v/>
      </c>
      <c r="AS25" s="424">
        <f t="shared" si="14"/>
        <v>0</v>
      </c>
      <c r="AT25" s="423" t="str">
        <f t="shared" si="15"/>
        <v/>
      </c>
      <c r="AU25" s="420">
        <f t="shared" si="16"/>
        <v>0</v>
      </c>
      <c r="AV25" s="422" t="str">
        <f t="shared" si="17"/>
        <v/>
      </c>
      <c r="AW25" s="420" t="b">
        <f t="shared" si="18"/>
        <v>0</v>
      </c>
      <c r="AX25" s="419" t="b">
        <f t="shared" si="19"/>
        <v>1</v>
      </c>
      <c r="AY25" s="420" t="b">
        <f t="shared" si="20"/>
        <v>0</v>
      </c>
      <c r="AZ25" s="419" t="b">
        <f t="shared" si="21"/>
        <v>0</v>
      </c>
      <c r="BA25" s="421" t="b">
        <f t="shared" si="22"/>
        <v>0</v>
      </c>
      <c r="BB25" s="421" t="b">
        <f t="shared" si="23"/>
        <v>0</v>
      </c>
      <c r="BC25" s="420" t="b">
        <f t="shared" si="24"/>
        <v>0</v>
      </c>
      <c r="BD25" s="393" t="b">
        <f t="shared" si="25"/>
        <v>0</v>
      </c>
      <c r="BE25" s="419" t="b">
        <f t="shared" si="26"/>
        <v>0</v>
      </c>
      <c r="BF25" s="418" t="b">
        <f t="shared" si="27"/>
        <v>0</v>
      </c>
      <c r="BG25" s="417" t="b">
        <f t="shared" si="28"/>
        <v>1</v>
      </c>
      <c r="BH25" s="417">
        <f t="shared" si="29"/>
        <v>1</v>
      </c>
      <c r="BI25" s="417">
        <f t="shared" si="30"/>
        <v>2</v>
      </c>
      <c r="BJ25" s="417" t="str">
        <f t="shared" si="31"/>
        <v>2*</v>
      </c>
      <c r="BK25" s="417">
        <f t="shared" si="32"/>
        <v>3</v>
      </c>
      <c r="BL25" s="435">
        <f t="shared" si="33"/>
        <v>1</v>
      </c>
      <c r="BM25" s="417">
        <f t="shared" si="34"/>
        <v>2</v>
      </c>
      <c r="BN25" s="417">
        <f t="shared" si="35"/>
        <v>3</v>
      </c>
      <c r="BO25" s="1630"/>
      <c r="BP25" s="443" t="s">
        <v>228</v>
      </c>
      <c r="BQ25" s="446">
        <f t="shared" si="37"/>
        <v>0.7</v>
      </c>
      <c r="BR25" s="445">
        <f t="shared" si="38"/>
        <v>0.8</v>
      </c>
      <c r="BS25" s="445">
        <f t="shared" si="39"/>
        <v>0.9</v>
      </c>
      <c r="BT25" s="445">
        <f t="shared" si="40"/>
        <v>0.95</v>
      </c>
      <c r="BU25" s="444">
        <f t="shared" si="41"/>
        <v>1</v>
      </c>
      <c r="BV25" s="447"/>
      <c r="BW25" s="403"/>
    </row>
    <row r="26" spans="2:75" s="416" customFormat="1" ht="12.95" customHeight="1" x14ac:dyDescent="0.25">
      <c r="B26" s="433">
        <f>IF(ISNA(Z26),"",IF(OR(Z26=1,Z26=2),"    ",MAX($B$11:B25)+1))</f>
        <v>12</v>
      </c>
      <c r="C26" s="1618" t="str">
        <f t="shared" si="0"/>
        <v xml:space="preserve">      - Punct. Acronyms &amp; Format (3.0%)</v>
      </c>
      <c r="D26" s="1618"/>
      <c r="E26" s="1618"/>
      <c r="F26" s="1619"/>
      <c r="G26" s="437">
        <f t="shared" si="1"/>
        <v>1</v>
      </c>
      <c r="H26" s="431" t="str">
        <f t="shared" si="2"/>
        <v>2*</v>
      </c>
      <c r="I26" s="436">
        <f t="shared" si="3"/>
        <v>3</v>
      </c>
      <c r="J26" s="449"/>
      <c r="K26" s="448"/>
      <c r="L26" s="1612"/>
      <c r="M26" s="1613"/>
      <c r="N26" s="1613"/>
      <c r="O26" s="1613"/>
      <c r="P26" s="1613"/>
      <c r="Q26" s="1613"/>
      <c r="R26" s="1614"/>
      <c r="T26" s="401">
        <v>16</v>
      </c>
      <c r="U26" s="374" t="s">
        <v>636</v>
      </c>
      <c r="V26" s="421">
        <v>1</v>
      </c>
      <c r="W26" s="421">
        <v>1</v>
      </c>
      <c r="X26" s="421" t="s">
        <v>212</v>
      </c>
      <c r="Y26" s="421" t="s">
        <v>212</v>
      </c>
      <c r="Z26" s="393" t="s">
        <v>212</v>
      </c>
      <c r="AA26" s="393">
        <v>2</v>
      </c>
      <c r="AB26" s="393">
        <v>1</v>
      </c>
      <c r="AC26" s="421">
        <v>3</v>
      </c>
      <c r="AD26" s="421">
        <v>2</v>
      </c>
      <c r="AE26" s="421">
        <v>1</v>
      </c>
      <c r="AF26" s="421" t="b">
        <v>1</v>
      </c>
      <c r="AG26" s="421">
        <f t="shared" si="4"/>
        <v>2</v>
      </c>
      <c r="AH26" s="421">
        <f t="shared" si="5"/>
        <v>1</v>
      </c>
      <c r="AI26" s="427">
        <f>IF(NOT(OR(Z26=1,Z26=2)),IF(AQ26&gt;0,$AR$47*AQ26/SUMIF($AQ$11:$AQ$42,"&gt;0"),IF(AU26&gt;0,$AV$47*AU26/SUMIF($AU$11:$AU$42,"&gt;0"),IF(AS26&gt;0,$AT$47*AS26/SUMIF($AS$11:$AS$42,"&gt;0"),""))),IF(SUMIF(AJ27:$AJ$42,"=" &amp; AJ26,AI27:$AI$42)=0,"",SUMIF(AJ27:$AJ$42,"=" &amp; AJ26,AI27:$AI$42)))</f>
        <v>3.0000113736431199E-2</v>
      </c>
      <c r="AJ26" s="426">
        <f t="shared" si="36"/>
        <v>3</v>
      </c>
      <c r="AK26" s="421">
        <f t="shared" si="6"/>
        <v>2</v>
      </c>
      <c r="AL26" s="393" t="str">
        <f t="shared" si="7"/>
        <v/>
      </c>
      <c r="AM26" s="393" t="str">
        <f t="shared" si="8"/>
        <v/>
      </c>
      <c r="AN26" s="393" t="str">
        <f t="shared" si="9"/>
        <v/>
      </c>
      <c r="AO26" s="393" t="str">
        <f t="shared" si="10"/>
        <v/>
      </c>
      <c r="AP26" s="421" t="b">
        <f t="shared" si="11"/>
        <v>1</v>
      </c>
      <c r="AQ26" s="425">
        <f t="shared" si="12"/>
        <v>1</v>
      </c>
      <c r="AR26" s="423" t="str">
        <f t="shared" si="13"/>
        <v/>
      </c>
      <c r="AS26" s="424">
        <f t="shared" si="14"/>
        <v>0</v>
      </c>
      <c r="AT26" s="423" t="str">
        <f t="shared" si="15"/>
        <v/>
      </c>
      <c r="AU26" s="420">
        <f t="shared" si="16"/>
        <v>0</v>
      </c>
      <c r="AV26" s="422" t="str">
        <f t="shared" si="17"/>
        <v/>
      </c>
      <c r="AW26" s="420" t="b">
        <f t="shared" si="18"/>
        <v>0</v>
      </c>
      <c r="AX26" s="419" t="b">
        <f t="shared" si="19"/>
        <v>1</v>
      </c>
      <c r="AY26" s="420" t="b">
        <f t="shared" si="20"/>
        <v>0</v>
      </c>
      <c r="AZ26" s="419" t="b">
        <f t="shared" si="21"/>
        <v>0</v>
      </c>
      <c r="BA26" s="421" t="b">
        <f t="shared" si="22"/>
        <v>0</v>
      </c>
      <c r="BB26" s="421" t="b">
        <f t="shared" si="23"/>
        <v>0</v>
      </c>
      <c r="BC26" s="420" t="b">
        <f t="shared" si="24"/>
        <v>0</v>
      </c>
      <c r="BD26" s="393" t="b">
        <f t="shared" si="25"/>
        <v>0</v>
      </c>
      <c r="BE26" s="419" t="b">
        <f t="shared" si="26"/>
        <v>0</v>
      </c>
      <c r="BF26" s="418" t="b">
        <f t="shared" si="27"/>
        <v>0</v>
      </c>
      <c r="BG26" s="417" t="b">
        <f t="shared" si="28"/>
        <v>1</v>
      </c>
      <c r="BH26" s="417">
        <f t="shared" si="29"/>
        <v>1</v>
      </c>
      <c r="BI26" s="417">
        <f t="shared" si="30"/>
        <v>2</v>
      </c>
      <c r="BJ26" s="417" t="str">
        <f t="shared" si="31"/>
        <v>2*</v>
      </c>
      <c r="BK26" s="417">
        <f t="shared" si="32"/>
        <v>3</v>
      </c>
      <c r="BL26" s="435">
        <f t="shared" si="33"/>
        <v>1</v>
      </c>
      <c r="BM26" s="417">
        <f t="shared" si="34"/>
        <v>2</v>
      </c>
      <c r="BN26" s="417">
        <f t="shared" si="35"/>
        <v>3</v>
      </c>
      <c r="BO26" s="1630"/>
      <c r="BP26" s="443" t="s">
        <v>229</v>
      </c>
      <c r="BQ26" s="446">
        <f t="shared" si="37"/>
        <v>0.7</v>
      </c>
      <c r="BR26" s="445">
        <f t="shared" si="38"/>
        <v>0.76670000000000005</v>
      </c>
      <c r="BS26" s="445">
        <f t="shared" si="39"/>
        <v>0.83330000000000004</v>
      </c>
      <c r="BT26" s="445">
        <f t="shared" si="40"/>
        <v>0.9</v>
      </c>
      <c r="BU26" s="444">
        <f t="shared" si="41"/>
        <v>1</v>
      </c>
      <c r="BV26" s="447"/>
      <c r="BW26" s="403"/>
    </row>
    <row r="27" spans="2:75" s="416" customFormat="1" ht="12.95" customHeight="1" x14ac:dyDescent="0.25">
      <c r="B27" s="433">
        <f>IF(ISNA(Z27),"",IF(OR(Z27=1,Z27=2),"    ",MAX($B$11:B26)+1))</f>
        <v>13</v>
      </c>
      <c r="C27" s="1618" t="str">
        <f t="shared" si="0"/>
        <v xml:space="preserve">      - Profess. Tone &amp; Word Choice (3.0%)</v>
      </c>
      <c r="D27" s="1618"/>
      <c r="E27" s="1618"/>
      <c r="F27" s="1619"/>
      <c r="G27" s="437">
        <f t="shared" si="1"/>
        <v>1</v>
      </c>
      <c r="H27" s="431" t="str">
        <f t="shared" si="2"/>
        <v>2*</v>
      </c>
      <c r="I27" s="436">
        <f t="shared" si="3"/>
        <v>3</v>
      </c>
      <c r="J27" s="449"/>
      <c r="K27" s="448"/>
      <c r="L27" s="1612"/>
      <c r="M27" s="1613"/>
      <c r="N27" s="1613"/>
      <c r="O27" s="1613"/>
      <c r="P27" s="1613"/>
      <c r="Q27" s="1613"/>
      <c r="R27" s="1614"/>
      <c r="T27" s="401">
        <v>17</v>
      </c>
      <c r="U27" s="374" t="s">
        <v>635</v>
      </c>
      <c r="V27" s="421">
        <v>1</v>
      </c>
      <c r="W27" s="421">
        <v>1</v>
      </c>
      <c r="X27" s="421" t="s">
        <v>212</v>
      </c>
      <c r="Y27" s="421" t="s">
        <v>212</v>
      </c>
      <c r="Z27" s="393" t="s">
        <v>212</v>
      </c>
      <c r="AA27" s="393">
        <v>2</v>
      </c>
      <c r="AB27" s="393">
        <v>1</v>
      </c>
      <c r="AC27" s="421">
        <v>3</v>
      </c>
      <c r="AD27" s="421">
        <v>2</v>
      </c>
      <c r="AE27" s="421">
        <v>1</v>
      </c>
      <c r="AF27" s="421" t="b">
        <v>1</v>
      </c>
      <c r="AG27" s="421">
        <f t="shared" si="4"/>
        <v>2</v>
      </c>
      <c r="AH27" s="421">
        <f t="shared" si="5"/>
        <v>1</v>
      </c>
      <c r="AI27" s="427">
        <f>IF(NOT(OR(Z27=1,Z27=2)),IF(AQ27&gt;0,$AR$47*AQ27/SUMIF($AQ$11:$AQ$42,"&gt;0"),IF(AU27&gt;0,$AV$47*AU27/SUMIF($AU$11:$AU$42,"&gt;0"),IF(AS27&gt;0,$AT$47*AS27/SUMIF($AS$11:$AS$42,"&gt;0"),""))),IF(SUMIF(AJ28:$AJ$42,"=" &amp; AJ27,AI28:$AI$42)=0,"",SUMIF(AJ28:$AJ$42,"=" &amp; AJ27,AI28:$AI$42)))</f>
        <v>3.0000113736431199E-2</v>
      </c>
      <c r="AJ27" s="426">
        <f t="shared" si="36"/>
        <v>3</v>
      </c>
      <c r="AK27" s="421">
        <f t="shared" si="6"/>
        <v>2</v>
      </c>
      <c r="AL27" s="393" t="str">
        <f t="shared" si="7"/>
        <v/>
      </c>
      <c r="AM27" s="393" t="str">
        <f t="shared" si="8"/>
        <v/>
      </c>
      <c r="AN27" s="393" t="str">
        <f t="shared" si="9"/>
        <v/>
      </c>
      <c r="AO27" s="393" t="str">
        <f t="shared" si="10"/>
        <v/>
      </c>
      <c r="AP27" s="421" t="b">
        <f t="shared" si="11"/>
        <v>1</v>
      </c>
      <c r="AQ27" s="425">
        <f t="shared" si="12"/>
        <v>1</v>
      </c>
      <c r="AR27" s="423" t="str">
        <f t="shared" si="13"/>
        <v/>
      </c>
      <c r="AS27" s="424">
        <f t="shared" si="14"/>
        <v>0</v>
      </c>
      <c r="AT27" s="423" t="str">
        <f t="shared" si="15"/>
        <v/>
      </c>
      <c r="AU27" s="420">
        <f t="shared" si="16"/>
        <v>0</v>
      </c>
      <c r="AV27" s="422" t="str">
        <f t="shared" si="17"/>
        <v/>
      </c>
      <c r="AW27" s="420" t="b">
        <f t="shared" si="18"/>
        <v>0</v>
      </c>
      <c r="AX27" s="419" t="b">
        <f t="shared" si="19"/>
        <v>1</v>
      </c>
      <c r="AY27" s="420" t="b">
        <f t="shared" si="20"/>
        <v>0</v>
      </c>
      <c r="AZ27" s="419" t="b">
        <f t="shared" si="21"/>
        <v>0</v>
      </c>
      <c r="BA27" s="421" t="b">
        <f t="shared" si="22"/>
        <v>0</v>
      </c>
      <c r="BB27" s="421" t="b">
        <f t="shared" si="23"/>
        <v>0</v>
      </c>
      <c r="BC27" s="420" t="b">
        <f t="shared" si="24"/>
        <v>0</v>
      </c>
      <c r="BD27" s="393" t="b">
        <f t="shared" si="25"/>
        <v>0</v>
      </c>
      <c r="BE27" s="419" t="b">
        <f t="shared" si="26"/>
        <v>0</v>
      </c>
      <c r="BF27" s="418" t="b">
        <f t="shared" si="27"/>
        <v>0</v>
      </c>
      <c r="BG27" s="417" t="b">
        <f t="shared" si="28"/>
        <v>1</v>
      </c>
      <c r="BH27" s="417">
        <f t="shared" si="29"/>
        <v>1</v>
      </c>
      <c r="BI27" s="417">
        <f t="shared" si="30"/>
        <v>2</v>
      </c>
      <c r="BJ27" s="417" t="str">
        <f t="shared" si="31"/>
        <v>2*</v>
      </c>
      <c r="BK27" s="417">
        <f t="shared" si="32"/>
        <v>3</v>
      </c>
      <c r="BL27" s="435">
        <f t="shared" si="33"/>
        <v>1</v>
      </c>
      <c r="BM27" s="417">
        <f t="shared" si="34"/>
        <v>2</v>
      </c>
      <c r="BN27" s="417">
        <f t="shared" si="35"/>
        <v>3</v>
      </c>
      <c r="BO27" s="1630"/>
      <c r="BP27" s="443" t="s">
        <v>230</v>
      </c>
      <c r="BQ27" s="446">
        <f t="shared" si="37"/>
        <v>0.6</v>
      </c>
      <c r="BR27" s="445">
        <f t="shared" si="38"/>
        <v>0.9</v>
      </c>
      <c r="BS27" s="445">
        <f t="shared" si="39"/>
        <v>0.93330000000000002</v>
      </c>
      <c r="BT27" s="445">
        <f t="shared" si="40"/>
        <v>0.9667</v>
      </c>
      <c r="BU27" s="444">
        <f t="shared" si="41"/>
        <v>1</v>
      </c>
      <c r="BV27" s="447"/>
      <c r="BW27" s="403"/>
    </row>
    <row r="28" spans="2:75" s="416" customFormat="1" ht="12.95" customHeight="1" x14ac:dyDescent="0.25">
      <c r="B28" s="433" t="str">
        <f>IF(ISNA(Z28),"",IF(OR(Z28=1,Z28=2),"    ",MAX($B$11:B27)+1))</f>
        <v xml:space="preserve">    </v>
      </c>
      <c r="C28" s="1618" t="str">
        <f t="shared" si="0"/>
        <v>Visual Eng &amp; Data Presentation (20.0%)</v>
      </c>
      <c r="D28" s="1618"/>
      <c r="E28" s="1618"/>
      <c r="F28" s="1619"/>
      <c r="G28" s="437" t="str">
        <f t="shared" si="1"/>
        <v/>
      </c>
      <c r="H28" s="431" t="str">
        <f t="shared" si="2"/>
        <v/>
      </c>
      <c r="I28" s="436" t="str">
        <f t="shared" si="3"/>
        <v/>
      </c>
      <c r="J28" s="429"/>
      <c r="K28" s="428"/>
      <c r="L28" s="1612"/>
      <c r="M28" s="1613"/>
      <c r="N28" s="1613"/>
      <c r="O28" s="1613"/>
      <c r="P28" s="1613"/>
      <c r="Q28" s="1613"/>
      <c r="R28" s="1614"/>
      <c r="T28" s="401">
        <v>18</v>
      </c>
      <c r="U28" s="374" t="s">
        <v>634</v>
      </c>
      <c r="V28" s="421" t="s">
        <v>212</v>
      </c>
      <c r="W28" s="421" t="s">
        <v>212</v>
      </c>
      <c r="X28" s="421" t="s">
        <v>212</v>
      </c>
      <c r="Y28" s="421" t="s">
        <v>212</v>
      </c>
      <c r="Z28" s="393">
        <v>2</v>
      </c>
      <c r="AA28" s="393">
        <v>1</v>
      </c>
      <c r="AB28" s="393">
        <v>1</v>
      </c>
      <c r="AC28" s="421" t="s">
        <v>212</v>
      </c>
      <c r="AD28" s="421" t="s">
        <v>212</v>
      </c>
      <c r="AE28" s="421" t="s">
        <v>212</v>
      </c>
      <c r="AF28" s="421" t="s">
        <v>212</v>
      </c>
      <c r="AG28" s="421" t="str">
        <f t="shared" si="4"/>
        <v/>
      </c>
      <c r="AH28" s="421" t="str">
        <f t="shared" si="5"/>
        <v/>
      </c>
      <c r="AI28" s="427">
        <f>IF(NOT(OR(Z28=1,Z28=2)),IF(AQ28&gt;0,$AR$47*AQ28/SUMIF($AQ$11:$AQ$42,"&gt;0"),IF(AU28&gt;0,$AV$47*AU28/SUMIF($AU$11:$AU$42,"&gt;0"),IF(AS28&gt;0,$AT$47*AS28/SUMIF($AS$11:$AS$42,"&gt;0"),""))),IF(SUMIF(AJ29:$AJ$42,"=" &amp; AJ28,AI29:$AI$42)=0,"",SUMIF(AJ29:$AJ$42,"=" &amp; AJ28,AI29:$AI$42)))</f>
        <v>0.20000075804287393</v>
      </c>
      <c r="AJ28" s="426">
        <f t="shared" si="36"/>
        <v>4</v>
      </c>
      <c r="AK28" s="421" t="str">
        <f t="shared" si="6"/>
        <v/>
      </c>
      <c r="AL28" s="393" t="str">
        <f t="shared" si="7"/>
        <v/>
      </c>
      <c r="AM28" s="393" t="str">
        <f t="shared" si="8"/>
        <v/>
      </c>
      <c r="AN28" s="393" t="str">
        <f t="shared" si="9"/>
        <v/>
      </c>
      <c r="AO28" s="393" t="str">
        <f t="shared" si="10"/>
        <v/>
      </c>
      <c r="AP28" s="421" t="str">
        <f t="shared" si="11"/>
        <v/>
      </c>
      <c r="AQ28" s="425">
        <f t="shared" si="12"/>
        <v>0</v>
      </c>
      <c r="AR28" s="423" t="str">
        <f t="shared" si="13"/>
        <v/>
      </c>
      <c r="AS28" s="424">
        <f t="shared" si="14"/>
        <v>0</v>
      </c>
      <c r="AT28" s="423" t="str">
        <f t="shared" si="15"/>
        <v/>
      </c>
      <c r="AU28" s="420">
        <f t="shared" si="16"/>
        <v>0</v>
      </c>
      <c r="AV28" s="422" t="str">
        <f t="shared" si="17"/>
        <v/>
      </c>
      <c r="AW28" s="420" t="b">
        <f t="shared" si="18"/>
        <v>0</v>
      </c>
      <c r="AX28" s="419" t="b">
        <f t="shared" si="19"/>
        <v>0</v>
      </c>
      <c r="AY28" s="420" t="b">
        <f t="shared" si="20"/>
        <v>0</v>
      </c>
      <c r="AZ28" s="419" t="b">
        <f t="shared" si="21"/>
        <v>0</v>
      </c>
      <c r="BA28" s="421" t="b">
        <f t="shared" si="22"/>
        <v>0</v>
      </c>
      <c r="BB28" s="421" t="b">
        <f t="shared" si="23"/>
        <v>0</v>
      </c>
      <c r="BC28" s="420" t="b">
        <f t="shared" si="24"/>
        <v>0</v>
      </c>
      <c r="BD28" s="393" t="b">
        <f t="shared" si="25"/>
        <v>0</v>
      </c>
      <c r="BE28" s="419" t="b">
        <f t="shared" si="26"/>
        <v>0</v>
      </c>
      <c r="BF28" s="418" t="b">
        <f t="shared" si="27"/>
        <v>0</v>
      </c>
      <c r="BG28" s="417" t="b">
        <f t="shared" si="28"/>
        <v>0</v>
      </c>
      <c r="BH28" s="417" t="str">
        <f t="shared" si="29"/>
        <v/>
      </c>
      <c r="BI28" s="417" t="str">
        <f t="shared" si="30"/>
        <v/>
      </c>
      <c r="BJ28" s="417" t="str">
        <f t="shared" si="31"/>
        <v/>
      </c>
      <c r="BK28" s="417" t="str">
        <f t="shared" si="32"/>
        <v/>
      </c>
      <c r="BL28" s="435" t="str">
        <f t="shared" si="33"/>
        <v/>
      </c>
      <c r="BM28" s="417" t="str">
        <f t="shared" si="34"/>
        <v/>
      </c>
      <c r="BN28" s="417" t="str">
        <f t="shared" si="35"/>
        <v/>
      </c>
      <c r="BO28" s="1630"/>
      <c r="BP28" s="443" t="s">
        <v>231</v>
      </c>
      <c r="BQ28" s="446">
        <f t="shared" si="37"/>
        <v>0.6</v>
      </c>
      <c r="BR28" s="445">
        <f t="shared" si="38"/>
        <v>0.7</v>
      </c>
      <c r="BS28" s="445">
        <f t="shared" si="39"/>
        <v>0.9</v>
      </c>
      <c r="BT28" s="445">
        <f t="shared" si="40"/>
        <v>0.95</v>
      </c>
      <c r="BU28" s="444">
        <f t="shared" si="41"/>
        <v>1</v>
      </c>
      <c r="BV28" s="447"/>
      <c r="BW28" s="403"/>
    </row>
    <row r="29" spans="2:75" s="416" customFormat="1" ht="12.95" customHeight="1" x14ac:dyDescent="0.25">
      <c r="B29" s="433">
        <f>IF(ISNA(Z29),"",IF(OR(Z29=1,Z29=2),"    ",MAX($B$11:B28)+1))</f>
        <v>14</v>
      </c>
      <c r="C29" s="1618" t="str">
        <f t="shared" si="0"/>
        <v xml:space="preserve">      - Anatomy of a Valid Plot/Table (8.0%)</v>
      </c>
      <c r="D29" s="1618"/>
      <c r="E29" s="1618"/>
      <c r="F29" s="1619"/>
      <c r="G29" s="437">
        <f t="shared" si="1"/>
        <v>1</v>
      </c>
      <c r="H29" s="431" t="str">
        <f t="shared" si="2"/>
        <v>2*</v>
      </c>
      <c r="I29" s="436">
        <f t="shared" si="3"/>
        <v>3</v>
      </c>
      <c r="J29" s="449"/>
      <c r="K29" s="448"/>
      <c r="L29" s="1612"/>
      <c r="M29" s="1613"/>
      <c r="N29" s="1613"/>
      <c r="O29" s="1613"/>
      <c r="P29" s="1613"/>
      <c r="Q29" s="1613"/>
      <c r="R29" s="1614"/>
      <c r="T29" s="401">
        <v>19</v>
      </c>
      <c r="U29" s="374" t="s">
        <v>633</v>
      </c>
      <c r="V29" s="421">
        <v>1</v>
      </c>
      <c r="W29" s="421">
        <v>2.6666666600000002</v>
      </c>
      <c r="X29" s="421" t="s">
        <v>212</v>
      </c>
      <c r="Y29" s="421" t="s">
        <v>212</v>
      </c>
      <c r="Z29" s="393" t="s">
        <v>212</v>
      </c>
      <c r="AA29" s="393">
        <v>2</v>
      </c>
      <c r="AB29" s="393">
        <v>1</v>
      </c>
      <c r="AC29" s="421">
        <v>3</v>
      </c>
      <c r="AD29" s="421">
        <v>2</v>
      </c>
      <c r="AE29" s="421">
        <v>1</v>
      </c>
      <c r="AF29" s="421" t="b">
        <v>1</v>
      </c>
      <c r="AG29" s="421">
        <f t="shared" si="4"/>
        <v>2</v>
      </c>
      <c r="AH29" s="421">
        <f t="shared" si="5"/>
        <v>1</v>
      </c>
      <c r="AI29" s="427">
        <f>IF(NOT(OR(Z29=1,Z29=2)),IF(AQ29&gt;0,$AR$47*AQ29/SUMIF($AQ$11:$AQ$42,"&gt;0"),IF(AU29&gt;0,$AV$47*AU29/SUMIF($AU$11:$AU$42,"&gt;0"),IF(AS29&gt;0,$AT$47*AS29/SUMIF($AS$11:$AS$42,"&gt;0"),""))),IF(SUMIF(AJ30:$AJ$42,"=" &amp; AJ29,AI30:$AI$42)=0,"",SUMIF(AJ30:$AJ$42,"=" &amp; AJ29,AI30:$AI$42)))</f>
        <v>8.0000303097149117E-2</v>
      </c>
      <c r="AJ29" s="426">
        <f t="shared" si="36"/>
        <v>4</v>
      </c>
      <c r="AK29" s="421">
        <f t="shared" si="6"/>
        <v>2</v>
      </c>
      <c r="AL29" s="393" t="str">
        <f t="shared" si="7"/>
        <v/>
      </c>
      <c r="AM29" s="393" t="str">
        <f t="shared" si="8"/>
        <v/>
      </c>
      <c r="AN29" s="393" t="str">
        <f t="shared" si="9"/>
        <v/>
      </c>
      <c r="AO29" s="393" t="str">
        <f t="shared" si="10"/>
        <v/>
      </c>
      <c r="AP29" s="421" t="b">
        <f t="shared" si="11"/>
        <v>1</v>
      </c>
      <c r="AQ29" s="425">
        <f t="shared" si="12"/>
        <v>2.6666666600000002</v>
      </c>
      <c r="AR29" s="423" t="str">
        <f t="shared" si="13"/>
        <v/>
      </c>
      <c r="AS29" s="424">
        <f t="shared" si="14"/>
        <v>0</v>
      </c>
      <c r="AT29" s="423" t="str">
        <f t="shared" si="15"/>
        <v/>
      </c>
      <c r="AU29" s="420">
        <f t="shared" si="16"/>
        <v>0</v>
      </c>
      <c r="AV29" s="422" t="str">
        <f t="shared" si="17"/>
        <v/>
      </c>
      <c r="AW29" s="420" t="b">
        <f t="shared" si="18"/>
        <v>0</v>
      </c>
      <c r="AX29" s="419" t="b">
        <f t="shared" si="19"/>
        <v>1</v>
      </c>
      <c r="AY29" s="420" t="b">
        <f t="shared" si="20"/>
        <v>0</v>
      </c>
      <c r="AZ29" s="419" t="b">
        <f t="shared" si="21"/>
        <v>0</v>
      </c>
      <c r="BA29" s="421" t="b">
        <f t="shared" si="22"/>
        <v>0</v>
      </c>
      <c r="BB29" s="421" t="b">
        <f t="shared" si="23"/>
        <v>0</v>
      </c>
      <c r="BC29" s="420" t="b">
        <f t="shared" si="24"/>
        <v>0</v>
      </c>
      <c r="BD29" s="393" t="b">
        <f t="shared" si="25"/>
        <v>0</v>
      </c>
      <c r="BE29" s="419" t="b">
        <f t="shared" si="26"/>
        <v>0</v>
      </c>
      <c r="BF29" s="418" t="b">
        <f t="shared" si="27"/>
        <v>0</v>
      </c>
      <c r="BG29" s="417" t="b">
        <f t="shared" si="28"/>
        <v>1</v>
      </c>
      <c r="BH29" s="417">
        <f t="shared" si="29"/>
        <v>1</v>
      </c>
      <c r="BI29" s="417">
        <f t="shared" si="30"/>
        <v>2</v>
      </c>
      <c r="BJ29" s="417" t="str">
        <f t="shared" si="31"/>
        <v>2*</v>
      </c>
      <c r="BK29" s="417">
        <f t="shared" si="32"/>
        <v>3</v>
      </c>
      <c r="BL29" s="435">
        <f t="shared" si="33"/>
        <v>1</v>
      </c>
      <c r="BM29" s="417">
        <f t="shared" si="34"/>
        <v>2</v>
      </c>
      <c r="BN29" s="417">
        <f t="shared" si="35"/>
        <v>3</v>
      </c>
      <c r="BO29" s="1630"/>
      <c r="BP29" s="443" t="s">
        <v>232</v>
      </c>
      <c r="BQ29" s="446">
        <f t="shared" si="37"/>
        <v>0.6</v>
      </c>
      <c r="BR29" s="445">
        <f t="shared" si="38"/>
        <v>0.7</v>
      </c>
      <c r="BS29" s="445">
        <f t="shared" si="39"/>
        <v>0.8</v>
      </c>
      <c r="BT29" s="445">
        <f t="shared" si="40"/>
        <v>0.9</v>
      </c>
      <c r="BU29" s="444">
        <f t="shared" si="41"/>
        <v>1</v>
      </c>
    </row>
    <row r="30" spans="2:75" s="416" customFormat="1" ht="12.95" customHeight="1" x14ac:dyDescent="0.25">
      <c r="B30" s="433">
        <f>IF(ISNA(Z30),"",IF(OR(Z30=1,Z30=2),"    ",MAX($B$11:B29)+1))</f>
        <v>15</v>
      </c>
      <c r="C30" s="1618" t="str">
        <f t="shared" si="0"/>
        <v xml:space="preserve">      - Data-Ink Ratio &amp; Clarity (6.0%)</v>
      </c>
      <c r="D30" s="1618"/>
      <c r="E30" s="1618"/>
      <c r="F30" s="1619"/>
      <c r="G30" s="437">
        <f t="shared" si="1"/>
        <v>1</v>
      </c>
      <c r="H30" s="431" t="str">
        <f t="shared" si="2"/>
        <v>2*</v>
      </c>
      <c r="I30" s="436">
        <f t="shared" si="3"/>
        <v>3</v>
      </c>
      <c r="J30" s="449"/>
      <c r="K30" s="448"/>
      <c r="L30" s="1612"/>
      <c r="M30" s="1613"/>
      <c r="N30" s="1613"/>
      <c r="O30" s="1613"/>
      <c r="P30" s="1613"/>
      <c r="Q30" s="1613"/>
      <c r="R30" s="1614"/>
      <c r="T30" s="401">
        <v>20</v>
      </c>
      <c r="U30" s="374" t="s">
        <v>632</v>
      </c>
      <c r="V30" s="421">
        <v>1</v>
      </c>
      <c r="W30" s="421">
        <v>2</v>
      </c>
      <c r="X30" s="421" t="s">
        <v>212</v>
      </c>
      <c r="Y30" s="421" t="s">
        <v>212</v>
      </c>
      <c r="Z30" s="393" t="s">
        <v>212</v>
      </c>
      <c r="AA30" s="393">
        <v>2</v>
      </c>
      <c r="AB30" s="393">
        <v>1</v>
      </c>
      <c r="AC30" s="421">
        <v>3</v>
      </c>
      <c r="AD30" s="421">
        <v>2</v>
      </c>
      <c r="AE30" s="421">
        <v>1</v>
      </c>
      <c r="AF30" s="421" t="b">
        <v>1</v>
      </c>
      <c r="AG30" s="421">
        <f t="shared" si="4"/>
        <v>2</v>
      </c>
      <c r="AH30" s="421">
        <f t="shared" si="5"/>
        <v>1</v>
      </c>
      <c r="AI30" s="427">
        <f>IF(NOT(OR(Z30=1,Z30=2)),IF(AQ30&gt;0,$AR$47*AQ30/SUMIF($AQ$11:$AQ$42,"&gt;0"),IF(AU30&gt;0,$AV$47*AU30/SUMIF($AU$11:$AU$42,"&gt;0"),IF(AS30&gt;0,$AT$47*AS30/SUMIF($AS$11:$AS$42,"&gt;0"),""))),IF(SUMIF(AJ31:$AJ$42,"=" &amp; AJ30,AI31:$AI$42)=0,"",SUMIF(AJ31:$AJ$42,"=" &amp; AJ30,AI31:$AI$42)))</f>
        <v>6.0000227472862398E-2</v>
      </c>
      <c r="AJ30" s="426">
        <f t="shared" si="36"/>
        <v>4</v>
      </c>
      <c r="AK30" s="421">
        <f t="shared" si="6"/>
        <v>2</v>
      </c>
      <c r="AL30" s="393" t="str">
        <f t="shared" si="7"/>
        <v/>
      </c>
      <c r="AM30" s="393" t="str">
        <f t="shared" si="8"/>
        <v/>
      </c>
      <c r="AN30" s="393" t="str">
        <f t="shared" si="9"/>
        <v/>
      </c>
      <c r="AO30" s="393" t="str">
        <f t="shared" si="10"/>
        <v/>
      </c>
      <c r="AP30" s="421" t="b">
        <f t="shared" si="11"/>
        <v>1</v>
      </c>
      <c r="AQ30" s="425">
        <f t="shared" si="12"/>
        <v>2</v>
      </c>
      <c r="AR30" s="423" t="str">
        <f t="shared" si="13"/>
        <v/>
      </c>
      <c r="AS30" s="424">
        <f t="shared" si="14"/>
        <v>0</v>
      </c>
      <c r="AT30" s="423" t="str">
        <f t="shared" si="15"/>
        <v/>
      </c>
      <c r="AU30" s="420">
        <f t="shared" si="16"/>
        <v>0</v>
      </c>
      <c r="AV30" s="422" t="str">
        <f t="shared" si="17"/>
        <v/>
      </c>
      <c r="AW30" s="420" t="b">
        <f t="shared" si="18"/>
        <v>0</v>
      </c>
      <c r="AX30" s="419" t="b">
        <f t="shared" si="19"/>
        <v>1</v>
      </c>
      <c r="AY30" s="420" t="b">
        <f t="shared" si="20"/>
        <v>0</v>
      </c>
      <c r="AZ30" s="419" t="b">
        <f t="shared" si="21"/>
        <v>0</v>
      </c>
      <c r="BA30" s="421" t="b">
        <f t="shared" si="22"/>
        <v>0</v>
      </c>
      <c r="BB30" s="421" t="b">
        <f t="shared" si="23"/>
        <v>0</v>
      </c>
      <c r="BC30" s="420" t="b">
        <f t="shared" si="24"/>
        <v>0</v>
      </c>
      <c r="BD30" s="393" t="b">
        <f t="shared" si="25"/>
        <v>0</v>
      </c>
      <c r="BE30" s="419" t="b">
        <f t="shared" si="26"/>
        <v>0</v>
      </c>
      <c r="BF30" s="418" t="b">
        <f t="shared" si="27"/>
        <v>0</v>
      </c>
      <c r="BG30" s="417" t="b">
        <f t="shared" si="28"/>
        <v>1</v>
      </c>
      <c r="BH30" s="417">
        <f t="shared" si="29"/>
        <v>1</v>
      </c>
      <c r="BI30" s="417">
        <f t="shared" si="30"/>
        <v>2</v>
      </c>
      <c r="BJ30" s="417" t="str">
        <f t="shared" si="31"/>
        <v>2*</v>
      </c>
      <c r="BK30" s="417">
        <f t="shared" si="32"/>
        <v>3</v>
      </c>
      <c r="BL30" s="435">
        <f t="shared" si="33"/>
        <v>1</v>
      </c>
      <c r="BM30" s="417">
        <f t="shared" si="34"/>
        <v>2</v>
      </c>
      <c r="BN30" s="417">
        <f t="shared" si="35"/>
        <v>3</v>
      </c>
      <c r="BO30" s="1630"/>
      <c r="BP30" s="443" t="s">
        <v>233</v>
      </c>
      <c r="BQ30" s="446">
        <f t="shared" si="37"/>
        <v>0.3</v>
      </c>
      <c r="BR30" s="445">
        <f t="shared" si="38"/>
        <v>0.6</v>
      </c>
      <c r="BS30" s="445">
        <f t="shared" si="39"/>
        <v>0.9</v>
      </c>
      <c r="BT30" s="445">
        <f t="shared" si="40"/>
        <v>0.95</v>
      </c>
      <c r="BU30" s="444">
        <f t="shared" si="41"/>
        <v>1</v>
      </c>
    </row>
    <row r="31" spans="2:75" s="416" customFormat="1" ht="12.95" customHeight="1" x14ac:dyDescent="0.25">
      <c r="B31" s="433">
        <f>IF(ISNA(Z31),"",IF(OR(Z31=1,Z31=2),"    ",MAX($B$11:B30)+1))</f>
        <v>16</v>
      </c>
      <c r="C31" s="1618" t="str">
        <f t="shared" si="0"/>
        <v xml:space="preserve">      - Data Honesty &amp; Context (6.0%)</v>
      </c>
      <c r="D31" s="1618"/>
      <c r="E31" s="1618"/>
      <c r="F31" s="1619"/>
      <c r="G31" s="437">
        <f t="shared" si="1"/>
        <v>1</v>
      </c>
      <c r="H31" s="431" t="str">
        <f t="shared" si="2"/>
        <v>2*</v>
      </c>
      <c r="I31" s="436">
        <f t="shared" si="3"/>
        <v>3</v>
      </c>
      <c r="J31" s="449"/>
      <c r="K31" s="448"/>
      <c r="L31" s="1612"/>
      <c r="M31" s="1613"/>
      <c r="N31" s="1613"/>
      <c r="O31" s="1613"/>
      <c r="P31" s="1613"/>
      <c r="Q31" s="1613"/>
      <c r="R31" s="1614"/>
      <c r="T31" s="401">
        <v>21</v>
      </c>
      <c r="U31" s="374" t="s">
        <v>631</v>
      </c>
      <c r="V31" s="421">
        <v>1</v>
      </c>
      <c r="W31" s="421">
        <v>2</v>
      </c>
      <c r="X31" s="421" t="s">
        <v>212</v>
      </c>
      <c r="Y31" s="421" t="s">
        <v>212</v>
      </c>
      <c r="Z31" s="393" t="s">
        <v>212</v>
      </c>
      <c r="AA31" s="393">
        <v>2</v>
      </c>
      <c r="AB31" s="393">
        <v>1</v>
      </c>
      <c r="AC31" s="421">
        <v>3</v>
      </c>
      <c r="AD31" s="421">
        <v>2</v>
      </c>
      <c r="AE31" s="421">
        <v>1</v>
      </c>
      <c r="AF31" s="421" t="b">
        <v>1</v>
      </c>
      <c r="AG31" s="421">
        <f t="shared" si="4"/>
        <v>2</v>
      </c>
      <c r="AH31" s="421">
        <f t="shared" si="5"/>
        <v>1</v>
      </c>
      <c r="AI31" s="427">
        <f>IF(NOT(OR(Z31=1,Z31=2)),IF(AQ31&gt;0,$AR$47*AQ31/SUMIF($AQ$11:$AQ$42,"&gt;0"),IF(AU31&gt;0,$AV$47*AU31/SUMIF($AU$11:$AU$42,"&gt;0"),IF(AS31&gt;0,$AT$47*AS31/SUMIF($AS$11:$AS$42,"&gt;0"),""))),IF(SUMIF(AJ32:$AJ$42,"=" &amp; AJ31,AI32:$AI$42)=0,"",SUMIF(AJ32:$AJ$42,"=" &amp; AJ31,AI32:$AI$42)))</f>
        <v>6.0000227472862398E-2</v>
      </c>
      <c r="AJ31" s="426">
        <f t="shared" si="36"/>
        <v>4</v>
      </c>
      <c r="AK31" s="421">
        <f t="shared" si="6"/>
        <v>2</v>
      </c>
      <c r="AL31" s="393" t="str">
        <f t="shared" si="7"/>
        <v/>
      </c>
      <c r="AM31" s="393" t="str">
        <f t="shared" si="8"/>
        <v/>
      </c>
      <c r="AN31" s="393" t="str">
        <f t="shared" si="9"/>
        <v/>
      </c>
      <c r="AO31" s="393" t="str">
        <f t="shared" si="10"/>
        <v/>
      </c>
      <c r="AP31" s="421" t="b">
        <f t="shared" si="11"/>
        <v>1</v>
      </c>
      <c r="AQ31" s="425">
        <f t="shared" si="12"/>
        <v>2</v>
      </c>
      <c r="AR31" s="423" t="str">
        <f t="shared" si="13"/>
        <v/>
      </c>
      <c r="AS31" s="424">
        <f t="shared" si="14"/>
        <v>0</v>
      </c>
      <c r="AT31" s="423" t="str">
        <f t="shared" si="15"/>
        <v/>
      </c>
      <c r="AU31" s="420">
        <f t="shared" si="16"/>
        <v>0</v>
      </c>
      <c r="AV31" s="422" t="str">
        <f t="shared" si="17"/>
        <v/>
      </c>
      <c r="AW31" s="420" t="b">
        <f t="shared" si="18"/>
        <v>0</v>
      </c>
      <c r="AX31" s="419" t="b">
        <f t="shared" si="19"/>
        <v>1</v>
      </c>
      <c r="AY31" s="420" t="b">
        <f t="shared" si="20"/>
        <v>0</v>
      </c>
      <c r="AZ31" s="419" t="b">
        <f t="shared" si="21"/>
        <v>0</v>
      </c>
      <c r="BA31" s="421" t="b">
        <f t="shared" si="22"/>
        <v>0</v>
      </c>
      <c r="BB31" s="421" t="b">
        <f t="shared" si="23"/>
        <v>0</v>
      </c>
      <c r="BC31" s="420" t="b">
        <f t="shared" si="24"/>
        <v>0</v>
      </c>
      <c r="BD31" s="393" t="b">
        <f t="shared" si="25"/>
        <v>0</v>
      </c>
      <c r="BE31" s="419" t="b">
        <f t="shared" si="26"/>
        <v>0</v>
      </c>
      <c r="BF31" s="418" t="b">
        <f t="shared" si="27"/>
        <v>0</v>
      </c>
      <c r="BG31" s="417" t="b">
        <f t="shared" si="28"/>
        <v>1</v>
      </c>
      <c r="BH31" s="417">
        <f t="shared" si="29"/>
        <v>1</v>
      </c>
      <c r="BI31" s="417">
        <f t="shared" si="30"/>
        <v>2</v>
      </c>
      <c r="BJ31" s="417" t="str">
        <f t="shared" si="31"/>
        <v>2*</v>
      </c>
      <c r="BK31" s="417">
        <f t="shared" si="32"/>
        <v>3</v>
      </c>
      <c r="BL31" s="435">
        <f t="shared" si="33"/>
        <v>1</v>
      </c>
      <c r="BM31" s="417">
        <f t="shared" si="34"/>
        <v>2</v>
      </c>
      <c r="BN31" s="417">
        <f t="shared" si="35"/>
        <v>3</v>
      </c>
      <c r="BO31" s="1630"/>
      <c r="BP31" s="443" t="s">
        <v>234</v>
      </c>
      <c r="BQ31" s="446">
        <f t="shared" si="37"/>
        <v>0.3</v>
      </c>
      <c r="BR31" s="445">
        <f t="shared" si="38"/>
        <v>0.6</v>
      </c>
      <c r="BS31" s="445">
        <f t="shared" si="39"/>
        <v>0.7</v>
      </c>
      <c r="BT31" s="445">
        <f t="shared" si="40"/>
        <v>0.9</v>
      </c>
      <c r="BU31" s="444">
        <f t="shared" si="41"/>
        <v>1</v>
      </c>
    </row>
    <row r="32" spans="2:75" s="416" customFormat="1" ht="12.95" customHeight="1" x14ac:dyDescent="0.25">
      <c r="B32" s="433" t="str">
        <f>IF(ISNA(Z32),"",IF(OR(Z32=1,Z32=2),"    ",MAX($B$11:B31)+1))</f>
        <v/>
      </c>
      <c r="C32" s="1618" t="str">
        <f t="shared" si="0"/>
        <v/>
      </c>
      <c r="D32" s="1618"/>
      <c r="E32" s="1618"/>
      <c r="F32" s="1619"/>
      <c r="G32" s="437" t="str">
        <f t="shared" si="1"/>
        <v/>
      </c>
      <c r="H32" s="431" t="str">
        <f t="shared" si="2"/>
        <v/>
      </c>
      <c r="I32" s="436" t="str">
        <f t="shared" si="3"/>
        <v/>
      </c>
      <c r="J32" s="429"/>
      <c r="K32" s="428"/>
      <c r="L32" s="1612"/>
      <c r="M32" s="1613"/>
      <c r="N32" s="1613"/>
      <c r="O32" s="1613"/>
      <c r="P32" s="1613"/>
      <c r="Q32" s="1613"/>
      <c r="R32" s="1614"/>
      <c r="T32" s="401">
        <v>22</v>
      </c>
      <c r="U32" s="374" t="e">
        <v>#N/A</v>
      </c>
      <c r="V32" s="421" t="e">
        <v>#N/A</v>
      </c>
      <c r="W32" s="421" t="e">
        <v>#N/A</v>
      </c>
      <c r="X32" s="421" t="e">
        <v>#N/A</v>
      </c>
      <c r="Y32" s="421" t="e">
        <v>#N/A</v>
      </c>
      <c r="Z32" s="393" t="e">
        <v>#N/A</v>
      </c>
      <c r="AA32" s="393" t="e">
        <v>#N/A</v>
      </c>
      <c r="AB32" s="393" t="e">
        <v>#N/A</v>
      </c>
      <c r="AC32" s="421" t="e">
        <v>#N/A</v>
      </c>
      <c r="AD32" s="421" t="e">
        <v>#N/A</v>
      </c>
      <c r="AE32" s="421" t="e">
        <v>#N/A</v>
      </c>
      <c r="AF32" s="421" t="e">
        <v>#N/A</v>
      </c>
      <c r="AG32" s="421" t="e">
        <f t="shared" si="4"/>
        <v>#N/A</v>
      </c>
      <c r="AH32" s="421" t="str">
        <f t="shared" si="5"/>
        <v/>
      </c>
      <c r="AI32" s="427" t="e">
        <f>IF(NOT(OR(Z32=1,Z32=2)),IF(AQ32&gt;0,$AR$47*AQ32/SUMIF($AQ$11:$AQ$42,"&gt;0"),IF(AU32&gt;0,$AV$47*AU32/SUMIF($AU$11:$AU$42,"&gt;0"),IF(AS32&gt;0,$AT$47*AS32/SUMIF($AS$11:$AS$42,"&gt;0"),""))),IF(SUMIF(AJ33:$AJ$42,"=" &amp; AJ32,AI33:$AI$42)=0,"",SUMIF(AJ33:$AJ$42,"=" &amp; AJ32,AI33:$AI$42)))</f>
        <v>#N/A</v>
      </c>
      <c r="AJ32" s="426" t="e">
        <f t="shared" si="36"/>
        <v>#N/A</v>
      </c>
      <c r="AK32" s="421" t="str">
        <f t="shared" si="6"/>
        <v/>
      </c>
      <c r="AL32" s="393" t="str">
        <f t="shared" si="7"/>
        <v/>
      </c>
      <c r="AM32" s="393" t="str">
        <f t="shared" si="8"/>
        <v/>
      </c>
      <c r="AN32" s="393" t="str">
        <f t="shared" si="9"/>
        <v/>
      </c>
      <c r="AO32" s="393" t="e">
        <f t="shared" si="10"/>
        <v>#N/A</v>
      </c>
      <c r="AP32" s="421" t="str">
        <f t="shared" si="11"/>
        <v/>
      </c>
      <c r="AQ32" s="425">
        <f t="shared" si="12"/>
        <v>0</v>
      </c>
      <c r="AR32" s="423" t="str">
        <f t="shared" si="13"/>
        <v/>
      </c>
      <c r="AS32" s="424">
        <f t="shared" si="14"/>
        <v>0</v>
      </c>
      <c r="AT32" s="423" t="str">
        <f t="shared" si="15"/>
        <v/>
      </c>
      <c r="AU32" s="420">
        <f t="shared" si="16"/>
        <v>0</v>
      </c>
      <c r="AV32" s="422" t="str">
        <f t="shared" si="17"/>
        <v/>
      </c>
      <c r="AW32" s="420" t="b">
        <f t="shared" si="18"/>
        <v>0</v>
      </c>
      <c r="AX32" s="419" t="b">
        <f t="shared" si="19"/>
        <v>0</v>
      </c>
      <c r="AY32" s="420" t="b">
        <f t="shared" si="20"/>
        <v>0</v>
      </c>
      <c r="AZ32" s="419" t="b">
        <f t="shared" si="21"/>
        <v>0</v>
      </c>
      <c r="BA32" s="421" t="b">
        <f t="shared" si="22"/>
        <v>0</v>
      </c>
      <c r="BB32" s="421" t="b">
        <f t="shared" si="23"/>
        <v>0</v>
      </c>
      <c r="BC32" s="420" t="b">
        <f t="shared" si="24"/>
        <v>0</v>
      </c>
      <c r="BD32" s="393" t="b">
        <f t="shared" si="25"/>
        <v>0</v>
      </c>
      <c r="BE32" s="419" t="b">
        <f t="shared" si="26"/>
        <v>0</v>
      </c>
      <c r="BF32" s="418" t="b">
        <f t="shared" si="27"/>
        <v>0</v>
      </c>
      <c r="BG32" s="417" t="str">
        <f t="shared" si="28"/>
        <v>NA</v>
      </c>
      <c r="BH32" s="417" t="str">
        <f t="shared" si="29"/>
        <v/>
      </c>
      <c r="BI32" s="417" t="str">
        <f t="shared" si="30"/>
        <v/>
      </c>
      <c r="BJ32" s="417" t="str">
        <f t="shared" si="31"/>
        <v/>
      </c>
      <c r="BK32" s="417" t="str">
        <f t="shared" si="32"/>
        <v/>
      </c>
      <c r="BL32" s="435" t="str">
        <f t="shared" si="33"/>
        <v/>
      </c>
      <c r="BM32" s="417" t="str">
        <f t="shared" si="34"/>
        <v/>
      </c>
      <c r="BN32" s="417" t="str">
        <f t="shared" si="35"/>
        <v/>
      </c>
      <c r="BO32" s="1630"/>
      <c r="BP32" s="443" t="s">
        <v>235</v>
      </c>
      <c r="BQ32" s="442">
        <f t="shared" si="37"/>
        <v>0</v>
      </c>
      <c r="BR32" s="441">
        <f t="shared" si="38"/>
        <v>0.3</v>
      </c>
      <c r="BS32" s="441">
        <f t="shared" si="39"/>
        <v>0.6</v>
      </c>
      <c r="BT32" s="441">
        <f t="shared" si="40"/>
        <v>0.9</v>
      </c>
      <c r="BU32" s="440">
        <f t="shared" si="41"/>
        <v>1</v>
      </c>
    </row>
    <row r="33" spans="2:73 1271:1271" s="416" customFormat="1" ht="12.95" customHeight="1" x14ac:dyDescent="0.25">
      <c r="B33" s="433" t="str">
        <f>IF(ISNA(Z33),"",IF(OR(Z33=1,Z33=2),"    ",MAX($B$11:B32)+1))</f>
        <v/>
      </c>
      <c r="C33" s="1618" t="str">
        <f t="shared" si="0"/>
        <v/>
      </c>
      <c r="D33" s="1618"/>
      <c r="E33" s="1618"/>
      <c r="F33" s="1619"/>
      <c r="G33" s="437" t="str">
        <f t="shared" si="1"/>
        <v/>
      </c>
      <c r="H33" s="431" t="str">
        <f t="shared" si="2"/>
        <v/>
      </c>
      <c r="I33" s="436" t="str">
        <f t="shared" si="3"/>
        <v/>
      </c>
      <c r="J33" s="429"/>
      <c r="K33" s="428"/>
      <c r="L33" s="1612"/>
      <c r="M33" s="1613"/>
      <c r="N33" s="1613"/>
      <c r="O33" s="1613"/>
      <c r="P33" s="1613"/>
      <c r="Q33" s="1613"/>
      <c r="R33" s="1614"/>
      <c r="T33" s="401">
        <v>23</v>
      </c>
      <c r="U33" s="374" t="e">
        <v>#N/A</v>
      </c>
      <c r="V33" s="421" t="e">
        <v>#N/A</v>
      </c>
      <c r="W33" s="421" t="e">
        <v>#N/A</v>
      </c>
      <c r="X33" s="421" t="e">
        <v>#N/A</v>
      </c>
      <c r="Y33" s="421" t="e">
        <v>#N/A</v>
      </c>
      <c r="Z33" s="393" t="e">
        <v>#N/A</v>
      </c>
      <c r="AA33" s="393" t="e">
        <v>#N/A</v>
      </c>
      <c r="AB33" s="393" t="e">
        <v>#N/A</v>
      </c>
      <c r="AC33" s="421" t="e">
        <v>#N/A</v>
      </c>
      <c r="AD33" s="421" t="e">
        <v>#N/A</v>
      </c>
      <c r="AE33" s="421" t="e">
        <v>#N/A</v>
      </c>
      <c r="AF33" s="421" t="e">
        <v>#N/A</v>
      </c>
      <c r="AG33" s="421" t="e">
        <f t="shared" si="4"/>
        <v>#N/A</v>
      </c>
      <c r="AH33" s="421" t="str">
        <f t="shared" si="5"/>
        <v/>
      </c>
      <c r="AI33" s="427" t="e">
        <f>IF(NOT(OR(Z33=1,Z33=2)),IF(AQ33&gt;0,$AR$47*AQ33/SUMIF($AQ$11:$AQ$42,"&gt;0"),IF(AU33&gt;0,$AV$47*AU33/SUMIF($AU$11:$AU$42,"&gt;0"),IF(AS33&gt;0,$AT$47*AS33/SUMIF($AS$11:$AS$42,"&gt;0"),""))),IF(SUMIF(AJ34:$AJ$42,"=" &amp; AJ33,AI34:$AI$42)=0,"",SUMIF(AJ34:$AJ$42,"=" &amp; AJ33,AI34:$AI$42)))</f>
        <v>#N/A</v>
      </c>
      <c r="AJ33" s="426" t="e">
        <f t="shared" si="36"/>
        <v>#N/A</v>
      </c>
      <c r="AK33" s="421" t="str">
        <f t="shared" si="6"/>
        <v/>
      </c>
      <c r="AL33" s="393" t="str">
        <f t="shared" si="7"/>
        <v/>
      </c>
      <c r="AM33" s="393" t="str">
        <f t="shared" si="8"/>
        <v/>
      </c>
      <c r="AN33" s="393" t="str">
        <f t="shared" si="9"/>
        <v/>
      </c>
      <c r="AO33" s="393" t="e">
        <f t="shared" si="10"/>
        <v>#N/A</v>
      </c>
      <c r="AP33" s="421" t="str">
        <f t="shared" si="11"/>
        <v/>
      </c>
      <c r="AQ33" s="425">
        <f t="shared" si="12"/>
        <v>0</v>
      </c>
      <c r="AR33" s="423" t="str">
        <f t="shared" si="13"/>
        <v/>
      </c>
      <c r="AS33" s="424">
        <f t="shared" si="14"/>
        <v>0</v>
      </c>
      <c r="AT33" s="423" t="str">
        <f t="shared" si="15"/>
        <v/>
      </c>
      <c r="AU33" s="420">
        <f t="shared" si="16"/>
        <v>0</v>
      </c>
      <c r="AV33" s="422" t="str">
        <f t="shared" si="17"/>
        <v/>
      </c>
      <c r="AW33" s="420" t="b">
        <f t="shared" si="18"/>
        <v>0</v>
      </c>
      <c r="AX33" s="419" t="b">
        <f t="shared" si="19"/>
        <v>0</v>
      </c>
      <c r="AY33" s="420" t="b">
        <f t="shared" si="20"/>
        <v>0</v>
      </c>
      <c r="AZ33" s="419" t="b">
        <f t="shared" si="21"/>
        <v>0</v>
      </c>
      <c r="BA33" s="421" t="b">
        <f t="shared" si="22"/>
        <v>0</v>
      </c>
      <c r="BB33" s="421" t="b">
        <f t="shared" si="23"/>
        <v>0</v>
      </c>
      <c r="BC33" s="420" t="b">
        <f t="shared" si="24"/>
        <v>0</v>
      </c>
      <c r="BD33" s="393" t="b">
        <f t="shared" si="25"/>
        <v>0</v>
      </c>
      <c r="BE33" s="419" t="b">
        <f t="shared" si="26"/>
        <v>0</v>
      </c>
      <c r="BF33" s="418" t="b">
        <f t="shared" si="27"/>
        <v>0</v>
      </c>
      <c r="BG33" s="417" t="str">
        <f t="shared" si="28"/>
        <v>NA</v>
      </c>
      <c r="BH33" s="417" t="str">
        <f t="shared" si="29"/>
        <v/>
      </c>
      <c r="BI33" s="417" t="str">
        <f t="shared" si="30"/>
        <v/>
      </c>
      <c r="BJ33" s="417" t="str">
        <f t="shared" si="31"/>
        <v/>
      </c>
      <c r="BK33" s="417" t="str">
        <f t="shared" si="32"/>
        <v/>
      </c>
      <c r="BL33" s="435" t="str">
        <f t="shared" si="33"/>
        <v/>
      </c>
      <c r="BM33" s="417" t="str">
        <f t="shared" si="34"/>
        <v/>
      </c>
      <c r="BN33" s="417" t="str">
        <f t="shared" si="35"/>
        <v/>
      </c>
      <c r="BO33" s="372"/>
    </row>
    <row r="34" spans="2:73 1271:1271" s="416" customFormat="1" ht="12.95" customHeight="1" x14ac:dyDescent="0.25">
      <c r="B34" s="433" t="str">
        <f>IF(ISNA(Z34),"",IF(OR(Z34=1,Z34=2),"    ",MAX($B$11:B33)+1))</f>
        <v/>
      </c>
      <c r="C34" s="1618" t="str">
        <f t="shared" si="0"/>
        <v/>
      </c>
      <c r="D34" s="1618"/>
      <c r="E34" s="1618"/>
      <c r="F34" s="1619"/>
      <c r="G34" s="437" t="str">
        <f t="shared" si="1"/>
        <v/>
      </c>
      <c r="H34" s="431" t="str">
        <f t="shared" si="2"/>
        <v/>
      </c>
      <c r="I34" s="436" t="str">
        <f t="shared" si="3"/>
        <v/>
      </c>
      <c r="J34" s="429"/>
      <c r="K34" s="428"/>
      <c r="L34" s="1612"/>
      <c r="M34" s="1613"/>
      <c r="N34" s="1613"/>
      <c r="O34" s="1613"/>
      <c r="P34" s="1613"/>
      <c r="Q34" s="1613"/>
      <c r="R34" s="1614"/>
      <c r="T34" s="401">
        <v>24</v>
      </c>
      <c r="U34" s="374" t="e">
        <v>#N/A</v>
      </c>
      <c r="V34" s="421" t="e">
        <v>#N/A</v>
      </c>
      <c r="W34" s="421" t="e">
        <v>#N/A</v>
      </c>
      <c r="X34" s="421" t="e">
        <v>#N/A</v>
      </c>
      <c r="Y34" s="421" t="e">
        <v>#N/A</v>
      </c>
      <c r="Z34" s="393" t="e">
        <v>#N/A</v>
      </c>
      <c r="AA34" s="393" t="e">
        <v>#N/A</v>
      </c>
      <c r="AB34" s="393" t="e">
        <v>#N/A</v>
      </c>
      <c r="AC34" s="421" t="e">
        <v>#N/A</v>
      </c>
      <c r="AD34" s="421" t="e">
        <v>#N/A</v>
      </c>
      <c r="AE34" s="421" t="e">
        <v>#N/A</v>
      </c>
      <c r="AF34" s="421" t="e">
        <v>#N/A</v>
      </c>
      <c r="AG34" s="421" t="e">
        <f t="shared" si="4"/>
        <v>#N/A</v>
      </c>
      <c r="AH34" s="421" t="str">
        <f t="shared" si="5"/>
        <v/>
      </c>
      <c r="AI34" s="427" t="e">
        <f>IF(NOT(OR(Z34=1,Z34=2)),IF(AQ34&gt;0,$AR$47*AQ34/SUMIF($AQ$11:$AQ$42,"&gt;0"),IF(AU34&gt;0,$AV$47*AU34/SUMIF($AU$11:$AU$42,"&gt;0"),IF(AS34&gt;0,$AT$47*AS34/SUMIF($AS$11:$AS$42,"&gt;0"),""))),IF(SUMIF(AJ35:$AJ$42,"=" &amp; AJ34,AI35:$AI$42)=0,"",SUMIF(AJ35:$AJ$42,"=" &amp; AJ34,AI35:$AI$42)))</f>
        <v>#N/A</v>
      </c>
      <c r="AJ34" s="426" t="e">
        <f t="shared" si="36"/>
        <v>#N/A</v>
      </c>
      <c r="AK34" s="421" t="str">
        <f t="shared" si="6"/>
        <v/>
      </c>
      <c r="AL34" s="393" t="str">
        <f t="shared" si="7"/>
        <v/>
      </c>
      <c r="AM34" s="393" t="str">
        <f t="shared" si="8"/>
        <v/>
      </c>
      <c r="AN34" s="393" t="str">
        <f t="shared" si="9"/>
        <v/>
      </c>
      <c r="AO34" s="393" t="e">
        <f t="shared" si="10"/>
        <v>#N/A</v>
      </c>
      <c r="AP34" s="421" t="str">
        <f t="shared" si="11"/>
        <v/>
      </c>
      <c r="AQ34" s="425">
        <f t="shared" si="12"/>
        <v>0</v>
      </c>
      <c r="AR34" s="423" t="str">
        <f t="shared" si="13"/>
        <v/>
      </c>
      <c r="AS34" s="424">
        <f t="shared" si="14"/>
        <v>0</v>
      </c>
      <c r="AT34" s="423" t="str">
        <f t="shared" si="15"/>
        <v/>
      </c>
      <c r="AU34" s="420">
        <f t="shared" si="16"/>
        <v>0</v>
      </c>
      <c r="AV34" s="422" t="str">
        <f t="shared" si="17"/>
        <v/>
      </c>
      <c r="AW34" s="420" t="b">
        <f t="shared" si="18"/>
        <v>0</v>
      </c>
      <c r="AX34" s="419" t="b">
        <f t="shared" si="19"/>
        <v>0</v>
      </c>
      <c r="AY34" s="420" t="b">
        <f t="shared" si="20"/>
        <v>0</v>
      </c>
      <c r="AZ34" s="419" t="b">
        <f t="shared" si="21"/>
        <v>0</v>
      </c>
      <c r="BA34" s="421" t="b">
        <f t="shared" si="22"/>
        <v>0</v>
      </c>
      <c r="BB34" s="421" t="b">
        <f t="shared" si="23"/>
        <v>0</v>
      </c>
      <c r="BC34" s="420" t="b">
        <f t="shared" si="24"/>
        <v>0</v>
      </c>
      <c r="BD34" s="393" t="b">
        <f t="shared" si="25"/>
        <v>0</v>
      </c>
      <c r="BE34" s="419" t="b">
        <f t="shared" si="26"/>
        <v>0</v>
      </c>
      <c r="BF34" s="418" t="b">
        <f t="shared" si="27"/>
        <v>0</v>
      </c>
      <c r="BG34" s="417" t="str">
        <f t="shared" si="28"/>
        <v>NA</v>
      </c>
      <c r="BH34" s="417" t="str">
        <f t="shared" si="29"/>
        <v/>
      </c>
      <c r="BI34" s="417" t="str">
        <f t="shared" si="30"/>
        <v/>
      </c>
      <c r="BJ34" s="417" t="str">
        <f t="shared" si="31"/>
        <v/>
      </c>
      <c r="BK34" s="417" t="str">
        <f t="shared" si="32"/>
        <v/>
      </c>
      <c r="BL34" s="435" t="str">
        <f t="shared" si="33"/>
        <v/>
      </c>
      <c r="BM34" s="417" t="str">
        <f t="shared" si="34"/>
        <v/>
      </c>
      <c r="BN34" s="417" t="str">
        <f t="shared" si="35"/>
        <v/>
      </c>
      <c r="BO34" s="439" t="s">
        <v>236</v>
      </c>
      <c r="BP34" s="438" t="s">
        <v>237</v>
      </c>
    </row>
    <row r="35" spans="2:73 1271:1271" s="416" customFormat="1" ht="12.95" customHeight="1" x14ac:dyDescent="0.25">
      <c r="B35" s="433" t="str">
        <f>IF(ISNA(Z35),"",IF(OR(Z35=1,Z35=2),"    ",MAX($B$11:B34)+1))</f>
        <v/>
      </c>
      <c r="C35" s="1618" t="str">
        <f t="shared" si="0"/>
        <v/>
      </c>
      <c r="D35" s="1618"/>
      <c r="E35" s="1618"/>
      <c r="F35" s="1619"/>
      <c r="G35" s="437" t="str">
        <f t="shared" si="1"/>
        <v/>
      </c>
      <c r="H35" s="431" t="str">
        <f t="shared" si="2"/>
        <v/>
      </c>
      <c r="I35" s="436" t="str">
        <f t="shared" si="3"/>
        <v/>
      </c>
      <c r="J35" s="429"/>
      <c r="K35" s="428"/>
      <c r="L35" s="1612"/>
      <c r="M35" s="1613"/>
      <c r="N35" s="1613"/>
      <c r="O35" s="1613"/>
      <c r="P35" s="1613"/>
      <c r="Q35" s="1613"/>
      <c r="R35" s="1614"/>
      <c r="T35" s="401">
        <v>25</v>
      </c>
      <c r="U35" s="374" t="e">
        <v>#N/A</v>
      </c>
      <c r="V35" s="421" t="e">
        <v>#N/A</v>
      </c>
      <c r="W35" s="421" t="e">
        <v>#N/A</v>
      </c>
      <c r="X35" s="421" t="e">
        <v>#N/A</v>
      </c>
      <c r="Y35" s="421" t="e">
        <v>#N/A</v>
      </c>
      <c r="Z35" s="393" t="e">
        <v>#N/A</v>
      </c>
      <c r="AA35" s="393" t="e">
        <v>#N/A</v>
      </c>
      <c r="AB35" s="393" t="e">
        <v>#N/A</v>
      </c>
      <c r="AC35" s="421" t="e">
        <v>#N/A</v>
      </c>
      <c r="AD35" s="421" t="e">
        <v>#N/A</v>
      </c>
      <c r="AE35" s="421" t="e">
        <v>#N/A</v>
      </c>
      <c r="AF35" s="421" t="e">
        <v>#N/A</v>
      </c>
      <c r="AG35" s="421" t="e">
        <f t="shared" si="4"/>
        <v>#N/A</v>
      </c>
      <c r="AH35" s="421" t="str">
        <f t="shared" si="5"/>
        <v/>
      </c>
      <c r="AI35" s="427" t="e">
        <f>IF(NOT(OR(Z35=1,Z35=2)),IF(AQ35&gt;0,$AR$47*AQ35/SUMIF($AQ$11:$AQ$42,"&gt;0"),IF(AU35&gt;0,$AV$47*AU35/SUMIF($AU$11:$AU$42,"&gt;0"),IF(AS35&gt;0,$AT$47*AS35/SUMIF($AS$11:$AS$42,"&gt;0"),""))),IF(SUMIF(AJ36:$AJ$42,"=" &amp; AJ35,AI36:$AI$42)=0,"",SUMIF(AJ36:$AJ$42,"=" &amp; AJ35,AI36:$AI$42)))</f>
        <v>#N/A</v>
      </c>
      <c r="AJ35" s="426" t="e">
        <f t="shared" si="36"/>
        <v>#N/A</v>
      </c>
      <c r="AK35" s="421" t="str">
        <f t="shared" si="6"/>
        <v/>
      </c>
      <c r="AL35" s="393" t="str">
        <f t="shared" si="7"/>
        <v/>
      </c>
      <c r="AM35" s="393" t="str">
        <f t="shared" si="8"/>
        <v/>
      </c>
      <c r="AN35" s="393" t="str">
        <f t="shared" si="9"/>
        <v/>
      </c>
      <c r="AO35" s="393" t="e">
        <f t="shared" si="10"/>
        <v>#N/A</v>
      </c>
      <c r="AP35" s="421" t="str">
        <f t="shared" si="11"/>
        <v/>
      </c>
      <c r="AQ35" s="425">
        <f t="shared" si="12"/>
        <v>0</v>
      </c>
      <c r="AR35" s="423" t="str">
        <f t="shared" si="13"/>
        <v/>
      </c>
      <c r="AS35" s="424">
        <f t="shared" si="14"/>
        <v>0</v>
      </c>
      <c r="AT35" s="423" t="str">
        <f t="shared" si="15"/>
        <v/>
      </c>
      <c r="AU35" s="420">
        <f t="shared" si="16"/>
        <v>0</v>
      </c>
      <c r="AV35" s="422" t="str">
        <f t="shared" si="17"/>
        <v/>
      </c>
      <c r="AW35" s="420" t="b">
        <f t="shared" si="18"/>
        <v>0</v>
      </c>
      <c r="AX35" s="419" t="b">
        <f t="shared" si="19"/>
        <v>0</v>
      </c>
      <c r="AY35" s="420" t="b">
        <f t="shared" si="20"/>
        <v>0</v>
      </c>
      <c r="AZ35" s="419" t="b">
        <f t="shared" si="21"/>
        <v>0</v>
      </c>
      <c r="BA35" s="421" t="b">
        <f t="shared" si="22"/>
        <v>0</v>
      </c>
      <c r="BB35" s="421" t="b">
        <f t="shared" si="23"/>
        <v>0</v>
      </c>
      <c r="BC35" s="420" t="b">
        <f t="shared" si="24"/>
        <v>0</v>
      </c>
      <c r="BD35" s="393" t="b">
        <f t="shared" si="25"/>
        <v>0</v>
      </c>
      <c r="BE35" s="419" t="b">
        <f t="shared" si="26"/>
        <v>0</v>
      </c>
      <c r="BF35" s="418" t="b">
        <f t="shared" si="27"/>
        <v>0</v>
      </c>
      <c r="BG35" s="417" t="str">
        <f t="shared" si="28"/>
        <v>NA</v>
      </c>
      <c r="BH35" s="417" t="str">
        <f t="shared" si="29"/>
        <v/>
      </c>
      <c r="BI35" s="417" t="str">
        <f t="shared" si="30"/>
        <v/>
      </c>
      <c r="BJ35" s="417" t="str">
        <f t="shared" si="31"/>
        <v/>
      </c>
      <c r="BK35" s="417" t="str">
        <f t="shared" si="32"/>
        <v/>
      </c>
      <c r="BL35" s="435" t="str">
        <f t="shared" si="33"/>
        <v/>
      </c>
      <c r="BM35" s="417" t="str">
        <f t="shared" si="34"/>
        <v/>
      </c>
      <c r="BN35" s="417" t="str">
        <f t="shared" si="35"/>
        <v/>
      </c>
      <c r="BO35" s="439" t="s">
        <v>238</v>
      </c>
      <c r="BP35" s="438" t="s">
        <v>239</v>
      </c>
    </row>
    <row r="36" spans="2:73 1271:1271" s="416" customFormat="1" ht="12.95" customHeight="1" x14ac:dyDescent="0.25">
      <c r="B36" s="433" t="str">
        <f>IF(ISNA(Z36),"",IF(OR(Z36=1,Z36=2),"    ",MAX($B$11:B35)+1))</f>
        <v/>
      </c>
      <c r="C36" s="1618" t="str">
        <f t="shared" si="0"/>
        <v/>
      </c>
      <c r="D36" s="1618"/>
      <c r="E36" s="1618"/>
      <c r="F36" s="1619"/>
      <c r="G36" s="437" t="str">
        <f t="shared" si="1"/>
        <v/>
      </c>
      <c r="H36" s="431" t="str">
        <f t="shared" si="2"/>
        <v/>
      </c>
      <c r="I36" s="436" t="str">
        <f t="shared" si="3"/>
        <v/>
      </c>
      <c r="J36" s="429"/>
      <c r="K36" s="428"/>
      <c r="L36" s="1612"/>
      <c r="M36" s="1613"/>
      <c r="N36" s="1613"/>
      <c r="O36" s="1613"/>
      <c r="P36" s="1613"/>
      <c r="Q36" s="1613"/>
      <c r="R36" s="1614"/>
      <c r="T36" s="401">
        <v>26</v>
      </c>
      <c r="U36" s="374" t="e">
        <v>#N/A</v>
      </c>
      <c r="V36" s="421" t="e">
        <v>#N/A</v>
      </c>
      <c r="W36" s="421" t="e">
        <v>#N/A</v>
      </c>
      <c r="X36" s="421" t="e">
        <v>#N/A</v>
      </c>
      <c r="Y36" s="421" t="e">
        <v>#N/A</v>
      </c>
      <c r="Z36" s="393" t="e">
        <v>#N/A</v>
      </c>
      <c r="AA36" s="393" t="e">
        <v>#N/A</v>
      </c>
      <c r="AB36" s="393" t="e">
        <v>#N/A</v>
      </c>
      <c r="AC36" s="421" t="e">
        <v>#N/A</v>
      </c>
      <c r="AD36" s="421" t="e">
        <v>#N/A</v>
      </c>
      <c r="AE36" s="421" t="e">
        <v>#N/A</v>
      </c>
      <c r="AF36" s="421" t="e">
        <v>#N/A</v>
      </c>
      <c r="AG36" s="421" t="e">
        <f t="shared" si="4"/>
        <v>#N/A</v>
      </c>
      <c r="AH36" s="421" t="str">
        <f t="shared" si="5"/>
        <v/>
      </c>
      <c r="AI36" s="427" t="e">
        <f>IF(NOT(OR(Z36=1,Z36=2)),IF(AQ36&gt;0,$AR$47*AQ36/SUMIF($AQ$11:$AQ$42,"&gt;0"),IF(AU36&gt;0,$AV$47*AU36/SUMIF($AU$11:$AU$42,"&gt;0"),IF(AS36&gt;0,$AT$47*AS36/SUMIF($AS$11:$AS$42,"&gt;0"),""))),IF(SUMIF(AJ37:$AJ$42,"=" &amp; AJ36,AI37:$AI$42)=0,"",SUMIF(AJ37:$AJ$42,"=" &amp; AJ36,AI37:$AI$42)))</f>
        <v>#N/A</v>
      </c>
      <c r="AJ36" s="426" t="e">
        <f t="shared" si="36"/>
        <v>#N/A</v>
      </c>
      <c r="AK36" s="421" t="str">
        <f t="shared" si="6"/>
        <v/>
      </c>
      <c r="AL36" s="393" t="str">
        <f t="shared" si="7"/>
        <v/>
      </c>
      <c r="AM36" s="393" t="str">
        <f t="shared" si="8"/>
        <v/>
      </c>
      <c r="AN36" s="393" t="str">
        <f t="shared" si="9"/>
        <v/>
      </c>
      <c r="AO36" s="393" t="e">
        <f t="shared" si="10"/>
        <v>#N/A</v>
      </c>
      <c r="AP36" s="421" t="str">
        <f t="shared" si="11"/>
        <v/>
      </c>
      <c r="AQ36" s="425">
        <f t="shared" si="12"/>
        <v>0</v>
      </c>
      <c r="AR36" s="423" t="str">
        <f t="shared" si="13"/>
        <v/>
      </c>
      <c r="AS36" s="424">
        <f t="shared" si="14"/>
        <v>0</v>
      </c>
      <c r="AT36" s="423" t="str">
        <f t="shared" si="15"/>
        <v/>
      </c>
      <c r="AU36" s="420">
        <f t="shared" si="16"/>
        <v>0</v>
      </c>
      <c r="AV36" s="422" t="str">
        <f t="shared" si="17"/>
        <v/>
      </c>
      <c r="AW36" s="420" t="b">
        <f t="shared" si="18"/>
        <v>0</v>
      </c>
      <c r="AX36" s="419" t="b">
        <f t="shared" si="19"/>
        <v>0</v>
      </c>
      <c r="AY36" s="420" t="b">
        <f t="shared" si="20"/>
        <v>0</v>
      </c>
      <c r="AZ36" s="419" t="b">
        <f t="shared" si="21"/>
        <v>0</v>
      </c>
      <c r="BA36" s="421" t="b">
        <f t="shared" si="22"/>
        <v>0</v>
      </c>
      <c r="BB36" s="421" t="b">
        <f t="shared" si="23"/>
        <v>0</v>
      </c>
      <c r="BC36" s="420" t="b">
        <f t="shared" si="24"/>
        <v>0</v>
      </c>
      <c r="BD36" s="393" t="b">
        <f t="shared" si="25"/>
        <v>0</v>
      </c>
      <c r="BE36" s="419" t="b">
        <f t="shared" si="26"/>
        <v>0</v>
      </c>
      <c r="BF36" s="418" t="b">
        <f t="shared" si="27"/>
        <v>0</v>
      </c>
      <c r="BG36" s="417" t="str">
        <f t="shared" si="28"/>
        <v>NA</v>
      </c>
      <c r="BH36" s="417" t="str">
        <f t="shared" si="29"/>
        <v/>
      </c>
      <c r="BI36" s="417" t="str">
        <f t="shared" si="30"/>
        <v/>
      </c>
      <c r="BJ36" s="417" t="str">
        <f t="shared" si="31"/>
        <v/>
      </c>
      <c r="BK36" s="417" t="str">
        <f t="shared" si="32"/>
        <v/>
      </c>
      <c r="BL36" s="435" t="str">
        <f t="shared" si="33"/>
        <v/>
      </c>
      <c r="BM36" s="417" t="str">
        <f t="shared" si="34"/>
        <v/>
      </c>
      <c r="BN36" s="417" t="str">
        <f t="shared" si="35"/>
        <v/>
      </c>
      <c r="BO36" s="434" t="s">
        <v>240</v>
      </c>
      <c r="BP36" s="438"/>
      <c r="BQ36" s="438"/>
      <c r="BR36" s="438"/>
      <c r="BS36" s="438"/>
      <c r="BT36" s="438"/>
      <c r="BU36" s="438"/>
    </row>
    <row r="37" spans="2:73 1271:1271" s="416" customFormat="1" ht="12.95" customHeight="1" x14ac:dyDescent="0.25">
      <c r="B37" s="433" t="str">
        <f>IF(ISNA(Z37),"",IF(OR(Z37=1,Z37=2),"    ",MAX($B$11:B36)+1))</f>
        <v/>
      </c>
      <c r="C37" s="1618" t="str">
        <f t="shared" si="0"/>
        <v/>
      </c>
      <c r="D37" s="1618"/>
      <c r="E37" s="1618"/>
      <c r="F37" s="1619"/>
      <c r="G37" s="437" t="str">
        <f t="shared" si="1"/>
        <v/>
      </c>
      <c r="H37" s="431" t="str">
        <f t="shared" si="2"/>
        <v/>
      </c>
      <c r="I37" s="436" t="str">
        <f t="shared" si="3"/>
        <v/>
      </c>
      <c r="J37" s="429"/>
      <c r="K37" s="428"/>
      <c r="L37" s="1612"/>
      <c r="M37" s="1613"/>
      <c r="N37" s="1613"/>
      <c r="O37" s="1613"/>
      <c r="P37" s="1613"/>
      <c r="Q37" s="1613"/>
      <c r="R37" s="1614"/>
      <c r="T37" s="401">
        <v>27</v>
      </c>
      <c r="U37" s="374" t="e">
        <v>#N/A</v>
      </c>
      <c r="V37" s="421" t="e">
        <v>#N/A</v>
      </c>
      <c r="W37" s="421" t="e">
        <v>#N/A</v>
      </c>
      <c r="X37" s="421" t="e">
        <v>#N/A</v>
      </c>
      <c r="Y37" s="421" t="e">
        <v>#N/A</v>
      </c>
      <c r="Z37" s="393" t="e">
        <v>#N/A</v>
      </c>
      <c r="AA37" s="393" t="e">
        <v>#N/A</v>
      </c>
      <c r="AB37" s="393" t="e">
        <v>#N/A</v>
      </c>
      <c r="AC37" s="421" t="e">
        <v>#N/A</v>
      </c>
      <c r="AD37" s="421" t="e">
        <v>#N/A</v>
      </c>
      <c r="AE37" s="421" t="e">
        <v>#N/A</v>
      </c>
      <c r="AF37" s="421" t="e">
        <v>#N/A</v>
      </c>
      <c r="AG37" s="421" t="e">
        <f t="shared" si="4"/>
        <v>#N/A</v>
      </c>
      <c r="AH37" s="421" t="str">
        <f t="shared" si="5"/>
        <v/>
      </c>
      <c r="AI37" s="427" t="e">
        <f>IF(NOT(OR(Z37=1,Z37=2)),IF(AQ37&gt;0,$AR$47*AQ37/SUMIF($AQ$11:$AQ$42,"&gt;0"),IF(AU37&gt;0,$AV$47*AU37/SUMIF($AU$11:$AU$42,"&gt;0"),IF(AS37&gt;0,$AT$47*AS37/SUMIF($AS$11:$AS$42,"&gt;0"),""))),IF(SUMIF(AJ38:$AJ$42,"=" &amp; AJ37,AI38:$AI$42)=0,"",SUMIF(AJ38:$AJ$42,"=" &amp; AJ37,AI38:$AI$42)))</f>
        <v>#N/A</v>
      </c>
      <c r="AJ37" s="426" t="e">
        <f t="shared" si="36"/>
        <v>#N/A</v>
      </c>
      <c r="AK37" s="421" t="str">
        <f t="shared" si="6"/>
        <v/>
      </c>
      <c r="AL37" s="393" t="str">
        <f t="shared" si="7"/>
        <v/>
      </c>
      <c r="AM37" s="393" t="str">
        <f t="shared" si="8"/>
        <v/>
      </c>
      <c r="AN37" s="393" t="str">
        <f t="shared" si="9"/>
        <v/>
      </c>
      <c r="AO37" s="393" t="e">
        <f t="shared" si="10"/>
        <v>#N/A</v>
      </c>
      <c r="AP37" s="421" t="str">
        <f t="shared" si="11"/>
        <v/>
      </c>
      <c r="AQ37" s="425">
        <f t="shared" si="12"/>
        <v>0</v>
      </c>
      <c r="AR37" s="423" t="str">
        <f t="shared" si="13"/>
        <v/>
      </c>
      <c r="AS37" s="424">
        <f t="shared" si="14"/>
        <v>0</v>
      </c>
      <c r="AT37" s="423" t="str">
        <f t="shared" si="15"/>
        <v/>
      </c>
      <c r="AU37" s="420">
        <f t="shared" si="16"/>
        <v>0</v>
      </c>
      <c r="AV37" s="422" t="str">
        <f t="shared" si="17"/>
        <v/>
      </c>
      <c r="AW37" s="420" t="b">
        <f t="shared" si="18"/>
        <v>0</v>
      </c>
      <c r="AX37" s="419" t="b">
        <f t="shared" si="19"/>
        <v>0</v>
      </c>
      <c r="AY37" s="420" t="b">
        <f t="shared" si="20"/>
        <v>0</v>
      </c>
      <c r="AZ37" s="419" t="b">
        <f t="shared" si="21"/>
        <v>0</v>
      </c>
      <c r="BA37" s="421" t="b">
        <f t="shared" si="22"/>
        <v>0</v>
      </c>
      <c r="BB37" s="421" t="b">
        <f t="shared" si="23"/>
        <v>0</v>
      </c>
      <c r="BC37" s="420" t="b">
        <f t="shared" si="24"/>
        <v>0</v>
      </c>
      <c r="BD37" s="393" t="b">
        <f t="shared" si="25"/>
        <v>0</v>
      </c>
      <c r="BE37" s="419" t="b">
        <f t="shared" si="26"/>
        <v>0</v>
      </c>
      <c r="BF37" s="418" t="b">
        <f t="shared" si="27"/>
        <v>0</v>
      </c>
      <c r="BG37" s="417" t="str">
        <f t="shared" si="28"/>
        <v>NA</v>
      </c>
      <c r="BH37" s="417" t="str">
        <f t="shared" si="29"/>
        <v/>
      </c>
      <c r="BI37" s="417" t="str">
        <f t="shared" si="30"/>
        <v/>
      </c>
      <c r="BJ37" s="417" t="str">
        <f t="shared" si="31"/>
        <v/>
      </c>
      <c r="BK37" s="417" t="str">
        <f t="shared" si="32"/>
        <v/>
      </c>
      <c r="BL37" s="435" t="str">
        <f t="shared" si="33"/>
        <v/>
      </c>
      <c r="BM37" s="417" t="str">
        <f t="shared" si="34"/>
        <v/>
      </c>
      <c r="BN37" s="417" t="str">
        <f t="shared" si="35"/>
        <v/>
      </c>
      <c r="BO37" s="1620"/>
      <c r="BP37" s="1621"/>
      <c r="BQ37" s="1621"/>
      <c r="BR37" s="1621"/>
      <c r="BS37" s="1621"/>
      <c r="BT37" s="1621"/>
      <c r="BU37" s="1622"/>
    </row>
    <row r="38" spans="2:73 1271:1271" s="416" customFormat="1" ht="12.95" customHeight="1" x14ac:dyDescent="0.25">
      <c r="B38" s="433" t="str">
        <f>IF(ISNA(Z38),"",IF(OR(Z38=1,Z38=2),"    ",MAX($B$11:B37)+1))</f>
        <v/>
      </c>
      <c r="C38" s="1618" t="str">
        <f t="shared" si="0"/>
        <v/>
      </c>
      <c r="D38" s="1618"/>
      <c r="E38" s="1618"/>
      <c r="F38" s="1619"/>
      <c r="G38" s="437" t="str">
        <f t="shared" si="1"/>
        <v/>
      </c>
      <c r="H38" s="431" t="str">
        <f t="shared" si="2"/>
        <v/>
      </c>
      <c r="I38" s="436" t="str">
        <f t="shared" si="3"/>
        <v/>
      </c>
      <c r="J38" s="429"/>
      <c r="K38" s="428"/>
      <c r="L38" s="1612"/>
      <c r="M38" s="1613"/>
      <c r="N38" s="1613"/>
      <c r="O38" s="1613"/>
      <c r="P38" s="1613"/>
      <c r="Q38" s="1613"/>
      <c r="R38" s="1614"/>
      <c r="T38" s="401">
        <v>28</v>
      </c>
      <c r="U38" s="374" t="e">
        <v>#N/A</v>
      </c>
      <c r="V38" s="421" t="e">
        <v>#N/A</v>
      </c>
      <c r="W38" s="421" t="e">
        <v>#N/A</v>
      </c>
      <c r="X38" s="421" t="e">
        <v>#N/A</v>
      </c>
      <c r="Y38" s="421" t="e">
        <v>#N/A</v>
      </c>
      <c r="Z38" s="393" t="e">
        <v>#N/A</v>
      </c>
      <c r="AA38" s="393" t="e">
        <v>#N/A</v>
      </c>
      <c r="AB38" s="393" t="e">
        <v>#N/A</v>
      </c>
      <c r="AC38" s="421" t="e">
        <v>#N/A</v>
      </c>
      <c r="AD38" s="421" t="e">
        <v>#N/A</v>
      </c>
      <c r="AE38" s="421" t="e">
        <v>#N/A</v>
      </c>
      <c r="AF38" s="421" t="e">
        <v>#N/A</v>
      </c>
      <c r="AG38" s="421" t="e">
        <f t="shared" si="4"/>
        <v>#N/A</v>
      </c>
      <c r="AH38" s="421" t="str">
        <f t="shared" si="5"/>
        <v/>
      </c>
      <c r="AI38" s="427" t="e">
        <f>IF(NOT(OR(Z38=1,Z38=2)),IF(AQ38&gt;0,$AR$47*AQ38/SUMIF($AQ$11:$AQ$42,"&gt;0"),IF(AU38&gt;0,$AV$47*AU38/SUMIF($AU$11:$AU$42,"&gt;0"),IF(AS38&gt;0,$AT$47*AS38/SUMIF($AS$11:$AS$42,"&gt;0"),""))),IF(SUMIF(AJ39:$AJ$42,"=" &amp; AJ38,AI39:$AI$42)=0,"",SUMIF(AJ39:$AJ$42,"=" &amp; AJ38,AI39:$AI$42)))</f>
        <v>#N/A</v>
      </c>
      <c r="AJ38" s="426" t="e">
        <f t="shared" si="36"/>
        <v>#N/A</v>
      </c>
      <c r="AK38" s="421" t="str">
        <f t="shared" si="6"/>
        <v/>
      </c>
      <c r="AL38" s="393" t="str">
        <f t="shared" si="7"/>
        <v/>
      </c>
      <c r="AM38" s="393" t="str">
        <f t="shared" si="8"/>
        <v/>
      </c>
      <c r="AN38" s="393" t="str">
        <f t="shared" si="9"/>
        <v/>
      </c>
      <c r="AO38" s="393" t="e">
        <f t="shared" si="10"/>
        <v>#N/A</v>
      </c>
      <c r="AP38" s="421" t="str">
        <f t="shared" si="11"/>
        <v/>
      </c>
      <c r="AQ38" s="425">
        <f t="shared" si="12"/>
        <v>0</v>
      </c>
      <c r="AR38" s="423" t="str">
        <f t="shared" si="13"/>
        <v/>
      </c>
      <c r="AS38" s="424">
        <f t="shared" si="14"/>
        <v>0</v>
      </c>
      <c r="AT38" s="423" t="str">
        <f t="shared" si="15"/>
        <v/>
      </c>
      <c r="AU38" s="420">
        <f t="shared" si="16"/>
        <v>0</v>
      </c>
      <c r="AV38" s="422" t="str">
        <f t="shared" si="17"/>
        <v/>
      </c>
      <c r="AW38" s="420" t="b">
        <f t="shared" si="18"/>
        <v>0</v>
      </c>
      <c r="AX38" s="419" t="b">
        <f t="shared" si="19"/>
        <v>0</v>
      </c>
      <c r="AY38" s="420" t="b">
        <f t="shared" si="20"/>
        <v>0</v>
      </c>
      <c r="AZ38" s="419" t="b">
        <f t="shared" si="21"/>
        <v>0</v>
      </c>
      <c r="BA38" s="421" t="b">
        <f t="shared" si="22"/>
        <v>0</v>
      </c>
      <c r="BB38" s="421" t="b">
        <f t="shared" si="23"/>
        <v>0</v>
      </c>
      <c r="BC38" s="420" t="b">
        <f t="shared" si="24"/>
        <v>0</v>
      </c>
      <c r="BD38" s="393" t="b">
        <f t="shared" si="25"/>
        <v>0</v>
      </c>
      <c r="BE38" s="419" t="b">
        <f t="shared" si="26"/>
        <v>0</v>
      </c>
      <c r="BF38" s="418" t="b">
        <f t="shared" si="27"/>
        <v>0</v>
      </c>
      <c r="BG38" s="417" t="str">
        <f t="shared" si="28"/>
        <v>NA</v>
      </c>
      <c r="BH38" s="417" t="str">
        <f t="shared" si="29"/>
        <v/>
      </c>
      <c r="BI38" s="417" t="str">
        <f t="shared" si="30"/>
        <v/>
      </c>
      <c r="BJ38" s="417" t="str">
        <f t="shared" si="31"/>
        <v/>
      </c>
      <c r="BK38" s="417" t="str">
        <f t="shared" si="32"/>
        <v/>
      </c>
      <c r="BL38" s="435" t="str">
        <f t="shared" si="33"/>
        <v/>
      </c>
      <c r="BM38" s="417" t="str">
        <f t="shared" si="34"/>
        <v/>
      </c>
      <c r="BN38" s="417" t="str">
        <f t="shared" si="35"/>
        <v/>
      </c>
      <c r="BO38" s="1623"/>
      <c r="BP38" s="1624"/>
      <c r="BQ38" s="1624"/>
      <c r="BR38" s="1624"/>
      <c r="BS38" s="1624"/>
      <c r="BT38" s="1624"/>
      <c r="BU38" s="1625"/>
    </row>
    <row r="39" spans="2:73 1271:1271" s="416" customFormat="1" ht="12.95" customHeight="1" x14ac:dyDescent="0.25">
      <c r="B39" s="433" t="str">
        <f>IF(ISNA(Z39),"",IF(OR(Z39=1,Z39=2),"    ",MAX($B$11:B38)+1))</f>
        <v/>
      </c>
      <c r="C39" s="1618" t="str">
        <f t="shared" si="0"/>
        <v/>
      </c>
      <c r="D39" s="1618"/>
      <c r="E39" s="1618"/>
      <c r="F39" s="1619"/>
      <c r="G39" s="437" t="str">
        <f t="shared" si="1"/>
        <v/>
      </c>
      <c r="H39" s="431" t="str">
        <f t="shared" si="2"/>
        <v/>
      </c>
      <c r="I39" s="436" t="str">
        <f t="shared" si="3"/>
        <v/>
      </c>
      <c r="J39" s="429"/>
      <c r="K39" s="428"/>
      <c r="L39" s="1612"/>
      <c r="M39" s="1613"/>
      <c r="N39" s="1613"/>
      <c r="O39" s="1613"/>
      <c r="P39" s="1613"/>
      <c r="Q39" s="1613"/>
      <c r="R39" s="1614"/>
      <c r="T39" s="401">
        <v>29</v>
      </c>
      <c r="U39" s="374" t="e">
        <v>#N/A</v>
      </c>
      <c r="V39" s="421" t="e">
        <v>#N/A</v>
      </c>
      <c r="W39" s="421" t="e">
        <v>#N/A</v>
      </c>
      <c r="X39" s="421" t="e">
        <v>#N/A</v>
      </c>
      <c r="Y39" s="421" t="e">
        <v>#N/A</v>
      </c>
      <c r="Z39" s="393" t="e">
        <v>#N/A</v>
      </c>
      <c r="AA39" s="393" t="e">
        <v>#N/A</v>
      </c>
      <c r="AB39" s="393" t="e">
        <v>#N/A</v>
      </c>
      <c r="AC39" s="421" t="e">
        <v>#N/A</v>
      </c>
      <c r="AD39" s="421" t="e">
        <v>#N/A</v>
      </c>
      <c r="AE39" s="421" t="e">
        <v>#N/A</v>
      </c>
      <c r="AF39" s="421" t="e">
        <v>#N/A</v>
      </c>
      <c r="AG39" s="421" t="e">
        <f t="shared" si="4"/>
        <v>#N/A</v>
      </c>
      <c r="AH39" s="421" t="str">
        <f t="shared" si="5"/>
        <v/>
      </c>
      <c r="AI39" s="427" t="e">
        <f>IF(NOT(OR(Z39=1,Z39=2)),IF(AQ39&gt;0,$AR$47*AQ39/SUMIF($AQ$11:$AQ$42,"&gt;0"),IF(AU39&gt;0,$AV$47*AU39/SUMIF($AU$11:$AU$42,"&gt;0"),IF(AS39&gt;0,$AT$47*AS39/SUMIF($AS$11:$AS$42,"&gt;0"),""))),IF(SUMIF(AJ40:$AJ$42,"=" &amp; AJ39,AI40:$AI$42)=0,"",SUMIF(AJ40:$AJ$42,"=" &amp; AJ39,AI40:$AI$42)))</f>
        <v>#N/A</v>
      </c>
      <c r="AJ39" s="426" t="e">
        <f t="shared" si="36"/>
        <v>#N/A</v>
      </c>
      <c r="AK39" s="421" t="str">
        <f t="shared" si="6"/>
        <v/>
      </c>
      <c r="AL39" s="393" t="str">
        <f t="shared" si="7"/>
        <v/>
      </c>
      <c r="AM39" s="393" t="str">
        <f t="shared" si="8"/>
        <v/>
      </c>
      <c r="AN39" s="393" t="str">
        <f t="shared" si="9"/>
        <v/>
      </c>
      <c r="AO39" s="393" t="e">
        <f t="shared" si="10"/>
        <v>#N/A</v>
      </c>
      <c r="AP39" s="421" t="str">
        <f t="shared" si="11"/>
        <v/>
      </c>
      <c r="AQ39" s="425">
        <f t="shared" si="12"/>
        <v>0</v>
      </c>
      <c r="AR39" s="423" t="str">
        <f t="shared" si="13"/>
        <v/>
      </c>
      <c r="AS39" s="424">
        <f t="shared" si="14"/>
        <v>0</v>
      </c>
      <c r="AT39" s="423" t="str">
        <f t="shared" si="15"/>
        <v/>
      </c>
      <c r="AU39" s="420">
        <f t="shared" si="16"/>
        <v>0</v>
      </c>
      <c r="AV39" s="422" t="str">
        <f t="shared" si="17"/>
        <v/>
      </c>
      <c r="AW39" s="420" t="b">
        <f t="shared" si="18"/>
        <v>0</v>
      </c>
      <c r="AX39" s="419" t="b">
        <f t="shared" si="19"/>
        <v>0</v>
      </c>
      <c r="AY39" s="420" t="b">
        <f t="shared" si="20"/>
        <v>0</v>
      </c>
      <c r="AZ39" s="419" t="b">
        <f t="shared" si="21"/>
        <v>0</v>
      </c>
      <c r="BA39" s="421" t="b">
        <f t="shared" si="22"/>
        <v>0</v>
      </c>
      <c r="BB39" s="421" t="b">
        <f t="shared" si="23"/>
        <v>0</v>
      </c>
      <c r="BC39" s="420" t="b">
        <f t="shared" si="24"/>
        <v>0</v>
      </c>
      <c r="BD39" s="393" t="b">
        <f t="shared" si="25"/>
        <v>0</v>
      </c>
      <c r="BE39" s="419" t="b">
        <f t="shared" si="26"/>
        <v>0</v>
      </c>
      <c r="BF39" s="418" t="b">
        <f t="shared" si="27"/>
        <v>0</v>
      </c>
      <c r="BG39" s="417" t="str">
        <f t="shared" si="28"/>
        <v>NA</v>
      </c>
      <c r="BH39" s="417" t="str">
        <f t="shared" si="29"/>
        <v/>
      </c>
      <c r="BI39" s="417" t="str">
        <f t="shared" si="30"/>
        <v/>
      </c>
      <c r="BJ39" s="417" t="str">
        <f t="shared" si="31"/>
        <v/>
      </c>
      <c r="BK39" s="417" t="str">
        <f t="shared" si="32"/>
        <v/>
      </c>
      <c r="BL39" s="435" t="str">
        <f t="shared" si="33"/>
        <v/>
      </c>
      <c r="BM39" s="417" t="str">
        <f t="shared" si="34"/>
        <v/>
      </c>
      <c r="BN39" s="417" t="str">
        <f t="shared" si="35"/>
        <v/>
      </c>
      <c r="BO39" s="1623"/>
      <c r="BP39" s="1624"/>
      <c r="BQ39" s="1624"/>
      <c r="BR39" s="1624"/>
      <c r="BS39" s="1624"/>
      <c r="BT39" s="1624"/>
      <c r="BU39" s="1625"/>
    </row>
    <row r="40" spans="2:73 1271:1271" s="416" customFormat="1" ht="12.95" customHeight="1" x14ac:dyDescent="0.25">
      <c r="B40" s="433" t="str">
        <f>IF(ISNA(Z40),"",IF(OR(Z40=1,Z40=2),"    ",MAX($B$11:B39)+1))</f>
        <v/>
      </c>
      <c r="C40" s="1618" t="str">
        <f t="shared" si="0"/>
        <v/>
      </c>
      <c r="D40" s="1618"/>
      <c r="E40" s="1618"/>
      <c r="F40" s="1619"/>
      <c r="G40" s="437" t="str">
        <f t="shared" si="1"/>
        <v/>
      </c>
      <c r="H40" s="431" t="str">
        <f t="shared" si="2"/>
        <v/>
      </c>
      <c r="I40" s="436" t="str">
        <f t="shared" si="3"/>
        <v/>
      </c>
      <c r="J40" s="429"/>
      <c r="K40" s="428"/>
      <c r="L40" s="1612"/>
      <c r="M40" s="1613"/>
      <c r="N40" s="1613"/>
      <c r="O40" s="1613"/>
      <c r="P40" s="1613"/>
      <c r="Q40" s="1613"/>
      <c r="R40" s="1614"/>
      <c r="T40" s="401">
        <v>30</v>
      </c>
      <c r="U40" s="374" t="e">
        <v>#N/A</v>
      </c>
      <c r="V40" s="421" t="e">
        <v>#N/A</v>
      </c>
      <c r="W40" s="421" t="e">
        <v>#N/A</v>
      </c>
      <c r="X40" s="421" t="e">
        <v>#N/A</v>
      </c>
      <c r="Y40" s="421" t="e">
        <v>#N/A</v>
      </c>
      <c r="Z40" s="393" t="e">
        <v>#N/A</v>
      </c>
      <c r="AA40" s="393" t="e">
        <v>#N/A</v>
      </c>
      <c r="AB40" s="393" t="e">
        <v>#N/A</v>
      </c>
      <c r="AC40" s="421" t="e">
        <v>#N/A</v>
      </c>
      <c r="AD40" s="421" t="e">
        <v>#N/A</v>
      </c>
      <c r="AE40" s="421" t="e">
        <v>#N/A</v>
      </c>
      <c r="AF40" s="421" t="e">
        <v>#N/A</v>
      </c>
      <c r="AG40" s="421" t="e">
        <f t="shared" si="4"/>
        <v>#N/A</v>
      </c>
      <c r="AH40" s="421" t="str">
        <f t="shared" si="5"/>
        <v/>
      </c>
      <c r="AI40" s="427" t="e">
        <f>IF(NOT(OR(Z40=1,Z40=2)),IF(AQ40&gt;0,$AR$47*AQ40/SUMIF($AQ$11:$AQ$42,"&gt;0"),IF(AU40&gt;0,$AV$47*AU40/SUMIF($AU$11:$AU$42,"&gt;0"),IF(AS40&gt;0,$AT$47*AS40/SUMIF($AS$11:$AS$42,"&gt;0"),""))),IF(SUMIF(AJ41:$AJ$42,"=" &amp; AJ40,AI41:$AI$42)=0,"",SUMIF(AJ41:$AJ$42,"=" &amp; AJ40,AI41:$AI$42)))</f>
        <v>#N/A</v>
      </c>
      <c r="AJ40" s="426" t="e">
        <f t="shared" si="36"/>
        <v>#N/A</v>
      </c>
      <c r="AK40" s="421" t="str">
        <f t="shared" si="6"/>
        <v/>
      </c>
      <c r="AL40" s="393" t="str">
        <f t="shared" si="7"/>
        <v/>
      </c>
      <c r="AM40" s="393" t="str">
        <f t="shared" si="8"/>
        <v/>
      </c>
      <c r="AN40" s="393" t="str">
        <f t="shared" si="9"/>
        <v/>
      </c>
      <c r="AO40" s="393" t="e">
        <f t="shared" si="10"/>
        <v>#N/A</v>
      </c>
      <c r="AP40" s="421" t="str">
        <f t="shared" si="11"/>
        <v/>
      </c>
      <c r="AQ40" s="425">
        <f t="shared" si="12"/>
        <v>0</v>
      </c>
      <c r="AR40" s="423" t="str">
        <f t="shared" si="13"/>
        <v/>
      </c>
      <c r="AS40" s="424">
        <f t="shared" si="14"/>
        <v>0</v>
      </c>
      <c r="AT40" s="423" t="str">
        <f t="shared" si="15"/>
        <v/>
      </c>
      <c r="AU40" s="420">
        <f t="shared" si="16"/>
        <v>0</v>
      </c>
      <c r="AV40" s="422" t="str">
        <f t="shared" si="17"/>
        <v/>
      </c>
      <c r="AW40" s="420" t="b">
        <f t="shared" si="18"/>
        <v>0</v>
      </c>
      <c r="AX40" s="419" t="b">
        <f t="shared" si="19"/>
        <v>0</v>
      </c>
      <c r="AY40" s="420" t="b">
        <f t="shared" si="20"/>
        <v>0</v>
      </c>
      <c r="AZ40" s="419" t="b">
        <f t="shared" si="21"/>
        <v>0</v>
      </c>
      <c r="BA40" s="421" t="b">
        <f t="shared" si="22"/>
        <v>0</v>
      </c>
      <c r="BB40" s="421" t="b">
        <f t="shared" si="23"/>
        <v>0</v>
      </c>
      <c r="BC40" s="420" t="b">
        <f t="shared" si="24"/>
        <v>0</v>
      </c>
      <c r="BD40" s="393" t="b">
        <f t="shared" si="25"/>
        <v>0</v>
      </c>
      <c r="BE40" s="419" t="b">
        <f t="shared" si="26"/>
        <v>0</v>
      </c>
      <c r="BF40" s="418" t="b">
        <f t="shared" si="27"/>
        <v>0</v>
      </c>
      <c r="BG40" s="417" t="str">
        <f t="shared" si="28"/>
        <v>NA</v>
      </c>
      <c r="BH40" s="417" t="str">
        <f t="shared" si="29"/>
        <v/>
      </c>
      <c r="BI40" s="417" t="str">
        <f t="shared" si="30"/>
        <v/>
      </c>
      <c r="BJ40" s="417" t="str">
        <f t="shared" si="31"/>
        <v/>
      </c>
      <c r="BK40" s="417" t="str">
        <f t="shared" si="32"/>
        <v/>
      </c>
      <c r="BL40" s="435" t="str">
        <f t="shared" si="33"/>
        <v/>
      </c>
      <c r="BM40" s="417" t="str">
        <f t="shared" si="34"/>
        <v/>
      </c>
      <c r="BN40" s="417" t="str">
        <f t="shared" si="35"/>
        <v/>
      </c>
      <c r="BO40" s="1626"/>
      <c r="BP40" s="1627"/>
      <c r="BQ40" s="1627"/>
      <c r="BR40" s="1627"/>
      <c r="BS40" s="1627"/>
      <c r="BT40" s="1627"/>
      <c r="BU40" s="1628"/>
    </row>
    <row r="41" spans="2:73 1271:1271" s="416" customFormat="1" ht="12.95" customHeight="1" x14ac:dyDescent="0.25">
      <c r="B41" s="433" t="str">
        <f>IF(ISNA(Z41),"",IF(OR(Z41=1,Z41=2),"    ",MAX($B$11:B40)+1))</f>
        <v/>
      </c>
      <c r="C41" s="1618" t="str">
        <f t="shared" si="0"/>
        <v/>
      </c>
      <c r="D41" s="1618"/>
      <c r="E41" s="1618"/>
      <c r="F41" s="1619"/>
      <c r="G41" s="437" t="str">
        <f t="shared" si="1"/>
        <v/>
      </c>
      <c r="H41" s="431" t="str">
        <f t="shared" si="2"/>
        <v/>
      </c>
      <c r="I41" s="436" t="str">
        <f t="shared" si="3"/>
        <v/>
      </c>
      <c r="J41" s="429"/>
      <c r="K41" s="428"/>
      <c r="L41" s="1612"/>
      <c r="M41" s="1613"/>
      <c r="N41" s="1613"/>
      <c r="O41" s="1613"/>
      <c r="P41" s="1613"/>
      <c r="Q41" s="1613"/>
      <c r="R41" s="1614"/>
      <c r="T41" s="401">
        <v>31</v>
      </c>
      <c r="U41" s="374" t="e">
        <v>#N/A</v>
      </c>
      <c r="V41" s="421" t="e">
        <v>#N/A</v>
      </c>
      <c r="W41" s="421" t="e">
        <v>#N/A</v>
      </c>
      <c r="X41" s="421" t="e">
        <v>#N/A</v>
      </c>
      <c r="Y41" s="421" t="e">
        <v>#N/A</v>
      </c>
      <c r="Z41" s="393" t="e">
        <v>#N/A</v>
      </c>
      <c r="AA41" s="393" t="e">
        <v>#N/A</v>
      </c>
      <c r="AB41" s="393" t="e">
        <v>#N/A</v>
      </c>
      <c r="AC41" s="421" t="e">
        <v>#N/A</v>
      </c>
      <c r="AD41" s="421" t="e">
        <v>#N/A</v>
      </c>
      <c r="AE41" s="421" t="e">
        <v>#N/A</v>
      </c>
      <c r="AF41" s="421" t="e">
        <v>#N/A</v>
      </c>
      <c r="AG41" s="421" t="e">
        <f t="shared" si="4"/>
        <v>#N/A</v>
      </c>
      <c r="AH41" s="421" t="str">
        <f t="shared" si="5"/>
        <v/>
      </c>
      <c r="AI41" s="427" t="e">
        <f>IF(NOT(OR(Z41=1,Z41=2)),IF(AQ41&gt;0,$AR$47*AQ41/SUMIF($AQ$11:$AQ$42,"&gt;0"),IF(AU41&gt;0,$AV$47*AU41/SUMIF($AU$11:$AU$42,"&gt;0"),IF(AS41&gt;0,$AT$47*AS41/SUMIF($AS$11:$AS$42,"&gt;0"),""))),IF(SUMIF(AJ42:$AJ$42,"=" &amp; AJ41,AI42:$AI$42)=0,"",SUMIF(AJ42:$AJ$42,"=" &amp; AJ41,AI42:$AI$42)))</f>
        <v>#N/A</v>
      </c>
      <c r="AJ41" s="426" t="e">
        <f t="shared" si="36"/>
        <v>#N/A</v>
      </c>
      <c r="AK41" s="421" t="str">
        <f t="shared" si="6"/>
        <v/>
      </c>
      <c r="AL41" s="393" t="str">
        <f t="shared" si="7"/>
        <v/>
      </c>
      <c r="AM41" s="393" t="str">
        <f t="shared" si="8"/>
        <v/>
      </c>
      <c r="AN41" s="393" t="str">
        <f t="shared" si="9"/>
        <v/>
      </c>
      <c r="AO41" s="393" t="e">
        <f t="shared" si="10"/>
        <v>#N/A</v>
      </c>
      <c r="AP41" s="421" t="str">
        <f t="shared" si="11"/>
        <v/>
      </c>
      <c r="AQ41" s="425">
        <f t="shared" si="12"/>
        <v>0</v>
      </c>
      <c r="AR41" s="423" t="str">
        <f t="shared" si="13"/>
        <v/>
      </c>
      <c r="AS41" s="424">
        <f t="shared" si="14"/>
        <v>0</v>
      </c>
      <c r="AT41" s="423" t="str">
        <f t="shared" si="15"/>
        <v/>
      </c>
      <c r="AU41" s="420">
        <f t="shared" si="16"/>
        <v>0</v>
      </c>
      <c r="AV41" s="422" t="str">
        <f t="shared" si="17"/>
        <v/>
      </c>
      <c r="AW41" s="420" t="b">
        <f t="shared" si="18"/>
        <v>0</v>
      </c>
      <c r="AX41" s="419" t="b">
        <f t="shared" si="19"/>
        <v>0</v>
      </c>
      <c r="AY41" s="420" t="b">
        <f t="shared" si="20"/>
        <v>0</v>
      </c>
      <c r="AZ41" s="419" t="b">
        <f t="shared" si="21"/>
        <v>0</v>
      </c>
      <c r="BA41" s="421" t="b">
        <f t="shared" si="22"/>
        <v>0</v>
      </c>
      <c r="BB41" s="421" t="b">
        <f t="shared" si="23"/>
        <v>0</v>
      </c>
      <c r="BC41" s="420" t="b">
        <f t="shared" si="24"/>
        <v>0</v>
      </c>
      <c r="BD41" s="393" t="b">
        <f t="shared" si="25"/>
        <v>0</v>
      </c>
      <c r="BE41" s="419" t="b">
        <f t="shared" si="26"/>
        <v>0</v>
      </c>
      <c r="BF41" s="418" t="b">
        <f t="shared" si="27"/>
        <v>0</v>
      </c>
      <c r="BG41" s="417" t="str">
        <f t="shared" si="28"/>
        <v>NA</v>
      </c>
      <c r="BH41" s="417" t="str">
        <f t="shared" si="29"/>
        <v/>
      </c>
      <c r="BI41" s="417" t="str">
        <f t="shared" si="30"/>
        <v/>
      </c>
      <c r="BJ41" s="417" t="str">
        <f t="shared" si="31"/>
        <v/>
      </c>
      <c r="BK41" s="417" t="str">
        <f t="shared" si="32"/>
        <v/>
      </c>
      <c r="BL41" s="435" t="str">
        <f t="shared" si="33"/>
        <v/>
      </c>
      <c r="BM41" s="417" t="str">
        <f t="shared" si="34"/>
        <v/>
      </c>
      <c r="BN41" s="417" t="str">
        <f t="shared" si="35"/>
        <v/>
      </c>
      <c r="BO41" s="434" t="s">
        <v>241</v>
      </c>
      <c r="BP41" s="434"/>
      <c r="BQ41" s="434"/>
      <c r="BR41" s="434"/>
      <c r="BS41" s="434"/>
      <c r="BT41" s="434"/>
      <c r="BU41" s="434"/>
    </row>
    <row r="42" spans="2:73 1271:1271" s="416" customFormat="1" ht="12.95" customHeight="1" thickBot="1" x14ac:dyDescent="0.3">
      <c r="B42" s="433" t="str">
        <f>IF(ISNA(Z42),"",IF(OR(Z42=1,Z42=2),"    ",MAX($B$11:B41)+1))</f>
        <v/>
      </c>
      <c r="C42" s="1618" t="str">
        <f t="shared" si="0"/>
        <v/>
      </c>
      <c r="D42" s="1618"/>
      <c r="E42" s="1618"/>
      <c r="F42" s="1619"/>
      <c r="G42" s="432" t="str">
        <f t="shared" si="1"/>
        <v/>
      </c>
      <c r="H42" s="431" t="str">
        <f t="shared" si="2"/>
        <v/>
      </c>
      <c r="I42" s="430" t="str">
        <f t="shared" si="3"/>
        <v/>
      </c>
      <c r="J42" s="429"/>
      <c r="K42" s="428"/>
      <c r="L42" s="1615"/>
      <c r="M42" s="1616"/>
      <c r="N42" s="1616"/>
      <c r="O42" s="1616"/>
      <c r="P42" s="1616"/>
      <c r="Q42" s="1616"/>
      <c r="R42" s="1617"/>
      <c r="T42" s="401">
        <v>32</v>
      </c>
      <c r="U42" s="374" t="e">
        <v>#N/A</v>
      </c>
      <c r="V42" s="421" t="e">
        <v>#N/A</v>
      </c>
      <c r="W42" s="421" t="e">
        <v>#N/A</v>
      </c>
      <c r="X42" s="421" t="e">
        <v>#N/A</v>
      </c>
      <c r="Y42" s="421" t="e">
        <v>#N/A</v>
      </c>
      <c r="Z42" s="393" t="e">
        <v>#N/A</v>
      </c>
      <c r="AA42" s="393" t="e">
        <v>#N/A</v>
      </c>
      <c r="AB42" s="393" t="e">
        <v>#N/A</v>
      </c>
      <c r="AC42" s="421" t="e">
        <v>#N/A</v>
      </c>
      <c r="AD42" s="421" t="e">
        <v>#N/A</v>
      </c>
      <c r="AE42" s="421" t="e">
        <v>#N/A</v>
      </c>
      <c r="AF42" s="421" t="e">
        <v>#N/A</v>
      </c>
      <c r="AG42" s="421" t="e">
        <f t="shared" si="4"/>
        <v>#N/A</v>
      </c>
      <c r="AH42" s="421" t="str">
        <f t="shared" si="5"/>
        <v/>
      </c>
      <c r="AI42" s="427" t="e">
        <f>IF(NOT(OR(Z42=1,Z42=2)),IF(AQ42&gt;0,$AR$47*AQ42/SUMIF($AQ$11:$AQ$42,"&gt;0"),IF(AU42&gt;0,$AV$47*AU42/SUMIF($AU$11:$AU$42,"&gt;0"),IF(AS42&gt;0,$AT$47*AS42/SUMIF($AS$11:$AS$42,"&gt;0"),""))),IF(SUMIF(AJ$42:$AJ43,"=" &amp; AJ42,AI$42:$AI43)=0,"",SUMIF(AJ$42:$AJ43,"=" &amp; AJ42,AI$42:$AI43)))</f>
        <v>#N/A</v>
      </c>
      <c r="AJ42" s="426" t="e">
        <f t="shared" si="36"/>
        <v>#N/A</v>
      </c>
      <c r="AK42" s="421" t="str">
        <f t="shared" si="6"/>
        <v/>
      </c>
      <c r="AL42" s="393" t="str">
        <f t="shared" si="7"/>
        <v/>
      </c>
      <c r="AM42" s="393" t="str">
        <f t="shared" si="8"/>
        <v/>
      </c>
      <c r="AN42" s="393" t="str">
        <f t="shared" si="9"/>
        <v/>
      </c>
      <c r="AO42" s="393" t="e">
        <f t="shared" si="10"/>
        <v>#N/A</v>
      </c>
      <c r="AP42" s="421" t="str">
        <f t="shared" si="11"/>
        <v/>
      </c>
      <c r="AQ42" s="425">
        <f t="shared" si="12"/>
        <v>0</v>
      </c>
      <c r="AR42" s="423" t="str">
        <f t="shared" si="13"/>
        <v/>
      </c>
      <c r="AS42" s="424">
        <f t="shared" si="14"/>
        <v>0</v>
      </c>
      <c r="AT42" s="423" t="str">
        <f t="shared" si="15"/>
        <v/>
      </c>
      <c r="AU42" s="420">
        <f t="shared" si="16"/>
        <v>0</v>
      </c>
      <c r="AV42" s="422" t="str">
        <f t="shared" si="17"/>
        <v/>
      </c>
      <c r="AW42" s="420" t="b">
        <f t="shared" si="18"/>
        <v>0</v>
      </c>
      <c r="AX42" s="419" t="b">
        <f t="shared" si="19"/>
        <v>0</v>
      </c>
      <c r="AY42" s="420" t="b">
        <f t="shared" si="20"/>
        <v>0</v>
      </c>
      <c r="AZ42" s="419" t="b">
        <f t="shared" si="21"/>
        <v>0</v>
      </c>
      <c r="BA42" s="421" t="b">
        <f t="shared" si="22"/>
        <v>0</v>
      </c>
      <c r="BB42" s="421" t="b">
        <f t="shared" si="23"/>
        <v>0</v>
      </c>
      <c r="BC42" s="420" t="b">
        <f t="shared" si="24"/>
        <v>0</v>
      </c>
      <c r="BD42" s="393" t="b">
        <f t="shared" si="25"/>
        <v>0</v>
      </c>
      <c r="BE42" s="419" t="b">
        <f t="shared" si="26"/>
        <v>0</v>
      </c>
      <c r="BF42" s="418" t="b">
        <f t="shared" si="27"/>
        <v>0</v>
      </c>
      <c r="BG42" s="417" t="str">
        <f t="shared" si="28"/>
        <v>NA</v>
      </c>
      <c r="BH42" s="417" t="str">
        <f t="shared" si="29"/>
        <v/>
      </c>
      <c r="BI42" s="417" t="str">
        <f t="shared" si="30"/>
        <v/>
      </c>
      <c r="BJ42" s="417" t="str">
        <f t="shared" si="31"/>
        <v/>
      </c>
      <c r="BK42" s="417" t="str">
        <f t="shared" si="32"/>
        <v/>
      </c>
      <c r="BL42" s="417" t="str">
        <f t="shared" si="33"/>
        <v/>
      </c>
      <c r="BM42" s="417" t="str">
        <f t="shared" si="34"/>
        <v/>
      </c>
      <c r="BN42" s="417" t="str">
        <f t="shared" si="35"/>
        <v/>
      </c>
      <c r="BO42" s="1620"/>
      <c r="BP42" s="1621"/>
      <c r="BQ42" s="1621"/>
      <c r="BR42" s="1621"/>
      <c r="BS42" s="1621"/>
      <c r="BT42" s="1621"/>
      <c r="BU42" s="1622"/>
    </row>
    <row r="43" spans="2:73 1271:1271" s="406" customFormat="1" ht="8.25" customHeight="1" x14ac:dyDescent="0.25">
      <c r="B43" s="1639" t="s">
        <v>242</v>
      </c>
      <c r="C43" s="1640"/>
      <c r="D43" s="1641"/>
      <c r="E43" s="415" t="s">
        <v>243</v>
      </c>
      <c r="F43" s="1642" t="s">
        <v>244</v>
      </c>
      <c r="G43" s="1643"/>
      <c r="H43" s="1643" t="s">
        <v>245</v>
      </c>
      <c r="I43" s="1643"/>
      <c r="J43" s="1647" t="s">
        <v>246</v>
      </c>
      <c r="K43" s="1648"/>
      <c r="L43" s="414" t="s">
        <v>247</v>
      </c>
      <c r="M43" s="1631" t="s">
        <v>248</v>
      </c>
      <c r="N43" s="1631"/>
      <c r="O43" s="1632" t="str">
        <f>IF(U47,"DO REVIEW","DO REV N/A")</f>
        <v>DO REV N/A</v>
      </c>
      <c r="P43" s="1633"/>
      <c r="Q43" s="413" t="str">
        <f>IF(U48,"ED REVIEW","ED REV N/A")</f>
        <v>ED REVIEW</v>
      </c>
      <c r="R43" s="412"/>
      <c r="S43" s="411">
        <v>0</v>
      </c>
      <c r="AI43" s="410"/>
      <c r="AJ43" s="407"/>
      <c r="AK43" s="407"/>
      <c r="AL43" s="407"/>
      <c r="AM43" s="407"/>
      <c r="AN43" s="407"/>
      <c r="AO43" s="373"/>
      <c r="AP43" s="407"/>
      <c r="AQ43" s="409"/>
      <c r="AR43" s="407"/>
      <c r="AS43" s="409"/>
      <c r="AT43" s="407"/>
      <c r="AU43" s="409"/>
      <c r="AV43" s="408"/>
      <c r="AW43" s="407"/>
      <c r="AX43" s="407"/>
      <c r="AY43" s="407"/>
      <c r="AZ43" s="407"/>
      <c r="BA43" s="407"/>
      <c r="BB43" s="407"/>
      <c r="BC43" s="407"/>
      <c r="BD43" s="407"/>
      <c r="BE43" s="407"/>
      <c r="BF43" s="407"/>
      <c r="BG43" s="407"/>
      <c r="BH43" s="373"/>
      <c r="BI43" s="373"/>
      <c r="BJ43" s="373"/>
      <c r="BK43" s="373"/>
      <c r="BL43" s="373"/>
      <c r="BM43" s="373"/>
      <c r="BN43" s="373"/>
      <c r="BO43" s="1623"/>
      <c r="BP43" s="1624"/>
      <c r="BQ43" s="1624"/>
      <c r="BR43" s="1624"/>
      <c r="BS43" s="1624"/>
      <c r="BT43" s="1624"/>
      <c r="BU43" s="1625"/>
    </row>
    <row r="44" spans="2:73 1271:1271" ht="18.75" customHeight="1" thickBot="1" x14ac:dyDescent="0.3">
      <c r="B44" s="1634" t="str">
        <f>IF(ISERROR(AR49),"",TEXT(AR48,"0.0%"))</f>
        <v>0.0%</v>
      </c>
      <c r="C44" s="1635"/>
      <c r="D44" s="1636"/>
      <c r="E44" s="405" t="str">
        <f>IF(AU44=0,"N/A",CONCATENATE(TEXT(AV48,"0.0%")," of ",TEXT(AV47,"0.0%")))</f>
        <v>N/A</v>
      </c>
      <c r="F44" s="1637" t="str">
        <f>IF((graded_aca_events+graded_amn_events)&lt;1,"---",IF(AND(AW7,AX7),"INCOMPLETE",IF(AND(NOT(AW7),AX7),"ACA INC",IF(AND(AW7,NOT(AX7)),"AMN INC","COMPLETE"))))</f>
        <v>---</v>
      </c>
      <c r="G44" s="1637"/>
      <c r="H44" s="1637" t="str">
        <f>IF(AU7,IF(OR(AY7="UNK",NOT(AN9)),"---",IF(AY7,"UNSAT",IF(AVERAGEIFS(AT11:AT42,AS11:AS42,"&gt;0")&lt;0.9,"MARG","SAT"))),"N/A")</f>
        <v>N/A</v>
      </c>
      <c r="I44" s="1637"/>
      <c r="J44" s="1649" t="str">
        <f>IF(OR(AZ7="UNK",NOT(AM9)),"---",IF(OR(AZ7,AR48&lt;0.7),"FAIL","PASS"))</f>
        <v>---</v>
      </c>
      <c r="K44" s="1650"/>
      <c r="L44" s="404"/>
      <c r="M44" s="1651"/>
      <c r="N44" s="1651"/>
      <c r="O44" s="1644" t="s">
        <v>139</v>
      </c>
      <c r="P44" s="1644"/>
      <c r="Q44" s="1644" t="s">
        <v>139</v>
      </c>
      <c r="R44" s="1645"/>
      <c r="S44" s="403"/>
      <c r="T44" s="401" t="s">
        <v>249</v>
      </c>
      <c r="U44" s="393" t="s">
        <v>250</v>
      </c>
      <c r="V44" s="396"/>
      <c r="W44" s="396"/>
      <c r="X44" s="396"/>
      <c r="Y44" s="396"/>
      <c r="Z44" s="396"/>
      <c r="AA44" s="396"/>
      <c r="AB44" s="396"/>
      <c r="AC44" s="396"/>
      <c r="AD44" s="396"/>
      <c r="AE44" s="396"/>
      <c r="AF44" s="396"/>
      <c r="AG44" s="396"/>
      <c r="AH44" s="396"/>
      <c r="AI44" s="402"/>
      <c r="AJ44" s="378"/>
      <c r="AK44" s="396"/>
      <c r="AL44" s="396"/>
      <c r="AM44" s="396">
        <f>SUM(AM11:AM42)</f>
        <v>0</v>
      </c>
      <c r="AN44" s="396">
        <f>SUM(AN11:AN42)</f>
        <v>0</v>
      </c>
      <c r="AO44" s="401"/>
      <c r="AP44" s="378"/>
      <c r="AQ44" s="400">
        <f>SUMIF(AQ11:AQ42,"&gt;0")</f>
        <v>33.333206959999998</v>
      </c>
      <c r="AR44" s="395">
        <f>IF(AQ44=0,0,SUMPRODUCT($AQ$11:$AQ$42,AR11:AR42)/SUM($AQ$11:$AQ$42))</f>
        <v>0</v>
      </c>
      <c r="AS44" s="399">
        <f>SUMIF(AS11:AS42,"&gt;0")</f>
        <v>0</v>
      </c>
      <c r="AT44" s="395">
        <f>IF(AS44=0,0,SUMPRODUCT($AS$11:$AS$42,AT11:AT42)/SUM($AS$11:$AS$42))</f>
        <v>0</v>
      </c>
      <c r="AU44" s="399">
        <f>SUM(AU12:AU42)</f>
        <v>0</v>
      </c>
      <c r="AV44" s="395">
        <f>IF(AU44=0,0,SUMPRODUCT($AU$11:$AU$42,AV11:AV42)/SUM($AU$11:$AU$42))</f>
        <v>0</v>
      </c>
      <c r="AW44" s="398"/>
      <c r="AX44" s="398"/>
      <c r="AY44" s="398"/>
      <c r="AZ44" s="398"/>
      <c r="BA44" s="398"/>
      <c r="BB44" s="398"/>
      <c r="BC44" s="374" t="s">
        <v>251</v>
      </c>
      <c r="BD44" s="374" t="s">
        <v>252</v>
      </c>
      <c r="BE44" s="374" t="s">
        <v>253</v>
      </c>
      <c r="BF44" s="374"/>
      <c r="BG44" s="373"/>
      <c r="BO44" s="1623"/>
      <c r="BP44" s="1624"/>
      <c r="BQ44" s="1624"/>
      <c r="BR44" s="1624"/>
      <c r="BS44" s="1624"/>
      <c r="BT44" s="1624"/>
      <c r="BU44" s="1625"/>
      <c r="AVW44" s="397"/>
    </row>
    <row r="45" spans="2:73 1271:1271" ht="7.5" customHeight="1" thickTop="1" x14ac:dyDescent="0.25">
      <c r="L45" s="1646" t="s">
        <v>630</v>
      </c>
      <c r="M45" s="1646"/>
      <c r="N45" s="1646"/>
      <c r="O45" s="1646"/>
      <c r="P45" s="1646"/>
      <c r="Q45" s="1646"/>
      <c r="R45" s="1646"/>
      <c r="AP45" s="396"/>
      <c r="AQ45" s="378"/>
      <c r="AR45" s="378"/>
      <c r="AT45" s="395"/>
      <c r="AU45" s="395"/>
      <c r="AV45" s="395"/>
      <c r="AW45" s="378"/>
      <c r="AX45" s="395"/>
      <c r="BE45" s="374"/>
      <c r="BF45" s="374"/>
      <c r="BO45" s="1626"/>
      <c r="BP45" s="1627"/>
      <c r="BQ45" s="1627"/>
      <c r="BR45" s="1627"/>
      <c r="BS45" s="1627"/>
      <c r="BT45" s="1627"/>
      <c r="BU45" s="1628"/>
    </row>
    <row r="46" spans="2:73 1271:1271" ht="30.75" customHeight="1" x14ac:dyDescent="0.25">
      <c r="T46" s="394" t="s">
        <v>254</v>
      </c>
      <c r="U46" s="393" t="b">
        <v>0</v>
      </c>
      <c r="AI46" s="375">
        <f ca="1">SUMIF(AJ11:$AJ$42,"=" &amp; AJ11,AI12:$AI$42)</f>
        <v>0.50000052560199271</v>
      </c>
      <c r="AK46" s="373"/>
      <c r="AL46" s="373"/>
      <c r="AM46" s="373"/>
      <c r="AN46" s="373"/>
      <c r="AO46" s="392"/>
      <c r="AQ46" s="373"/>
      <c r="AR46" s="373"/>
      <c r="AS46" s="385" t="s">
        <v>255</v>
      </c>
      <c r="AT46" s="387">
        <f>SUMIF(X11:X42,"&gt;0")/SUMIF(W11:W42,"&gt;0")</f>
        <v>0</v>
      </c>
      <c r="AU46" s="385" t="s">
        <v>256</v>
      </c>
      <c r="AV46" s="391">
        <f>SUMIF(AU11:AU42,"&gt;0")/SUMIF(AQ11:AQ42,"&gt;0")</f>
        <v>0</v>
      </c>
      <c r="AW46" s="390"/>
      <c r="AY46" s="373"/>
      <c r="AZ46" s="373"/>
      <c r="BE46" s="374" t="b">
        <f>AND(ISBLANK($K33),J33&gt;0)</f>
        <v>0</v>
      </c>
      <c r="BF46" s="374"/>
      <c r="BH46" s="374"/>
      <c r="BO46" s="373"/>
      <c r="BP46" s="373"/>
      <c r="BQ46" s="372"/>
    </row>
    <row r="47" spans="2:73 1271:1271" ht="30.75" customHeight="1" x14ac:dyDescent="0.25">
      <c r="J47" s="389"/>
      <c r="T47" s="381" t="s">
        <v>257</v>
      </c>
      <c r="U47" s="374" t="b">
        <f>IF(AND(Flight?,OR(AW7,AY7,BA7,AZ7,AR48&lt;0.7,H44="MARG")),TRUE,FALSE)</f>
        <v>0</v>
      </c>
      <c r="AK47" s="373"/>
      <c r="AL47" s="373"/>
      <c r="AM47" s="373"/>
      <c r="AN47" s="373"/>
      <c r="AO47" s="380"/>
      <c r="AP47" s="373"/>
      <c r="AQ47" s="385" t="s">
        <v>258</v>
      </c>
      <c r="AR47" s="388">
        <f>1-AT47</f>
        <v>1</v>
      </c>
      <c r="AS47" s="385" t="s">
        <v>259</v>
      </c>
      <c r="AT47" s="387">
        <f>MIN(AT46,AT9)</f>
        <v>0</v>
      </c>
      <c r="AU47" s="385" t="s">
        <v>260</v>
      </c>
      <c r="AV47" s="382">
        <f>MIN(AV46,AV9)</f>
        <v>0</v>
      </c>
      <c r="AZ47" s="373"/>
      <c r="BE47" s="374"/>
      <c r="BF47" s="374"/>
      <c r="BH47" s="374"/>
      <c r="BO47" s="373"/>
      <c r="BP47" s="373"/>
      <c r="BQ47" s="372"/>
    </row>
    <row r="48" spans="2:73 1271:1271" ht="26.25" x14ac:dyDescent="0.25">
      <c r="T48" s="381" t="s">
        <v>261</v>
      </c>
      <c r="U48" s="374" t="b">
        <f>IF(OR(AX7,AY7,AZ7,BB7,AR48&lt;0.7),TRUE,FALSE)</f>
        <v>1</v>
      </c>
      <c r="Y48" s="386"/>
      <c r="AK48" s="373"/>
      <c r="AL48" s="373"/>
      <c r="AM48" s="373"/>
      <c r="AN48" s="373"/>
      <c r="AO48" s="384"/>
      <c r="AP48" s="373"/>
      <c r="AQ48" s="385" t="s">
        <v>262</v>
      </c>
      <c r="AR48" s="375">
        <f>AR44*(1-AT47)+(AT44*AT47)</f>
        <v>0</v>
      </c>
      <c r="AU48" s="373" t="s">
        <v>196</v>
      </c>
      <c r="AV48" s="382">
        <f>AV44*AV47</f>
        <v>0</v>
      </c>
      <c r="AY48" s="373"/>
      <c r="AZ48" s="373"/>
      <c r="BE48" s="374"/>
      <c r="BF48" s="374"/>
      <c r="BH48" s="374"/>
      <c r="BO48" s="373"/>
      <c r="BP48" s="373"/>
      <c r="BQ48" s="372"/>
    </row>
    <row r="49" spans="20:69" ht="26.25" x14ac:dyDescent="0.25">
      <c r="T49" s="381" t="s">
        <v>263</v>
      </c>
      <c r="U49" s="374" t="b">
        <v>0</v>
      </c>
      <c r="AK49" s="373"/>
      <c r="AL49" s="373"/>
      <c r="AM49" s="373"/>
      <c r="AN49" s="373"/>
      <c r="AO49" s="384"/>
      <c r="AP49" s="373"/>
      <c r="AQ49" s="385" t="s">
        <v>264</v>
      </c>
      <c r="AR49" s="382">
        <f>MIN(1,IF(NOT(OR(AY7,AZ7)),AR48+AV48,MIN(0.69,AR48+AV48)))</f>
        <v>0</v>
      </c>
      <c r="AY49" s="373"/>
      <c r="BE49" s="374"/>
      <c r="BF49" s="374"/>
      <c r="BI49" s="374"/>
      <c r="BO49" s="373"/>
      <c r="BP49" s="373"/>
      <c r="BQ49" s="372"/>
    </row>
    <row r="50" spans="20:69" x14ac:dyDescent="0.25">
      <c r="T50" s="381" t="s">
        <v>265</v>
      </c>
      <c r="U50" s="374" t="b">
        <f>IF(NOT(Flight?),TRUE,NOT(OR(ISBLANK(comments),ISBLANK(hdr_class),ISBLANK(hdr_date),ISBLANK(hdr_stud),ISBLANK(hdr_instr),ISBLANK(hdr_acft),ISBLANK(hdr_time),F44="---")))</f>
        <v>1</v>
      </c>
      <c r="AK50" s="373"/>
      <c r="AL50" s="373"/>
      <c r="AM50" s="373"/>
      <c r="AN50" s="373"/>
      <c r="AO50" s="384"/>
      <c r="AP50" s="373"/>
      <c r="AQ50" s="373"/>
      <c r="AR50" s="383"/>
      <c r="AS50" s="382"/>
      <c r="AU50" s="373"/>
      <c r="AV50" s="373"/>
      <c r="AW50" s="373"/>
    </row>
    <row r="51" spans="20:69" x14ac:dyDescent="0.25">
      <c r="T51" s="381" t="s">
        <v>266</v>
      </c>
      <c r="U51" s="374" t="b">
        <f>IF(Flight?,TRUE,NOT(OR(ISBLANK(comments),ISBLANK(hdr_class),ISBLANK(hdr_date),ISBLANK(hdr_stud),ISBLANK(hdr_instr),F44="---")))</f>
        <v>0</v>
      </c>
      <c r="AK51" s="373"/>
      <c r="AL51" s="373"/>
      <c r="AM51" s="373"/>
      <c r="AN51" s="373"/>
      <c r="AO51" s="380"/>
      <c r="AP51" s="378" t="s">
        <v>267</v>
      </c>
      <c r="AQ51" s="378"/>
      <c r="AR51" s="378"/>
      <c r="AS51" s="378"/>
      <c r="AT51" s="378"/>
      <c r="AU51" s="373"/>
      <c r="AV51" s="373"/>
      <c r="AW51" s="373"/>
    </row>
    <row r="52" spans="20:69" x14ac:dyDescent="0.25">
      <c r="T52" s="381" t="s">
        <v>268</v>
      </c>
      <c r="U52" s="374" t="b">
        <f>AND(U50:U51)</f>
        <v>0</v>
      </c>
      <c r="AK52" s="373"/>
      <c r="AL52" s="373"/>
      <c r="AM52" s="373"/>
      <c r="AN52" s="373"/>
      <c r="AO52" s="380"/>
      <c r="AP52" s="378"/>
      <c r="AQ52" s="378"/>
      <c r="AR52" s="378">
        <v>0</v>
      </c>
      <c r="AS52" s="378">
        <v>1</v>
      </c>
      <c r="AT52" s="378">
        <v>2</v>
      </c>
      <c r="AU52" s="378">
        <v>3</v>
      </c>
      <c r="AV52" s="378">
        <v>4</v>
      </c>
      <c r="AW52" s="373"/>
    </row>
    <row r="53" spans="20:69" x14ac:dyDescent="0.25">
      <c r="AK53" s="373"/>
      <c r="AL53" s="373"/>
      <c r="AM53" s="373"/>
      <c r="AN53" s="373"/>
      <c r="AO53" s="380"/>
      <c r="AP53" s="378" t="s">
        <v>227</v>
      </c>
      <c r="AQ53" s="378">
        <v>1</v>
      </c>
      <c r="AR53" s="377">
        <v>0.7</v>
      </c>
      <c r="AS53" s="377">
        <v>0.9</v>
      </c>
      <c r="AT53" s="377">
        <v>0.93330000000000002</v>
      </c>
      <c r="AU53" s="377">
        <v>0.9667</v>
      </c>
      <c r="AV53" s="377">
        <v>1</v>
      </c>
      <c r="AW53" s="373"/>
    </row>
    <row r="54" spans="20:69" x14ac:dyDescent="0.25">
      <c r="AK54" s="373"/>
      <c r="AL54" s="373"/>
      <c r="AM54" s="373"/>
      <c r="AN54" s="373"/>
      <c r="AO54" s="380"/>
      <c r="AP54" s="378" t="s">
        <v>228</v>
      </c>
      <c r="AQ54" s="378">
        <v>2</v>
      </c>
      <c r="AR54" s="377">
        <v>0.7</v>
      </c>
      <c r="AS54" s="377">
        <v>0.8</v>
      </c>
      <c r="AT54" s="377">
        <v>0.9</v>
      </c>
      <c r="AU54" s="377">
        <v>0.95</v>
      </c>
      <c r="AV54" s="377">
        <v>1</v>
      </c>
      <c r="AW54" s="373"/>
    </row>
    <row r="55" spans="20:69" x14ac:dyDescent="0.25">
      <c r="AK55" s="373"/>
      <c r="AL55" s="373"/>
      <c r="AM55" s="373"/>
      <c r="AN55" s="373"/>
      <c r="AO55" s="380"/>
      <c r="AP55" s="378" t="s">
        <v>229</v>
      </c>
      <c r="AQ55" s="378">
        <v>3</v>
      </c>
      <c r="AR55" s="377">
        <v>0.7</v>
      </c>
      <c r="AS55" s="377">
        <v>0.76670000000000005</v>
      </c>
      <c r="AT55" s="377">
        <v>0.83330000000000004</v>
      </c>
      <c r="AU55" s="377">
        <v>0.9</v>
      </c>
      <c r="AV55" s="377">
        <v>1</v>
      </c>
      <c r="AW55" s="373"/>
    </row>
    <row r="56" spans="20:69" x14ac:dyDescent="0.25">
      <c r="AP56" s="379" t="s">
        <v>230</v>
      </c>
      <c r="AQ56" s="378">
        <v>11</v>
      </c>
      <c r="AR56" s="377">
        <v>0.6</v>
      </c>
      <c r="AS56" s="377">
        <v>0.9</v>
      </c>
      <c r="AT56" s="377">
        <v>0.93330000000000002</v>
      </c>
      <c r="AU56" s="377">
        <v>0.9667</v>
      </c>
      <c r="AV56" s="377">
        <v>1</v>
      </c>
      <c r="AW56" s="373"/>
    </row>
    <row r="57" spans="20:69" x14ac:dyDescent="0.25">
      <c r="AP57" s="379" t="s">
        <v>231</v>
      </c>
      <c r="AQ57" s="378">
        <v>12</v>
      </c>
      <c r="AR57" s="377">
        <v>0.6</v>
      </c>
      <c r="AS57" s="377">
        <v>0.7</v>
      </c>
      <c r="AT57" s="377">
        <v>0.9</v>
      </c>
      <c r="AU57" s="377">
        <v>0.95</v>
      </c>
      <c r="AV57" s="377">
        <v>1</v>
      </c>
      <c r="AW57" s="373"/>
    </row>
    <row r="58" spans="20:69" x14ac:dyDescent="0.25">
      <c r="AP58" s="379" t="s">
        <v>232</v>
      </c>
      <c r="AQ58" s="378">
        <v>13</v>
      </c>
      <c r="AR58" s="377">
        <v>0.6</v>
      </c>
      <c r="AS58" s="377">
        <v>0.7</v>
      </c>
      <c r="AT58" s="377">
        <v>0.8</v>
      </c>
      <c r="AU58" s="377">
        <v>0.9</v>
      </c>
      <c r="AV58" s="377">
        <v>1</v>
      </c>
      <c r="AW58" s="373"/>
    </row>
    <row r="59" spans="20:69" x14ac:dyDescent="0.25">
      <c r="AP59" s="379" t="s">
        <v>233</v>
      </c>
      <c r="AQ59" s="378">
        <v>22</v>
      </c>
      <c r="AR59" s="377">
        <v>0.3</v>
      </c>
      <c r="AS59" s="377">
        <v>0.6</v>
      </c>
      <c r="AT59" s="377">
        <v>0.9</v>
      </c>
      <c r="AU59" s="377">
        <v>0.95</v>
      </c>
      <c r="AV59" s="377">
        <v>1</v>
      </c>
      <c r="AW59" s="373"/>
    </row>
    <row r="60" spans="20:69" x14ac:dyDescent="0.25">
      <c r="AP60" s="379" t="s">
        <v>234</v>
      </c>
      <c r="AQ60" s="378">
        <v>23</v>
      </c>
      <c r="AR60" s="377">
        <v>0.3</v>
      </c>
      <c r="AS60" s="377">
        <v>0.6</v>
      </c>
      <c r="AT60" s="377">
        <v>0.7</v>
      </c>
      <c r="AU60" s="377">
        <v>0.9</v>
      </c>
      <c r="AV60" s="377">
        <v>1</v>
      </c>
      <c r="AW60" s="373"/>
    </row>
    <row r="61" spans="20:69" x14ac:dyDescent="0.25">
      <c r="AP61" s="379" t="s">
        <v>235</v>
      </c>
      <c r="AQ61" s="378">
        <v>33</v>
      </c>
      <c r="AR61" s="377">
        <v>0</v>
      </c>
      <c r="AS61" s="377">
        <v>0.3</v>
      </c>
      <c r="AT61" s="377">
        <v>0.6</v>
      </c>
      <c r="AU61" s="377">
        <v>0.9</v>
      </c>
      <c r="AV61" s="377">
        <v>1</v>
      </c>
      <c r="AW61" s="83"/>
      <c r="AX61" s="84"/>
      <c r="BC61" s="84"/>
      <c r="BD61" s="84"/>
    </row>
    <row r="62" spans="20:69" x14ac:dyDescent="0.25">
      <c r="AP62" s="373"/>
      <c r="AQ62" s="373"/>
      <c r="AR62" s="373"/>
      <c r="AS62" s="373"/>
      <c r="AT62" s="373"/>
      <c r="AU62" s="373"/>
      <c r="AV62" s="373"/>
      <c r="AW62" s="84"/>
      <c r="AX62" s="84"/>
      <c r="BC62" s="84"/>
      <c r="BD62" s="84"/>
    </row>
    <row r="63" spans="20:69" x14ac:dyDescent="0.25">
      <c r="AP63" s="84"/>
      <c r="AQ63" s="83"/>
      <c r="AR63" s="84"/>
      <c r="AS63" s="84"/>
      <c r="AT63" s="84"/>
      <c r="AU63" s="84"/>
      <c r="AV63" s="84"/>
      <c r="AW63" s="83"/>
      <c r="AX63" s="83"/>
      <c r="BC63" s="84"/>
      <c r="BD63" s="84"/>
    </row>
    <row r="64" spans="20:69" x14ac:dyDescent="0.25">
      <c r="AP64" s="101"/>
      <c r="AQ64" s="83"/>
      <c r="AR64" s="84"/>
      <c r="AS64" s="84"/>
      <c r="AT64" s="84"/>
      <c r="AU64" s="84"/>
      <c r="AV64" s="84"/>
      <c r="AW64" s="83"/>
      <c r="AX64" s="83"/>
      <c r="BC64" s="84"/>
      <c r="BD64" s="84"/>
    </row>
    <row r="65" spans="42:56" x14ac:dyDescent="0.25">
      <c r="AP65" s="83"/>
      <c r="AQ65" s="83"/>
      <c r="AR65" s="84"/>
      <c r="AS65" s="84"/>
      <c r="AT65" s="84"/>
      <c r="AU65" s="84"/>
      <c r="AV65" s="84"/>
      <c r="AW65" s="83"/>
      <c r="AX65" s="83"/>
      <c r="BC65" s="84"/>
      <c r="BD65" s="84"/>
    </row>
    <row r="66" spans="42:56" x14ac:dyDescent="0.25">
      <c r="AP66" s="83"/>
      <c r="AQ66" s="83"/>
      <c r="AR66" s="84"/>
      <c r="AS66" s="84"/>
      <c r="AT66" s="84"/>
      <c r="AU66" s="84"/>
      <c r="AV66" s="84"/>
      <c r="AW66" s="83"/>
      <c r="AX66" s="84"/>
      <c r="BC66" s="84"/>
      <c r="BD66" s="84"/>
    </row>
    <row r="67" spans="42:56" x14ac:dyDescent="0.25">
      <c r="AP67" s="83"/>
      <c r="AQ67" s="83"/>
      <c r="AR67" s="84"/>
      <c r="AS67" s="84"/>
      <c r="AT67" s="84"/>
      <c r="AU67" s="84"/>
      <c r="AV67" s="84"/>
      <c r="AW67" s="83"/>
      <c r="AX67" s="84"/>
      <c r="BC67" s="84"/>
      <c r="BD67" s="84"/>
    </row>
    <row r="68" spans="42:56" x14ac:dyDescent="0.25">
      <c r="AP68" s="83"/>
      <c r="AQ68" s="83"/>
      <c r="AR68" s="84"/>
      <c r="AS68" s="84"/>
      <c r="AT68" s="84"/>
      <c r="AU68" s="84"/>
      <c r="AV68" s="84"/>
    </row>
    <row r="69" spans="42:56" x14ac:dyDescent="0.25">
      <c r="AP69" s="83"/>
      <c r="AQ69" s="83"/>
      <c r="AR69" s="84"/>
      <c r="AS69" s="84"/>
      <c r="AT69" s="84"/>
      <c r="AU69" s="84"/>
      <c r="AV69" s="84"/>
    </row>
  </sheetData>
  <mergeCells count="76">
    <mergeCell ref="M9:N9"/>
    <mergeCell ref="O9:P9"/>
    <mergeCell ref="Q9:R9"/>
    <mergeCell ref="B6:G6"/>
    <mergeCell ref="H6:N6"/>
    <mergeCell ref="O6:P6"/>
    <mergeCell ref="Q7:R7"/>
    <mergeCell ref="BP6:BU7"/>
    <mergeCell ref="BH7:BK9"/>
    <mergeCell ref="BL7:BN9"/>
    <mergeCell ref="B8:E8"/>
    <mergeCell ref="F8:G8"/>
    <mergeCell ref="H8:L8"/>
    <mergeCell ref="M8:N8"/>
    <mergeCell ref="B9:E9"/>
    <mergeCell ref="F9:G9"/>
    <mergeCell ref="H9:L9"/>
    <mergeCell ref="Q6:R6"/>
    <mergeCell ref="O8:P8"/>
    <mergeCell ref="Q8:R8"/>
    <mergeCell ref="B7:G7"/>
    <mergeCell ref="H7:N7"/>
    <mergeCell ref="O7:P7"/>
    <mergeCell ref="C36:F36"/>
    <mergeCell ref="C18:F18"/>
    <mergeCell ref="C19:F19"/>
    <mergeCell ref="C20:F20"/>
    <mergeCell ref="C21:F21"/>
    <mergeCell ref="C22:F22"/>
    <mergeCell ref="B10:F10"/>
    <mergeCell ref="L10:R10"/>
    <mergeCell ref="C11:F11"/>
    <mergeCell ref="L11:R42"/>
    <mergeCell ref="C12:F12"/>
    <mergeCell ref="C13:F13"/>
    <mergeCell ref="C14:F14"/>
    <mergeCell ref="C15:F15"/>
    <mergeCell ref="C16:F16"/>
    <mergeCell ref="C17:F17"/>
    <mergeCell ref="C31:F31"/>
    <mergeCell ref="C28:F28"/>
    <mergeCell ref="C29:F29"/>
    <mergeCell ref="C30:F30"/>
    <mergeCell ref="C41:F41"/>
    <mergeCell ref="C42:F42"/>
    <mergeCell ref="BO37:BU40"/>
    <mergeCell ref="C38:F38"/>
    <mergeCell ref="C39:F39"/>
    <mergeCell ref="C40:F40"/>
    <mergeCell ref="BQ22:BU22"/>
    <mergeCell ref="C32:F32"/>
    <mergeCell ref="C33:F33"/>
    <mergeCell ref="C34:F34"/>
    <mergeCell ref="C35:F35"/>
    <mergeCell ref="C37:F37"/>
    <mergeCell ref="C23:F23"/>
    <mergeCell ref="C24:F24"/>
    <mergeCell ref="BO24:BO32"/>
    <mergeCell ref="C25:F25"/>
    <mergeCell ref="C26:F26"/>
    <mergeCell ref="C27:F27"/>
    <mergeCell ref="BO42:BU45"/>
    <mergeCell ref="B43:D43"/>
    <mergeCell ref="F43:G43"/>
    <mergeCell ref="H43:I43"/>
    <mergeCell ref="Q44:R44"/>
    <mergeCell ref="L45:R45"/>
    <mergeCell ref="J43:K43"/>
    <mergeCell ref="M43:N43"/>
    <mergeCell ref="O43:P43"/>
    <mergeCell ref="B44:D44"/>
    <mergeCell ref="F44:G44"/>
    <mergeCell ref="H44:I44"/>
    <mergeCell ref="J44:K44"/>
    <mergeCell ref="M44:N44"/>
    <mergeCell ref="O44:P44"/>
  </mergeCells>
  <conditionalFormatting sqref="B11:F42">
    <cfRule type="expression" dxfId="73" priority="9" stopIfTrue="1">
      <formula>IF($Z11=1,TRUE,FALSE)</formula>
    </cfRule>
    <cfRule type="expression" dxfId="72" priority="10">
      <formula>IF($Z11=2,TRUE,FALSE)</formula>
    </cfRule>
  </conditionalFormatting>
  <conditionalFormatting sqref="C11:F42">
    <cfRule type="expression" dxfId="71" priority="2" stopIfTrue="1">
      <formula>IF($AF11=FALSE,TRUE,FALSE)</formula>
    </cfRule>
  </conditionalFormatting>
  <conditionalFormatting sqref="F8:G9 M8:P9">
    <cfRule type="expression" dxfId="70" priority="5" stopIfTrue="1">
      <formula>NOT($AU$7)</formula>
    </cfRule>
  </conditionalFormatting>
  <conditionalFormatting sqref="F9:G9">
    <cfRule type="cellIs" dxfId="69" priority="4" operator="equal">
      <formula>""</formula>
    </cfRule>
  </conditionalFormatting>
  <conditionalFormatting sqref="G11:K42">
    <cfRule type="expression" dxfId="68" priority="7" stopIfTrue="1">
      <formula>IF($Z11=1,TRUE,FALSE)</formula>
    </cfRule>
    <cfRule type="expression" dxfId="67" priority="8" stopIfTrue="1">
      <formula>IF($Z11=2,TRUE,FALSE)</formula>
    </cfRule>
  </conditionalFormatting>
  <conditionalFormatting sqref="H11:H42">
    <cfRule type="expression" dxfId="66" priority="11" stopIfTrue="1">
      <formula>IF($AB11=0,TRUE,FALSE)</formula>
    </cfRule>
  </conditionalFormatting>
  <conditionalFormatting sqref="H43:I44">
    <cfRule type="expression" dxfId="65" priority="3" stopIfTrue="1">
      <formula>IF($H$44="N/A",TRUE,FALSE)</formula>
    </cfRule>
  </conditionalFormatting>
  <conditionalFormatting sqref="H9:P9 O7:R7 B9 L11">
    <cfRule type="containsBlanks" dxfId="64" priority="6">
      <formula>LEN(TRIM(B7))=0</formula>
    </cfRule>
  </conditionalFormatting>
  <conditionalFormatting sqref="J11:J42">
    <cfRule type="expression" dxfId="63" priority="15">
      <formula>IF($Z11=1,FALSE,OR($BE11,$BD11))</formula>
    </cfRule>
  </conditionalFormatting>
  <conditionalFormatting sqref="J11:K42 C11:F42">
    <cfRule type="expression" dxfId="62" priority="14">
      <formula>IF($Z11=1,FALSE,OR($AW11,$AX11,$AY11,$AZ11))</formula>
    </cfRule>
  </conditionalFormatting>
  <conditionalFormatting sqref="J11:K42">
    <cfRule type="expression" dxfId="61" priority="12" stopIfTrue="1">
      <formula>IF(ISNA($Z11),TRUE,FALSE)</formula>
    </cfRule>
  </conditionalFormatting>
  <conditionalFormatting sqref="K11:K42">
    <cfRule type="expression" dxfId="60" priority="13">
      <formula>IF(OR($Z11=1,$Z11=2),FALSE,OR($BC11,$BE11,$BF11))</formula>
    </cfRule>
  </conditionalFormatting>
  <conditionalFormatting sqref="L44">
    <cfRule type="expression" dxfId="59" priority="1">
      <formula>NOT($U$52)</formula>
    </cfRule>
  </conditionalFormatting>
  <dataValidations count="6">
    <dataValidation type="list" allowBlank="1" showInputMessage="1" showErrorMessage="1" sqref="F9:G9" xr:uid="{C81E008F-3350-4973-8A21-86C50378954C}">
      <formula1>"No,Yes"</formula1>
    </dataValidation>
    <dataValidation type="list" allowBlank="1" showInputMessage="1" showErrorMessage="1" sqref="J11:J42" xr:uid="{771AF5F4-56DA-4F2D-B129-215DD2201C26}">
      <formula1>"NA,0,1,2,3,4,5,6,7,8,9,10,11,12,13,14,15"</formula1>
    </dataValidation>
    <dataValidation type="list" allowBlank="1" showInputMessage="1" showErrorMessage="1" sqref="K11:K42" xr:uid="{E45AB24F-B99F-4A57-972B-F597434C1DAC}">
      <formula1>"D,0,1,2,3,4"</formula1>
    </dataValidation>
    <dataValidation showInputMessage="1" showErrorMessage="1" sqref="O44:R44" xr:uid="{697717DF-67E0-4D52-8EF2-19C2AB903ED5}"/>
    <dataValidation type="decimal" allowBlank="1" showInputMessage="1" showErrorMessage="1" sqref="O9:P9" xr:uid="{5B4F9172-40FE-42B9-A2F6-3FE6E5FEA7CD}">
      <formula1>0</formula1>
      <formula2>10</formula2>
    </dataValidation>
    <dataValidation type="date" allowBlank="1" showInputMessage="1" showErrorMessage="1" sqref="Q7:R7" xr:uid="{1A020227-C504-45DF-B355-5E81CEC6EF50}">
      <formula1>41151</formula1>
      <formula2>77433</formula2>
    </dataValidation>
  </dataValidations>
  <hyperlinks>
    <hyperlink ref="BP6" location="PF!A1" display="PF phase Summary Page" xr:uid="{6AEC0B27-6752-4AA6-B686-929969EAE09A}"/>
    <hyperlink ref="BP6:BU7" location="TF!A1" display="TF Summary Page" xr:uid="{9BA253DA-1F83-4E0A-8CEB-B30C5A8F810D}"/>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C110D-E0D0-403B-8248-4A43C2B83141}">
  <sheetPr>
    <tabColor rgb="FFFFFF00"/>
    <pageSetUpPr autoPageBreaks="0"/>
  </sheetPr>
  <dimension ref="A1:AVW67"/>
  <sheetViews>
    <sheetView showGridLines="0" showRowColHeaders="0" topLeftCell="A3" zoomScaleNormal="100" workbookViewId="0">
      <selection activeCell="L9" sqref="L9:R40"/>
    </sheetView>
  </sheetViews>
  <sheetFormatPr defaultColWidth="9.140625" defaultRowHeight="15" x14ac:dyDescent="0.25"/>
  <cols>
    <col min="1" max="1" width="1.5703125" style="376" customWidth="1"/>
    <col min="2" max="2" width="3.5703125" style="376" customWidth="1"/>
    <col min="3" max="3" width="5.5703125" style="371" customWidth="1"/>
    <col min="4" max="4" width="9.140625" style="371"/>
    <col min="5" max="5" width="14" style="371" customWidth="1"/>
    <col min="6" max="6" width="7.85546875" style="371" customWidth="1"/>
    <col min="7" max="11" width="5.140625" style="371" customWidth="1"/>
    <col min="12" max="12" width="21.5703125" style="371" customWidth="1"/>
    <col min="13" max="13" width="6.5703125" style="371" customWidth="1"/>
    <col min="14" max="14" width="12.5703125" style="371" customWidth="1"/>
    <col min="15" max="15" width="7.85546875" style="371" customWidth="1"/>
    <col min="16" max="16" width="2.7109375" style="371" customWidth="1"/>
    <col min="17" max="17" width="4.85546875" style="371" customWidth="1"/>
    <col min="18" max="18" width="7.28515625" style="371" customWidth="1"/>
    <col min="19" max="19" width="1.7109375" style="371" customWidth="1"/>
    <col min="20" max="20" width="19.140625" style="374" hidden="1" customWidth="1"/>
    <col min="21" max="21" width="31.140625" style="374" hidden="1" customWidth="1"/>
    <col min="22" max="22" width="5.140625" style="374" hidden="1" customWidth="1"/>
    <col min="23" max="24" width="6.28515625" style="374" hidden="1" customWidth="1"/>
    <col min="25" max="25" width="8.42578125" style="374" hidden="1" customWidth="1"/>
    <col min="26" max="26" width="7.85546875" style="374" hidden="1" customWidth="1"/>
    <col min="27" max="27" width="10.7109375" style="374" hidden="1" customWidth="1"/>
    <col min="28" max="28" width="8" style="374" hidden="1" customWidth="1"/>
    <col min="29" max="31" width="5.140625" style="374" hidden="1" customWidth="1"/>
    <col min="32" max="34" width="5.85546875" style="374" hidden="1" customWidth="1"/>
    <col min="35" max="35" width="8.5703125" style="375" hidden="1" customWidth="1"/>
    <col min="36" max="36" width="7" style="374" hidden="1" customWidth="1"/>
    <col min="37" max="38" width="5.28515625" style="374" hidden="1" customWidth="1"/>
    <col min="39" max="40" width="7" style="374" hidden="1" customWidth="1"/>
    <col min="41" max="41" width="5.140625" style="374" hidden="1" customWidth="1"/>
    <col min="42" max="42" width="11.28515625" style="374" hidden="1" customWidth="1"/>
    <col min="43" max="43" width="6.42578125" style="374" hidden="1" customWidth="1"/>
    <col min="44" max="44" width="8.28515625" style="374" hidden="1" customWidth="1"/>
    <col min="45" max="45" width="8.85546875" style="374" hidden="1" customWidth="1"/>
    <col min="46" max="46" width="10.7109375" style="374" hidden="1" customWidth="1"/>
    <col min="47" max="47" width="8.85546875" style="374" hidden="1" customWidth="1"/>
    <col min="48" max="48" width="6.28515625" style="374" hidden="1" customWidth="1"/>
    <col min="49" max="49" width="10" style="374" hidden="1" customWidth="1"/>
    <col min="50" max="50" width="7.5703125" style="374" hidden="1" customWidth="1"/>
    <col min="51" max="51" width="7" style="374" hidden="1" customWidth="1"/>
    <col min="52" max="52" width="8.140625" style="374" hidden="1" customWidth="1"/>
    <col min="53" max="53" width="12.5703125" style="374" hidden="1" customWidth="1"/>
    <col min="54" max="54" width="7.7109375" style="374" hidden="1" customWidth="1"/>
    <col min="55" max="55" width="12.7109375" style="374" hidden="1" customWidth="1"/>
    <col min="56" max="56" width="7" style="374" hidden="1" customWidth="1"/>
    <col min="57" max="57" width="15.5703125" style="373" hidden="1" customWidth="1"/>
    <col min="58" max="58" width="9.140625" style="373" hidden="1" customWidth="1"/>
    <col min="59" max="59" width="10" style="374" hidden="1" customWidth="1"/>
    <col min="60" max="60" width="5.28515625" style="373" hidden="1" customWidth="1"/>
    <col min="61" max="61" width="4" style="373" hidden="1" customWidth="1"/>
    <col min="62" max="62" width="4.7109375" style="373" hidden="1" customWidth="1"/>
    <col min="63" max="63" width="5.5703125" style="373" hidden="1" customWidth="1"/>
    <col min="64" max="64" width="5.28515625" style="373" hidden="1" customWidth="1"/>
    <col min="65" max="65" width="4" style="373" hidden="1" customWidth="1"/>
    <col min="66" max="66" width="5.5703125" style="373" hidden="1" customWidth="1"/>
    <col min="67" max="67" width="5.140625" style="372" customWidth="1"/>
    <col min="68" max="73" width="5.140625" style="371" customWidth="1"/>
    <col min="74" max="16384" width="9.140625" style="371"/>
  </cols>
  <sheetData>
    <row r="1" spans="2:73" s="447" customFormat="1" ht="12" hidden="1" x14ac:dyDescent="0.2">
      <c r="T1" s="378"/>
      <c r="U1" s="378"/>
      <c r="V1" s="378"/>
      <c r="W1" s="378"/>
      <c r="X1" s="378"/>
      <c r="Y1" s="378"/>
      <c r="Z1" s="378"/>
      <c r="AA1" s="378"/>
      <c r="AB1" s="378"/>
      <c r="AC1" s="378"/>
      <c r="AD1" s="378"/>
      <c r="AE1" s="378"/>
      <c r="AF1" s="378"/>
      <c r="AG1" s="378"/>
      <c r="AH1" s="378"/>
      <c r="AI1" s="402"/>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row>
    <row r="2" spans="2:73" s="447" customFormat="1" ht="12" hidden="1" x14ac:dyDescent="0.2">
      <c r="T2" s="378"/>
      <c r="U2" s="378"/>
      <c r="V2" s="378"/>
      <c r="W2" s="378"/>
      <c r="X2" s="378"/>
      <c r="Y2" s="378"/>
      <c r="Z2" s="378"/>
      <c r="AA2" s="378"/>
      <c r="AB2" s="378"/>
      <c r="AC2" s="378"/>
      <c r="AD2" s="378"/>
      <c r="AE2" s="378"/>
      <c r="AF2" s="378"/>
      <c r="AG2" s="378"/>
      <c r="AH2" s="378"/>
      <c r="AI2" s="402"/>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row>
    <row r="3" spans="2:73" ht="15.75" thickBot="1" x14ac:dyDescent="0.3">
      <c r="BE3" s="374"/>
      <c r="BF3" s="374"/>
      <c r="BG3" s="373"/>
    </row>
    <row r="4" spans="2:73" ht="13.5" customHeight="1" thickTop="1" x14ac:dyDescent="0.25">
      <c r="B4" s="1576" t="s">
        <v>141</v>
      </c>
      <c r="C4" s="1577"/>
      <c r="D4" s="1577"/>
      <c r="E4" s="1577"/>
      <c r="F4" s="1577"/>
      <c r="G4" s="1578"/>
      <c r="H4" s="1589" t="s">
        <v>299</v>
      </c>
      <c r="I4" s="1590"/>
      <c r="J4" s="1590"/>
      <c r="K4" s="1590"/>
      <c r="L4" s="1590"/>
      <c r="M4" s="1590"/>
      <c r="N4" s="1591"/>
      <c r="O4" s="1592" t="s">
        <v>142</v>
      </c>
      <c r="P4" s="1593"/>
      <c r="Q4" s="1592" t="s">
        <v>143</v>
      </c>
      <c r="R4" s="1594"/>
      <c r="S4" s="406"/>
      <c r="T4" s="407"/>
      <c r="U4" s="407"/>
      <c r="V4" s="407"/>
      <c r="W4" s="407"/>
      <c r="X4" s="407"/>
      <c r="Y4" s="407"/>
      <c r="Z4" s="407"/>
      <c r="AA4" s="407"/>
      <c r="AB4" s="407"/>
      <c r="AC4" s="407"/>
      <c r="AD4" s="407"/>
      <c r="AE4" s="407"/>
      <c r="AF4" s="407"/>
      <c r="AG4" s="407"/>
      <c r="AH4" s="407"/>
      <c r="AI4" s="492"/>
      <c r="AJ4" s="407"/>
      <c r="AK4" s="407"/>
      <c r="AL4" s="407"/>
      <c r="AM4" s="407"/>
      <c r="AN4" s="407"/>
      <c r="AO4" s="407"/>
      <c r="AP4" s="407"/>
      <c r="AQ4" s="378"/>
      <c r="AR4" s="378"/>
      <c r="AW4" s="374" t="s">
        <v>144</v>
      </c>
      <c r="AX4" s="374" t="s">
        <v>145</v>
      </c>
      <c r="AY4" s="374" t="s">
        <v>146</v>
      </c>
      <c r="AZ4" s="374" t="s">
        <v>147</v>
      </c>
      <c r="BA4" s="374" t="s">
        <v>148</v>
      </c>
      <c r="BB4" s="374" t="s">
        <v>149</v>
      </c>
      <c r="BE4" s="374"/>
      <c r="BF4" s="374"/>
      <c r="BG4" s="373"/>
      <c r="BP4" s="1668" t="s">
        <v>313</v>
      </c>
      <c r="BQ4" s="1668"/>
      <c r="BR4" s="1668"/>
      <c r="BS4" s="1668"/>
      <c r="BT4" s="1668"/>
      <c r="BU4" s="1668"/>
    </row>
    <row r="5" spans="2:73" s="416" customFormat="1" ht="15.75" customHeight="1" x14ac:dyDescent="0.2">
      <c r="B5" s="1579" t="s">
        <v>293</v>
      </c>
      <c r="C5" s="1580"/>
      <c r="D5" s="1580"/>
      <c r="E5" s="1580"/>
      <c r="F5" s="1580"/>
      <c r="G5" s="1581"/>
      <c r="H5" s="1598" t="s">
        <v>316</v>
      </c>
      <c r="I5" s="1599"/>
      <c r="J5" s="1599"/>
      <c r="K5" s="1599"/>
      <c r="L5" s="1599"/>
      <c r="M5" s="1599"/>
      <c r="N5" s="1600"/>
      <c r="O5" s="1601"/>
      <c r="P5" s="1602"/>
      <c r="Q5" s="1603"/>
      <c r="R5" s="1604"/>
      <c r="S5" s="498"/>
      <c r="T5" s="496"/>
      <c r="U5" s="496"/>
      <c r="V5" s="496"/>
      <c r="W5" s="496"/>
      <c r="X5" s="496"/>
      <c r="Y5" s="496"/>
      <c r="Z5" s="496"/>
      <c r="AA5" s="496"/>
      <c r="AB5" s="496"/>
      <c r="AC5" s="496"/>
      <c r="AD5" s="496"/>
      <c r="AE5" s="496"/>
      <c r="AF5" s="496"/>
      <c r="AG5" s="496"/>
      <c r="AH5" s="496"/>
      <c r="AI5" s="497"/>
      <c r="AJ5" s="496"/>
      <c r="AK5" s="496"/>
      <c r="AL5" s="496"/>
      <c r="AM5" s="496"/>
      <c r="AN5" s="496"/>
      <c r="AO5" s="496"/>
      <c r="AP5" s="496"/>
      <c r="AQ5" s="487"/>
      <c r="AR5" s="487"/>
      <c r="AS5" s="401"/>
      <c r="AT5" s="495" t="s">
        <v>151</v>
      </c>
      <c r="AU5" s="494" t="b">
        <v>0</v>
      </c>
      <c r="AV5" s="401">
        <v>0</v>
      </c>
      <c r="AW5" s="401" t="b">
        <f>IF(ISERR(OR(AW9:AW40)),"UNK",IF(AND(graded_aca_events&gt;=1,input_test),FALSE,OR(AW9:AW40)))</f>
        <v>0</v>
      </c>
      <c r="AX5" s="401" t="b">
        <f>IF(ISERR(OR(AX9:AX40)),"UNK",IF(AND(graded_aca_events&gt;=1,input_test),FALSE,OR(AX9:AX40)))</f>
        <v>1</v>
      </c>
      <c r="AY5" s="401" t="b">
        <f>IF(ISERR(OR(AY9:AY40)),"UNK",OR(AY9:AY40))</f>
        <v>0</v>
      </c>
      <c r="AZ5" s="401" t="b">
        <f>IF(ISERR(OR(AZ9:AZ40)),"UNK",OR(AZ9:AZ40))</f>
        <v>0</v>
      </c>
      <c r="BA5" s="401" t="b">
        <f>IF(ISERR(OR(BA9:BA40)),"UNK",OR(BA9:BA40))</f>
        <v>0</v>
      </c>
      <c r="BB5" s="401" t="b">
        <f>IF(ISERR(OR(BB9:BB40)),"UNK",OR(BB9:BB40))</f>
        <v>0</v>
      </c>
      <c r="BC5" s="493" t="b">
        <f>OR(BC9:BC40)</f>
        <v>0</v>
      </c>
      <c r="BD5" s="493" t="b">
        <f>OR(BD9:BD40)</f>
        <v>0</v>
      </c>
      <c r="BE5" s="493" t="b">
        <f>OR(BE9:BE40)</f>
        <v>0</v>
      </c>
      <c r="BF5" s="493"/>
      <c r="BG5" s="401"/>
      <c r="BH5" s="1558" t="s">
        <v>152</v>
      </c>
      <c r="BI5" s="1558"/>
      <c r="BJ5" s="1558"/>
      <c r="BK5" s="1558"/>
      <c r="BL5" s="1559" t="s">
        <v>153</v>
      </c>
      <c r="BM5" s="1559"/>
      <c r="BN5" s="1559"/>
      <c r="BO5" s="372"/>
      <c r="BP5" s="1668"/>
      <c r="BQ5" s="1668"/>
      <c r="BR5" s="1668"/>
      <c r="BS5" s="1668"/>
      <c r="BT5" s="1668"/>
      <c r="BU5" s="1668"/>
    </row>
    <row r="6" spans="2:73" s="406" customFormat="1" ht="7.5" customHeight="1" x14ac:dyDescent="0.25">
      <c r="B6" s="1560" t="s">
        <v>154</v>
      </c>
      <c r="C6" s="1561"/>
      <c r="D6" s="1561"/>
      <c r="E6" s="1562"/>
      <c r="F6" s="1563" t="s">
        <v>155</v>
      </c>
      <c r="G6" s="1562"/>
      <c r="H6" s="1563" t="s">
        <v>156</v>
      </c>
      <c r="I6" s="1561"/>
      <c r="J6" s="1561"/>
      <c r="K6" s="1561"/>
      <c r="L6" s="1562"/>
      <c r="M6" s="1564" t="s">
        <v>157</v>
      </c>
      <c r="N6" s="1565"/>
      <c r="O6" s="1595" t="s">
        <v>158</v>
      </c>
      <c r="P6" s="1596"/>
      <c r="Q6" s="1563" t="str">
        <f>IF(AU42=0,"GRADE","GRADE (inc. bonus)")</f>
        <v>GRADE</v>
      </c>
      <c r="R6" s="1597"/>
      <c r="T6" s="407"/>
      <c r="U6" s="407"/>
      <c r="V6" s="407"/>
      <c r="W6" s="407"/>
      <c r="X6" s="407"/>
      <c r="Y6" s="407"/>
      <c r="Z6" s="407"/>
      <c r="AA6" s="407"/>
      <c r="AB6" s="407"/>
      <c r="AC6" s="407"/>
      <c r="AD6" s="407"/>
      <c r="AE6" s="407"/>
      <c r="AF6" s="407"/>
      <c r="AG6" s="407"/>
      <c r="AH6" s="407"/>
      <c r="AI6" s="492"/>
      <c r="AJ6" s="407"/>
      <c r="AK6" s="407"/>
      <c r="AL6" s="407"/>
      <c r="AM6" s="407"/>
      <c r="AN6" s="407"/>
      <c r="AO6" s="407"/>
      <c r="AP6" s="407"/>
      <c r="AQ6" s="407"/>
      <c r="AR6" s="407"/>
      <c r="AS6" s="407"/>
      <c r="AT6" s="407"/>
      <c r="AU6" s="407"/>
      <c r="AV6" s="407"/>
      <c r="AW6" s="407"/>
      <c r="AX6" s="407"/>
      <c r="AY6" s="407"/>
      <c r="AZ6" s="407"/>
      <c r="BA6" s="407"/>
      <c r="BB6" s="407"/>
      <c r="BC6" s="407"/>
      <c r="BD6" s="407"/>
      <c r="BE6" s="407"/>
      <c r="BF6" s="407"/>
      <c r="BG6" s="407"/>
      <c r="BH6" s="1558"/>
      <c r="BI6" s="1558"/>
      <c r="BJ6" s="1558"/>
      <c r="BK6" s="1558"/>
      <c r="BL6" s="1559"/>
      <c r="BM6" s="1559"/>
      <c r="BN6" s="1559"/>
      <c r="BO6" s="491"/>
    </row>
    <row r="7" spans="2:73" s="416" customFormat="1" ht="15.75" customHeight="1" thickBot="1" x14ac:dyDescent="0.25">
      <c r="B7" s="1566"/>
      <c r="C7" s="1567"/>
      <c r="D7" s="1567"/>
      <c r="E7" s="1568"/>
      <c r="F7" s="1569" t="s">
        <v>270</v>
      </c>
      <c r="G7" s="1570"/>
      <c r="H7" s="1571"/>
      <c r="I7" s="1572"/>
      <c r="J7" s="1572"/>
      <c r="K7" s="1572"/>
      <c r="L7" s="1573"/>
      <c r="M7" s="1574"/>
      <c r="N7" s="1575"/>
      <c r="O7" s="1585"/>
      <c r="P7" s="1586"/>
      <c r="Q7" s="1587" t="str">
        <f>IF((graded_aca_events+graded_amn_events)&lt;1,"---",IF(ISERROR(AR47),"",IF(F42&lt;&gt;"COMPLETE","INCOMPLETE",AR47)))</f>
        <v>---</v>
      </c>
      <c r="R7" s="1588"/>
      <c r="S7" s="371"/>
      <c r="T7" s="401"/>
      <c r="U7" s="401">
        <v>2</v>
      </c>
      <c r="V7" s="401">
        <v>3</v>
      </c>
      <c r="W7" s="401">
        <v>6</v>
      </c>
      <c r="X7" s="401">
        <v>7</v>
      </c>
      <c r="Y7" s="401">
        <v>11</v>
      </c>
      <c r="Z7" s="401">
        <v>8</v>
      </c>
      <c r="AA7" s="490">
        <v>9</v>
      </c>
      <c r="AB7" s="490">
        <v>10</v>
      </c>
      <c r="AC7" s="490">
        <v>5</v>
      </c>
      <c r="AD7" s="490">
        <v>4</v>
      </c>
      <c r="AE7" s="490">
        <v>12</v>
      </c>
      <c r="AF7" s="490">
        <v>13</v>
      </c>
      <c r="AG7" s="490"/>
      <c r="AH7" s="490"/>
      <c r="AI7" s="489"/>
      <c r="AJ7" s="488"/>
      <c r="AK7" s="488"/>
      <c r="AL7" s="488"/>
      <c r="AM7" s="488" t="b">
        <f>IF(COUNT(AM9:AM40)&gt;0,TRUE,FALSE)</f>
        <v>0</v>
      </c>
      <c r="AN7" s="488" t="b">
        <f>IF(COUNT(AN9:AN40)&gt;0,TRUE,FALSE)</f>
        <v>0</v>
      </c>
      <c r="AO7" s="401"/>
      <c r="AP7" s="401"/>
      <c r="AQ7" s="487"/>
      <c r="AR7" s="487"/>
      <c r="AS7" s="401"/>
      <c r="AT7" s="486">
        <v>0.2</v>
      </c>
      <c r="AU7" s="401"/>
      <c r="AV7" s="485">
        <f>0.01*input_maxb</f>
        <v>0</v>
      </c>
      <c r="AW7" s="483" t="s">
        <v>159</v>
      </c>
      <c r="AX7" s="484"/>
      <c r="AY7" s="483" t="s">
        <v>160</v>
      </c>
      <c r="AZ7" s="484"/>
      <c r="BA7" s="482" t="s">
        <v>161</v>
      </c>
      <c r="BB7" s="482"/>
      <c r="BC7" s="483" t="s">
        <v>162</v>
      </c>
      <c r="BD7" s="482"/>
      <c r="BE7" s="481"/>
      <c r="BF7" s="480"/>
      <c r="BG7" s="401" t="s">
        <v>163</v>
      </c>
      <c r="BH7" s="1558"/>
      <c r="BI7" s="1558"/>
      <c r="BJ7" s="1558"/>
      <c r="BK7" s="1558"/>
      <c r="BL7" s="1559"/>
      <c r="BM7" s="1559"/>
      <c r="BN7" s="1559"/>
      <c r="BO7" s="372"/>
    </row>
    <row r="8" spans="2:73" ht="27" customHeight="1" thickBot="1" x14ac:dyDescent="0.3">
      <c r="B8" s="1582" t="s">
        <v>164</v>
      </c>
      <c r="C8" s="1583"/>
      <c r="D8" s="1583"/>
      <c r="E8" s="1583"/>
      <c r="F8" s="1584"/>
      <c r="G8" s="479" t="s">
        <v>165</v>
      </c>
      <c r="H8" s="478" t="s">
        <v>166</v>
      </c>
      <c r="I8" s="477" t="s">
        <v>167</v>
      </c>
      <c r="J8" s="476" t="s">
        <v>168</v>
      </c>
      <c r="K8" s="475" t="s">
        <v>169</v>
      </c>
      <c r="L8" s="1605" t="s">
        <v>170</v>
      </c>
      <c r="M8" s="1583"/>
      <c r="N8" s="1583"/>
      <c r="O8" s="1583"/>
      <c r="P8" s="1583"/>
      <c r="Q8" s="1583"/>
      <c r="R8" s="1606"/>
      <c r="S8" s="376"/>
      <c r="T8" s="385" t="s">
        <v>171</v>
      </c>
      <c r="U8" s="385"/>
      <c r="V8" s="385" t="s">
        <v>172</v>
      </c>
      <c r="W8" s="385" t="s">
        <v>173</v>
      </c>
      <c r="X8" s="385" t="s">
        <v>174</v>
      </c>
      <c r="Y8" s="385" t="s">
        <v>175</v>
      </c>
      <c r="Z8" s="385" t="s">
        <v>176</v>
      </c>
      <c r="AA8" s="385" t="s">
        <v>177</v>
      </c>
      <c r="AB8" s="385" t="s">
        <v>178</v>
      </c>
      <c r="AC8" s="385" t="s">
        <v>179</v>
      </c>
      <c r="AD8" s="385" t="s">
        <v>180</v>
      </c>
      <c r="AE8" s="385" t="s">
        <v>181</v>
      </c>
      <c r="AF8" s="385" t="s">
        <v>182</v>
      </c>
      <c r="AG8" s="385" t="s">
        <v>183</v>
      </c>
      <c r="AH8" s="385" t="s">
        <v>184</v>
      </c>
      <c r="AI8" s="474" t="s">
        <v>185</v>
      </c>
      <c r="AJ8" s="472" t="s">
        <v>186</v>
      </c>
      <c r="AK8" s="473" t="s">
        <v>187</v>
      </c>
      <c r="AL8" s="473" t="s">
        <v>188</v>
      </c>
      <c r="AM8" s="473" t="s">
        <v>189</v>
      </c>
      <c r="AN8" s="473" t="s">
        <v>190</v>
      </c>
      <c r="AO8" s="472" t="s">
        <v>191</v>
      </c>
      <c r="AP8" s="472" t="s">
        <v>192</v>
      </c>
      <c r="AQ8" s="470" t="s">
        <v>193</v>
      </c>
      <c r="AR8" s="471" t="s">
        <v>1</v>
      </c>
      <c r="AS8" s="470" t="s">
        <v>194</v>
      </c>
      <c r="AT8" s="471" t="s">
        <v>1</v>
      </c>
      <c r="AU8" s="470" t="s">
        <v>195</v>
      </c>
      <c r="AV8" s="469" t="s">
        <v>196</v>
      </c>
      <c r="AW8" s="468" t="s">
        <v>197</v>
      </c>
      <c r="AX8" s="467" t="s">
        <v>198</v>
      </c>
      <c r="AY8" s="468" t="s">
        <v>199</v>
      </c>
      <c r="AZ8" s="467" t="s">
        <v>200</v>
      </c>
      <c r="BA8" s="466" t="s">
        <v>201</v>
      </c>
      <c r="BB8" s="466" t="s">
        <v>202</v>
      </c>
      <c r="BC8" s="465" t="s">
        <v>203</v>
      </c>
      <c r="BD8" s="464" t="s">
        <v>204</v>
      </c>
      <c r="BE8" s="463" t="s">
        <v>205</v>
      </c>
      <c r="BF8" s="462" t="s">
        <v>206</v>
      </c>
      <c r="BG8" s="373"/>
      <c r="BH8" s="373" t="s">
        <v>207</v>
      </c>
      <c r="BI8" s="373" t="s">
        <v>208</v>
      </c>
      <c r="BJ8" s="385" t="s">
        <v>209</v>
      </c>
      <c r="BK8" s="373" t="s">
        <v>210</v>
      </c>
      <c r="BL8" s="373" t="s">
        <v>207</v>
      </c>
      <c r="BM8" s="373" t="s">
        <v>208</v>
      </c>
      <c r="BN8" s="373" t="s">
        <v>210</v>
      </c>
    </row>
    <row r="9" spans="2:73" ht="12.95" customHeight="1" x14ac:dyDescent="0.25">
      <c r="B9" s="461" t="str">
        <f>IF(ISNA(Z9),"",IF(OR(Z9=1,Z9=2),"",1))</f>
        <v/>
      </c>
      <c r="C9" s="1607" t="str">
        <f t="shared" ref="C9:C40" si="0">IF(ISNA(Z9),"",CONCATENATE($U9,IF(ISNUMBER(AI9),TEXT(ROUND($AI9,3)," (0.0%)"),""),IF(AU9&gt;0," Bonus","")))</f>
        <v>Structure &amp; Logic (30.0%)</v>
      </c>
      <c r="D9" s="1607"/>
      <c r="E9" s="1607"/>
      <c r="F9" s="1608"/>
      <c r="G9" s="437" t="str">
        <f t="shared" ref="G9:G40" si="1">BH9</f>
        <v/>
      </c>
      <c r="H9" s="431" t="str">
        <f t="shared" ref="H9:H40" si="2">BJ9</f>
        <v/>
      </c>
      <c r="I9" s="460" t="str">
        <f t="shared" ref="I9:I40" si="3">BK9</f>
        <v/>
      </c>
      <c r="J9" s="459"/>
      <c r="K9" s="458"/>
      <c r="L9" s="1609"/>
      <c r="M9" s="1610"/>
      <c r="N9" s="1610"/>
      <c r="O9" s="1610"/>
      <c r="P9" s="1610"/>
      <c r="Q9" s="1610"/>
      <c r="R9" s="1611"/>
      <c r="T9" s="374">
        <v>1</v>
      </c>
      <c r="U9" s="374" t="s">
        <v>646</v>
      </c>
      <c r="V9" s="421" t="s">
        <v>212</v>
      </c>
      <c r="W9" s="421" t="s">
        <v>212</v>
      </c>
      <c r="X9" s="421" t="s">
        <v>212</v>
      </c>
      <c r="Y9" s="421" t="s">
        <v>212</v>
      </c>
      <c r="Z9" s="421">
        <v>2</v>
      </c>
      <c r="AA9" s="421">
        <v>1</v>
      </c>
      <c r="AB9" s="421">
        <v>1</v>
      </c>
      <c r="AC9" s="421" t="s">
        <v>212</v>
      </c>
      <c r="AD9" s="421" t="s">
        <v>212</v>
      </c>
      <c r="AE9" s="421" t="s">
        <v>212</v>
      </c>
      <c r="AF9" s="421" t="s">
        <v>212</v>
      </c>
      <c r="AG9" s="421" t="str">
        <f t="shared" ref="AG9:AG40" si="4">IF(CrewSoloQual="Yes",$AC9,$AD9)</f>
        <v/>
      </c>
      <c r="AH9" s="421" t="str">
        <f t="shared" ref="AH9:AH40" si="5">IF(ISNUMBER(AC9),IF(CrewSoloQual="Yes",$AC9-1,$AD9-1),"")</f>
        <v/>
      </c>
      <c r="AI9" s="427">
        <f>IF(NOT(OR(Z9=1,Z9=2)),IF(AQ9&gt;0,$AR$45*AQ9/SUMIF($AQ$9:$AQ$40,"&gt;0"),IF(AU9&gt;0,$AV$45*AU9/SUMIF($AU$9:$AU$40,"&gt;0"),IF(AS9&gt;0,$AT$45*AS9/SUMIF($AS$9:$AS$40,"&gt;0"),""))),IF(SUMIF(AJ10:$AJ$40,"=" &amp; AJ9,AI10:$AI$40)=0,"",SUMIF(AJ10:$AJ$40,"=" &amp; AJ9,AI10:$AI$40)))</f>
        <v>0.29999997965999931</v>
      </c>
      <c r="AJ9" s="426">
        <f>0</f>
        <v>0</v>
      </c>
      <c r="AK9" s="421" t="str">
        <f t="shared" ref="AK9:AK40" si="6">BI9</f>
        <v/>
      </c>
      <c r="AL9" s="421" t="str">
        <f t="shared" ref="AL9:AL40" si="7">IF(ISBLANK(K9),"",K9)</f>
        <v/>
      </c>
      <c r="AM9" s="421" t="str">
        <f t="shared" ref="AM9:AM40" si="8">IF(ISNUMBER(AK9),IF(ISNUMBER(AL9),1,""),"")</f>
        <v/>
      </c>
      <c r="AN9" s="421" t="str">
        <f t="shared" ref="AN9:AN40" si="9">IF(ISNUMBER(AH9),IF(AND(AB9=0,ISNUMBER(AC9),ISNUMBER(AL9)),1,""),"")</f>
        <v/>
      </c>
      <c r="AO9" s="421" t="str">
        <f t="shared" ref="AO9:AO40" si="10">IF(AB9=0,IF(CrewSoloQual="No",BI9,BK9),"")</f>
        <v/>
      </c>
      <c r="AP9" s="421" t="str">
        <f t="shared" ref="AP9:AP40" si="11">IF(ISNA(Z9),"",IF(AND(ISNUMBER(B9),G9&gt;=1,H9&lt;&gt;"NG"),IF(K9&lt;BK9,TRUE,FALSE),IF(AND(G9&gt;=1,J9="NA"),TRUE,IF(AND(AM9=1,G9=0,AL9&lt;BI9),TRUE,""))))</f>
        <v/>
      </c>
      <c r="AQ9" s="425">
        <f t="shared" ref="AQ9:AQ40" si="12">IF(ISNA(Z9),0,IF(OR(J9="NA",W9="",AB9=0),0,W9))</f>
        <v>0</v>
      </c>
      <c r="AR9" s="423" t="str">
        <f t="shared" ref="AR9:AR40" si="13">IF(ISNA(Z9),"",IF(AND(NOT(OR(Z9=1,Z9=2,AK9="NG",AB9=0)),IF(ISNUMBER(AL9),AL9&gt;=0,FALSE)),VLOOKUP((10*AD9+AC9),$AQ$51:$AV$59,2+AL9,FALSE),IF(AND(input_test=TRUE,ISNUMBER(AD9),V9&lt;&gt;0),VLOOKUP((10*AD9+AC9),$AQ$51:$AV$59,2,FALSE),"")))</f>
        <v/>
      </c>
      <c r="AS9" s="424">
        <f t="shared" ref="AS9:AS40" si="14">IF(ISNA(Z9),0,IF(OR(J9="NA",X9="",AB9=1),0,X9))</f>
        <v>0</v>
      </c>
      <c r="AT9" s="423" t="str">
        <f t="shared" ref="AT9:AT40" si="15">IF(ISNA(Z9),"",IF(AND(NOT(OR(Z9=1,Z9=2,AK9="NG",AB9=1)),IF(ISNUMBER(AL9),AL9&gt;=0,FALSE)),VLOOKUP((10*AH9+AG9),$AQ$51:$AV$59,2+AL9,FALSE),IF(AND(input_test=TRUE,ISNUMBER(AD9),V9&lt;&gt;0),VLOOKUP((10*AH9+AG9),$AQ$51:$AV$59,2,FALSE),"")))</f>
        <v/>
      </c>
      <c r="AU9" s="420">
        <f t="shared" ref="AU9:AU40" si="16">IF(ISNA(Z9),0,IF(OR(J9="NA",Y9=""),0,Y9))</f>
        <v>0</v>
      </c>
      <c r="AV9" s="422" t="str">
        <f t="shared" ref="AV9:AV40" si="17">AR9</f>
        <v/>
      </c>
      <c r="AW9" s="420" t="b">
        <f t="shared" ref="AW9:AW40" si="18">IF(ISNA(Z9),FALSE,IF(OR(AB9=1,G9=0,Z9=1,Z9=2),FALSE,IF(OR(J9="NA",J9&gt;=G9),FALSE,TRUE)))</f>
        <v>0</v>
      </c>
      <c r="AX9" s="419" t="b">
        <f t="shared" ref="AX9:AX40" si="19">IF(ISNA(Z9),FALSE,IF(OR(AB9=0,G9=0,Z9=1,Z9=2,J9="NA"),FALSE,IF(AK9="NG",IF(NOT(ISBLANK(K9)),FALSE,TRUE),IF(J9&gt;=G9,FALSE,TRUE))))</f>
        <v>0</v>
      </c>
      <c r="AY9" s="420" t="b">
        <f t="shared" ref="AY9:AY40" si="20">IF(ISNA(Z9),FALSE,IF(OR(AB9=1,G9&lt;1,Z9=1,Z9=2,AE9=0,ISBLANK(K9)),FALSE,IF(OR(J9="NA",K9&gt;=BI9),FALSE,TRUE)))</f>
        <v>0</v>
      </c>
      <c r="AZ9" s="419" t="b">
        <f t="shared" ref="AZ9:AZ40" si="21">IF(ISNA(Z9),FALSE,IF(OR(AB9=0,G9=0,Z9=1,Z9=2,AE9=0,BI9="NG",K9="",ISBLANK(K9)),FALSE,IF(OR(J9="NA",K9&gt;=AK9),FALSE,TRUE)))</f>
        <v>0</v>
      </c>
      <c r="BA9" s="421" t="b">
        <f t="shared" ref="BA9:BA40" si="22">IF(ISNA(Z9),FALSE,IF(OR(AB9=1,G9&lt;1,Z9=1,Z9=2,AE9=0),FALSE,IF(J9="NA",TRUE,FALSE)))</f>
        <v>0</v>
      </c>
      <c r="BB9" s="421" t="b">
        <f t="shared" ref="BB9:BB40" si="23">IF(ISNA(Z9),FALSE,IF(OR(AB9=0,G9=0,Z9=1,Z9=2),FALSE,IF(J9="NA",TRUE,FALSE)))</f>
        <v>0</v>
      </c>
      <c r="BC9" s="420" t="b">
        <f t="shared" ref="BC9:BC40" si="24">IF(OR(ISNA($Z9),ISNUMBER($Z9),NOT(ISNUMBER($J9)),K9="D"),FALSE,IF(AND(NOT(ISNUMBER($K9)),J9&gt;0),TRUE,FALSE))</f>
        <v>0</v>
      </c>
      <c r="BD9" s="393" t="b">
        <f t="shared" ref="BD9:BD40" si="25">IF(OR(ISNA($Z9),ISNUMBER($Z9),NOT(ISNUMBER(K9))),FALSE,OR(NOT(ISNUMBER(J9)),J9=0,AND(J9=0,K9&lt;&gt;0)))</f>
        <v>0</v>
      </c>
      <c r="BE9" s="419" t="b">
        <f t="shared" ref="BE9:BE40" si="26">IF(OR(ISNA($Z9),K9&lt;&gt;"D"),FALSE,IF(OR(AND(H9="NG",J9=0),AND(H9&lt;&gt;"NG",NOT(OR(J9="NA",J9=0)))),TRUE,FALSE))</f>
        <v>0</v>
      </c>
      <c r="BF9" s="418" t="b">
        <f t="shared" ref="BF9:BF40" si="27">IF(OR(ISNA($Z9),H9&lt;&gt;"NG"),FALSE,IF(AND(J9="NA",K9&lt;&gt;""),TRUE,FALSE))</f>
        <v>0</v>
      </c>
      <c r="BG9" s="417" t="b">
        <f t="shared" ref="BG9:BG40" si="28">IF(ISNA($Z9),"NA",IF(OR(AZ9,AY9,AX9,AW9,AP9,BA9,BB9),TRUE,FALSE))</f>
        <v>0</v>
      </c>
      <c r="BH9" s="435" t="str">
        <f t="shared" ref="BH9:BH40" si="29">IF(ISNA($Z9),"",IF(OR($Z9=1,$Z9=2),"",$V9))</f>
        <v/>
      </c>
      <c r="BI9" s="417" t="str">
        <f t="shared" ref="BI9:BI40" si="30">IF(ISNA($Z9),"",IF(OR($Z9=1,$Z9=2,$G9=""),"",IF(AB9=0,AH9,$AD9)))</f>
        <v/>
      </c>
      <c r="BJ9" s="417" t="str">
        <f t="shared" ref="BJ9:BJ40" si="31">IF(ISNA(AE9),"",IF(OR(Z9=1,Z9=2),"",IF(OR(AE9=0,AD9="NG"),TEXT(BI9,"0"),CONCATENATE(TEXT(BI9,"0"),"*"))))</f>
        <v/>
      </c>
      <c r="BK9" s="417" t="str">
        <f t="shared" ref="BK9:BK40" si="32">IF(ISNA($Z9),"",IF(OR($Z9=1,$Z9=2,$G9=""),"",IF(AB9=0,AG9,$AC9)))</f>
        <v/>
      </c>
      <c r="BL9" s="435" t="str">
        <f t="shared" ref="BL9:BL40" si="33">IF(ISBLANK(BH9),"",IF(BH9=0,"",BH9))</f>
        <v/>
      </c>
      <c r="BM9" s="417" t="str">
        <f t="shared" ref="BM9:BM40" si="34">IF($BH9=0,"",IF($BI9="NG","D",$BI9))</f>
        <v/>
      </c>
      <c r="BN9" s="417" t="str">
        <f t="shared" ref="BN9:BN40" si="35">IF(ISNA(U9),"",IF($BH9=0,"",IF($BI9="NG","D",BK9)))</f>
        <v/>
      </c>
      <c r="BO9" s="457" t="s">
        <v>213</v>
      </c>
      <c r="BP9" s="434"/>
    </row>
    <row r="10" spans="2:73" s="416" customFormat="1" ht="12.95" customHeight="1" x14ac:dyDescent="0.25">
      <c r="B10" s="433">
        <f>IF(ISNA(Z10),"",IF(OR(Z10=1,Z10=2),"    ",MAX($B$9:B9)+1))</f>
        <v>1</v>
      </c>
      <c r="C10" s="1618" t="str">
        <f t="shared" si="0"/>
        <v xml:space="preserve">      - Executive Summary (8.0%)</v>
      </c>
      <c r="D10" s="1618"/>
      <c r="E10" s="1618"/>
      <c r="F10" s="1619"/>
      <c r="G10" s="437">
        <f t="shared" si="1"/>
        <v>1</v>
      </c>
      <c r="H10" s="431" t="str">
        <f t="shared" si="2"/>
        <v>2*</v>
      </c>
      <c r="I10" s="436">
        <f t="shared" si="3"/>
        <v>3</v>
      </c>
      <c r="J10" s="456"/>
      <c r="K10" s="448"/>
      <c r="L10" s="1612"/>
      <c r="M10" s="1613"/>
      <c r="N10" s="1613"/>
      <c r="O10" s="1613"/>
      <c r="P10" s="1613"/>
      <c r="Q10" s="1613"/>
      <c r="R10" s="1614"/>
      <c r="T10" s="401">
        <v>2</v>
      </c>
      <c r="U10" s="374" t="s">
        <v>290</v>
      </c>
      <c r="V10" s="421">
        <v>1</v>
      </c>
      <c r="W10" s="421">
        <v>2.6666660000000002</v>
      </c>
      <c r="X10" s="421" t="s">
        <v>212</v>
      </c>
      <c r="Y10" s="421" t="s">
        <v>212</v>
      </c>
      <c r="Z10" s="393" t="s">
        <v>212</v>
      </c>
      <c r="AA10" s="393">
        <v>2</v>
      </c>
      <c r="AB10" s="393">
        <v>1</v>
      </c>
      <c r="AC10" s="421">
        <v>3</v>
      </c>
      <c r="AD10" s="421">
        <v>2</v>
      </c>
      <c r="AE10" s="421">
        <v>1</v>
      </c>
      <c r="AF10" s="421" t="b">
        <v>1</v>
      </c>
      <c r="AG10" s="421">
        <f t="shared" si="4"/>
        <v>2</v>
      </c>
      <c r="AH10" s="421">
        <f t="shared" si="5"/>
        <v>1</v>
      </c>
      <c r="AI10" s="427">
        <f>IF(NOT(OR(Z10=1,Z10=2)),IF(AQ10&gt;0,$AR$45*AQ10/SUMIF($AQ$9:$AQ$40,"&gt;0"),IF(AU10&gt;0,$AV$45*AU10/SUMIF($AU$9:$AU$40,"&gt;0"),IF(AS10&gt;0,$AT$45*AS10/SUMIF($AS$9:$AS$40,"&gt;0"),""))),IF(SUMIF(AJ11:$AJ$40,"=" &amp; AJ10,AI11:$AI$40)=0,"",SUMIF(AJ11:$AJ$40,"=" &amp; AJ10,AI11:$AI$40)))</f>
        <v>7.9999982575999426E-2</v>
      </c>
      <c r="AJ10" s="426">
        <f t="shared" ref="AJ10:AJ40" si="36">IF(OR(Z10=1,Z10=2,AA10&lt;AA9),AJ9+1,AJ9)</f>
        <v>0</v>
      </c>
      <c r="AK10" s="421">
        <f t="shared" si="6"/>
        <v>2</v>
      </c>
      <c r="AL10" s="393" t="str">
        <f t="shared" si="7"/>
        <v/>
      </c>
      <c r="AM10" s="393" t="str">
        <f t="shared" si="8"/>
        <v/>
      </c>
      <c r="AN10" s="393" t="str">
        <f t="shared" si="9"/>
        <v/>
      </c>
      <c r="AO10" s="393" t="str">
        <f t="shared" si="10"/>
        <v/>
      </c>
      <c r="AP10" s="421" t="b">
        <f t="shared" si="11"/>
        <v>1</v>
      </c>
      <c r="AQ10" s="425">
        <f t="shared" si="12"/>
        <v>2.6666660000000002</v>
      </c>
      <c r="AR10" s="423" t="str">
        <f t="shared" si="13"/>
        <v/>
      </c>
      <c r="AS10" s="424">
        <f t="shared" si="14"/>
        <v>0</v>
      </c>
      <c r="AT10" s="423" t="str">
        <f t="shared" si="15"/>
        <v/>
      </c>
      <c r="AU10" s="420">
        <f t="shared" si="16"/>
        <v>0</v>
      </c>
      <c r="AV10" s="422" t="str">
        <f t="shared" si="17"/>
        <v/>
      </c>
      <c r="AW10" s="420" t="b">
        <f t="shared" si="18"/>
        <v>0</v>
      </c>
      <c r="AX10" s="419" t="b">
        <f t="shared" si="19"/>
        <v>1</v>
      </c>
      <c r="AY10" s="420" t="b">
        <f t="shared" si="20"/>
        <v>0</v>
      </c>
      <c r="AZ10" s="419" t="b">
        <f t="shared" si="21"/>
        <v>0</v>
      </c>
      <c r="BA10" s="421" t="b">
        <f t="shared" si="22"/>
        <v>0</v>
      </c>
      <c r="BB10" s="421" t="b">
        <f t="shared" si="23"/>
        <v>0</v>
      </c>
      <c r="BC10" s="420" t="b">
        <f t="shared" si="24"/>
        <v>0</v>
      </c>
      <c r="BD10" s="393" t="b">
        <f t="shared" si="25"/>
        <v>0</v>
      </c>
      <c r="BE10" s="419" t="b">
        <f t="shared" si="26"/>
        <v>0</v>
      </c>
      <c r="BF10" s="418" t="b">
        <f t="shared" si="27"/>
        <v>0</v>
      </c>
      <c r="BG10" s="417" t="b">
        <f t="shared" si="28"/>
        <v>1</v>
      </c>
      <c r="BH10" s="417">
        <f t="shared" si="29"/>
        <v>1</v>
      </c>
      <c r="BI10" s="417">
        <f t="shared" si="30"/>
        <v>2</v>
      </c>
      <c r="BJ10" s="417" t="str">
        <f t="shared" si="31"/>
        <v>2*</v>
      </c>
      <c r="BK10" s="417">
        <f t="shared" si="32"/>
        <v>3</v>
      </c>
      <c r="BL10" s="435">
        <f t="shared" si="33"/>
        <v>1</v>
      </c>
      <c r="BM10" s="417">
        <f t="shared" si="34"/>
        <v>2</v>
      </c>
      <c r="BN10" s="417">
        <f t="shared" si="35"/>
        <v>3</v>
      </c>
      <c r="BO10" s="439" t="s">
        <v>214</v>
      </c>
      <c r="BP10" s="455" t="s">
        <v>139</v>
      </c>
    </row>
    <row r="11" spans="2:73" s="416" customFormat="1" ht="12.95" customHeight="1" x14ac:dyDescent="0.25">
      <c r="B11" s="433">
        <f>IF(ISNA(Z11),"",IF(OR(Z11=1,Z11=2),"    ",MAX($B$9:B10)+1))</f>
        <v>2</v>
      </c>
      <c r="C11" s="1618" t="str">
        <f t="shared" si="0"/>
        <v xml:space="preserve">      - Report Org. &amp; Structure (10.0%)</v>
      </c>
      <c r="D11" s="1618"/>
      <c r="E11" s="1618"/>
      <c r="F11" s="1619"/>
      <c r="G11" s="437">
        <f t="shared" si="1"/>
        <v>1</v>
      </c>
      <c r="H11" s="431" t="str">
        <f t="shared" si="2"/>
        <v>2*</v>
      </c>
      <c r="I11" s="436">
        <f t="shared" si="3"/>
        <v>3</v>
      </c>
      <c r="J11" s="449"/>
      <c r="K11" s="448"/>
      <c r="L11" s="1612"/>
      <c r="M11" s="1613"/>
      <c r="N11" s="1613"/>
      <c r="O11" s="1613"/>
      <c r="P11" s="1613"/>
      <c r="Q11" s="1613"/>
      <c r="R11" s="1614"/>
      <c r="T11" s="401">
        <v>3</v>
      </c>
      <c r="U11" s="374" t="s">
        <v>645</v>
      </c>
      <c r="V11" s="421">
        <v>1</v>
      </c>
      <c r="W11" s="421">
        <v>3.3333330000000001</v>
      </c>
      <c r="X11" s="421" t="s">
        <v>212</v>
      </c>
      <c r="Y11" s="421" t="s">
        <v>212</v>
      </c>
      <c r="Z11" s="393" t="s">
        <v>212</v>
      </c>
      <c r="AA11" s="393">
        <v>2</v>
      </c>
      <c r="AB11" s="393">
        <v>1</v>
      </c>
      <c r="AC11" s="421">
        <v>3</v>
      </c>
      <c r="AD11" s="421">
        <v>2</v>
      </c>
      <c r="AE11" s="421">
        <v>1</v>
      </c>
      <c r="AF11" s="421" t="b">
        <v>1</v>
      </c>
      <c r="AG11" s="421">
        <f t="shared" si="4"/>
        <v>2</v>
      </c>
      <c r="AH11" s="421">
        <f t="shared" si="5"/>
        <v>1</v>
      </c>
      <c r="AI11" s="427">
        <f>IF(NOT(OR(Z11=1,Z11=2)),IF(AQ11&gt;0,$AR$45*AQ11/SUMIF($AQ$9:$AQ$40,"&gt;0"),IF(AU11&gt;0,$AV$45*AU11/SUMIF($AU$9:$AU$40,"&gt;0"),IF(AS11&gt;0,$AT$45*AS11/SUMIF($AS$9:$AS$40,"&gt;0"),""))),IF(SUMIF(AJ12:$AJ$40,"=" &amp; AJ11,AI12:$AI$40)=0,"",SUMIF(AJ12:$AJ$40,"=" &amp; AJ11,AI12:$AI$40)))</f>
        <v>9.9999993219999764E-2</v>
      </c>
      <c r="AJ11" s="426">
        <f t="shared" si="36"/>
        <v>0</v>
      </c>
      <c r="AK11" s="421">
        <f t="shared" si="6"/>
        <v>2</v>
      </c>
      <c r="AL11" s="393" t="str">
        <f t="shared" si="7"/>
        <v/>
      </c>
      <c r="AM11" s="393" t="str">
        <f t="shared" si="8"/>
        <v/>
      </c>
      <c r="AN11" s="393" t="str">
        <f t="shared" si="9"/>
        <v/>
      </c>
      <c r="AO11" s="393" t="str">
        <f t="shared" si="10"/>
        <v/>
      </c>
      <c r="AP11" s="421" t="b">
        <f t="shared" si="11"/>
        <v>1</v>
      </c>
      <c r="AQ11" s="425">
        <f t="shared" si="12"/>
        <v>3.3333330000000001</v>
      </c>
      <c r="AR11" s="423" t="str">
        <f t="shared" si="13"/>
        <v/>
      </c>
      <c r="AS11" s="424">
        <f t="shared" si="14"/>
        <v>0</v>
      </c>
      <c r="AT11" s="423" t="str">
        <f t="shared" si="15"/>
        <v/>
      </c>
      <c r="AU11" s="420">
        <f t="shared" si="16"/>
        <v>0</v>
      </c>
      <c r="AV11" s="422" t="str">
        <f t="shared" si="17"/>
        <v/>
      </c>
      <c r="AW11" s="420" t="b">
        <f t="shared" si="18"/>
        <v>0</v>
      </c>
      <c r="AX11" s="419" t="b">
        <f t="shared" si="19"/>
        <v>1</v>
      </c>
      <c r="AY11" s="420" t="b">
        <f t="shared" si="20"/>
        <v>0</v>
      </c>
      <c r="AZ11" s="419" t="b">
        <f t="shared" si="21"/>
        <v>0</v>
      </c>
      <c r="BA11" s="421" t="b">
        <f t="shared" si="22"/>
        <v>0</v>
      </c>
      <c r="BB11" s="421" t="b">
        <f t="shared" si="23"/>
        <v>0</v>
      </c>
      <c r="BC11" s="420" t="b">
        <f t="shared" si="24"/>
        <v>0</v>
      </c>
      <c r="BD11" s="393" t="b">
        <f t="shared" si="25"/>
        <v>0</v>
      </c>
      <c r="BE11" s="419" t="b">
        <f t="shared" si="26"/>
        <v>0</v>
      </c>
      <c r="BF11" s="418" t="b">
        <f t="shared" si="27"/>
        <v>0</v>
      </c>
      <c r="BG11" s="417" t="b">
        <f t="shared" si="28"/>
        <v>1</v>
      </c>
      <c r="BH11" s="417">
        <f t="shared" si="29"/>
        <v>1</v>
      </c>
      <c r="BI11" s="417">
        <f t="shared" si="30"/>
        <v>2</v>
      </c>
      <c r="BJ11" s="417" t="str">
        <f t="shared" si="31"/>
        <v>2*</v>
      </c>
      <c r="BK11" s="417">
        <f t="shared" si="32"/>
        <v>3</v>
      </c>
      <c r="BL11" s="435">
        <f t="shared" si="33"/>
        <v>1</v>
      </c>
      <c r="BM11" s="417">
        <f t="shared" si="34"/>
        <v>2</v>
      </c>
      <c r="BN11" s="417">
        <f t="shared" si="35"/>
        <v>3</v>
      </c>
      <c r="BO11" s="439">
        <v>0</v>
      </c>
      <c r="BP11" s="455" t="s">
        <v>287</v>
      </c>
    </row>
    <row r="12" spans="2:73" s="416" customFormat="1" ht="12.95" customHeight="1" x14ac:dyDescent="0.25">
      <c r="B12" s="433">
        <f>IF(ISNA(Z12),"",IF(OR(Z12=1,Z12=2),"    ",MAX($B$9:B11)+1))</f>
        <v>3</v>
      </c>
      <c r="C12" s="1618" t="str">
        <f t="shared" si="0"/>
        <v xml:space="preserve">      - Logical Chain of Reasoning (12.0%)</v>
      </c>
      <c r="D12" s="1618"/>
      <c r="E12" s="1618"/>
      <c r="F12" s="1619"/>
      <c r="G12" s="437">
        <f t="shared" si="1"/>
        <v>1</v>
      </c>
      <c r="H12" s="431" t="str">
        <f t="shared" si="2"/>
        <v>2*</v>
      </c>
      <c r="I12" s="436">
        <f t="shared" si="3"/>
        <v>3</v>
      </c>
      <c r="J12" s="449"/>
      <c r="K12" s="448"/>
      <c r="L12" s="1612"/>
      <c r="M12" s="1613"/>
      <c r="N12" s="1613"/>
      <c r="O12" s="1613"/>
      <c r="P12" s="1613"/>
      <c r="Q12" s="1613"/>
      <c r="R12" s="1614"/>
      <c r="T12" s="401">
        <v>4</v>
      </c>
      <c r="U12" s="374" t="s">
        <v>644</v>
      </c>
      <c r="V12" s="421">
        <v>1</v>
      </c>
      <c r="W12" s="421">
        <v>4</v>
      </c>
      <c r="X12" s="421" t="s">
        <v>212</v>
      </c>
      <c r="Y12" s="421" t="s">
        <v>212</v>
      </c>
      <c r="Z12" s="393" t="s">
        <v>212</v>
      </c>
      <c r="AA12" s="393">
        <v>2</v>
      </c>
      <c r="AB12" s="393">
        <v>1</v>
      </c>
      <c r="AC12" s="421">
        <v>3</v>
      </c>
      <c r="AD12" s="421">
        <v>2</v>
      </c>
      <c r="AE12" s="421">
        <v>1</v>
      </c>
      <c r="AF12" s="421" t="b">
        <v>1</v>
      </c>
      <c r="AG12" s="421">
        <f t="shared" si="4"/>
        <v>2</v>
      </c>
      <c r="AH12" s="421">
        <f t="shared" si="5"/>
        <v>1</v>
      </c>
      <c r="AI12" s="427">
        <f>IF(NOT(OR(Z12=1,Z12=2)),IF(AQ12&gt;0,$AR$45*AQ12/SUMIF($AQ$9:$AQ$40,"&gt;0"),IF(AU12&gt;0,$AV$45*AU12/SUMIF($AU$9:$AU$40,"&gt;0"),IF(AS12&gt;0,$AT$45*AS12/SUMIF($AS$9:$AS$40,"&gt;0"),""))),IF(SUMIF(AJ13:$AJ$40,"=" &amp; AJ12,AI13:$AI$40)=0,"",SUMIF(AJ13:$AJ$40,"=" &amp; AJ12,AI13:$AI$40)))</f>
        <v>0.1200000038640001</v>
      </c>
      <c r="AJ12" s="426">
        <f t="shared" si="36"/>
        <v>0</v>
      </c>
      <c r="AK12" s="421">
        <f t="shared" si="6"/>
        <v>2</v>
      </c>
      <c r="AL12" s="393" t="str">
        <f t="shared" si="7"/>
        <v/>
      </c>
      <c r="AM12" s="393" t="str">
        <f t="shared" si="8"/>
        <v/>
      </c>
      <c r="AN12" s="393" t="str">
        <f t="shared" si="9"/>
        <v/>
      </c>
      <c r="AO12" s="393" t="str">
        <f t="shared" si="10"/>
        <v/>
      </c>
      <c r="AP12" s="421" t="b">
        <f t="shared" si="11"/>
        <v>1</v>
      </c>
      <c r="AQ12" s="425">
        <f t="shared" si="12"/>
        <v>4</v>
      </c>
      <c r="AR12" s="423" t="str">
        <f t="shared" si="13"/>
        <v/>
      </c>
      <c r="AS12" s="424">
        <f t="shared" si="14"/>
        <v>0</v>
      </c>
      <c r="AT12" s="423" t="str">
        <f t="shared" si="15"/>
        <v/>
      </c>
      <c r="AU12" s="420">
        <f t="shared" si="16"/>
        <v>0</v>
      </c>
      <c r="AV12" s="422" t="str">
        <f t="shared" si="17"/>
        <v/>
      </c>
      <c r="AW12" s="420" t="b">
        <f t="shared" si="18"/>
        <v>0</v>
      </c>
      <c r="AX12" s="419" t="b">
        <f t="shared" si="19"/>
        <v>1</v>
      </c>
      <c r="AY12" s="420" t="b">
        <f t="shared" si="20"/>
        <v>0</v>
      </c>
      <c r="AZ12" s="419" t="b">
        <f t="shared" si="21"/>
        <v>0</v>
      </c>
      <c r="BA12" s="421" t="b">
        <f t="shared" si="22"/>
        <v>0</v>
      </c>
      <c r="BB12" s="421" t="b">
        <f t="shared" si="23"/>
        <v>0</v>
      </c>
      <c r="BC12" s="420" t="b">
        <f t="shared" si="24"/>
        <v>0</v>
      </c>
      <c r="BD12" s="393" t="b">
        <f t="shared" si="25"/>
        <v>0</v>
      </c>
      <c r="BE12" s="419" t="b">
        <f t="shared" si="26"/>
        <v>0</v>
      </c>
      <c r="BF12" s="418" t="b">
        <f t="shared" si="27"/>
        <v>0</v>
      </c>
      <c r="BG12" s="417" t="b">
        <f t="shared" si="28"/>
        <v>1</v>
      </c>
      <c r="BH12" s="417">
        <f t="shared" si="29"/>
        <v>1</v>
      </c>
      <c r="BI12" s="417">
        <f t="shared" si="30"/>
        <v>2</v>
      </c>
      <c r="BJ12" s="417" t="str">
        <f t="shared" si="31"/>
        <v>2*</v>
      </c>
      <c r="BK12" s="417">
        <f t="shared" si="32"/>
        <v>3</v>
      </c>
      <c r="BL12" s="435">
        <f t="shared" si="33"/>
        <v>1</v>
      </c>
      <c r="BM12" s="417">
        <f t="shared" si="34"/>
        <v>2</v>
      </c>
      <c r="BN12" s="417">
        <f t="shared" si="35"/>
        <v>3</v>
      </c>
      <c r="BO12" s="439">
        <v>1</v>
      </c>
      <c r="BP12" s="455" t="s">
        <v>288</v>
      </c>
    </row>
    <row r="13" spans="2:73" s="416" customFormat="1" ht="12.95" customHeight="1" x14ac:dyDescent="0.25">
      <c r="B13" s="433" t="str">
        <f>IF(ISNA(Z13),"",IF(OR(Z13=1,Z13=2),"    ",MAX($B$9:B12)+1))</f>
        <v xml:space="preserve">    </v>
      </c>
      <c r="C13" s="1618" t="str">
        <f t="shared" si="0"/>
        <v>Content &amp; Analysis (40.0%)</v>
      </c>
      <c r="D13" s="1618"/>
      <c r="E13" s="1618"/>
      <c r="F13" s="1619"/>
      <c r="G13" s="437" t="str">
        <f t="shared" si="1"/>
        <v/>
      </c>
      <c r="H13" s="431" t="str">
        <f t="shared" si="2"/>
        <v/>
      </c>
      <c r="I13" s="436" t="str">
        <f t="shared" si="3"/>
        <v/>
      </c>
      <c r="J13" s="429"/>
      <c r="K13" s="428"/>
      <c r="L13" s="1612"/>
      <c r="M13" s="1613"/>
      <c r="N13" s="1613"/>
      <c r="O13" s="1613"/>
      <c r="P13" s="1613"/>
      <c r="Q13" s="1613"/>
      <c r="R13" s="1614"/>
      <c r="T13" s="401">
        <v>5</v>
      </c>
      <c r="U13" s="374" t="s">
        <v>648</v>
      </c>
      <c r="V13" s="421" t="s">
        <v>212</v>
      </c>
      <c r="W13" s="421" t="s">
        <v>212</v>
      </c>
      <c r="X13" s="421" t="s">
        <v>212</v>
      </c>
      <c r="Y13" s="421" t="s">
        <v>212</v>
      </c>
      <c r="Z13" s="393">
        <v>2</v>
      </c>
      <c r="AA13" s="393">
        <v>1</v>
      </c>
      <c r="AB13" s="393">
        <v>1</v>
      </c>
      <c r="AC13" s="421" t="s">
        <v>212</v>
      </c>
      <c r="AD13" s="421" t="s">
        <v>212</v>
      </c>
      <c r="AE13" s="421" t="s">
        <v>212</v>
      </c>
      <c r="AF13" s="421" t="s">
        <v>212</v>
      </c>
      <c r="AG13" s="421" t="str">
        <f t="shared" si="4"/>
        <v/>
      </c>
      <c r="AH13" s="421" t="str">
        <f t="shared" si="5"/>
        <v/>
      </c>
      <c r="AI13" s="427">
        <f>IF(NOT(OR(Z13=1,Z13=2)),IF(AQ13&gt;0,$AR$45*AQ13/SUMIF($AQ$9:$AQ$40,"&gt;0"),IF(AU13&gt;0,$AV$45*AU13/SUMIF($AU$9:$AU$40,"&gt;0"),IF(AS13&gt;0,$AT$45*AS13/SUMIF($AS$9:$AS$40,"&gt;0"),""))),IF(SUMIF(AJ14:$AJ$40,"=" &amp; AJ13,AI14:$AI$40)=0,"",SUMIF(AJ14:$AJ$40,"=" &amp; AJ13,AI14:$AI$40)))</f>
        <v>0.40000001188000028</v>
      </c>
      <c r="AJ13" s="426">
        <f t="shared" si="36"/>
        <v>1</v>
      </c>
      <c r="AK13" s="421" t="str">
        <f t="shared" si="6"/>
        <v/>
      </c>
      <c r="AL13" s="393" t="str">
        <f t="shared" si="7"/>
        <v/>
      </c>
      <c r="AM13" s="393" t="str">
        <f t="shared" si="8"/>
        <v/>
      </c>
      <c r="AN13" s="393" t="str">
        <f t="shared" si="9"/>
        <v/>
      </c>
      <c r="AO13" s="393" t="str">
        <f t="shared" si="10"/>
        <v/>
      </c>
      <c r="AP13" s="421" t="str">
        <f t="shared" si="11"/>
        <v/>
      </c>
      <c r="AQ13" s="425">
        <f t="shared" si="12"/>
        <v>0</v>
      </c>
      <c r="AR13" s="423" t="str">
        <f t="shared" si="13"/>
        <v/>
      </c>
      <c r="AS13" s="424">
        <f t="shared" si="14"/>
        <v>0</v>
      </c>
      <c r="AT13" s="423" t="str">
        <f t="shared" si="15"/>
        <v/>
      </c>
      <c r="AU13" s="420">
        <f t="shared" si="16"/>
        <v>0</v>
      </c>
      <c r="AV13" s="422" t="str">
        <f t="shared" si="17"/>
        <v/>
      </c>
      <c r="AW13" s="420" t="b">
        <f t="shared" si="18"/>
        <v>0</v>
      </c>
      <c r="AX13" s="419" t="b">
        <f t="shared" si="19"/>
        <v>0</v>
      </c>
      <c r="AY13" s="420" t="b">
        <f t="shared" si="20"/>
        <v>0</v>
      </c>
      <c r="AZ13" s="419" t="b">
        <f t="shared" si="21"/>
        <v>0</v>
      </c>
      <c r="BA13" s="421" t="b">
        <f t="shared" si="22"/>
        <v>0</v>
      </c>
      <c r="BB13" s="421" t="b">
        <f t="shared" si="23"/>
        <v>0</v>
      </c>
      <c r="BC13" s="420" t="b">
        <f t="shared" si="24"/>
        <v>0</v>
      </c>
      <c r="BD13" s="393" t="b">
        <f t="shared" si="25"/>
        <v>0</v>
      </c>
      <c r="BE13" s="419" t="b">
        <f t="shared" si="26"/>
        <v>0</v>
      </c>
      <c r="BF13" s="418" t="b">
        <f t="shared" si="27"/>
        <v>0</v>
      </c>
      <c r="BG13" s="417" t="b">
        <f t="shared" si="28"/>
        <v>0</v>
      </c>
      <c r="BH13" s="417" t="str">
        <f t="shared" si="29"/>
        <v/>
      </c>
      <c r="BI13" s="417" t="str">
        <f t="shared" si="30"/>
        <v/>
      </c>
      <c r="BJ13" s="417" t="str">
        <f t="shared" si="31"/>
        <v/>
      </c>
      <c r="BK13" s="417" t="str">
        <f t="shared" si="32"/>
        <v/>
      </c>
      <c r="BL13" s="435" t="str">
        <f t="shared" si="33"/>
        <v/>
      </c>
      <c r="BM13" s="417" t="str">
        <f t="shared" si="34"/>
        <v/>
      </c>
      <c r="BN13" s="417" t="str">
        <f t="shared" si="35"/>
        <v/>
      </c>
      <c r="BO13" s="439">
        <v>2</v>
      </c>
      <c r="BP13" s="455" t="s">
        <v>218</v>
      </c>
    </row>
    <row r="14" spans="2:73" s="416" customFormat="1" ht="12.95" customHeight="1" x14ac:dyDescent="0.25">
      <c r="B14" s="433">
        <f>IF(ISNA(Z14),"",IF(OR(Z14=1,Z14=2),"    ",MAX($B$9:B13)+1))</f>
        <v>4</v>
      </c>
      <c r="C14" s="1618" t="str">
        <f t="shared" si="0"/>
        <v xml:space="preserve">      - Test Methods and Conditions (6.0%)</v>
      </c>
      <c r="D14" s="1618"/>
      <c r="E14" s="1618"/>
      <c r="F14" s="1619"/>
      <c r="G14" s="437">
        <f t="shared" si="1"/>
        <v>1</v>
      </c>
      <c r="H14" s="431" t="str">
        <f t="shared" si="2"/>
        <v>2*</v>
      </c>
      <c r="I14" s="436">
        <f t="shared" si="3"/>
        <v>3</v>
      </c>
      <c r="J14" s="449"/>
      <c r="K14" s="448"/>
      <c r="L14" s="1612"/>
      <c r="M14" s="1613"/>
      <c r="N14" s="1613"/>
      <c r="O14" s="1613"/>
      <c r="P14" s="1613"/>
      <c r="Q14" s="1613"/>
      <c r="R14" s="1614"/>
      <c r="T14" s="401">
        <v>6</v>
      </c>
      <c r="U14" s="374" t="s">
        <v>642</v>
      </c>
      <c r="V14" s="421">
        <v>1</v>
      </c>
      <c r="W14" s="421">
        <v>2</v>
      </c>
      <c r="X14" s="421" t="s">
        <v>212</v>
      </c>
      <c r="Y14" s="421" t="s">
        <v>212</v>
      </c>
      <c r="Z14" s="393" t="s">
        <v>212</v>
      </c>
      <c r="AA14" s="393">
        <v>2</v>
      </c>
      <c r="AB14" s="393">
        <v>1</v>
      </c>
      <c r="AC14" s="421">
        <v>3</v>
      </c>
      <c r="AD14" s="421">
        <v>2</v>
      </c>
      <c r="AE14" s="421">
        <v>1</v>
      </c>
      <c r="AF14" s="421" t="b">
        <v>1</v>
      </c>
      <c r="AG14" s="421">
        <f t="shared" si="4"/>
        <v>2</v>
      </c>
      <c r="AH14" s="421">
        <f t="shared" si="5"/>
        <v>1</v>
      </c>
      <c r="AI14" s="427">
        <f>IF(NOT(OR(Z14=1,Z14=2)),IF(AQ14&gt;0,$AR$45*AQ14/SUMIF($AQ$9:$AQ$40,"&gt;0"),IF(AU14&gt;0,$AV$45*AU14/SUMIF($AU$9:$AU$40,"&gt;0"),IF(AS14&gt;0,$AT$45*AS14/SUMIF($AS$9:$AS$40,"&gt;0"),""))),IF(SUMIF(AJ15:$AJ$40,"=" &amp; AJ14,AI15:$AI$40)=0,"",SUMIF(AJ15:$AJ$40,"=" &amp; AJ14,AI15:$AI$40)))</f>
        <v>6.0000001932000051E-2</v>
      </c>
      <c r="AJ14" s="426">
        <f t="shared" si="36"/>
        <v>1</v>
      </c>
      <c r="AK14" s="421">
        <f t="shared" si="6"/>
        <v>2</v>
      </c>
      <c r="AL14" s="393" t="str">
        <f t="shared" si="7"/>
        <v/>
      </c>
      <c r="AM14" s="393" t="str">
        <f t="shared" si="8"/>
        <v/>
      </c>
      <c r="AN14" s="393" t="str">
        <f t="shared" si="9"/>
        <v/>
      </c>
      <c r="AO14" s="393" t="str">
        <f t="shared" si="10"/>
        <v/>
      </c>
      <c r="AP14" s="421" t="b">
        <f t="shared" si="11"/>
        <v>1</v>
      </c>
      <c r="AQ14" s="425">
        <f t="shared" si="12"/>
        <v>2</v>
      </c>
      <c r="AR14" s="423" t="str">
        <f t="shared" si="13"/>
        <v/>
      </c>
      <c r="AS14" s="424">
        <f t="shared" si="14"/>
        <v>0</v>
      </c>
      <c r="AT14" s="423" t="str">
        <f t="shared" si="15"/>
        <v/>
      </c>
      <c r="AU14" s="420">
        <f t="shared" si="16"/>
        <v>0</v>
      </c>
      <c r="AV14" s="422" t="str">
        <f t="shared" si="17"/>
        <v/>
      </c>
      <c r="AW14" s="420" t="b">
        <f t="shared" si="18"/>
        <v>0</v>
      </c>
      <c r="AX14" s="419" t="b">
        <f t="shared" si="19"/>
        <v>1</v>
      </c>
      <c r="AY14" s="420" t="b">
        <f t="shared" si="20"/>
        <v>0</v>
      </c>
      <c r="AZ14" s="419" t="b">
        <f t="shared" si="21"/>
        <v>0</v>
      </c>
      <c r="BA14" s="421" t="b">
        <f t="shared" si="22"/>
        <v>0</v>
      </c>
      <c r="BB14" s="421" t="b">
        <f t="shared" si="23"/>
        <v>0</v>
      </c>
      <c r="BC14" s="420" t="b">
        <f t="shared" si="24"/>
        <v>0</v>
      </c>
      <c r="BD14" s="393" t="b">
        <f t="shared" si="25"/>
        <v>0</v>
      </c>
      <c r="BE14" s="419" t="b">
        <f t="shared" si="26"/>
        <v>0</v>
      </c>
      <c r="BF14" s="418" t="b">
        <f t="shared" si="27"/>
        <v>0</v>
      </c>
      <c r="BG14" s="417" t="b">
        <f t="shared" si="28"/>
        <v>1</v>
      </c>
      <c r="BH14" s="417">
        <f t="shared" si="29"/>
        <v>1</v>
      </c>
      <c r="BI14" s="417">
        <f t="shared" si="30"/>
        <v>2</v>
      </c>
      <c r="BJ14" s="417" t="str">
        <f t="shared" si="31"/>
        <v>2*</v>
      </c>
      <c r="BK14" s="417">
        <f t="shared" si="32"/>
        <v>3</v>
      </c>
      <c r="BL14" s="435">
        <f t="shared" si="33"/>
        <v>1</v>
      </c>
      <c r="BM14" s="417">
        <f t="shared" si="34"/>
        <v>2</v>
      </c>
      <c r="BN14" s="417">
        <f t="shared" si="35"/>
        <v>3</v>
      </c>
      <c r="BO14" s="439">
        <v>3</v>
      </c>
      <c r="BP14" s="455" t="s">
        <v>220</v>
      </c>
    </row>
    <row r="15" spans="2:73" s="416" customFormat="1" ht="12.95" customHeight="1" x14ac:dyDescent="0.25">
      <c r="B15" s="433">
        <f>IF(ISNA(Z15),"",IF(OR(Z15=1,Z15=2),"    ",MAX($B$9:B14)+1))</f>
        <v>5</v>
      </c>
      <c r="C15" s="1618" t="str">
        <f t="shared" si="0"/>
        <v xml:space="preserve">      - Objective Results (12.0%)</v>
      </c>
      <c r="D15" s="1618"/>
      <c r="E15" s="1618"/>
      <c r="F15" s="1619"/>
      <c r="G15" s="437">
        <f t="shared" si="1"/>
        <v>1</v>
      </c>
      <c r="H15" s="431" t="str">
        <f t="shared" si="2"/>
        <v>2*</v>
      </c>
      <c r="I15" s="436">
        <f t="shared" si="3"/>
        <v>3</v>
      </c>
      <c r="J15" s="449"/>
      <c r="K15" s="448"/>
      <c r="L15" s="1612"/>
      <c r="M15" s="1613"/>
      <c r="N15" s="1613"/>
      <c r="O15" s="1613"/>
      <c r="P15" s="1613"/>
      <c r="Q15" s="1613"/>
      <c r="R15" s="1614"/>
      <c r="T15" s="401">
        <v>7</v>
      </c>
      <c r="U15" s="374" t="s">
        <v>641</v>
      </c>
      <c r="V15" s="421">
        <v>1</v>
      </c>
      <c r="W15" s="421">
        <v>4</v>
      </c>
      <c r="X15" s="421" t="s">
        <v>212</v>
      </c>
      <c r="Y15" s="421" t="s">
        <v>212</v>
      </c>
      <c r="Z15" s="393" t="s">
        <v>212</v>
      </c>
      <c r="AA15" s="393">
        <v>2</v>
      </c>
      <c r="AB15" s="393">
        <v>1</v>
      </c>
      <c r="AC15" s="421">
        <v>3</v>
      </c>
      <c r="AD15" s="421">
        <v>2</v>
      </c>
      <c r="AE15" s="421">
        <v>1</v>
      </c>
      <c r="AF15" s="421" t="b">
        <v>1</v>
      </c>
      <c r="AG15" s="421">
        <f t="shared" si="4"/>
        <v>2</v>
      </c>
      <c r="AH15" s="421">
        <f t="shared" si="5"/>
        <v>1</v>
      </c>
      <c r="AI15" s="427">
        <f>IF(NOT(OR(Z15=1,Z15=2)),IF(AQ15&gt;0,$AR$45*AQ15/SUMIF($AQ$9:$AQ$40,"&gt;0"),IF(AU15&gt;0,$AV$45*AU15/SUMIF($AU$9:$AU$40,"&gt;0"),IF(AS15&gt;0,$AT$45*AS15/SUMIF($AS$9:$AS$40,"&gt;0"),""))),IF(SUMIF(AJ16:$AJ$40,"=" &amp; AJ15,AI16:$AI$40)=0,"",SUMIF(AJ16:$AJ$40,"=" &amp; AJ15,AI16:$AI$40)))</f>
        <v>0.1200000038640001</v>
      </c>
      <c r="AJ15" s="426">
        <f t="shared" si="36"/>
        <v>1</v>
      </c>
      <c r="AK15" s="421">
        <f t="shared" si="6"/>
        <v>2</v>
      </c>
      <c r="AL15" s="393" t="str">
        <f t="shared" si="7"/>
        <v/>
      </c>
      <c r="AM15" s="393" t="str">
        <f t="shared" si="8"/>
        <v/>
      </c>
      <c r="AN15" s="393" t="str">
        <f t="shared" si="9"/>
        <v/>
      </c>
      <c r="AO15" s="393" t="str">
        <f t="shared" si="10"/>
        <v/>
      </c>
      <c r="AP15" s="421" t="b">
        <f t="shared" si="11"/>
        <v>1</v>
      </c>
      <c r="AQ15" s="425">
        <f t="shared" si="12"/>
        <v>4</v>
      </c>
      <c r="AR15" s="423" t="str">
        <f t="shared" si="13"/>
        <v/>
      </c>
      <c r="AS15" s="424">
        <f t="shared" si="14"/>
        <v>0</v>
      </c>
      <c r="AT15" s="423" t="str">
        <f t="shared" si="15"/>
        <v/>
      </c>
      <c r="AU15" s="420">
        <f t="shared" si="16"/>
        <v>0</v>
      </c>
      <c r="AV15" s="422" t="str">
        <f t="shared" si="17"/>
        <v/>
      </c>
      <c r="AW15" s="420" t="b">
        <f t="shared" si="18"/>
        <v>0</v>
      </c>
      <c r="AX15" s="419" t="b">
        <f t="shared" si="19"/>
        <v>1</v>
      </c>
      <c r="AY15" s="420" t="b">
        <f t="shared" si="20"/>
        <v>0</v>
      </c>
      <c r="AZ15" s="419" t="b">
        <f t="shared" si="21"/>
        <v>0</v>
      </c>
      <c r="BA15" s="421" t="b">
        <f t="shared" si="22"/>
        <v>0</v>
      </c>
      <c r="BB15" s="421" t="b">
        <f t="shared" si="23"/>
        <v>0</v>
      </c>
      <c r="BC15" s="420" t="b">
        <f t="shared" si="24"/>
        <v>0</v>
      </c>
      <c r="BD15" s="393" t="b">
        <f t="shared" si="25"/>
        <v>0</v>
      </c>
      <c r="BE15" s="419" t="b">
        <f t="shared" si="26"/>
        <v>0</v>
      </c>
      <c r="BF15" s="418" t="b">
        <f t="shared" si="27"/>
        <v>0</v>
      </c>
      <c r="BG15" s="417" t="b">
        <f t="shared" si="28"/>
        <v>1</v>
      </c>
      <c r="BH15" s="417">
        <f t="shared" si="29"/>
        <v>1</v>
      </c>
      <c r="BI15" s="417">
        <f t="shared" si="30"/>
        <v>2</v>
      </c>
      <c r="BJ15" s="417" t="str">
        <f t="shared" si="31"/>
        <v>2*</v>
      </c>
      <c r="BK15" s="417">
        <f t="shared" si="32"/>
        <v>3</v>
      </c>
      <c r="BL15" s="435">
        <f t="shared" si="33"/>
        <v>1</v>
      </c>
      <c r="BM15" s="417">
        <f t="shared" si="34"/>
        <v>2</v>
      </c>
      <c r="BN15" s="417">
        <f t="shared" si="35"/>
        <v>3</v>
      </c>
      <c r="BO15" s="439">
        <v>4</v>
      </c>
      <c r="BP15" s="455" t="s">
        <v>222</v>
      </c>
    </row>
    <row r="16" spans="2:73" s="416" customFormat="1" ht="12.95" customHeight="1" x14ac:dyDescent="0.25">
      <c r="B16" s="433">
        <f>IF(ISNA(Z16),"",IF(OR(Z16=1,Z16=2),"    ",MAX($B$9:B15)+1))</f>
        <v>6</v>
      </c>
      <c r="C16" s="1618" t="str">
        <f t="shared" si="0"/>
        <v xml:space="preserve">      - Eng Analysis &amp; Oper. Impact (12.0%)</v>
      </c>
      <c r="D16" s="1618"/>
      <c r="E16" s="1618"/>
      <c r="F16" s="1619"/>
      <c r="G16" s="437">
        <f t="shared" si="1"/>
        <v>1</v>
      </c>
      <c r="H16" s="431" t="str">
        <f t="shared" si="2"/>
        <v>2*</v>
      </c>
      <c r="I16" s="436">
        <f t="shared" si="3"/>
        <v>3</v>
      </c>
      <c r="J16" s="449"/>
      <c r="K16" s="448"/>
      <c r="L16" s="1612"/>
      <c r="M16" s="1613"/>
      <c r="N16" s="1613"/>
      <c r="O16" s="1613"/>
      <c r="P16" s="1613"/>
      <c r="Q16" s="1613"/>
      <c r="R16" s="1614"/>
      <c r="T16" s="401">
        <v>8</v>
      </c>
      <c r="U16" s="374" t="s">
        <v>640</v>
      </c>
      <c r="V16" s="421">
        <v>1</v>
      </c>
      <c r="W16" s="421">
        <v>4</v>
      </c>
      <c r="X16" s="421" t="s">
        <v>212</v>
      </c>
      <c r="Y16" s="421" t="s">
        <v>212</v>
      </c>
      <c r="Z16" s="393" t="s">
        <v>212</v>
      </c>
      <c r="AA16" s="393">
        <v>2</v>
      </c>
      <c r="AB16" s="393">
        <v>1</v>
      </c>
      <c r="AC16" s="421">
        <v>3</v>
      </c>
      <c r="AD16" s="421">
        <v>2</v>
      </c>
      <c r="AE16" s="421">
        <v>1</v>
      </c>
      <c r="AF16" s="421" t="b">
        <v>1</v>
      </c>
      <c r="AG16" s="421">
        <f t="shared" si="4"/>
        <v>2</v>
      </c>
      <c r="AH16" s="421">
        <f t="shared" si="5"/>
        <v>1</v>
      </c>
      <c r="AI16" s="427">
        <f>IF(NOT(OR(Z16=1,Z16=2)),IF(AQ16&gt;0,$AR$45*AQ16/SUMIF($AQ$9:$AQ$40,"&gt;0"),IF(AU16&gt;0,$AV$45*AU16/SUMIF($AU$9:$AU$40,"&gt;0"),IF(AS16&gt;0,$AT$45*AS16/SUMIF($AS$9:$AS$40,"&gt;0"),""))),IF(SUMIF(AJ17:$AJ$40,"=" &amp; AJ16,AI17:$AI$40)=0,"",SUMIF(AJ17:$AJ$40,"=" &amp; AJ16,AI17:$AI$40)))</f>
        <v>0.1200000038640001</v>
      </c>
      <c r="AJ16" s="426">
        <f t="shared" si="36"/>
        <v>1</v>
      </c>
      <c r="AK16" s="421">
        <f t="shared" si="6"/>
        <v>2</v>
      </c>
      <c r="AL16" s="393" t="str">
        <f t="shared" si="7"/>
        <v/>
      </c>
      <c r="AM16" s="393" t="str">
        <f t="shared" si="8"/>
        <v/>
      </c>
      <c r="AN16" s="393" t="str">
        <f t="shared" si="9"/>
        <v/>
      </c>
      <c r="AO16" s="393" t="str">
        <f t="shared" si="10"/>
        <v/>
      </c>
      <c r="AP16" s="421" t="b">
        <f t="shared" si="11"/>
        <v>1</v>
      </c>
      <c r="AQ16" s="425">
        <f t="shared" si="12"/>
        <v>4</v>
      </c>
      <c r="AR16" s="423" t="str">
        <f t="shared" si="13"/>
        <v/>
      </c>
      <c r="AS16" s="424">
        <f t="shared" si="14"/>
        <v>0</v>
      </c>
      <c r="AT16" s="423" t="str">
        <f t="shared" si="15"/>
        <v/>
      </c>
      <c r="AU16" s="420">
        <f t="shared" si="16"/>
        <v>0</v>
      </c>
      <c r="AV16" s="422" t="str">
        <f t="shared" si="17"/>
        <v/>
      </c>
      <c r="AW16" s="420" t="b">
        <f t="shared" si="18"/>
        <v>0</v>
      </c>
      <c r="AX16" s="419" t="b">
        <f t="shared" si="19"/>
        <v>1</v>
      </c>
      <c r="AY16" s="420" t="b">
        <f t="shared" si="20"/>
        <v>0</v>
      </c>
      <c r="AZ16" s="419" t="b">
        <f t="shared" si="21"/>
        <v>0</v>
      </c>
      <c r="BA16" s="421" t="b">
        <f t="shared" si="22"/>
        <v>0</v>
      </c>
      <c r="BB16" s="421" t="b">
        <f t="shared" si="23"/>
        <v>0</v>
      </c>
      <c r="BC16" s="420" t="b">
        <f t="shared" si="24"/>
        <v>0</v>
      </c>
      <c r="BD16" s="393" t="b">
        <f t="shared" si="25"/>
        <v>0</v>
      </c>
      <c r="BE16" s="419" t="b">
        <f t="shared" si="26"/>
        <v>0</v>
      </c>
      <c r="BF16" s="418" t="b">
        <f t="shared" si="27"/>
        <v>0</v>
      </c>
      <c r="BG16" s="417" t="b">
        <f t="shared" si="28"/>
        <v>1</v>
      </c>
      <c r="BH16" s="417">
        <f t="shared" si="29"/>
        <v>1</v>
      </c>
      <c r="BI16" s="417">
        <f t="shared" si="30"/>
        <v>2</v>
      </c>
      <c r="BJ16" s="417" t="str">
        <f t="shared" si="31"/>
        <v>2*</v>
      </c>
      <c r="BK16" s="417">
        <f t="shared" si="32"/>
        <v>3</v>
      </c>
      <c r="BL16" s="435">
        <f t="shared" si="33"/>
        <v>1</v>
      </c>
      <c r="BM16" s="417">
        <f t="shared" si="34"/>
        <v>2</v>
      </c>
      <c r="BN16" s="417">
        <f t="shared" si="35"/>
        <v>3</v>
      </c>
      <c r="BO16" s="372"/>
    </row>
    <row r="17" spans="2:75" s="416" customFormat="1" ht="12.95" customHeight="1" x14ac:dyDescent="0.25">
      <c r="B17" s="433">
        <f>IF(ISNA(Z17),"",IF(OR(Z17=1,Z17=2),"    ",MAX($B$9:B16)+1))</f>
        <v>7</v>
      </c>
      <c r="C17" s="1618" t="str">
        <f t="shared" si="0"/>
        <v xml:space="preserve">      - Conclusions &amp; Recomm. (10.0%)</v>
      </c>
      <c r="D17" s="1618"/>
      <c r="E17" s="1618"/>
      <c r="F17" s="1619"/>
      <c r="G17" s="437">
        <f t="shared" si="1"/>
        <v>1</v>
      </c>
      <c r="H17" s="431" t="str">
        <f t="shared" si="2"/>
        <v>2*</v>
      </c>
      <c r="I17" s="436">
        <f t="shared" si="3"/>
        <v>3</v>
      </c>
      <c r="J17" s="449"/>
      <c r="K17" s="448"/>
      <c r="L17" s="1612"/>
      <c r="M17" s="1613"/>
      <c r="N17" s="1613"/>
      <c r="O17" s="1613"/>
      <c r="P17" s="1613"/>
      <c r="Q17" s="1613"/>
      <c r="R17" s="1614"/>
      <c r="T17" s="401">
        <v>9</v>
      </c>
      <c r="U17" s="374" t="s">
        <v>639</v>
      </c>
      <c r="V17" s="421">
        <v>1</v>
      </c>
      <c r="W17" s="421">
        <v>3.3333333000000001</v>
      </c>
      <c r="X17" s="421" t="s">
        <v>212</v>
      </c>
      <c r="Y17" s="421" t="s">
        <v>212</v>
      </c>
      <c r="Z17" s="393" t="s">
        <v>212</v>
      </c>
      <c r="AA17" s="393">
        <v>2</v>
      </c>
      <c r="AB17" s="393">
        <v>1</v>
      </c>
      <c r="AC17" s="421">
        <v>3</v>
      </c>
      <c r="AD17" s="421">
        <v>2</v>
      </c>
      <c r="AE17" s="421">
        <v>1</v>
      </c>
      <c r="AF17" s="421" t="b">
        <v>1</v>
      </c>
      <c r="AG17" s="421">
        <f t="shared" si="4"/>
        <v>2</v>
      </c>
      <c r="AH17" s="421">
        <f t="shared" si="5"/>
        <v>1</v>
      </c>
      <c r="AI17" s="427">
        <f>IF(NOT(OR(Z17=1,Z17=2)),IF(AQ17&gt;0,$AR$45*AQ17/SUMIF($AQ$9:$AQ$40,"&gt;0"),IF(AU17&gt;0,$AV$45*AU17/SUMIF($AU$9:$AU$40,"&gt;0"),IF(AS17&gt;0,$AT$45*AS17/SUMIF($AS$9:$AS$40,"&gt;0"),""))),IF(SUMIF(AJ18:$AJ$40,"=" &amp; AJ17,AI18:$AI$40)=0,"",SUMIF(AJ18:$AJ$40,"=" &amp; AJ17,AI18:$AI$40)))</f>
        <v>0.10000000222000005</v>
      </c>
      <c r="AJ17" s="426">
        <f t="shared" si="36"/>
        <v>1</v>
      </c>
      <c r="AK17" s="421">
        <f t="shared" si="6"/>
        <v>2</v>
      </c>
      <c r="AL17" s="393" t="str">
        <f t="shared" si="7"/>
        <v/>
      </c>
      <c r="AM17" s="393" t="str">
        <f t="shared" si="8"/>
        <v/>
      </c>
      <c r="AN17" s="393" t="str">
        <f t="shared" si="9"/>
        <v/>
      </c>
      <c r="AO17" s="393" t="str">
        <f t="shared" si="10"/>
        <v/>
      </c>
      <c r="AP17" s="421" t="b">
        <f t="shared" si="11"/>
        <v>1</v>
      </c>
      <c r="AQ17" s="425">
        <f t="shared" si="12"/>
        <v>3.3333333000000001</v>
      </c>
      <c r="AR17" s="423" t="str">
        <f t="shared" si="13"/>
        <v/>
      </c>
      <c r="AS17" s="424">
        <f t="shared" si="14"/>
        <v>0</v>
      </c>
      <c r="AT17" s="423" t="str">
        <f t="shared" si="15"/>
        <v/>
      </c>
      <c r="AU17" s="420">
        <f t="shared" si="16"/>
        <v>0</v>
      </c>
      <c r="AV17" s="422" t="str">
        <f t="shared" si="17"/>
        <v/>
      </c>
      <c r="AW17" s="420" t="b">
        <f t="shared" si="18"/>
        <v>0</v>
      </c>
      <c r="AX17" s="419" t="b">
        <f t="shared" si="19"/>
        <v>1</v>
      </c>
      <c r="AY17" s="420" t="b">
        <f t="shared" si="20"/>
        <v>0</v>
      </c>
      <c r="AZ17" s="419" t="b">
        <f t="shared" si="21"/>
        <v>0</v>
      </c>
      <c r="BA17" s="421" t="b">
        <f t="shared" si="22"/>
        <v>0</v>
      </c>
      <c r="BB17" s="421" t="b">
        <f t="shared" si="23"/>
        <v>0</v>
      </c>
      <c r="BC17" s="420" t="b">
        <f t="shared" si="24"/>
        <v>0</v>
      </c>
      <c r="BD17" s="393" t="b">
        <f t="shared" si="25"/>
        <v>0</v>
      </c>
      <c r="BE17" s="419" t="b">
        <f t="shared" si="26"/>
        <v>0</v>
      </c>
      <c r="BF17" s="418" t="b">
        <f t="shared" si="27"/>
        <v>0</v>
      </c>
      <c r="BG17" s="417" t="b">
        <f t="shared" si="28"/>
        <v>1</v>
      </c>
      <c r="BH17" s="417">
        <f t="shared" si="29"/>
        <v>1</v>
      </c>
      <c r="BI17" s="417">
        <f t="shared" si="30"/>
        <v>2</v>
      </c>
      <c r="BJ17" s="417" t="str">
        <f t="shared" si="31"/>
        <v>2*</v>
      </c>
      <c r="BK17" s="417">
        <f t="shared" si="32"/>
        <v>3</v>
      </c>
      <c r="BL17" s="435">
        <f t="shared" si="33"/>
        <v>1</v>
      </c>
      <c r="BM17" s="417">
        <f t="shared" si="34"/>
        <v>2</v>
      </c>
      <c r="BN17" s="417">
        <f t="shared" si="35"/>
        <v>3</v>
      </c>
      <c r="BO17" s="439"/>
      <c r="BP17" s="454"/>
    </row>
    <row r="18" spans="2:75" s="416" customFormat="1" ht="12.95" customHeight="1" x14ac:dyDescent="0.25">
      <c r="B18" s="433" t="str">
        <f>IF(ISNA(Z18),"",IF(OR(Z18=1,Z18=2),"    ",MAX($B$9:B17)+1))</f>
        <v xml:space="preserve">    </v>
      </c>
      <c r="C18" s="1618" t="str">
        <f t="shared" si="0"/>
        <v>Clarity &amp; Precision (Mechanics) (10.0%)</v>
      </c>
      <c r="D18" s="1618"/>
      <c r="E18" s="1618"/>
      <c r="F18" s="1619"/>
      <c r="G18" s="437" t="str">
        <f t="shared" si="1"/>
        <v/>
      </c>
      <c r="H18" s="431" t="str">
        <f t="shared" si="2"/>
        <v/>
      </c>
      <c r="I18" s="436" t="str">
        <f t="shared" si="3"/>
        <v/>
      </c>
      <c r="J18" s="429"/>
      <c r="K18" s="428"/>
      <c r="L18" s="1612"/>
      <c r="M18" s="1613"/>
      <c r="N18" s="1613"/>
      <c r="O18" s="1613"/>
      <c r="P18" s="1613"/>
      <c r="Q18" s="1613"/>
      <c r="R18" s="1614"/>
      <c r="T18" s="401">
        <v>10</v>
      </c>
      <c r="U18" s="374" t="s">
        <v>638</v>
      </c>
      <c r="V18" s="421" t="s">
        <v>212</v>
      </c>
      <c r="W18" s="421" t="s">
        <v>212</v>
      </c>
      <c r="X18" s="421" t="s">
        <v>212</v>
      </c>
      <c r="Y18" s="421" t="s">
        <v>212</v>
      </c>
      <c r="Z18" s="393">
        <v>2</v>
      </c>
      <c r="AA18" s="393">
        <v>1</v>
      </c>
      <c r="AB18" s="393">
        <v>1</v>
      </c>
      <c r="AC18" s="421" t="s">
        <v>212</v>
      </c>
      <c r="AD18" s="421" t="s">
        <v>212</v>
      </c>
      <c r="AE18" s="421" t="s">
        <v>212</v>
      </c>
      <c r="AF18" s="421" t="s">
        <v>212</v>
      </c>
      <c r="AG18" s="421" t="str">
        <f t="shared" si="4"/>
        <v/>
      </c>
      <c r="AH18" s="421" t="str">
        <f t="shared" si="5"/>
        <v/>
      </c>
      <c r="AI18" s="427">
        <f>IF(NOT(OR(Z18=1,Z18=2)),IF(AQ18&gt;0,$AR$45*AQ18/SUMIF($AQ$9:$AQ$40,"&gt;0"),IF(AU18&gt;0,$AV$45*AU18/SUMIF($AU$9:$AU$40,"&gt;0"),IF(AS18&gt;0,$AT$45*AS18/SUMIF($AS$9:$AS$40,"&gt;0"),""))),IF(SUMIF(AJ19:$AJ$40,"=" &amp; AJ18,AI19:$AI$40)=0,"",SUMIF(AJ19:$AJ$40,"=" &amp; AJ18,AI19:$AI$40)))</f>
        <v>0.10000000222000006</v>
      </c>
      <c r="AJ18" s="426">
        <f t="shared" si="36"/>
        <v>2</v>
      </c>
      <c r="AK18" s="421" t="str">
        <f t="shared" si="6"/>
        <v/>
      </c>
      <c r="AL18" s="393" t="str">
        <f t="shared" si="7"/>
        <v/>
      </c>
      <c r="AM18" s="393" t="str">
        <f t="shared" si="8"/>
        <v/>
      </c>
      <c r="AN18" s="393" t="str">
        <f t="shared" si="9"/>
        <v/>
      </c>
      <c r="AO18" s="393" t="str">
        <f t="shared" si="10"/>
        <v/>
      </c>
      <c r="AP18" s="421" t="str">
        <f t="shared" si="11"/>
        <v/>
      </c>
      <c r="AQ18" s="425">
        <f t="shared" si="12"/>
        <v>0</v>
      </c>
      <c r="AR18" s="423" t="str">
        <f t="shared" si="13"/>
        <v/>
      </c>
      <c r="AS18" s="424">
        <f t="shared" si="14"/>
        <v>0</v>
      </c>
      <c r="AT18" s="423" t="str">
        <f t="shared" si="15"/>
        <v/>
      </c>
      <c r="AU18" s="420">
        <f t="shared" si="16"/>
        <v>0</v>
      </c>
      <c r="AV18" s="422" t="str">
        <f t="shared" si="17"/>
        <v/>
      </c>
      <c r="AW18" s="420" t="b">
        <f t="shared" si="18"/>
        <v>0</v>
      </c>
      <c r="AX18" s="419" t="b">
        <f t="shared" si="19"/>
        <v>0</v>
      </c>
      <c r="AY18" s="420" t="b">
        <f t="shared" si="20"/>
        <v>0</v>
      </c>
      <c r="AZ18" s="419" t="b">
        <f t="shared" si="21"/>
        <v>0</v>
      </c>
      <c r="BA18" s="421" t="b">
        <f t="shared" si="22"/>
        <v>0</v>
      </c>
      <c r="BB18" s="421" t="b">
        <f t="shared" si="23"/>
        <v>0</v>
      </c>
      <c r="BC18" s="420" t="b">
        <f t="shared" si="24"/>
        <v>0</v>
      </c>
      <c r="BD18" s="393" t="b">
        <f t="shared" si="25"/>
        <v>0</v>
      </c>
      <c r="BE18" s="419" t="b">
        <f t="shared" si="26"/>
        <v>0</v>
      </c>
      <c r="BF18" s="418" t="b">
        <f t="shared" si="27"/>
        <v>0</v>
      </c>
      <c r="BG18" s="417" t="b">
        <f t="shared" si="28"/>
        <v>0</v>
      </c>
      <c r="BH18" s="417" t="str">
        <f t="shared" si="29"/>
        <v/>
      </c>
      <c r="BI18" s="417" t="str">
        <f t="shared" si="30"/>
        <v/>
      </c>
      <c r="BJ18" s="417" t="str">
        <f t="shared" si="31"/>
        <v/>
      </c>
      <c r="BK18" s="417" t="str">
        <f t="shared" si="32"/>
        <v/>
      </c>
      <c r="BL18" s="435" t="str">
        <f t="shared" si="33"/>
        <v/>
      </c>
      <c r="BM18" s="417" t="str">
        <f t="shared" si="34"/>
        <v/>
      </c>
      <c r="BN18" s="417" t="str">
        <f t="shared" si="35"/>
        <v/>
      </c>
      <c r="BO18" s="372"/>
    </row>
    <row r="19" spans="2:75" s="416" customFormat="1" ht="12.95" customHeight="1" x14ac:dyDescent="0.25">
      <c r="B19" s="433">
        <f>IF(ISNA(Z19),"",IF(OR(Z19=1,Z19=2),"    ",MAX($B$9:B18)+1))</f>
        <v>8</v>
      </c>
      <c r="C19" s="1618" t="str">
        <f t="shared" si="0"/>
        <v xml:space="preserve">      - Grammar &amp; Syntax (4.0%)</v>
      </c>
      <c r="D19" s="1618"/>
      <c r="E19" s="1618"/>
      <c r="F19" s="1619"/>
      <c r="G19" s="437">
        <f t="shared" si="1"/>
        <v>1</v>
      </c>
      <c r="H19" s="431" t="str">
        <f t="shared" si="2"/>
        <v>2*</v>
      </c>
      <c r="I19" s="436">
        <f t="shared" si="3"/>
        <v>3</v>
      </c>
      <c r="J19" s="449"/>
      <c r="K19" s="448"/>
      <c r="L19" s="1612"/>
      <c r="M19" s="1613"/>
      <c r="N19" s="1613"/>
      <c r="O19" s="1613"/>
      <c r="P19" s="1613"/>
      <c r="Q19" s="1613"/>
      <c r="R19" s="1614"/>
      <c r="T19" s="401">
        <v>11</v>
      </c>
      <c r="U19" s="374" t="s">
        <v>637</v>
      </c>
      <c r="V19" s="421">
        <v>1</v>
      </c>
      <c r="W19" s="421">
        <v>1.3333333000000001</v>
      </c>
      <c r="X19" s="421" t="s">
        <v>212</v>
      </c>
      <c r="Y19" s="421" t="s">
        <v>212</v>
      </c>
      <c r="Z19" s="393" t="s">
        <v>212</v>
      </c>
      <c r="AA19" s="393">
        <v>2</v>
      </c>
      <c r="AB19" s="393">
        <v>1</v>
      </c>
      <c r="AC19" s="421">
        <v>3</v>
      </c>
      <c r="AD19" s="421">
        <v>2</v>
      </c>
      <c r="AE19" s="421">
        <v>1</v>
      </c>
      <c r="AF19" s="421" t="b">
        <v>1</v>
      </c>
      <c r="AG19" s="421">
        <f t="shared" si="4"/>
        <v>2</v>
      </c>
      <c r="AH19" s="421">
        <f t="shared" si="5"/>
        <v>1</v>
      </c>
      <c r="AI19" s="427">
        <f>IF(NOT(OR(Z19=1,Z19=2)),IF(AQ19&gt;0,$AR$45*AQ19/SUMIF($AQ$9:$AQ$40,"&gt;0"),IF(AU19&gt;0,$AV$45*AU19/SUMIF($AU$9:$AU$40,"&gt;0"),IF(AS19&gt;0,$AT$45*AS19/SUMIF($AS$9:$AS$40,"&gt;0"),""))),IF(SUMIF(AJ20:$AJ$40,"=" &amp; AJ19,AI20:$AI$40)=0,"",SUMIF(AJ20:$AJ$40,"=" &amp; AJ19,AI20:$AI$40)))</f>
        <v>4.0000000288000007E-2</v>
      </c>
      <c r="AJ19" s="426">
        <f t="shared" si="36"/>
        <v>2</v>
      </c>
      <c r="AK19" s="421">
        <f t="shared" si="6"/>
        <v>2</v>
      </c>
      <c r="AL19" s="393" t="str">
        <f t="shared" si="7"/>
        <v/>
      </c>
      <c r="AM19" s="393" t="str">
        <f t="shared" si="8"/>
        <v/>
      </c>
      <c r="AN19" s="393" t="str">
        <f t="shared" si="9"/>
        <v/>
      </c>
      <c r="AO19" s="393" t="str">
        <f t="shared" si="10"/>
        <v/>
      </c>
      <c r="AP19" s="421" t="b">
        <f t="shared" si="11"/>
        <v>1</v>
      </c>
      <c r="AQ19" s="425">
        <f t="shared" si="12"/>
        <v>1.3333333000000001</v>
      </c>
      <c r="AR19" s="423" t="str">
        <f t="shared" si="13"/>
        <v/>
      </c>
      <c r="AS19" s="424">
        <f t="shared" si="14"/>
        <v>0</v>
      </c>
      <c r="AT19" s="423" t="str">
        <f t="shared" si="15"/>
        <v/>
      </c>
      <c r="AU19" s="420">
        <f t="shared" si="16"/>
        <v>0</v>
      </c>
      <c r="AV19" s="422" t="str">
        <f t="shared" si="17"/>
        <v/>
      </c>
      <c r="AW19" s="420" t="b">
        <f t="shared" si="18"/>
        <v>0</v>
      </c>
      <c r="AX19" s="419" t="b">
        <f t="shared" si="19"/>
        <v>1</v>
      </c>
      <c r="AY19" s="420" t="b">
        <f t="shared" si="20"/>
        <v>0</v>
      </c>
      <c r="AZ19" s="419" t="b">
        <f t="shared" si="21"/>
        <v>0</v>
      </c>
      <c r="BA19" s="421" t="b">
        <f t="shared" si="22"/>
        <v>0</v>
      </c>
      <c r="BB19" s="421" t="b">
        <f t="shared" si="23"/>
        <v>0</v>
      </c>
      <c r="BC19" s="420" t="b">
        <f t="shared" si="24"/>
        <v>0</v>
      </c>
      <c r="BD19" s="393" t="b">
        <f t="shared" si="25"/>
        <v>0</v>
      </c>
      <c r="BE19" s="419" t="b">
        <f t="shared" si="26"/>
        <v>0</v>
      </c>
      <c r="BF19" s="418" t="b">
        <f t="shared" si="27"/>
        <v>0</v>
      </c>
      <c r="BG19" s="417" t="b">
        <f t="shared" si="28"/>
        <v>1</v>
      </c>
      <c r="BH19" s="417">
        <f t="shared" si="29"/>
        <v>1</v>
      </c>
      <c r="BI19" s="417">
        <f t="shared" si="30"/>
        <v>2</v>
      </c>
      <c r="BJ19" s="417" t="str">
        <f t="shared" si="31"/>
        <v>2*</v>
      </c>
      <c r="BK19" s="417">
        <f t="shared" si="32"/>
        <v>3</v>
      </c>
      <c r="BL19" s="435">
        <f t="shared" si="33"/>
        <v>1</v>
      </c>
      <c r="BM19" s="417">
        <f t="shared" si="34"/>
        <v>2</v>
      </c>
      <c r="BN19" s="417">
        <f t="shared" si="35"/>
        <v>3</v>
      </c>
      <c r="BO19" s="443"/>
      <c r="BP19" s="454" t="s">
        <v>223</v>
      </c>
      <c r="BQ19" s="438"/>
      <c r="BR19" s="438"/>
      <c r="BS19" s="438"/>
      <c r="BT19" s="438"/>
      <c r="BU19" s="438"/>
    </row>
    <row r="20" spans="2:75" s="416" customFormat="1" ht="12.95" customHeight="1" x14ac:dyDescent="0.25">
      <c r="B20" s="433">
        <f>IF(ISNA(Z20),"",IF(OR(Z20=1,Z20=2),"    ",MAX($B$9:B19)+1))</f>
        <v>9</v>
      </c>
      <c r="C20" s="1618" t="str">
        <f t="shared" si="0"/>
        <v xml:space="preserve">      - Punct. Acronyms &amp; Format (3.0%)</v>
      </c>
      <c r="D20" s="1618"/>
      <c r="E20" s="1618"/>
      <c r="F20" s="1619"/>
      <c r="G20" s="437">
        <f t="shared" si="1"/>
        <v>1</v>
      </c>
      <c r="H20" s="431" t="str">
        <f t="shared" si="2"/>
        <v>2*</v>
      </c>
      <c r="I20" s="436">
        <f t="shared" si="3"/>
        <v>3</v>
      </c>
      <c r="J20" s="449"/>
      <c r="K20" s="448"/>
      <c r="L20" s="1612"/>
      <c r="M20" s="1613"/>
      <c r="N20" s="1613"/>
      <c r="O20" s="1613"/>
      <c r="P20" s="1613"/>
      <c r="Q20" s="1613"/>
      <c r="R20" s="1614"/>
      <c r="T20" s="401">
        <v>12</v>
      </c>
      <c r="U20" s="374" t="s">
        <v>636</v>
      </c>
      <c r="V20" s="421">
        <v>1</v>
      </c>
      <c r="W20" s="421">
        <v>1</v>
      </c>
      <c r="X20" s="421" t="s">
        <v>212</v>
      </c>
      <c r="Y20" s="421" t="s">
        <v>212</v>
      </c>
      <c r="Z20" s="393" t="s">
        <v>212</v>
      </c>
      <c r="AA20" s="393">
        <v>2</v>
      </c>
      <c r="AB20" s="393">
        <v>1</v>
      </c>
      <c r="AC20" s="421">
        <v>3</v>
      </c>
      <c r="AD20" s="421">
        <v>2</v>
      </c>
      <c r="AE20" s="421">
        <v>1</v>
      </c>
      <c r="AF20" s="421" t="b">
        <v>1</v>
      </c>
      <c r="AG20" s="421">
        <f t="shared" si="4"/>
        <v>2</v>
      </c>
      <c r="AH20" s="421">
        <f t="shared" si="5"/>
        <v>1</v>
      </c>
      <c r="AI20" s="427">
        <f>IF(NOT(OR(Z20=1,Z20=2)),IF(AQ20&gt;0,$AR$45*AQ20/SUMIF($AQ$9:$AQ$40,"&gt;0"),IF(AU20&gt;0,$AV$45*AU20/SUMIF($AU$9:$AU$40,"&gt;0"),IF(AS20&gt;0,$AT$45*AS20/SUMIF($AS$9:$AS$40,"&gt;0"),""))),IF(SUMIF(AJ21:$AJ$40,"=" &amp; AJ20,AI21:$AI$40)=0,"",SUMIF(AJ21:$AJ$40,"=" &amp; AJ20,AI21:$AI$40)))</f>
        <v>3.0000000966000025E-2</v>
      </c>
      <c r="AJ20" s="426">
        <f t="shared" si="36"/>
        <v>2</v>
      </c>
      <c r="AK20" s="421">
        <f t="shared" si="6"/>
        <v>2</v>
      </c>
      <c r="AL20" s="393" t="str">
        <f t="shared" si="7"/>
        <v/>
      </c>
      <c r="AM20" s="393" t="str">
        <f t="shared" si="8"/>
        <v/>
      </c>
      <c r="AN20" s="393" t="str">
        <f t="shared" si="9"/>
        <v/>
      </c>
      <c r="AO20" s="393" t="str">
        <f t="shared" si="10"/>
        <v/>
      </c>
      <c r="AP20" s="421" t="b">
        <f t="shared" si="11"/>
        <v>1</v>
      </c>
      <c r="AQ20" s="425">
        <f t="shared" si="12"/>
        <v>1</v>
      </c>
      <c r="AR20" s="423" t="str">
        <f t="shared" si="13"/>
        <v/>
      </c>
      <c r="AS20" s="424">
        <f t="shared" si="14"/>
        <v>0</v>
      </c>
      <c r="AT20" s="423" t="str">
        <f t="shared" si="15"/>
        <v/>
      </c>
      <c r="AU20" s="420">
        <f t="shared" si="16"/>
        <v>0</v>
      </c>
      <c r="AV20" s="422" t="str">
        <f t="shared" si="17"/>
        <v/>
      </c>
      <c r="AW20" s="420" t="b">
        <f t="shared" si="18"/>
        <v>0</v>
      </c>
      <c r="AX20" s="419" t="b">
        <f t="shared" si="19"/>
        <v>1</v>
      </c>
      <c r="AY20" s="420" t="b">
        <f t="shared" si="20"/>
        <v>0</v>
      </c>
      <c r="AZ20" s="419" t="b">
        <f t="shared" si="21"/>
        <v>0</v>
      </c>
      <c r="BA20" s="421" t="b">
        <f t="shared" si="22"/>
        <v>0</v>
      </c>
      <c r="BB20" s="421" t="b">
        <f t="shared" si="23"/>
        <v>0</v>
      </c>
      <c r="BC20" s="420" t="b">
        <f t="shared" si="24"/>
        <v>0</v>
      </c>
      <c r="BD20" s="393" t="b">
        <f t="shared" si="25"/>
        <v>0</v>
      </c>
      <c r="BE20" s="419" t="b">
        <f t="shared" si="26"/>
        <v>0</v>
      </c>
      <c r="BF20" s="418" t="b">
        <f t="shared" si="27"/>
        <v>0</v>
      </c>
      <c r="BG20" s="417" t="b">
        <f t="shared" si="28"/>
        <v>1</v>
      </c>
      <c r="BH20" s="417">
        <f t="shared" si="29"/>
        <v>1</v>
      </c>
      <c r="BI20" s="417">
        <f t="shared" si="30"/>
        <v>2</v>
      </c>
      <c r="BJ20" s="417" t="str">
        <f t="shared" si="31"/>
        <v>2*</v>
      </c>
      <c r="BK20" s="417">
        <f t="shared" si="32"/>
        <v>3</v>
      </c>
      <c r="BL20" s="435">
        <f t="shared" si="33"/>
        <v>1</v>
      </c>
      <c r="BM20" s="417">
        <f t="shared" si="34"/>
        <v>2</v>
      </c>
      <c r="BN20" s="417">
        <f t="shared" si="35"/>
        <v>3</v>
      </c>
      <c r="BO20" s="443"/>
      <c r="BP20" s="434"/>
      <c r="BQ20" s="1629" t="s">
        <v>224</v>
      </c>
      <c r="BR20" s="1629"/>
      <c r="BS20" s="1629"/>
      <c r="BT20" s="1629"/>
      <c r="BU20" s="1629"/>
    </row>
    <row r="21" spans="2:75" s="416" customFormat="1" ht="12.95" customHeight="1" x14ac:dyDescent="0.25">
      <c r="B21" s="433">
        <f>IF(ISNA(Z21),"",IF(OR(Z21=1,Z21=2),"    ",MAX($B$9:B20)+1))</f>
        <v>10</v>
      </c>
      <c r="C21" s="1618" t="str">
        <f t="shared" si="0"/>
        <v xml:space="preserve">      - Profess. Tone &amp; Word Choice (3.0%)</v>
      </c>
      <c r="D21" s="1618"/>
      <c r="E21" s="1618"/>
      <c r="F21" s="1619"/>
      <c r="G21" s="437">
        <f t="shared" si="1"/>
        <v>1</v>
      </c>
      <c r="H21" s="431" t="str">
        <f t="shared" si="2"/>
        <v>2*</v>
      </c>
      <c r="I21" s="436">
        <f t="shared" si="3"/>
        <v>3</v>
      </c>
      <c r="J21" s="449"/>
      <c r="K21" s="448"/>
      <c r="L21" s="1612"/>
      <c r="M21" s="1613"/>
      <c r="N21" s="1613"/>
      <c r="O21" s="1613"/>
      <c r="P21" s="1613"/>
      <c r="Q21" s="1613"/>
      <c r="R21" s="1614"/>
      <c r="T21" s="401">
        <v>13</v>
      </c>
      <c r="U21" s="374" t="s">
        <v>635</v>
      </c>
      <c r="V21" s="421">
        <v>1</v>
      </c>
      <c r="W21" s="421">
        <v>1</v>
      </c>
      <c r="X21" s="421" t="s">
        <v>212</v>
      </c>
      <c r="Y21" s="421" t="s">
        <v>212</v>
      </c>
      <c r="Z21" s="393" t="s">
        <v>212</v>
      </c>
      <c r="AA21" s="393">
        <v>2</v>
      </c>
      <c r="AB21" s="393">
        <v>1</v>
      </c>
      <c r="AC21" s="421">
        <v>3</v>
      </c>
      <c r="AD21" s="421">
        <v>2</v>
      </c>
      <c r="AE21" s="421">
        <v>1</v>
      </c>
      <c r="AF21" s="421" t="b">
        <v>1</v>
      </c>
      <c r="AG21" s="421">
        <f t="shared" si="4"/>
        <v>2</v>
      </c>
      <c r="AH21" s="421">
        <f t="shared" si="5"/>
        <v>1</v>
      </c>
      <c r="AI21" s="427">
        <f>IF(NOT(OR(Z21=1,Z21=2)),IF(AQ21&gt;0,$AR$45*AQ21/SUMIF($AQ$9:$AQ$40,"&gt;0"),IF(AU21&gt;0,$AV$45*AU21/SUMIF($AU$9:$AU$40,"&gt;0"),IF(AS21&gt;0,$AT$45*AS21/SUMIF($AS$9:$AS$40,"&gt;0"),""))),IF(SUMIF(AJ22:$AJ$40,"=" &amp; AJ21,AI22:$AI$40)=0,"",SUMIF(AJ22:$AJ$40,"=" &amp; AJ21,AI22:$AI$40)))</f>
        <v>3.0000000966000025E-2</v>
      </c>
      <c r="AJ21" s="426">
        <f t="shared" si="36"/>
        <v>2</v>
      </c>
      <c r="AK21" s="421">
        <f t="shared" si="6"/>
        <v>2</v>
      </c>
      <c r="AL21" s="393" t="str">
        <f t="shared" si="7"/>
        <v/>
      </c>
      <c r="AM21" s="393" t="str">
        <f t="shared" si="8"/>
        <v/>
      </c>
      <c r="AN21" s="393" t="str">
        <f t="shared" si="9"/>
        <v/>
      </c>
      <c r="AO21" s="393" t="str">
        <f t="shared" si="10"/>
        <v/>
      </c>
      <c r="AP21" s="421" t="b">
        <f t="shared" si="11"/>
        <v>1</v>
      </c>
      <c r="AQ21" s="425">
        <f t="shared" si="12"/>
        <v>1</v>
      </c>
      <c r="AR21" s="423" t="str">
        <f t="shared" si="13"/>
        <v/>
      </c>
      <c r="AS21" s="424">
        <f t="shared" si="14"/>
        <v>0</v>
      </c>
      <c r="AT21" s="423" t="str">
        <f t="shared" si="15"/>
        <v/>
      </c>
      <c r="AU21" s="420">
        <f t="shared" si="16"/>
        <v>0</v>
      </c>
      <c r="AV21" s="422" t="str">
        <f t="shared" si="17"/>
        <v/>
      </c>
      <c r="AW21" s="420" t="b">
        <f t="shared" si="18"/>
        <v>0</v>
      </c>
      <c r="AX21" s="419" t="b">
        <f t="shared" si="19"/>
        <v>1</v>
      </c>
      <c r="AY21" s="420" t="b">
        <f t="shared" si="20"/>
        <v>0</v>
      </c>
      <c r="AZ21" s="419" t="b">
        <f t="shared" si="21"/>
        <v>0</v>
      </c>
      <c r="BA21" s="421" t="b">
        <f t="shared" si="22"/>
        <v>0</v>
      </c>
      <c r="BB21" s="421" t="b">
        <f t="shared" si="23"/>
        <v>0</v>
      </c>
      <c r="BC21" s="420" t="b">
        <f t="shared" si="24"/>
        <v>0</v>
      </c>
      <c r="BD21" s="393" t="b">
        <f t="shared" si="25"/>
        <v>0</v>
      </c>
      <c r="BE21" s="419" t="b">
        <f t="shared" si="26"/>
        <v>0</v>
      </c>
      <c r="BF21" s="418" t="b">
        <f t="shared" si="27"/>
        <v>0</v>
      </c>
      <c r="BG21" s="417" t="b">
        <f t="shared" si="28"/>
        <v>1</v>
      </c>
      <c r="BH21" s="417">
        <f t="shared" si="29"/>
        <v>1</v>
      </c>
      <c r="BI21" s="417">
        <f t="shared" si="30"/>
        <v>2</v>
      </c>
      <c r="BJ21" s="417" t="str">
        <f t="shared" si="31"/>
        <v>2*</v>
      </c>
      <c r="BK21" s="417">
        <f t="shared" si="32"/>
        <v>3</v>
      </c>
      <c r="BL21" s="435">
        <f t="shared" si="33"/>
        <v>1</v>
      </c>
      <c r="BM21" s="417">
        <f t="shared" si="34"/>
        <v>2</v>
      </c>
      <c r="BN21" s="417">
        <f t="shared" si="35"/>
        <v>3</v>
      </c>
      <c r="BO21" s="443"/>
      <c r="BP21" s="443"/>
      <c r="BQ21" s="443">
        <v>0</v>
      </c>
      <c r="BR21" s="443">
        <v>1</v>
      </c>
      <c r="BS21" s="443">
        <v>2</v>
      </c>
      <c r="BT21" s="443">
        <v>3</v>
      </c>
      <c r="BU21" s="443">
        <v>4</v>
      </c>
    </row>
    <row r="22" spans="2:75" s="416" customFormat="1" ht="12.95" customHeight="1" x14ac:dyDescent="0.25">
      <c r="B22" s="433" t="str">
        <f>IF(ISNA(Z22),"",IF(OR(Z22=1,Z22=2),"    ",MAX($B$9:B21)+1))</f>
        <v xml:space="preserve">    </v>
      </c>
      <c r="C22" s="1618" t="str">
        <f t="shared" si="0"/>
        <v>Visual Eng &amp; Data Presentation (20.0%)</v>
      </c>
      <c r="D22" s="1618"/>
      <c r="E22" s="1618"/>
      <c r="F22" s="1619"/>
      <c r="G22" s="437" t="str">
        <f t="shared" si="1"/>
        <v/>
      </c>
      <c r="H22" s="431" t="str">
        <f t="shared" si="2"/>
        <v/>
      </c>
      <c r="I22" s="436" t="str">
        <f t="shared" si="3"/>
        <v/>
      </c>
      <c r="J22" s="429"/>
      <c r="K22" s="428"/>
      <c r="L22" s="1612"/>
      <c r="M22" s="1613"/>
      <c r="N22" s="1613"/>
      <c r="O22" s="1613"/>
      <c r="P22" s="1613"/>
      <c r="Q22" s="1613"/>
      <c r="R22" s="1614"/>
      <c r="T22" s="401">
        <v>14</v>
      </c>
      <c r="U22" s="374" t="s">
        <v>634</v>
      </c>
      <c r="V22" s="421" t="s">
        <v>212</v>
      </c>
      <c r="W22" s="421" t="s">
        <v>212</v>
      </c>
      <c r="X22" s="421" t="s">
        <v>212</v>
      </c>
      <c r="Y22" s="421" t="s">
        <v>212</v>
      </c>
      <c r="Z22" s="393">
        <v>2</v>
      </c>
      <c r="AA22" s="393">
        <v>1</v>
      </c>
      <c r="AB22" s="393">
        <v>1</v>
      </c>
      <c r="AC22" s="421" t="s">
        <v>212</v>
      </c>
      <c r="AD22" s="421" t="s">
        <v>212</v>
      </c>
      <c r="AE22" s="421" t="s">
        <v>212</v>
      </c>
      <c r="AF22" s="421" t="s">
        <v>212</v>
      </c>
      <c r="AG22" s="421" t="str">
        <f t="shared" si="4"/>
        <v/>
      </c>
      <c r="AH22" s="421" t="str">
        <f t="shared" si="5"/>
        <v/>
      </c>
      <c r="AI22" s="427">
        <f>IF(NOT(OR(Z22=1,Z22=2)),IF(AQ22&gt;0,$AR$45*AQ22/SUMIF($AQ$9:$AQ$40,"&gt;0"),IF(AU22&gt;0,$AV$45*AU22/SUMIF($AU$9:$AU$40,"&gt;0"),IF(AS22&gt;0,$AT$45*AS22/SUMIF($AS$9:$AS$40,"&gt;0"),""))),IF(SUMIF(AJ23:$AJ$40,"=" &amp; AJ22,AI23:$AI$40)=0,"",SUMIF(AJ23:$AJ$40,"=" &amp; AJ22,AI23:$AI$40)))</f>
        <v>0.20000000624000017</v>
      </c>
      <c r="AJ22" s="426">
        <f t="shared" si="36"/>
        <v>3</v>
      </c>
      <c r="AK22" s="421" t="str">
        <f t="shared" si="6"/>
        <v/>
      </c>
      <c r="AL22" s="393" t="str">
        <f t="shared" si="7"/>
        <v/>
      </c>
      <c r="AM22" s="393" t="str">
        <f t="shared" si="8"/>
        <v/>
      </c>
      <c r="AN22" s="393" t="str">
        <f t="shared" si="9"/>
        <v/>
      </c>
      <c r="AO22" s="393" t="str">
        <f t="shared" si="10"/>
        <v/>
      </c>
      <c r="AP22" s="421" t="str">
        <f t="shared" si="11"/>
        <v/>
      </c>
      <c r="AQ22" s="425">
        <f t="shared" si="12"/>
        <v>0</v>
      </c>
      <c r="AR22" s="423" t="str">
        <f t="shared" si="13"/>
        <v/>
      </c>
      <c r="AS22" s="424">
        <f t="shared" si="14"/>
        <v>0</v>
      </c>
      <c r="AT22" s="423" t="str">
        <f t="shared" si="15"/>
        <v/>
      </c>
      <c r="AU22" s="420">
        <f t="shared" si="16"/>
        <v>0</v>
      </c>
      <c r="AV22" s="422" t="str">
        <f t="shared" si="17"/>
        <v/>
      </c>
      <c r="AW22" s="420" t="b">
        <f t="shared" si="18"/>
        <v>0</v>
      </c>
      <c r="AX22" s="419" t="b">
        <f t="shared" si="19"/>
        <v>0</v>
      </c>
      <c r="AY22" s="420" t="b">
        <f t="shared" si="20"/>
        <v>0</v>
      </c>
      <c r="AZ22" s="419" t="b">
        <f t="shared" si="21"/>
        <v>0</v>
      </c>
      <c r="BA22" s="421" t="b">
        <f t="shared" si="22"/>
        <v>0</v>
      </c>
      <c r="BB22" s="421" t="b">
        <f t="shared" si="23"/>
        <v>0</v>
      </c>
      <c r="BC22" s="420" t="b">
        <f t="shared" si="24"/>
        <v>0</v>
      </c>
      <c r="BD22" s="393" t="b">
        <f t="shared" si="25"/>
        <v>0</v>
      </c>
      <c r="BE22" s="419" t="b">
        <f t="shared" si="26"/>
        <v>0</v>
      </c>
      <c r="BF22" s="418" t="b">
        <f t="shared" si="27"/>
        <v>0</v>
      </c>
      <c r="BG22" s="417" t="b">
        <f t="shared" si="28"/>
        <v>0</v>
      </c>
      <c r="BH22" s="417" t="str">
        <f t="shared" si="29"/>
        <v/>
      </c>
      <c r="BI22" s="417" t="str">
        <f t="shared" si="30"/>
        <v/>
      </c>
      <c r="BJ22" s="417" t="str">
        <f t="shared" si="31"/>
        <v/>
      </c>
      <c r="BK22" s="417" t="str">
        <f t="shared" si="32"/>
        <v/>
      </c>
      <c r="BL22" s="435" t="str">
        <f t="shared" si="33"/>
        <v/>
      </c>
      <c r="BM22" s="417" t="str">
        <f t="shared" si="34"/>
        <v/>
      </c>
      <c r="BN22" s="417" t="str">
        <f t="shared" si="35"/>
        <v/>
      </c>
      <c r="BO22" s="1630" t="s">
        <v>226</v>
      </c>
      <c r="BP22" s="443" t="s">
        <v>227</v>
      </c>
      <c r="BQ22" s="453">
        <f t="shared" ref="BQ22:BQ30" si="37">AR51</f>
        <v>0.7</v>
      </c>
      <c r="BR22" s="452">
        <f t="shared" ref="BR22:BR30" si="38">AS51</f>
        <v>0.9</v>
      </c>
      <c r="BS22" s="452">
        <f t="shared" ref="BS22:BS30" si="39">AT51</f>
        <v>0.93330000000000002</v>
      </c>
      <c r="BT22" s="452">
        <f t="shared" ref="BT22:BT30" si="40">AU51</f>
        <v>0.9667</v>
      </c>
      <c r="BU22" s="451">
        <f t="shared" ref="BU22:BU30" si="41">AV51</f>
        <v>1</v>
      </c>
      <c r="BV22" s="450"/>
      <c r="BW22" s="447"/>
    </row>
    <row r="23" spans="2:75" s="416" customFormat="1" ht="12.95" customHeight="1" x14ac:dyDescent="0.25">
      <c r="B23" s="433">
        <f>IF(ISNA(Z23),"",IF(OR(Z23=1,Z23=2),"    ",MAX($B$9:B22)+1))</f>
        <v>11</v>
      </c>
      <c r="C23" s="1618" t="str">
        <f t="shared" si="0"/>
        <v xml:space="preserve">      - Anatomy of a Valid Plot/Table (8.0%)</v>
      </c>
      <c r="D23" s="1618"/>
      <c r="E23" s="1618"/>
      <c r="F23" s="1619"/>
      <c r="G23" s="437">
        <f t="shared" si="1"/>
        <v>1</v>
      </c>
      <c r="H23" s="431" t="str">
        <f t="shared" si="2"/>
        <v>2*</v>
      </c>
      <c r="I23" s="436">
        <f t="shared" si="3"/>
        <v>3</v>
      </c>
      <c r="J23" s="449"/>
      <c r="K23" s="448"/>
      <c r="L23" s="1612"/>
      <c r="M23" s="1613"/>
      <c r="N23" s="1613"/>
      <c r="O23" s="1613"/>
      <c r="P23" s="1613"/>
      <c r="Q23" s="1613"/>
      <c r="R23" s="1614"/>
      <c r="T23" s="401">
        <v>15</v>
      </c>
      <c r="U23" s="374" t="s">
        <v>633</v>
      </c>
      <c r="V23" s="421">
        <v>1</v>
      </c>
      <c r="W23" s="421">
        <v>2.6666666600000002</v>
      </c>
      <c r="X23" s="421" t="s">
        <v>212</v>
      </c>
      <c r="Y23" s="421" t="s">
        <v>212</v>
      </c>
      <c r="Z23" s="393" t="s">
        <v>212</v>
      </c>
      <c r="AA23" s="393">
        <v>2</v>
      </c>
      <c r="AB23" s="393">
        <v>1</v>
      </c>
      <c r="AC23" s="421">
        <v>3</v>
      </c>
      <c r="AD23" s="421">
        <v>2</v>
      </c>
      <c r="AE23" s="421">
        <v>1</v>
      </c>
      <c r="AF23" s="421" t="b">
        <v>1</v>
      </c>
      <c r="AG23" s="421">
        <f t="shared" si="4"/>
        <v>2</v>
      </c>
      <c r="AH23" s="421">
        <f t="shared" si="5"/>
        <v>1</v>
      </c>
      <c r="AI23" s="427">
        <f>IF(NOT(OR(Z23=1,Z23=2)),IF(AQ23&gt;0,$AR$45*AQ23/SUMIF($AQ$9:$AQ$40,"&gt;0"),IF(AU23&gt;0,$AV$45*AU23/SUMIF($AU$9:$AU$40,"&gt;0"),IF(AS23&gt;0,$AT$45*AS23/SUMIF($AS$9:$AS$40,"&gt;0"),""))),IF(SUMIF(AJ24:$AJ$40,"=" &amp; AJ23,AI24:$AI$40)=0,"",SUMIF(AJ24:$AJ$40,"=" &amp; AJ23,AI24:$AI$40)))</f>
        <v>8.0000002376000065E-2</v>
      </c>
      <c r="AJ23" s="426">
        <f t="shared" si="36"/>
        <v>3</v>
      </c>
      <c r="AK23" s="421">
        <f t="shared" si="6"/>
        <v>2</v>
      </c>
      <c r="AL23" s="393" t="str">
        <f t="shared" si="7"/>
        <v/>
      </c>
      <c r="AM23" s="393" t="str">
        <f t="shared" si="8"/>
        <v/>
      </c>
      <c r="AN23" s="393" t="str">
        <f t="shared" si="9"/>
        <v/>
      </c>
      <c r="AO23" s="393" t="str">
        <f t="shared" si="10"/>
        <v/>
      </c>
      <c r="AP23" s="421" t="b">
        <f t="shared" si="11"/>
        <v>1</v>
      </c>
      <c r="AQ23" s="425">
        <f t="shared" si="12"/>
        <v>2.6666666600000002</v>
      </c>
      <c r="AR23" s="423" t="str">
        <f t="shared" si="13"/>
        <v/>
      </c>
      <c r="AS23" s="424">
        <f t="shared" si="14"/>
        <v>0</v>
      </c>
      <c r="AT23" s="423" t="str">
        <f t="shared" si="15"/>
        <v/>
      </c>
      <c r="AU23" s="420">
        <f t="shared" si="16"/>
        <v>0</v>
      </c>
      <c r="AV23" s="422" t="str">
        <f t="shared" si="17"/>
        <v/>
      </c>
      <c r="AW23" s="420" t="b">
        <f t="shared" si="18"/>
        <v>0</v>
      </c>
      <c r="AX23" s="419" t="b">
        <f t="shared" si="19"/>
        <v>1</v>
      </c>
      <c r="AY23" s="420" t="b">
        <f t="shared" si="20"/>
        <v>0</v>
      </c>
      <c r="AZ23" s="419" t="b">
        <f t="shared" si="21"/>
        <v>0</v>
      </c>
      <c r="BA23" s="421" t="b">
        <f t="shared" si="22"/>
        <v>0</v>
      </c>
      <c r="BB23" s="421" t="b">
        <f t="shared" si="23"/>
        <v>0</v>
      </c>
      <c r="BC23" s="420" t="b">
        <f t="shared" si="24"/>
        <v>0</v>
      </c>
      <c r="BD23" s="393" t="b">
        <f t="shared" si="25"/>
        <v>0</v>
      </c>
      <c r="BE23" s="419" t="b">
        <f t="shared" si="26"/>
        <v>0</v>
      </c>
      <c r="BF23" s="418" t="b">
        <f t="shared" si="27"/>
        <v>0</v>
      </c>
      <c r="BG23" s="417" t="b">
        <f t="shared" si="28"/>
        <v>1</v>
      </c>
      <c r="BH23" s="417">
        <f t="shared" si="29"/>
        <v>1</v>
      </c>
      <c r="BI23" s="417">
        <f t="shared" si="30"/>
        <v>2</v>
      </c>
      <c r="BJ23" s="417" t="str">
        <f t="shared" si="31"/>
        <v>2*</v>
      </c>
      <c r="BK23" s="417">
        <f t="shared" si="32"/>
        <v>3</v>
      </c>
      <c r="BL23" s="435">
        <f t="shared" si="33"/>
        <v>1</v>
      </c>
      <c r="BM23" s="417">
        <f t="shared" si="34"/>
        <v>2</v>
      </c>
      <c r="BN23" s="417">
        <f t="shared" si="35"/>
        <v>3</v>
      </c>
      <c r="BO23" s="1630"/>
      <c r="BP23" s="443" t="s">
        <v>228</v>
      </c>
      <c r="BQ23" s="446">
        <f t="shared" si="37"/>
        <v>0.7</v>
      </c>
      <c r="BR23" s="445">
        <f t="shared" si="38"/>
        <v>0.8</v>
      </c>
      <c r="BS23" s="445">
        <f t="shared" si="39"/>
        <v>0.9</v>
      </c>
      <c r="BT23" s="445">
        <f t="shared" si="40"/>
        <v>0.95</v>
      </c>
      <c r="BU23" s="444">
        <f t="shared" si="41"/>
        <v>1</v>
      </c>
      <c r="BV23" s="447"/>
      <c r="BW23" s="403"/>
    </row>
    <row r="24" spans="2:75" s="416" customFormat="1" ht="12.95" customHeight="1" x14ac:dyDescent="0.25">
      <c r="B24" s="433">
        <f>IF(ISNA(Z24),"",IF(OR(Z24=1,Z24=2),"    ",MAX($B$9:B23)+1))</f>
        <v>12</v>
      </c>
      <c r="C24" s="1618" t="str">
        <f t="shared" si="0"/>
        <v xml:space="preserve">      - Data-Ink Ratio &amp; Clarity (6.0%)</v>
      </c>
      <c r="D24" s="1618"/>
      <c r="E24" s="1618"/>
      <c r="F24" s="1619"/>
      <c r="G24" s="437">
        <f t="shared" si="1"/>
        <v>1</v>
      </c>
      <c r="H24" s="431" t="str">
        <f t="shared" si="2"/>
        <v>2*</v>
      </c>
      <c r="I24" s="436">
        <f t="shared" si="3"/>
        <v>3</v>
      </c>
      <c r="J24" s="449"/>
      <c r="K24" s="448"/>
      <c r="L24" s="1612"/>
      <c r="M24" s="1613"/>
      <c r="N24" s="1613"/>
      <c r="O24" s="1613"/>
      <c r="P24" s="1613"/>
      <c r="Q24" s="1613"/>
      <c r="R24" s="1614"/>
      <c r="T24" s="401">
        <v>16</v>
      </c>
      <c r="U24" s="374" t="s">
        <v>632</v>
      </c>
      <c r="V24" s="421">
        <v>1</v>
      </c>
      <c r="W24" s="421">
        <v>2</v>
      </c>
      <c r="X24" s="421" t="s">
        <v>212</v>
      </c>
      <c r="Y24" s="421" t="s">
        <v>212</v>
      </c>
      <c r="Z24" s="393" t="s">
        <v>212</v>
      </c>
      <c r="AA24" s="393">
        <v>2</v>
      </c>
      <c r="AB24" s="393">
        <v>1</v>
      </c>
      <c r="AC24" s="421">
        <v>3</v>
      </c>
      <c r="AD24" s="421">
        <v>2</v>
      </c>
      <c r="AE24" s="421">
        <v>1</v>
      </c>
      <c r="AF24" s="421" t="b">
        <v>1</v>
      </c>
      <c r="AG24" s="421">
        <f t="shared" si="4"/>
        <v>2</v>
      </c>
      <c r="AH24" s="421">
        <f t="shared" si="5"/>
        <v>1</v>
      </c>
      <c r="AI24" s="427">
        <f>IF(NOT(OR(Z24=1,Z24=2)),IF(AQ24&gt;0,$AR$45*AQ24/SUMIF($AQ$9:$AQ$40,"&gt;0"),IF(AU24&gt;0,$AV$45*AU24/SUMIF($AU$9:$AU$40,"&gt;0"),IF(AS24&gt;0,$AT$45*AS24/SUMIF($AS$9:$AS$40,"&gt;0"),""))),IF(SUMIF(AJ25:$AJ$40,"=" &amp; AJ24,AI25:$AI$40)=0,"",SUMIF(AJ25:$AJ$40,"=" &amp; AJ24,AI25:$AI$40)))</f>
        <v>6.0000001932000051E-2</v>
      </c>
      <c r="AJ24" s="426">
        <f t="shared" si="36"/>
        <v>3</v>
      </c>
      <c r="AK24" s="421">
        <f t="shared" si="6"/>
        <v>2</v>
      </c>
      <c r="AL24" s="393" t="str">
        <f t="shared" si="7"/>
        <v/>
      </c>
      <c r="AM24" s="393" t="str">
        <f t="shared" si="8"/>
        <v/>
      </c>
      <c r="AN24" s="393" t="str">
        <f t="shared" si="9"/>
        <v/>
      </c>
      <c r="AO24" s="393" t="str">
        <f t="shared" si="10"/>
        <v/>
      </c>
      <c r="AP24" s="421" t="b">
        <f t="shared" si="11"/>
        <v>1</v>
      </c>
      <c r="AQ24" s="425">
        <f t="shared" si="12"/>
        <v>2</v>
      </c>
      <c r="AR24" s="423" t="str">
        <f t="shared" si="13"/>
        <v/>
      </c>
      <c r="AS24" s="424">
        <f t="shared" si="14"/>
        <v>0</v>
      </c>
      <c r="AT24" s="423" t="str">
        <f t="shared" si="15"/>
        <v/>
      </c>
      <c r="AU24" s="420">
        <f t="shared" si="16"/>
        <v>0</v>
      </c>
      <c r="AV24" s="422" t="str">
        <f t="shared" si="17"/>
        <v/>
      </c>
      <c r="AW24" s="420" t="b">
        <f t="shared" si="18"/>
        <v>0</v>
      </c>
      <c r="AX24" s="419" t="b">
        <f t="shared" si="19"/>
        <v>1</v>
      </c>
      <c r="AY24" s="420" t="b">
        <f t="shared" si="20"/>
        <v>0</v>
      </c>
      <c r="AZ24" s="419" t="b">
        <f t="shared" si="21"/>
        <v>0</v>
      </c>
      <c r="BA24" s="421" t="b">
        <f t="shared" si="22"/>
        <v>0</v>
      </c>
      <c r="BB24" s="421" t="b">
        <f t="shared" si="23"/>
        <v>0</v>
      </c>
      <c r="BC24" s="420" t="b">
        <f t="shared" si="24"/>
        <v>0</v>
      </c>
      <c r="BD24" s="393" t="b">
        <f t="shared" si="25"/>
        <v>0</v>
      </c>
      <c r="BE24" s="419" t="b">
        <f t="shared" si="26"/>
        <v>0</v>
      </c>
      <c r="BF24" s="418" t="b">
        <f t="shared" si="27"/>
        <v>0</v>
      </c>
      <c r="BG24" s="417" t="b">
        <f t="shared" si="28"/>
        <v>1</v>
      </c>
      <c r="BH24" s="417">
        <f t="shared" si="29"/>
        <v>1</v>
      </c>
      <c r="BI24" s="417">
        <f t="shared" si="30"/>
        <v>2</v>
      </c>
      <c r="BJ24" s="417" t="str">
        <f t="shared" si="31"/>
        <v>2*</v>
      </c>
      <c r="BK24" s="417">
        <f t="shared" si="32"/>
        <v>3</v>
      </c>
      <c r="BL24" s="435">
        <f t="shared" si="33"/>
        <v>1</v>
      </c>
      <c r="BM24" s="417">
        <f t="shared" si="34"/>
        <v>2</v>
      </c>
      <c r="BN24" s="417">
        <f t="shared" si="35"/>
        <v>3</v>
      </c>
      <c r="BO24" s="1630"/>
      <c r="BP24" s="443" t="s">
        <v>229</v>
      </c>
      <c r="BQ24" s="446">
        <f t="shared" si="37"/>
        <v>0.7</v>
      </c>
      <c r="BR24" s="445">
        <f t="shared" si="38"/>
        <v>0.76670000000000005</v>
      </c>
      <c r="BS24" s="445">
        <f t="shared" si="39"/>
        <v>0.83330000000000004</v>
      </c>
      <c r="BT24" s="445">
        <f t="shared" si="40"/>
        <v>0.9</v>
      </c>
      <c r="BU24" s="444">
        <f t="shared" si="41"/>
        <v>1</v>
      </c>
      <c r="BV24" s="447"/>
      <c r="BW24" s="403"/>
    </row>
    <row r="25" spans="2:75" s="416" customFormat="1" ht="12.95" customHeight="1" x14ac:dyDescent="0.25">
      <c r="B25" s="433">
        <f>IF(ISNA(Z25),"",IF(OR(Z25=1,Z25=2),"    ",MAX($B$9:B24)+1))</f>
        <v>13</v>
      </c>
      <c r="C25" s="1618" t="str">
        <f t="shared" si="0"/>
        <v xml:space="preserve">      - Data Honesty &amp; Context (6.0%)</v>
      </c>
      <c r="D25" s="1618"/>
      <c r="E25" s="1618"/>
      <c r="F25" s="1619"/>
      <c r="G25" s="437">
        <f t="shared" si="1"/>
        <v>1</v>
      </c>
      <c r="H25" s="431" t="str">
        <f t="shared" si="2"/>
        <v>2*</v>
      </c>
      <c r="I25" s="436">
        <f t="shared" si="3"/>
        <v>3</v>
      </c>
      <c r="J25" s="449"/>
      <c r="K25" s="448"/>
      <c r="L25" s="1612"/>
      <c r="M25" s="1613"/>
      <c r="N25" s="1613"/>
      <c r="O25" s="1613"/>
      <c r="P25" s="1613"/>
      <c r="Q25" s="1613"/>
      <c r="R25" s="1614"/>
      <c r="T25" s="401">
        <v>17</v>
      </c>
      <c r="U25" s="374" t="s">
        <v>631</v>
      </c>
      <c r="V25" s="421">
        <v>1</v>
      </c>
      <c r="W25" s="421">
        <v>2</v>
      </c>
      <c r="X25" s="421" t="s">
        <v>212</v>
      </c>
      <c r="Y25" s="421" t="s">
        <v>212</v>
      </c>
      <c r="Z25" s="393" t="s">
        <v>212</v>
      </c>
      <c r="AA25" s="393">
        <v>2</v>
      </c>
      <c r="AB25" s="393">
        <v>1</v>
      </c>
      <c r="AC25" s="421">
        <v>3</v>
      </c>
      <c r="AD25" s="421">
        <v>2</v>
      </c>
      <c r="AE25" s="421">
        <v>1</v>
      </c>
      <c r="AF25" s="421" t="b">
        <v>1</v>
      </c>
      <c r="AG25" s="421">
        <f t="shared" si="4"/>
        <v>2</v>
      </c>
      <c r="AH25" s="421">
        <f t="shared" si="5"/>
        <v>1</v>
      </c>
      <c r="AI25" s="427">
        <f>IF(NOT(OR(Z25=1,Z25=2)),IF(AQ25&gt;0,$AR$45*AQ25/SUMIF($AQ$9:$AQ$40,"&gt;0"),IF(AU25&gt;0,$AV$45*AU25/SUMIF($AU$9:$AU$40,"&gt;0"),IF(AS25&gt;0,$AT$45*AS25/SUMIF($AS$9:$AS$40,"&gt;0"),""))),IF(SUMIF(AJ26:$AJ$40,"=" &amp; AJ25,AI26:$AI$40)=0,"",SUMIF(AJ26:$AJ$40,"=" &amp; AJ25,AI26:$AI$40)))</f>
        <v>6.0000001932000051E-2</v>
      </c>
      <c r="AJ25" s="426">
        <f t="shared" si="36"/>
        <v>3</v>
      </c>
      <c r="AK25" s="421">
        <f t="shared" si="6"/>
        <v>2</v>
      </c>
      <c r="AL25" s="393" t="str">
        <f t="shared" si="7"/>
        <v/>
      </c>
      <c r="AM25" s="393" t="str">
        <f t="shared" si="8"/>
        <v/>
      </c>
      <c r="AN25" s="393" t="str">
        <f t="shared" si="9"/>
        <v/>
      </c>
      <c r="AO25" s="393" t="str">
        <f t="shared" si="10"/>
        <v/>
      </c>
      <c r="AP25" s="421" t="b">
        <f t="shared" si="11"/>
        <v>1</v>
      </c>
      <c r="AQ25" s="425">
        <f t="shared" si="12"/>
        <v>2</v>
      </c>
      <c r="AR25" s="423" t="str">
        <f t="shared" si="13"/>
        <v/>
      </c>
      <c r="AS25" s="424">
        <f t="shared" si="14"/>
        <v>0</v>
      </c>
      <c r="AT25" s="423" t="str">
        <f t="shared" si="15"/>
        <v/>
      </c>
      <c r="AU25" s="420">
        <f t="shared" si="16"/>
        <v>0</v>
      </c>
      <c r="AV25" s="422" t="str">
        <f t="shared" si="17"/>
        <v/>
      </c>
      <c r="AW25" s="420" t="b">
        <f t="shared" si="18"/>
        <v>0</v>
      </c>
      <c r="AX25" s="419" t="b">
        <f t="shared" si="19"/>
        <v>1</v>
      </c>
      <c r="AY25" s="420" t="b">
        <f t="shared" si="20"/>
        <v>0</v>
      </c>
      <c r="AZ25" s="419" t="b">
        <f t="shared" si="21"/>
        <v>0</v>
      </c>
      <c r="BA25" s="421" t="b">
        <f t="shared" si="22"/>
        <v>0</v>
      </c>
      <c r="BB25" s="421" t="b">
        <f t="shared" si="23"/>
        <v>0</v>
      </c>
      <c r="BC25" s="420" t="b">
        <f t="shared" si="24"/>
        <v>0</v>
      </c>
      <c r="BD25" s="393" t="b">
        <f t="shared" si="25"/>
        <v>0</v>
      </c>
      <c r="BE25" s="419" t="b">
        <f t="shared" si="26"/>
        <v>0</v>
      </c>
      <c r="BF25" s="418" t="b">
        <f t="shared" si="27"/>
        <v>0</v>
      </c>
      <c r="BG25" s="417" t="b">
        <f t="shared" si="28"/>
        <v>1</v>
      </c>
      <c r="BH25" s="417">
        <f t="shared" si="29"/>
        <v>1</v>
      </c>
      <c r="BI25" s="417">
        <f t="shared" si="30"/>
        <v>2</v>
      </c>
      <c r="BJ25" s="417" t="str">
        <f t="shared" si="31"/>
        <v>2*</v>
      </c>
      <c r="BK25" s="417">
        <f t="shared" si="32"/>
        <v>3</v>
      </c>
      <c r="BL25" s="435">
        <f t="shared" si="33"/>
        <v>1</v>
      </c>
      <c r="BM25" s="417">
        <f t="shared" si="34"/>
        <v>2</v>
      </c>
      <c r="BN25" s="417">
        <f t="shared" si="35"/>
        <v>3</v>
      </c>
      <c r="BO25" s="1630"/>
      <c r="BP25" s="443" t="s">
        <v>230</v>
      </c>
      <c r="BQ25" s="446">
        <f t="shared" si="37"/>
        <v>0.6</v>
      </c>
      <c r="BR25" s="445">
        <f t="shared" si="38"/>
        <v>0.9</v>
      </c>
      <c r="BS25" s="445">
        <f t="shared" si="39"/>
        <v>0.93330000000000002</v>
      </c>
      <c r="BT25" s="445">
        <f t="shared" si="40"/>
        <v>0.9667</v>
      </c>
      <c r="BU25" s="444">
        <f t="shared" si="41"/>
        <v>1</v>
      </c>
      <c r="BV25" s="447"/>
      <c r="BW25" s="403"/>
    </row>
    <row r="26" spans="2:75" s="416" customFormat="1" ht="12.95" customHeight="1" x14ac:dyDescent="0.25">
      <c r="B26" s="433" t="str">
        <f>IF(ISNA(Z26),"",IF(OR(Z26=1,Z26=2),"    ",MAX($B$9:B25)+1))</f>
        <v/>
      </c>
      <c r="C26" s="1618" t="str">
        <f t="shared" si="0"/>
        <v/>
      </c>
      <c r="D26" s="1618"/>
      <c r="E26" s="1618"/>
      <c r="F26" s="1619"/>
      <c r="G26" s="437" t="str">
        <f t="shared" si="1"/>
        <v/>
      </c>
      <c r="H26" s="431" t="str">
        <f t="shared" si="2"/>
        <v/>
      </c>
      <c r="I26" s="436" t="str">
        <f t="shared" si="3"/>
        <v/>
      </c>
      <c r="J26" s="429"/>
      <c r="K26" s="428"/>
      <c r="L26" s="1612"/>
      <c r="M26" s="1613"/>
      <c r="N26" s="1613"/>
      <c r="O26" s="1613"/>
      <c r="P26" s="1613"/>
      <c r="Q26" s="1613"/>
      <c r="R26" s="1614"/>
      <c r="T26" s="401">
        <v>18</v>
      </c>
      <c r="U26" s="374" t="e">
        <v>#N/A</v>
      </c>
      <c r="V26" s="421" t="e">
        <v>#N/A</v>
      </c>
      <c r="W26" s="421" t="e">
        <v>#N/A</v>
      </c>
      <c r="X26" s="421" t="e">
        <v>#N/A</v>
      </c>
      <c r="Y26" s="421" t="e">
        <v>#N/A</v>
      </c>
      <c r="Z26" s="393" t="e">
        <v>#N/A</v>
      </c>
      <c r="AA26" s="393" t="e">
        <v>#N/A</v>
      </c>
      <c r="AB26" s="393" t="e">
        <v>#N/A</v>
      </c>
      <c r="AC26" s="421" t="e">
        <v>#N/A</v>
      </c>
      <c r="AD26" s="421" t="e">
        <v>#N/A</v>
      </c>
      <c r="AE26" s="421" t="e">
        <v>#N/A</v>
      </c>
      <c r="AF26" s="421" t="e">
        <v>#N/A</v>
      </c>
      <c r="AG26" s="421" t="e">
        <f t="shared" si="4"/>
        <v>#N/A</v>
      </c>
      <c r="AH26" s="421" t="str">
        <f t="shared" si="5"/>
        <v/>
      </c>
      <c r="AI26" s="427" t="e">
        <f>IF(NOT(OR(Z26=1,Z26=2)),IF(AQ26&gt;0,$AR$45*AQ26/SUMIF($AQ$9:$AQ$40,"&gt;0"),IF(AU26&gt;0,$AV$45*AU26/SUMIF($AU$9:$AU$40,"&gt;0"),IF(AS26&gt;0,$AT$45*AS26/SUMIF($AS$9:$AS$40,"&gt;0"),""))),IF(SUMIF(AJ27:$AJ$40,"=" &amp; AJ26,AI27:$AI$40)=0,"",SUMIF(AJ27:$AJ$40,"=" &amp; AJ26,AI27:$AI$40)))</f>
        <v>#N/A</v>
      </c>
      <c r="AJ26" s="426" t="e">
        <f t="shared" si="36"/>
        <v>#N/A</v>
      </c>
      <c r="AK26" s="421" t="str">
        <f t="shared" si="6"/>
        <v/>
      </c>
      <c r="AL26" s="393" t="str">
        <f t="shared" si="7"/>
        <v/>
      </c>
      <c r="AM26" s="393" t="str">
        <f t="shared" si="8"/>
        <v/>
      </c>
      <c r="AN26" s="393" t="str">
        <f t="shared" si="9"/>
        <v/>
      </c>
      <c r="AO26" s="393" t="e">
        <f t="shared" si="10"/>
        <v>#N/A</v>
      </c>
      <c r="AP26" s="421" t="str">
        <f t="shared" si="11"/>
        <v/>
      </c>
      <c r="AQ26" s="425">
        <f t="shared" si="12"/>
        <v>0</v>
      </c>
      <c r="AR26" s="423" t="str">
        <f t="shared" si="13"/>
        <v/>
      </c>
      <c r="AS26" s="424">
        <f t="shared" si="14"/>
        <v>0</v>
      </c>
      <c r="AT26" s="423" t="str">
        <f t="shared" si="15"/>
        <v/>
      </c>
      <c r="AU26" s="420">
        <f t="shared" si="16"/>
        <v>0</v>
      </c>
      <c r="AV26" s="422" t="str">
        <f t="shared" si="17"/>
        <v/>
      </c>
      <c r="AW26" s="420" t="b">
        <f t="shared" si="18"/>
        <v>0</v>
      </c>
      <c r="AX26" s="419" t="b">
        <f t="shared" si="19"/>
        <v>0</v>
      </c>
      <c r="AY26" s="420" t="b">
        <f t="shared" si="20"/>
        <v>0</v>
      </c>
      <c r="AZ26" s="419" t="b">
        <f t="shared" si="21"/>
        <v>0</v>
      </c>
      <c r="BA26" s="421" t="b">
        <f t="shared" si="22"/>
        <v>0</v>
      </c>
      <c r="BB26" s="421" t="b">
        <f t="shared" si="23"/>
        <v>0</v>
      </c>
      <c r="BC26" s="420" t="b">
        <f t="shared" si="24"/>
        <v>0</v>
      </c>
      <c r="BD26" s="393" t="b">
        <f t="shared" si="25"/>
        <v>0</v>
      </c>
      <c r="BE26" s="419" t="b">
        <f t="shared" si="26"/>
        <v>0</v>
      </c>
      <c r="BF26" s="418" t="b">
        <f t="shared" si="27"/>
        <v>0</v>
      </c>
      <c r="BG26" s="417" t="str">
        <f t="shared" si="28"/>
        <v>NA</v>
      </c>
      <c r="BH26" s="417" t="str">
        <f t="shared" si="29"/>
        <v/>
      </c>
      <c r="BI26" s="417" t="str">
        <f t="shared" si="30"/>
        <v/>
      </c>
      <c r="BJ26" s="417" t="str">
        <f t="shared" si="31"/>
        <v/>
      </c>
      <c r="BK26" s="417" t="str">
        <f t="shared" si="32"/>
        <v/>
      </c>
      <c r="BL26" s="435" t="str">
        <f t="shared" si="33"/>
        <v/>
      </c>
      <c r="BM26" s="417" t="str">
        <f t="shared" si="34"/>
        <v/>
      </c>
      <c r="BN26" s="417" t="str">
        <f t="shared" si="35"/>
        <v/>
      </c>
      <c r="BO26" s="1630"/>
      <c r="BP26" s="443" t="s">
        <v>231</v>
      </c>
      <c r="BQ26" s="446">
        <f t="shared" si="37"/>
        <v>0.6</v>
      </c>
      <c r="BR26" s="445">
        <f t="shared" si="38"/>
        <v>0.7</v>
      </c>
      <c r="BS26" s="445">
        <f t="shared" si="39"/>
        <v>0.9</v>
      </c>
      <c r="BT26" s="445">
        <f t="shared" si="40"/>
        <v>0.95</v>
      </c>
      <c r="BU26" s="444">
        <f t="shared" si="41"/>
        <v>1</v>
      </c>
      <c r="BV26" s="447"/>
      <c r="BW26" s="403"/>
    </row>
    <row r="27" spans="2:75" s="416" customFormat="1" ht="12.95" customHeight="1" x14ac:dyDescent="0.25">
      <c r="B27" s="433" t="str">
        <f>IF(ISNA(Z27),"",IF(OR(Z27=1,Z27=2),"    ",MAX($B$9:B26)+1))</f>
        <v/>
      </c>
      <c r="C27" s="1618" t="str">
        <f t="shared" si="0"/>
        <v/>
      </c>
      <c r="D27" s="1618"/>
      <c r="E27" s="1618"/>
      <c r="F27" s="1619"/>
      <c r="G27" s="437" t="str">
        <f t="shared" si="1"/>
        <v/>
      </c>
      <c r="H27" s="431" t="str">
        <f t="shared" si="2"/>
        <v/>
      </c>
      <c r="I27" s="436" t="str">
        <f t="shared" si="3"/>
        <v/>
      </c>
      <c r="J27" s="429"/>
      <c r="K27" s="428"/>
      <c r="L27" s="1612"/>
      <c r="M27" s="1613"/>
      <c r="N27" s="1613"/>
      <c r="O27" s="1613"/>
      <c r="P27" s="1613"/>
      <c r="Q27" s="1613"/>
      <c r="R27" s="1614"/>
      <c r="T27" s="401">
        <v>19</v>
      </c>
      <c r="U27" s="374" t="e">
        <v>#N/A</v>
      </c>
      <c r="V27" s="421" t="e">
        <v>#N/A</v>
      </c>
      <c r="W27" s="421" t="e">
        <v>#N/A</v>
      </c>
      <c r="X27" s="421" t="e">
        <v>#N/A</v>
      </c>
      <c r="Y27" s="421" t="e">
        <v>#N/A</v>
      </c>
      <c r="Z27" s="393" t="e">
        <v>#N/A</v>
      </c>
      <c r="AA27" s="393" t="e">
        <v>#N/A</v>
      </c>
      <c r="AB27" s="393" t="e">
        <v>#N/A</v>
      </c>
      <c r="AC27" s="421" t="e">
        <v>#N/A</v>
      </c>
      <c r="AD27" s="421" t="e">
        <v>#N/A</v>
      </c>
      <c r="AE27" s="421" t="e">
        <v>#N/A</v>
      </c>
      <c r="AF27" s="421" t="e">
        <v>#N/A</v>
      </c>
      <c r="AG27" s="421" t="e">
        <f t="shared" si="4"/>
        <v>#N/A</v>
      </c>
      <c r="AH27" s="421" t="str">
        <f t="shared" si="5"/>
        <v/>
      </c>
      <c r="AI27" s="427" t="e">
        <f>IF(NOT(OR(Z27=1,Z27=2)),IF(AQ27&gt;0,$AR$45*AQ27/SUMIF($AQ$9:$AQ$40,"&gt;0"),IF(AU27&gt;0,$AV$45*AU27/SUMIF($AU$9:$AU$40,"&gt;0"),IF(AS27&gt;0,$AT$45*AS27/SUMIF($AS$9:$AS$40,"&gt;0"),""))),IF(SUMIF(AJ28:$AJ$40,"=" &amp; AJ27,AI28:$AI$40)=0,"",SUMIF(AJ28:$AJ$40,"=" &amp; AJ27,AI28:$AI$40)))</f>
        <v>#N/A</v>
      </c>
      <c r="AJ27" s="426" t="e">
        <f t="shared" si="36"/>
        <v>#N/A</v>
      </c>
      <c r="AK27" s="421" t="str">
        <f t="shared" si="6"/>
        <v/>
      </c>
      <c r="AL27" s="393" t="str">
        <f t="shared" si="7"/>
        <v/>
      </c>
      <c r="AM27" s="393" t="str">
        <f t="shared" si="8"/>
        <v/>
      </c>
      <c r="AN27" s="393" t="str">
        <f t="shared" si="9"/>
        <v/>
      </c>
      <c r="AO27" s="393" t="e">
        <f t="shared" si="10"/>
        <v>#N/A</v>
      </c>
      <c r="AP27" s="421" t="str">
        <f t="shared" si="11"/>
        <v/>
      </c>
      <c r="AQ27" s="425">
        <f t="shared" si="12"/>
        <v>0</v>
      </c>
      <c r="AR27" s="423" t="str">
        <f t="shared" si="13"/>
        <v/>
      </c>
      <c r="AS27" s="424">
        <f t="shared" si="14"/>
        <v>0</v>
      </c>
      <c r="AT27" s="423" t="str">
        <f t="shared" si="15"/>
        <v/>
      </c>
      <c r="AU27" s="420">
        <f t="shared" si="16"/>
        <v>0</v>
      </c>
      <c r="AV27" s="422" t="str">
        <f t="shared" si="17"/>
        <v/>
      </c>
      <c r="AW27" s="420" t="b">
        <f t="shared" si="18"/>
        <v>0</v>
      </c>
      <c r="AX27" s="419" t="b">
        <f t="shared" si="19"/>
        <v>0</v>
      </c>
      <c r="AY27" s="420" t="b">
        <f t="shared" si="20"/>
        <v>0</v>
      </c>
      <c r="AZ27" s="419" t="b">
        <f t="shared" si="21"/>
        <v>0</v>
      </c>
      <c r="BA27" s="421" t="b">
        <f t="shared" si="22"/>
        <v>0</v>
      </c>
      <c r="BB27" s="421" t="b">
        <f t="shared" si="23"/>
        <v>0</v>
      </c>
      <c r="BC27" s="420" t="b">
        <f t="shared" si="24"/>
        <v>0</v>
      </c>
      <c r="BD27" s="393" t="b">
        <f t="shared" si="25"/>
        <v>0</v>
      </c>
      <c r="BE27" s="419" t="b">
        <f t="shared" si="26"/>
        <v>0</v>
      </c>
      <c r="BF27" s="418" t="b">
        <f t="shared" si="27"/>
        <v>0</v>
      </c>
      <c r="BG27" s="417" t="str">
        <f t="shared" si="28"/>
        <v>NA</v>
      </c>
      <c r="BH27" s="417" t="str">
        <f t="shared" si="29"/>
        <v/>
      </c>
      <c r="BI27" s="417" t="str">
        <f t="shared" si="30"/>
        <v/>
      </c>
      <c r="BJ27" s="417" t="str">
        <f t="shared" si="31"/>
        <v/>
      </c>
      <c r="BK27" s="417" t="str">
        <f t="shared" si="32"/>
        <v/>
      </c>
      <c r="BL27" s="435" t="str">
        <f t="shared" si="33"/>
        <v/>
      </c>
      <c r="BM27" s="417" t="str">
        <f t="shared" si="34"/>
        <v/>
      </c>
      <c r="BN27" s="417" t="str">
        <f t="shared" si="35"/>
        <v/>
      </c>
      <c r="BO27" s="1630"/>
      <c r="BP27" s="443" t="s">
        <v>232</v>
      </c>
      <c r="BQ27" s="446">
        <f t="shared" si="37"/>
        <v>0.6</v>
      </c>
      <c r="BR27" s="445">
        <f t="shared" si="38"/>
        <v>0.7</v>
      </c>
      <c r="BS27" s="445">
        <f t="shared" si="39"/>
        <v>0.8</v>
      </c>
      <c r="BT27" s="445">
        <f t="shared" si="40"/>
        <v>0.9</v>
      </c>
      <c r="BU27" s="444">
        <f t="shared" si="41"/>
        <v>1</v>
      </c>
    </row>
    <row r="28" spans="2:75" s="416" customFormat="1" ht="12.95" customHeight="1" x14ac:dyDescent="0.25">
      <c r="B28" s="433" t="str">
        <f>IF(ISNA(Z28),"",IF(OR(Z28=1,Z28=2),"    ",MAX($B$9:B27)+1))</f>
        <v/>
      </c>
      <c r="C28" s="1618" t="str">
        <f t="shared" si="0"/>
        <v/>
      </c>
      <c r="D28" s="1618"/>
      <c r="E28" s="1618"/>
      <c r="F28" s="1619"/>
      <c r="G28" s="437" t="str">
        <f t="shared" si="1"/>
        <v/>
      </c>
      <c r="H28" s="431" t="str">
        <f t="shared" si="2"/>
        <v/>
      </c>
      <c r="I28" s="436" t="str">
        <f t="shared" si="3"/>
        <v/>
      </c>
      <c r="J28" s="429"/>
      <c r="K28" s="428"/>
      <c r="L28" s="1612"/>
      <c r="M28" s="1613"/>
      <c r="N28" s="1613"/>
      <c r="O28" s="1613"/>
      <c r="P28" s="1613"/>
      <c r="Q28" s="1613"/>
      <c r="R28" s="1614"/>
      <c r="T28" s="401">
        <v>20</v>
      </c>
      <c r="U28" s="374" t="e">
        <v>#N/A</v>
      </c>
      <c r="V28" s="421" t="e">
        <v>#N/A</v>
      </c>
      <c r="W28" s="421" t="e">
        <v>#N/A</v>
      </c>
      <c r="X28" s="421" t="e">
        <v>#N/A</v>
      </c>
      <c r="Y28" s="421" t="e">
        <v>#N/A</v>
      </c>
      <c r="Z28" s="393" t="e">
        <v>#N/A</v>
      </c>
      <c r="AA28" s="393" t="e">
        <v>#N/A</v>
      </c>
      <c r="AB28" s="393" t="e">
        <v>#N/A</v>
      </c>
      <c r="AC28" s="421" t="e">
        <v>#N/A</v>
      </c>
      <c r="AD28" s="421" t="e">
        <v>#N/A</v>
      </c>
      <c r="AE28" s="421" t="e">
        <v>#N/A</v>
      </c>
      <c r="AF28" s="421" t="e">
        <v>#N/A</v>
      </c>
      <c r="AG28" s="421" t="e">
        <f t="shared" si="4"/>
        <v>#N/A</v>
      </c>
      <c r="AH28" s="421" t="str">
        <f t="shared" si="5"/>
        <v/>
      </c>
      <c r="AI28" s="427" t="e">
        <f>IF(NOT(OR(Z28=1,Z28=2)),IF(AQ28&gt;0,$AR$45*AQ28/SUMIF($AQ$9:$AQ$40,"&gt;0"),IF(AU28&gt;0,$AV$45*AU28/SUMIF($AU$9:$AU$40,"&gt;0"),IF(AS28&gt;0,$AT$45*AS28/SUMIF($AS$9:$AS$40,"&gt;0"),""))),IF(SUMIF(AJ29:$AJ$40,"=" &amp; AJ28,AI29:$AI$40)=0,"",SUMIF(AJ29:$AJ$40,"=" &amp; AJ28,AI29:$AI$40)))</f>
        <v>#N/A</v>
      </c>
      <c r="AJ28" s="426" t="e">
        <f t="shared" si="36"/>
        <v>#N/A</v>
      </c>
      <c r="AK28" s="421" t="str">
        <f t="shared" si="6"/>
        <v/>
      </c>
      <c r="AL28" s="393" t="str">
        <f t="shared" si="7"/>
        <v/>
      </c>
      <c r="AM28" s="393" t="str">
        <f t="shared" si="8"/>
        <v/>
      </c>
      <c r="AN28" s="393" t="str">
        <f t="shared" si="9"/>
        <v/>
      </c>
      <c r="AO28" s="393" t="e">
        <f t="shared" si="10"/>
        <v>#N/A</v>
      </c>
      <c r="AP28" s="421" t="str">
        <f t="shared" si="11"/>
        <v/>
      </c>
      <c r="AQ28" s="425">
        <f t="shared" si="12"/>
        <v>0</v>
      </c>
      <c r="AR28" s="423" t="str">
        <f t="shared" si="13"/>
        <v/>
      </c>
      <c r="AS28" s="424">
        <f t="shared" si="14"/>
        <v>0</v>
      </c>
      <c r="AT28" s="423" t="str">
        <f t="shared" si="15"/>
        <v/>
      </c>
      <c r="AU28" s="420">
        <f t="shared" si="16"/>
        <v>0</v>
      </c>
      <c r="AV28" s="422" t="str">
        <f t="shared" si="17"/>
        <v/>
      </c>
      <c r="AW28" s="420" t="b">
        <f t="shared" si="18"/>
        <v>0</v>
      </c>
      <c r="AX28" s="419" t="b">
        <f t="shared" si="19"/>
        <v>0</v>
      </c>
      <c r="AY28" s="420" t="b">
        <f t="shared" si="20"/>
        <v>0</v>
      </c>
      <c r="AZ28" s="419" t="b">
        <f t="shared" si="21"/>
        <v>0</v>
      </c>
      <c r="BA28" s="421" t="b">
        <f t="shared" si="22"/>
        <v>0</v>
      </c>
      <c r="BB28" s="421" t="b">
        <f t="shared" si="23"/>
        <v>0</v>
      </c>
      <c r="BC28" s="420" t="b">
        <f t="shared" si="24"/>
        <v>0</v>
      </c>
      <c r="BD28" s="393" t="b">
        <f t="shared" si="25"/>
        <v>0</v>
      </c>
      <c r="BE28" s="419" t="b">
        <f t="shared" si="26"/>
        <v>0</v>
      </c>
      <c r="BF28" s="418" t="b">
        <f t="shared" si="27"/>
        <v>0</v>
      </c>
      <c r="BG28" s="417" t="str">
        <f t="shared" si="28"/>
        <v>NA</v>
      </c>
      <c r="BH28" s="417" t="str">
        <f t="shared" si="29"/>
        <v/>
      </c>
      <c r="BI28" s="417" t="str">
        <f t="shared" si="30"/>
        <v/>
      </c>
      <c r="BJ28" s="417" t="str">
        <f t="shared" si="31"/>
        <v/>
      </c>
      <c r="BK28" s="417" t="str">
        <f t="shared" si="32"/>
        <v/>
      </c>
      <c r="BL28" s="435" t="str">
        <f t="shared" si="33"/>
        <v/>
      </c>
      <c r="BM28" s="417" t="str">
        <f t="shared" si="34"/>
        <v/>
      </c>
      <c r="BN28" s="417" t="str">
        <f t="shared" si="35"/>
        <v/>
      </c>
      <c r="BO28" s="1630"/>
      <c r="BP28" s="443" t="s">
        <v>233</v>
      </c>
      <c r="BQ28" s="446">
        <f t="shared" si="37"/>
        <v>0.3</v>
      </c>
      <c r="BR28" s="445">
        <f t="shared" si="38"/>
        <v>0.6</v>
      </c>
      <c r="BS28" s="445">
        <f t="shared" si="39"/>
        <v>0.9</v>
      </c>
      <c r="BT28" s="445">
        <f t="shared" si="40"/>
        <v>0.95</v>
      </c>
      <c r="BU28" s="444">
        <f t="shared" si="41"/>
        <v>1</v>
      </c>
    </row>
    <row r="29" spans="2:75" s="416" customFormat="1" ht="12.95" customHeight="1" x14ac:dyDescent="0.25">
      <c r="B29" s="433" t="str">
        <f>IF(ISNA(Z29),"",IF(OR(Z29=1,Z29=2),"    ",MAX($B$9:B28)+1))</f>
        <v/>
      </c>
      <c r="C29" s="1618" t="str">
        <f t="shared" si="0"/>
        <v/>
      </c>
      <c r="D29" s="1618"/>
      <c r="E29" s="1618"/>
      <c r="F29" s="1619"/>
      <c r="G29" s="437" t="str">
        <f t="shared" si="1"/>
        <v/>
      </c>
      <c r="H29" s="431" t="str">
        <f t="shared" si="2"/>
        <v/>
      </c>
      <c r="I29" s="436" t="str">
        <f t="shared" si="3"/>
        <v/>
      </c>
      <c r="J29" s="429"/>
      <c r="K29" s="428"/>
      <c r="L29" s="1612"/>
      <c r="M29" s="1613"/>
      <c r="N29" s="1613"/>
      <c r="O29" s="1613"/>
      <c r="P29" s="1613"/>
      <c r="Q29" s="1613"/>
      <c r="R29" s="1614"/>
      <c r="T29" s="401">
        <v>21</v>
      </c>
      <c r="U29" s="374" t="e">
        <v>#N/A</v>
      </c>
      <c r="V29" s="421" t="e">
        <v>#N/A</v>
      </c>
      <c r="W29" s="421" t="e">
        <v>#N/A</v>
      </c>
      <c r="X29" s="421" t="e">
        <v>#N/A</v>
      </c>
      <c r="Y29" s="421" t="e">
        <v>#N/A</v>
      </c>
      <c r="Z29" s="393" t="e">
        <v>#N/A</v>
      </c>
      <c r="AA29" s="393" t="e">
        <v>#N/A</v>
      </c>
      <c r="AB29" s="393" t="e">
        <v>#N/A</v>
      </c>
      <c r="AC29" s="421" t="e">
        <v>#N/A</v>
      </c>
      <c r="AD29" s="421" t="e">
        <v>#N/A</v>
      </c>
      <c r="AE29" s="421" t="e">
        <v>#N/A</v>
      </c>
      <c r="AF29" s="421" t="e">
        <v>#N/A</v>
      </c>
      <c r="AG29" s="421" t="e">
        <f t="shared" si="4"/>
        <v>#N/A</v>
      </c>
      <c r="AH29" s="421" t="str">
        <f t="shared" si="5"/>
        <v/>
      </c>
      <c r="AI29" s="427" t="e">
        <f>IF(NOT(OR(Z29=1,Z29=2)),IF(AQ29&gt;0,$AR$45*AQ29/SUMIF($AQ$9:$AQ$40,"&gt;0"),IF(AU29&gt;0,$AV$45*AU29/SUMIF($AU$9:$AU$40,"&gt;0"),IF(AS29&gt;0,$AT$45*AS29/SUMIF($AS$9:$AS$40,"&gt;0"),""))),IF(SUMIF(AJ30:$AJ$40,"=" &amp; AJ29,AI30:$AI$40)=0,"",SUMIF(AJ30:$AJ$40,"=" &amp; AJ29,AI30:$AI$40)))</f>
        <v>#N/A</v>
      </c>
      <c r="AJ29" s="426" t="e">
        <f t="shared" si="36"/>
        <v>#N/A</v>
      </c>
      <c r="AK29" s="421" t="str">
        <f t="shared" si="6"/>
        <v/>
      </c>
      <c r="AL29" s="393" t="str">
        <f t="shared" si="7"/>
        <v/>
      </c>
      <c r="AM29" s="393" t="str">
        <f t="shared" si="8"/>
        <v/>
      </c>
      <c r="AN29" s="393" t="str">
        <f t="shared" si="9"/>
        <v/>
      </c>
      <c r="AO29" s="393" t="e">
        <f t="shared" si="10"/>
        <v>#N/A</v>
      </c>
      <c r="AP29" s="421" t="str">
        <f t="shared" si="11"/>
        <v/>
      </c>
      <c r="AQ29" s="425">
        <f t="shared" si="12"/>
        <v>0</v>
      </c>
      <c r="AR29" s="423" t="str">
        <f t="shared" si="13"/>
        <v/>
      </c>
      <c r="AS29" s="424">
        <f t="shared" si="14"/>
        <v>0</v>
      </c>
      <c r="AT29" s="423" t="str">
        <f t="shared" si="15"/>
        <v/>
      </c>
      <c r="AU29" s="420">
        <f t="shared" si="16"/>
        <v>0</v>
      </c>
      <c r="AV29" s="422" t="str">
        <f t="shared" si="17"/>
        <v/>
      </c>
      <c r="AW29" s="420" t="b">
        <f t="shared" si="18"/>
        <v>0</v>
      </c>
      <c r="AX29" s="419" t="b">
        <f t="shared" si="19"/>
        <v>0</v>
      </c>
      <c r="AY29" s="420" t="b">
        <f t="shared" si="20"/>
        <v>0</v>
      </c>
      <c r="AZ29" s="419" t="b">
        <f t="shared" si="21"/>
        <v>0</v>
      </c>
      <c r="BA29" s="421" t="b">
        <f t="shared" si="22"/>
        <v>0</v>
      </c>
      <c r="BB29" s="421" t="b">
        <f t="shared" si="23"/>
        <v>0</v>
      </c>
      <c r="BC29" s="420" t="b">
        <f t="shared" si="24"/>
        <v>0</v>
      </c>
      <c r="BD29" s="393" t="b">
        <f t="shared" si="25"/>
        <v>0</v>
      </c>
      <c r="BE29" s="419" t="b">
        <f t="shared" si="26"/>
        <v>0</v>
      </c>
      <c r="BF29" s="418" t="b">
        <f t="shared" si="27"/>
        <v>0</v>
      </c>
      <c r="BG29" s="417" t="str">
        <f t="shared" si="28"/>
        <v>NA</v>
      </c>
      <c r="BH29" s="417" t="str">
        <f t="shared" si="29"/>
        <v/>
      </c>
      <c r="BI29" s="417" t="str">
        <f t="shared" si="30"/>
        <v/>
      </c>
      <c r="BJ29" s="417" t="str">
        <f t="shared" si="31"/>
        <v/>
      </c>
      <c r="BK29" s="417" t="str">
        <f t="shared" si="32"/>
        <v/>
      </c>
      <c r="BL29" s="435" t="str">
        <f t="shared" si="33"/>
        <v/>
      </c>
      <c r="BM29" s="417" t="str">
        <f t="shared" si="34"/>
        <v/>
      </c>
      <c r="BN29" s="417" t="str">
        <f t="shared" si="35"/>
        <v/>
      </c>
      <c r="BO29" s="1630"/>
      <c r="BP29" s="443" t="s">
        <v>234</v>
      </c>
      <c r="BQ29" s="446">
        <f t="shared" si="37"/>
        <v>0.3</v>
      </c>
      <c r="BR29" s="445">
        <f t="shared" si="38"/>
        <v>0.6</v>
      </c>
      <c r="BS29" s="445">
        <f t="shared" si="39"/>
        <v>0.7</v>
      </c>
      <c r="BT29" s="445">
        <f t="shared" si="40"/>
        <v>0.9</v>
      </c>
      <c r="BU29" s="444">
        <f t="shared" si="41"/>
        <v>1</v>
      </c>
    </row>
    <row r="30" spans="2:75" s="416" customFormat="1" ht="12.95" customHeight="1" x14ac:dyDescent="0.25">
      <c r="B30" s="433" t="str">
        <f>IF(ISNA(Z30),"",IF(OR(Z30=1,Z30=2),"    ",MAX($B$9:B29)+1))</f>
        <v/>
      </c>
      <c r="C30" s="1618" t="str">
        <f t="shared" si="0"/>
        <v/>
      </c>
      <c r="D30" s="1618"/>
      <c r="E30" s="1618"/>
      <c r="F30" s="1619"/>
      <c r="G30" s="437" t="str">
        <f t="shared" si="1"/>
        <v/>
      </c>
      <c r="H30" s="431" t="str">
        <f t="shared" si="2"/>
        <v/>
      </c>
      <c r="I30" s="436" t="str">
        <f t="shared" si="3"/>
        <v/>
      </c>
      <c r="J30" s="429"/>
      <c r="K30" s="428"/>
      <c r="L30" s="1612"/>
      <c r="M30" s="1613"/>
      <c r="N30" s="1613"/>
      <c r="O30" s="1613"/>
      <c r="P30" s="1613"/>
      <c r="Q30" s="1613"/>
      <c r="R30" s="1614"/>
      <c r="T30" s="401">
        <v>22</v>
      </c>
      <c r="U30" s="374" t="e">
        <v>#N/A</v>
      </c>
      <c r="V30" s="421" t="e">
        <v>#N/A</v>
      </c>
      <c r="W30" s="421" t="e">
        <v>#N/A</v>
      </c>
      <c r="X30" s="421" t="e">
        <v>#N/A</v>
      </c>
      <c r="Y30" s="421" t="e">
        <v>#N/A</v>
      </c>
      <c r="Z30" s="393" t="e">
        <v>#N/A</v>
      </c>
      <c r="AA30" s="393" t="e">
        <v>#N/A</v>
      </c>
      <c r="AB30" s="393" t="e">
        <v>#N/A</v>
      </c>
      <c r="AC30" s="421" t="e">
        <v>#N/A</v>
      </c>
      <c r="AD30" s="421" t="e">
        <v>#N/A</v>
      </c>
      <c r="AE30" s="421" t="e">
        <v>#N/A</v>
      </c>
      <c r="AF30" s="421" t="e">
        <v>#N/A</v>
      </c>
      <c r="AG30" s="421" t="e">
        <f t="shared" si="4"/>
        <v>#N/A</v>
      </c>
      <c r="AH30" s="421" t="str">
        <f t="shared" si="5"/>
        <v/>
      </c>
      <c r="AI30" s="427" t="e">
        <f>IF(NOT(OR(Z30=1,Z30=2)),IF(AQ30&gt;0,$AR$45*AQ30/SUMIF($AQ$9:$AQ$40,"&gt;0"),IF(AU30&gt;0,$AV$45*AU30/SUMIF($AU$9:$AU$40,"&gt;0"),IF(AS30&gt;0,$AT$45*AS30/SUMIF($AS$9:$AS$40,"&gt;0"),""))),IF(SUMIF(AJ31:$AJ$40,"=" &amp; AJ30,AI31:$AI$40)=0,"",SUMIF(AJ31:$AJ$40,"=" &amp; AJ30,AI31:$AI$40)))</f>
        <v>#N/A</v>
      </c>
      <c r="AJ30" s="426" t="e">
        <f t="shared" si="36"/>
        <v>#N/A</v>
      </c>
      <c r="AK30" s="421" t="str">
        <f t="shared" si="6"/>
        <v/>
      </c>
      <c r="AL30" s="393" t="str">
        <f t="shared" si="7"/>
        <v/>
      </c>
      <c r="AM30" s="393" t="str">
        <f t="shared" si="8"/>
        <v/>
      </c>
      <c r="AN30" s="393" t="str">
        <f t="shared" si="9"/>
        <v/>
      </c>
      <c r="AO30" s="393" t="e">
        <f t="shared" si="10"/>
        <v>#N/A</v>
      </c>
      <c r="AP30" s="421" t="str">
        <f t="shared" si="11"/>
        <v/>
      </c>
      <c r="AQ30" s="425">
        <f t="shared" si="12"/>
        <v>0</v>
      </c>
      <c r="AR30" s="423" t="str">
        <f t="shared" si="13"/>
        <v/>
      </c>
      <c r="AS30" s="424">
        <f t="shared" si="14"/>
        <v>0</v>
      </c>
      <c r="AT30" s="423" t="str">
        <f t="shared" si="15"/>
        <v/>
      </c>
      <c r="AU30" s="420">
        <f t="shared" si="16"/>
        <v>0</v>
      </c>
      <c r="AV30" s="422" t="str">
        <f t="shared" si="17"/>
        <v/>
      </c>
      <c r="AW30" s="420" t="b">
        <f t="shared" si="18"/>
        <v>0</v>
      </c>
      <c r="AX30" s="419" t="b">
        <f t="shared" si="19"/>
        <v>0</v>
      </c>
      <c r="AY30" s="420" t="b">
        <f t="shared" si="20"/>
        <v>0</v>
      </c>
      <c r="AZ30" s="419" t="b">
        <f t="shared" si="21"/>
        <v>0</v>
      </c>
      <c r="BA30" s="421" t="b">
        <f t="shared" si="22"/>
        <v>0</v>
      </c>
      <c r="BB30" s="421" t="b">
        <f t="shared" si="23"/>
        <v>0</v>
      </c>
      <c r="BC30" s="420" t="b">
        <f t="shared" si="24"/>
        <v>0</v>
      </c>
      <c r="BD30" s="393" t="b">
        <f t="shared" si="25"/>
        <v>0</v>
      </c>
      <c r="BE30" s="419" t="b">
        <f t="shared" si="26"/>
        <v>0</v>
      </c>
      <c r="BF30" s="418" t="b">
        <f t="shared" si="27"/>
        <v>0</v>
      </c>
      <c r="BG30" s="417" t="str">
        <f t="shared" si="28"/>
        <v>NA</v>
      </c>
      <c r="BH30" s="417" t="str">
        <f t="shared" si="29"/>
        <v/>
      </c>
      <c r="BI30" s="417" t="str">
        <f t="shared" si="30"/>
        <v/>
      </c>
      <c r="BJ30" s="417" t="str">
        <f t="shared" si="31"/>
        <v/>
      </c>
      <c r="BK30" s="417" t="str">
        <f t="shared" si="32"/>
        <v/>
      </c>
      <c r="BL30" s="435" t="str">
        <f t="shared" si="33"/>
        <v/>
      </c>
      <c r="BM30" s="417" t="str">
        <f t="shared" si="34"/>
        <v/>
      </c>
      <c r="BN30" s="417" t="str">
        <f t="shared" si="35"/>
        <v/>
      </c>
      <c r="BO30" s="1630"/>
      <c r="BP30" s="443" t="s">
        <v>235</v>
      </c>
      <c r="BQ30" s="442">
        <f t="shared" si="37"/>
        <v>0</v>
      </c>
      <c r="BR30" s="441">
        <f t="shared" si="38"/>
        <v>0.3</v>
      </c>
      <c r="BS30" s="441">
        <f t="shared" si="39"/>
        <v>0.6</v>
      </c>
      <c r="BT30" s="441">
        <f t="shared" si="40"/>
        <v>0.9</v>
      </c>
      <c r="BU30" s="440">
        <f t="shared" si="41"/>
        <v>1</v>
      </c>
    </row>
    <row r="31" spans="2:75" s="416" customFormat="1" ht="12.95" customHeight="1" x14ac:dyDescent="0.25">
      <c r="B31" s="433" t="str">
        <f>IF(ISNA(Z31),"",IF(OR(Z31=1,Z31=2),"    ",MAX($B$9:B30)+1))</f>
        <v/>
      </c>
      <c r="C31" s="1618" t="str">
        <f t="shared" si="0"/>
        <v/>
      </c>
      <c r="D31" s="1618"/>
      <c r="E31" s="1618"/>
      <c r="F31" s="1619"/>
      <c r="G31" s="437" t="str">
        <f t="shared" si="1"/>
        <v/>
      </c>
      <c r="H31" s="431" t="str">
        <f t="shared" si="2"/>
        <v/>
      </c>
      <c r="I31" s="436" t="str">
        <f t="shared" si="3"/>
        <v/>
      </c>
      <c r="J31" s="429"/>
      <c r="K31" s="428"/>
      <c r="L31" s="1612"/>
      <c r="M31" s="1613"/>
      <c r="N31" s="1613"/>
      <c r="O31" s="1613"/>
      <c r="P31" s="1613"/>
      <c r="Q31" s="1613"/>
      <c r="R31" s="1614"/>
      <c r="T31" s="401">
        <v>23</v>
      </c>
      <c r="U31" s="374" t="e">
        <v>#N/A</v>
      </c>
      <c r="V31" s="421" t="e">
        <v>#N/A</v>
      </c>
      <c r="W31" s="421" t="e">
        <v>#N/A</v>
      </c>
      <c r="X31" s="421" t="e">
        <v>#N/A</v>
      </c>
      <c r="Y31" s="421" t="e">
        <v>#N/A</v>
      </c>
      <c r="Z31" s="393" t="e">
        <v>#N/A</v>
      </c>
      <c r="AA31" s="393" t="e">
        <v>#N/A</v>
      </c>
      <c r="AB31" s="393" t="e">
        <v>#N/A</v>
      </c>
      <c r="AC31" s="421" t="e">
        <v>#N/A</v>
      </c>
      <c r="AD31" s="421" t="e">
        <v>#N/A</v>
      </c>
      <c r="AE31" s="421" t="e">
        <v>#N/A</v>
      </c>
      <c r="AF31" s="421" t="e">
        <v>#N/A</v>
      </c>
      <c r="AG31" s="421" t="e">
        <f t="shared" si="4"/>
        <v>#N/A</v>
      </c>
      <c r="AH31" s="421" t="str">
        <f t="shared" si="5"/>
        <v/>
      </c>
      <c r="AI31" s="427" t="e">
        <f>IF(NOT(OR(Z31=1,Z31=2)),IF(AQ31&gt;0,$AR$45*AQ31/SUMIF($AQ$9:$AQ$40,"&gt;0"),IF(AU31&gt;0,$AV$45*AU31/SUMIF($AU$9:$AU$40,"&gt;0"),IF(AS31&gt;0,$AT$45*AS31/SUMIF($AS$9:$AS$40,"&gt;0"),""))),IF(SUMIF(AJ32:$AJ$40,"=" &amp; AJ31,AI32:$AI$40)=0,"",SUMIF(AJ32:$AJ$40,"=" &amp; AJ31,AI32:$AI$40)))</f>
        <v>#N/A</v>
      </c>
      <c r="AJ31" s="426" t="e">
        <f t="shared" si="36"/>
        <v>#N/A</v>
      </c>
      <c r="AK31" s="421" t="str">
        <f t="shared" si="6"/>
        <v/>
      </c>
      <c r="AL31" s="393" t="str">
        <f t="shared" si="7"/>
        <v/>
      </c>
      <c r="AM31" s="393" t="str">
        <f t="shared" si="8"/>
        <v/>
      </c>
      <c r="AN31" s="393" t="str">
        <f t="shared" si="9"/>
        <v/>
      </c>
      <c r="AO31" s="393" t="e">
        <f t="shared" si="10"/>
        <v>#N/A</v>
      </c>
      <c r="AP31" s="421" t="str">
        <f t="shared" si="11"/>
        <v/>
      </c>
      <c r="AQ31" s="425">
        <f t="shared" si="12"/>
        <v>0</v>
      </c>
      <c r="AR31" s="423" t="str">
        <f t="shared" si="13"/>
        <v/>
      </c>
      <c r="AS31" s="424">
        <f t="shared" si="14"/>
        <v>0</v>
      </c>
      <c r="AT31" s="423" t="str">
        <f t="shared" si="15"/>
        <v/>
      </c>
      <c r="AU31" s="420">
        <f t="shared" si="16"/>
        <v>0</v>
      </c>
      <c r="AV31" s="422" t="str">
        <f t="shared" si="17"/>
        <v/>
      </c>
      <c r="AW31" s="420" t="b">
        <f t="shared" si="18"/>
        <v>0</v>
      </c>
      <c r="AX31" s="419" t="b">
        <f t="shared" si="19"/>
        <v>0</v>
      </c>
      <c r="AY31" s="420" t="b">
        <f t="shared" si="20"/>
        <v>0</v>
      </c>
      <c r="AZ31" s="419" t="b">
        <f t="shared" si="21"/>
        <v>0</v>
      </c>
      <c r="BA31" s="421" t="b">
        <f t="shared" si="22"/>
        <v>0</v>
      </c>
      <c r="BB31" s="421" t="b">
        <f t="shared" si="23"/>
        <v>0</v>
      </c>
      <c r="BC31" s="420" t="b">
        <f t="shared" si="24"/>
        <v>0</v>
      </c>
      <c r="BD31" s="393" t="b">
        <f t="shared" si="25"/>
        <v>0</v>
      </c>
      <c r="BE31" s="419" t="b">
        <f t="shared" si="26"/>
        <v>0</v>
      </c>
      <c r="BF31" s="418" t="b">
        <f t="shared" si="27"/>
        <v>0</v>
      </c>
      <c r="BG31" s="417" t="str">
        <f t="shared" si="28"/>
        <v>NA</v>
      </c>
      <c r="BH31" s="417" t="str">
        <f t="shared" si="29"/>
        <v/>
      </c>
      <c r="BI31" s="417" t="str">
        <f t="shared" si="30"/>
        <v/>
      </c>
      <c r="BJ31" s="417" t="str">
        <f t="shared" si="31"/>
        <v/>
      </c>
      <c r="BK31" s="417" t="str">
        <f t="shared" si="32"/>
        <v/>
      </c>
      <c r="BL31" s="435" t="str">
        <f t="shared" si="33"/>
        <v/>
      </c>
      <c r="BM31" s="417" t="str">
        <f t="shared" si="34"/>
        <v/>
      </c>
      <c r="BN31" s="417" t="str">
        <f t="shared" si="35"/>
        <v/>
      </c>
      <c r="BO31" s="372"/>
    </row>
    <row r="32" spans="2:75" s="416" customFormat="1" ht="12.95" customHeight="1" x14ac:dyDescent="0.25">
      <c r="B32" s="433" t="str">
        <f>IF(ISNA(Z32),"",IF(OR(Z32=1,Z32=2),"    ",MAX($B$9:B31)+1))</f>
        <v/>
      </c>
      <c r="C32" s="1618" t="str">
        <f t="shared" si="0"/>
        <v/>
      </c>
      <c r="D32" s="1618"/>
      <c r="E32" s="1618"/>
      <c r="F32" s="1619"/>
      <c r="G32" s="437" t="str">
        <f t="shared" si="1"/>
        <v/>
      </c>
      <c r="H32" s="431" t="str">
        <f t="shared" si="2"/>
        <v/>
      </c>
      <c r="I32" s="436" t="str">
        <f t="shared" si="3"/>
        <v/>
      </c>
      <c r="J32" s="429"/>
      <c r="K32" s="428"/>
      <c r="L32" s="1612"/>
      <c r="M32" s="1613"/>
      <c r="N32" s="1613"/>
      <c r="O32" s="1613"/>
      <c r="P32" s="1613"/>
      <c r="Q32" s="1613"/>
      <c r="R32" s="1614"/>
      <c r="T32" s="401">
        <v>24</v>
      </c>
      <c r="U32" s="374" t="e">
        <v>#N/A</v>
      </c>
      <c r="V32" s="421" t="e">
        <v>#N/A</v>
      </c>
      <c r="W32" s="421" t="e">
        <v>#N/A</v>
      </c>
      <c r="X32" s="421" t="e">
        <v>#N/A</v>
      </c>
      <c r="Y32" s="421" t="e">
        <v>#N/A</v>
      </c>
      <c r="Z32" s="393" t="e">
        <v>#N/A</v>
      </c>
      <c r="AA32" s="393" t="e">
        <v>#N/A</v>
      </c>
      <c r="AB32" s="393" t="e">
        <v>#N/A</v>
      </c>
      <c r="AC32" s="421" t="e">
        <v>#N/A</v>
      </c>
      <c r="AD32" s="421" t="e">
        <v>#N/A</v>
      </c>
      <c r="AE32" s="421" t="e">
        <v>#N/A</v>
      </c>
      <c r="AF32" s="421" t="e">
        <v>#N/A</v>
      </c>
      <c r="AG32" s="421" t="e">
        <f t="shared" si="4"/>
        <v>#N/A</v>
      </c>
      <c r="AH32" s="421" t="str">
        <f t="shared" si="5"/>
        <v/>
      </c>
      <c r="AI32" s="427" t="e">
        <f>IF(NOT(OR(Z32=1,Z32=2)),IF(AQ32&gt;0,$AR$45*AQ32/SUMIF($AQ$9:$AQ$40,"&gt;0"),IF(AU32&gt;0,$AV$45*AU32/SUMIF($AU$9:$AU$40,"&gt;0"),IF(AS32&gt;0,$AT$45*AS32/SUMIF($AS$9:$AS$40,"&gt;0"),""))),IF(SUMIF(AJ33:$AJ$40,"=" &amp; AJ32,AI33:$AI$40)=0,"",SUMIF(AJ33:$AJ$40,"=" &amp; AJ32,AI33:$AI$40)))</f>
        <v>#N/A</v>
      </c>
      <c r="AJ32" s="426" t="e">
        <f t="shared" si="36"/>
        <v>#N/A</v>
      </c>
      <c r="AK32" s="421" t="str">
        <f t="shared" si="6"/>
        <v/>
      </c>
      <c r="AL32" s="393" t="str">
        <f t="shared" si="7"/>
        <v/>
      </c>
      <c r="AM32" s="393" t="str">
        <f t="shared" si="8"/>
        <v/>
      </c>
      <c r="AN32" s="393" t="str">
        <f t="shared" si="9"/>
        <v/>
      </c>
      <c r="AO32" s="393" t="e">
        <f t="shared" si="10"/>
        <v>#N/A</v>
      </c>
      <c r="AP32" s="421" t="str">
        <f t="shared" si="11"/>
        <v/>
      </c>
      <c r="AQ32" s="425">
        <f t="shared" si="12"/>
        <v>0</v>
      </c>
      <c r="AR32" s="423" t="str">
        <f t="shared" si="13"/>
        <v/>
      </c>
      <c r="AS32" s="424">
        <f t="shared" si="14"/>
        <v>0</v>
      </c>
      <c r="AT32" s="423" t="str">
        <f t="shared" si="15"/>
        <v/>
      </c>
      <c r="AU32" s="420">
        <f t="shared" si="16"/>
        <v>0</v>
      </c>
      <c r="AV32" s="422" t="str">
        <f t="shared" si="17"/>
        <v/>
      </c>
      <c r="AW32" s="420" t="b">
        <f t="shared" si="18"/>
        <v>0</v>
      </c>
      <c r="AX32" s="419" t="b">
        <f t="shared" si="19"/>
        <v>0</v>
      </c>
      <c r="AY32" s="420" t="b">
        <f t="shared" si="20"/>
        <v>0</v>
      </c>
      <c r="AZ32" s="419" t="b">
        <f t="shared" si="21"/>
        <v>0</v>
      </c>
      <c r="BA32" s="421" t="b">
        <f t="shared" si="22"/>
        <v>0</v>
      </c>
      <c r="BB32" s="421" t="b">
        <f t="shared" si="23"/>
        <v>0</v>
      </c>
      <c r="BC32" s="420" t="b">
        <f t="shared" si="24"/>
        <v>0</v>
      </c>
      <c r="BD32" s="393" t="b">
        <f t="shared" si="25"/>
        <v>0</v>
      </c>
      <c r="BE32" s="419" t="b">
        <f t="shared" si="26"/>
        <v>0</v>
      </c>
      <c r="BF32" s="418" t="b">
        <f t="shared" si="27"/>
        <v>0</v>
      </c>
      <c r="BG32" s="417" t="str">
        <f t="shared" si="28"/>
        <v>NA</v>
      </c>
      <c r="BH32" s="417" t="str">
        <f t="shared" si="29"/>
        <v/>
      </c>
      <c r="BI32" s="417" t="str">
        <f t="shared" si="30"/>
        <v/>
      </c>
      <c r="BJ32" s="417" t="str">
        <f t="shared" si="31"/>
        <v/>
      </c>
      <c r="BK32" s="417" t="str">
        <f t="shared" si="32"/>
        <v/>
      </c>
      <c r="BL32" s="435" t="str">
        <f t="shared" si="33"/>
        <v/>
      </c>
      <c r="BM32" s="417" t="str">
        <f t="shared" si="34"/>
        <v/>
      </c>
      <c r="BN32" s="417" t="str">
        <f t="shared" si="35"/>
        <v/>
      </c>
      <c r="BO32" s="439" t="s">
        <v>236</v>
      </c>
      <c r="BP32" s="438" t="s">
        <v>237</v>
      </c>
    </row>
    <row r="33" spans="2:73 1271:1271" s="416" customFormat="1" ht="12.95" customHeight="1" x14ac:dyDescent="0.25">
      <c r="B33" s="433" t="str">
        <f>IF(ISNA(Z33),"",IF(OR(Z33=1,Z33=2),"    ",MAX($B$9:B32)+1))</f>
        <v/>
      </c>
      <c r="C33" s="1618" t="str">
        <f t="shared" si="0"/>
        <v/>
      </c>
      <c r="D33" s="1618"/>
      <c r="E33" s="1618"/>
      <c r="F33" s="1619"/>
      <c r="G33" s="437" t="str">
        <f t="shared" si="1"/>
        <v/>
      </c>
      <c r="H33" s="431" t="str">
        <f t="shared" si="2"/>
        <v/>
      </c>
      <c r="I33" s="436" t="str">
        <f t="shared" si="3"/>
        <v/>
      </c>
      <c r="J33" s="429"/>
      <c r="K33" s="428"/>
      <c r="L33" s="1612"/>
      <c r="M33" s="1613"/>
      <c r="N33" s="1613"/>
      <c r="O33" s="1613"/>
      <c r="P33" s="1613"/>
      <c r="Q33" s="1613"/>
      <c r="R33" s="1614"/>
      <c r="T33" s="401">
        <v>25</v>
      </c>
      <c r="U33" s="374" t="e">
        <v>#N/A</v>
      </c>
      <c r="V33" s="421" t="e">
        <v>#N/A</v>
      </c>
      <c r="W33" s="421" t="e">
        <v>#N/A</v>
      </c>
      <c r="X33" s="421" t="e">
        <v>#N/A</v>
      </c>
      <c r="Y33" s="421" t="e">
        <v>#N/A</v>
      </c>
      <c r="Z33" s="393" t="e">
        <v>#N/A</v>
      </c>
      <c r="AA33" s="393" t="e">
        <v>#N/A</v>
      </c>
      <c r="AB33" s="393" t="e">
        <v>#N/A</v>
      </c>
      <c r="AC33" s="421" t="e">
        <v>#N/A</v>
      </c>
      <c r="AD33" s="421" t="e">
        <v>#N/A</v>
      </c>
      <c r="AE33" s="421" t="e">
        <v>#N/A</v>
      </c>
      <c r="AF33" s="421" t="e">
        <v>#N/A</v>
      </c>
      <c r="AG33" s="421" t="e">
        <f t="shared" si="4"/>
        <v>#N/A</v>
      </c>
      <c r="AH33" s="421" t="str">
        <f t="shared" si="5"/>
        <v/>
      </c>
      <c r="AI33" s="427" t="e">
        <f>IF(NOT(OR(Z33=1,Z33=2)),IF(AQ33&gt;0,$AR$45*AQ33/SUMIF($AQ$9:$AQ$40,"&gt;0"),IF(AU33&gt;0,$AV$45*AU33/SUMIF($AU$9:$AU$40,"&gt;0"),IF(AS33&gt;0,$AT$45*AS33/SUMIF($AS$9:$AS$40,"&gt;0"),""))),IF(SUMIF(AJ34:$AJ$40,"=" &amp; AJ33,AI34:$AI$40)=0,"",SUMIF(AJ34:$AJ$40,"=" &amp; AJ33,AI34:$AI$40)))</f>
        <v>#N/A</v>
      </c>
      <c r="AJ33" s="426" t="e">
        <f t="shared" si="36"/>
        <v>#N/A</v>
      </c>
      <c r="AK33" s="421" t="str">
        <f t="shared" si="6"/>
        <v/>
      </c>
      <c r="AL33" s="393" t="str">
        <f t="shared" si="7"/>
        <v/>
      </c>
      <c r="AM33" s="393" t="str">
        <f t="shared" si="8"/>
        <v/>
      </c>
      <c r="AN33" s="393" t="str">
        <f t="shared" si="9"/>
        <v/>
      </c>
      <c r="AO33" s="393" t="e">
        <f t="shared" si="10"/>
        <v>#N/A</v>
      </c>
      <c r="AP33" s="421" t="str">
        <f t="shared" si="11"/>
        <v/>
      </c>
      <c r="AQ33" s="425">
        <f t="shared" si="12"/>
        <v>0</v>
      </c>
      <c r="AR33" s="423" t="str">
        <f t="shared" si="13"/>
        <v/>
      </c>
      <c r="AS33" s="424">
        <f t="shared" si="14"/>
        <v>0</v>
      </c>
      <c r="AT33" s="423" t="str">
        <f t="shared" si="15"/>
        <v/>
      </c>
      <c r="AU33" s="420">
        <f t="shared" si="16"/>
        <v>0</v>
      </c>
      <c r="AV33" s="422" t="str">
        <f t="shared" si="17"/>
        <v/>
      </c>
      <c r="AW33" s="420" t="b">
        <f t="shared" si="18"/>
        <v>0</v>
      </c>
      <c r="AX33" s="419" t="b">
        <f t="shared" si="19"/>
        <v>0</v>
      </c>
      <c r="AY33" s="420" t="b">
        <f t="shared" si="20"/>
        <v>0</v>
      </c>
      <c r="AZ33" s="419" t="b">
        <f t="shared" si="21"/>
        <v>0</v>
      </c>
      <c r="BA33" s="421" t="b">
        <f t="shared" si="22"/>
        <v>0</v>
      </c>
      <c r="BB33" s="421" t="b">
        <f t="shared" si="23"/>
        <v>0</v>
      </c>
      <c r="BC33" s="420" t="b">
        <f t="shared" si="24"/>
        <v>0</v>
      </c>
      <c r="BD33" s="393" t="b">
        <f t="shared" si="25"/>
        <v>0</v>
      </c>
      <c r="BE33" s="419" t="b">
        <f t="shared" si="26"/>
        <v>0</v>
      </c>
      <c r="BF33" s="418" t="b">
        <f t="shared" si="27"/>
        <v>0</v>
      </c>
      <c r="BG33" s="417" t="str">
        <f t="shared" si="28"/>
        <v>NA</v>
      </c>
      <c r="BH33" s="417" t="str">
        <f t="shared" si="29"/>
        <v/>
      </c>
      <c r="BI33" s="417" t="str">
        <f t="shared" si="30"/>
        <v/>
      </c>
      <c r="BJ33" s="417" t="str">
        <f t="shared" si="31"/>
        <v/>
      </c>
      <c r="BK33" s="417" t="str">
        <f t="shared" si="32"/>
        <v/>
      </c>
      <c r="BL33" s="435" t="str">
        <f t="shared" si="33"/>
        <v/>
      </c>
      <c r="BM33" s="417" t="str">
        <f t="shared" si="34"/>
        <v/>
      </c>
      <c r="BN33" s="417" t="str">
        <f t="shared" si="35"/>
        <v/>
      </c>
      <c r="BO33" s="439" t="s">
        <v>238</v>
      </c>
      <c r="BP33" s="438" t="s">
        <v>239</v>
      </c>
    </row>
    <row r="34" spans="2:73 1271:1271" s="416" customFormat="1" ht="12.95" customHeight="1" x14ac:dyDescent="0.25">
      <c r="B34" s="433" t="str">
        <f>IF(ISNA(Z34),"",IF(OR(Z34=1,Z34=2),"    ",MAX($B$9:B33)+1))</f>
        <v/>
      </c>
      <c r="C34" s="1618" t="str">
        <f t="shared" si="0"/>
        <v/>
      </c>
      <c r="D34" s="1618"/>
      <c r="E34" s="1618"/>
      <c r="F34" s="1619"/>
      <c r="G34" s="437" t="str">
        <f t="shared" si="1"/>
        <v/>
      </c>
      <c r="H34" s="431" t="str">
        <f t="shared" si="2"/>
        <v/>
      </c>
      <c r="I34" s="436" t="str">
        <f t="shared" si="3"/>
        <v/>
      </c>
      <c r="J34" s="429"/>
      <c r="K34" s="428"/>
      <c r="L34" s="1612"/>
      <c r="M34" s="1613"/>
      <c r="N34" s="1613"/>
      <c r="O34" s="1613"/>
      <c r="P34" s="1613"/>
      <c r="Q34" s="1613"/>
      <c r="R34" s="1614"/>
      <c r="T34" s="401">
        <v>26</v>
      </c>
      <c r="U34" s="374" t="e">
        <v>#N/A</v>
      </c>
      <c r="V34" s="421" t="e">
        <v>#N/A</v>
      </c>
      <c r="W34" s="421" t="e">
        <v>#N/A</v>
      </c>
      <c r="X34" s="421" t="e">
        <v>#N/A</v>
      </c>
      <c r="Y34" s="421" t="e">
        <v>#N/A</v>
      </c>
      <c r="Z34" s="393" t="e">
        <v>#N/A</v>
      </c>
      <c r="AA34" s="393" t="e">
        <v>#N/A</v>
      </c>
      <c r="AB34" s="393" t="e">
        <v>#N/A</v>
      </c>
      <c r="AC34" s="421" t="e">
        <v>#N/A</v>
      </c>
      <c r="AD34" s="421" t="e">
        <v>#N/A</v>
      </c>
      <c r="AE34" s="421" t="e">
        <v>#N/A</v>
      </c>
      <c r="AF34" s="421" t="e">
        <v>#N/A</v>
      </c>
      <c r="AG34" s="421" t="e">
        <f t="shared" si="4"/>
        <v>#N/A</v>
      </c>
      <c r="AH34" s="421" t="str">
        <f t="shared" si="5"/>
        <v/>
      </c>
      <c r="AI34" s="427" t="e">
        <f>IF(NOT(OR(Z34=1,Z34=2)),IF(AQ34&gt;0,$AR$45*AQ34/SUMIF($AQ$9:$AQ$40,"&gt;0"),IF(AU34&gt;0,$AV$45*AU34/SUMIF($AU$9:$AU$40,"&gt;0"),IF(AS34&gt;0,$AT$45*AS34/SUMIF($AS$9:$AS$40,"&gt;0"),""))),IF(SUMIF(AJ35:$AJ$40,"=" &amp; AJ34,AI35:$AI$40)=0,"",SUMIF(AJ35:$AJ$40,"=" &amp; AJ34,AI35:$AI$40)))</f>
        <v>#N/A</v>
      </c>
      <c r="AJ34" s="426" t="e">
        <f t="shared" si="36"/>
        <v>#N/A</v>
      </c>
      <c r="AK34" s="421" t="str">
        <f t="shared" si="6"/>
        <v/>
      </c>
      <c r="AL34" s="393" t="str">
        <f t="shared" si="7"/>
        <v/>
      </c>
      <c r="AM34" s="393" t="str">
        <f t="shared" si="8"/>
        <v/>
      </c>
      <c r="AN34" s="393" t="str">
        <f t="shared" si="9"/>
        <v/>
      </c>
      <c r="AO34" s="393" t="e">
        <f t="shared" si="10"/>
        <v>#N/A</v>
      </c>
      <c r="AP34" s="421" t="str">
        <f t="shared" si="11"/>
        <v/>
      </c>
      <c r="AQ34" s="425">
        <f t="shared" si="12"/>
        <v>0</v>
      </c>
      <c r="AR34" s="423" t="str">
        <f t="shared" si="13"/>
        <v/>
      </c>
      <c r="AS34" s="424">
        <f t="shared" si="14"/>
        <v>0</v>
      </c>
      <c r="AT34" s="423" t="str">
        <f t="shared" si="15"/>
        <v/>
      </c>
      <c r="AU34" s="420">
        <f t="shared" si="16"/>
        <v>0</v>
      </c>
      <c r="AV34" s="422" t="str">
        <f t="shared" si="17"/>
        <v/>
      </c>
      <c r="AW34" s="420" t="b">
        <f t="shared" si="18"/>
        <v>0</v>
      </c>
      <c r="AX34" s="419" t="b">
        <f t="shared" si="19"/>
        <v>0</v>
      </c>
      <c r="AY34" s="420" t="b">
        <f t="shared" si="20"/>
        <v>0</v>
      </c>
      <c r="AZ34" s="419" t="b">
        <f t="shared" si="21"/>
        <v>0</v>
      </c>
      <c r="BA34" s="421" t="b">
        <f t="shared" si="22"/>
        <v>0</v>
      </c>
      <c r="BB34" s="421" t="b">
        <f t="shared" si="23"/>
        <v>0</v>
      </c>
      <c r="BC34" s="420" t="b">
        <f t="shared" si="24"/>
        <v>0</v>
      </c>
      <c r="BD34" s="393" t="b">
        <f t="shared" si="25"/>
        <v>0</v>
      </c>
      <c r="BE34" s="419" t="b">
        <f t="shared" si="26"/>
        <v>0</v>
      </c>
      <c r="BF34" s="418" t="b">
        <f t="shared" si="27"/>
        <v>0</v>
      </c>
      <c r="BG34" s="417" t="str">
        <f t="shared" si="28"/>
        <v>NA</v>
      </c>
      <c r="BH34" s="417" t="str">
        <f t="shared" si="29"/>
        <v/>
      </c>
      <c r="BI34" s="417" t="str">
        <f t="shared" si="30"/>
        <v/>
      </c>
      <c r="BJ34" s="417" t="str">
        <f t="shared" si="31"/>
        <v/>
      </c>
      <c r="BK34" s="417" t="str">
        <f t="shared" si="32"/>
        <v/>
      </c>
      <c r="BL34" s="435" t="str">
        <f t="shared" si="33"/>
        <v/>
      </c>
      <c r="BM34" s="417" t="str">
        <f t="shared" si="34"/>
        <v/>
      </c>
      <c r="BN34" s="417" t="str">
        <f t="shared" si="35"/>
        <v/>
      </c>
      <c r="BO34" s="434" t="s">
        <v>240</v>
      </c>
      <c r="BP34" s="438"/>
      <c r="BQ34" s="438"/>
      <c r="BR34" s="438"/>
      <c r="BS34" s="438"/>
      <c r="BT34" s="438"/>
      <c r="BU34" s="438"/>
    </row>
    <row r="35" spans="2:73 1271:1271" s="416" customFormat="1" ht="12.95" customHeight="1" x14ac:dyDescent="0.25">
      <c r="B35" s="433" t="str">
        <f>IF(ISNA(Z35),"",IF(OR(Z35=1,Z35=2),"    ",MAX($B$9:B34)+1))</f>
        <v/>
      </c>
      <c r="C35" s="1618" t="str">
        <f t="shared" si="0"/>
        <v/>
      </c>
      <c r="D35" s="1618"/>
      <c r="E35" s="1618"/>
      <c r="F35" s="1619"/>
      <c r="G35" s="437" t="str">
        <f t="shared" si="1"/>
        <v/>
      </c>
      <c r="H35" s="431" t="str">
        <f t="shared" si="2"/>
        <v/>
      </c>
      <c r="I35" s="436" t="str">
        <f t="shared" si="3"/>
        <v/>
      </c>
      <c r="J35" s="429"/>
      <c r="K35" s="428"/>
      <c r="L35" s="1612"/>
      <c r="M35" s="1613"/>
      <c r="N35" s="1613"/>
      <c r="O35" s="1613"/>
      <c r="P35" s="1613"/>
      <c r="Q35" s="1613"/>
      <c r="R35" s="1614"/>
      <c r="T35" s="401">
        <v>27</v>
      </c>
      <c r="U35" s="374" t="e">
        <v>#N/A</v>
      </c>
      <c r="V35" s="421" t="e">
        <v>#N/A</v>
      </c>
      <c r="W35" s="421" t="e">
        <v>#N/A</v>
      </c>
      <c r="X35" s="421" t="e">
        <v>#N/A</v>
      </c>
      <c r="Y35" s="421" t="e">
        <v>#N/A</v>
      </c>
      <c r="Z35" s="393" t="e">
        <v>#N/A</v>
      </c>
      <c r="AA35" s="393" t="e">
        <v>#N/A</v>
      </c>
      <c r="AB35" s="393" t="e">
        <v>#N/A</v>
      </c>
      <c r="AC35" s="421" t="e">
        <v>#N/A</v>
      </c>
      <c r="AD35" s="421" t="e">
        <v>#N/A</v>
      </c>
      <c r="AE35" s="421" t="e">
        <v>#N/A</v>
      </c>
      <c r="AF35" s="421" t="e">
        <v>#N/A</v>
      </c>
      <c r="AG35" s="421" t="e">
        <f t="shared" si="4"/>
        <v>#N/A</v>
      </c>
      <c r="AH35" s="421" t="str">
        <f t="shared" si="5"/>
        <v/>
      </c>
      <c r="AI35" s="427" t="e">
        <f>IF(NOT(OR(Z35=1,Z35=2)),IF(AQ35&gt;0,$AR$45*AQ35/SUMIF($AQ$9:$AQ$40,"&gt;0"),IF(AU35&gt;0,$AV$45*AU35/SUMIF($AU$9:$AU$40,"&gt;0"),IF(AS35&gt;0,$AT$45*AS35/SUMIF($AS$9:$AS$40,"&gt;0"),""))),IF(SUMIF(AJ36:$AJ$40,"=" &amp; AJ35,AI36:$AI$40)=0,"",SUMIF(AJ36:$AJ$40,"=" &amp; AJ35,AI36:$AI$40)))</f>
        <v>#N/A</v>
      </c>
      <c r="AJ35" s="426" t="e">
        <f t="shared" si="36"/>
        <v>#N/A</v>
      </c>
      <c r="AK35" s="421" t="str">
        <f t="shared" si="6"/>
        <v/>
      </c>
      <c r="AL35" s="393" t="str">
        <f t="shared" si="7"/>
        <v/>
      </c>
      <c r="AM35" s="393" t="str">
        <f t="shared" si="8"/>
        <v/>
      </c>
      <c r="AN35" s="393" t="str">
        <f t="shared" si="9"/>
        <v/>
      </c>
      <c r="AO35" s="393" t="e">
        <f t="shared" si="10"/>
        <v>#N/A</v>
      </c>
      <c r="AP35" s="421" t="str">
        <f t="shared" si="11"/>
        <v/>
      </c>
      <c r="AQ35" s="425">
        <f t="shared" si="12"/>
        <v>0</v>
      </c>
      <c r="AR35" s="423" t="str">
        <f t="shared" si="13"/>
        <v/>
      </c>
      <c r="AS35" s="424">
        <f t="shared" si="14"/>
        <v>0</v>
      </c>
      <c r="AT35" s="423" t="str">
        <f t="shared" si="15"/>
        <v/>
      </c>
      <c r="AU35" s="420">
        <f t="shared" si="16"/>
        <v>0</v>
      </c>
      <c r="AV35" s="422" t="str">
        <f t="shared" si="17"/>
        <v/>
      </c>
      <c r="AW35" s="420" t="b">
        <f t="shared" si="18"/>
        <v>0</v>
      </c>
      <c r="AX35" s="419" t="b">
        <f t="shared" si="19"/>
        <v>0</v>
      </c>
      <c r="AY35" s="420" t="b">
        <f t="shared" si="20"/>
        <v>0</v>
      </c>
      <c r="AZ35" s="419" t="b">
        <f t="shared" si="21"/>
        <v>0</v>
      </c>
      <c r="BA35" s="421" t="b">
        <f t="shared" si="22"/>
        <v>0</v>
      </c>
      <c r="BB35" s="421" t="b">
        <f t="shared" si="23"/>
        <v>0</v>
      </c>
      <c r="BC35" s="420" t="b">
        <f t="shared" si="24"/>
        <v>0</v>
      </c>
      <c r="BD35" s="393" t="b">
        <f t="shared" si="25"/>
        <v>0</v>
      </c>
      <c r="BE35" s="419" t="b">
        <f t="shared" si="26"/>
        <v>0</v>
      </c>
      <c r="BF35" s="418" t="b">
        <f t="shared" si="27"/>
        <v>0</v>
      </c>
      <c r="BG35" s="417" t="str">
        <f t="shared" si="28"/>
        <v>NA</v>
      </c>
      <c r="BH35" s="417" t="str">
        <f t="shared" si="29"/>
        <v/>
      </c>
      <c r="BI35" s="417" t="str">
        <f t="shared" si="30"/>
        <v/>
      </c>
      <c r="BJ35" s="417" t="str">
        <f t="shared" si="31"/>
        <v/>
      </c>
      <c r="BK35" s="417" t="str">
        <f t="shared" si="32"/>
        <v/>
      </c>
      <c r="BL35" s="435" t="str">
        <f t="shared" si="33"/>
        <v/>
      </c>
      <c r="BM35" s="417" t="str">
        <f t="shared" si="34"/>
        <v/>
      </c>
      <c r="BN35" s="417" t="str">
        <f t="shared" si="35"/>
        <v/>
      </c>
      <c r="BO35" s="1620"/>
      <c r="BP35" s="1621"/>
      <c r="BQ35" s="1621"/>
      <c r="BR35" s="1621"/>
      <c r="BS35" s="1621"/>
      <c r="BT35" s="1621"/>
      <c r="BU35" s="1622"/>
    </row>
    <row r="36" spans="2:73 1271:1271" s="416" customFormat="1" ht="12.95" customHeight="1" x14ac:dyDescent="0.25">
      <c r="B36" s="433" t="str">
        <f>IF(ISNA(Z36),"",IF(OR(Z36=1,Z36=2),"    ",MAX($B$9:B35)+1))</f>
        <v/>
      </c>
      <c r="C36" s="1618" t="str">
        <f t="shared" si="0"/>
        <v/>
      </c>
      <c r="D36" s="1618"/>
      <c r="E36" s="1618"/>
      <c r="F36" s="1619"/>
      <c r="G36" s="437" t="str">
        <f t="shared" si="1"/>
        <v/>
      </c>
      <c r="H36" s="431" t="str">
        <f t="shared" si="2"/>
        <v/>
      </c>
      <c r="I36" s="436" t="str">
        <f t="shared" si="3"/>
        <v/>
      </c>
      <c r="J36" s="429"/>
      <c r="K36" s="428"/>
      <c r="L36" s="1612"/>
      <c r="M36" s="1613"/>
      <c r="N36" s="1613"/>
      <c r="O36" s="1613"/>
      <c r="P36" s="1613"/>
      <c r="Q36" s="1613"/>
      <c r="R36" s="1614"/>
      <c r="T36" s="401">
        <v>28</v>
      </c>
      <c r="U36" s="374" t="e">
        <v>#N/A</v>
      </c>
      <c r="V36" s="421" t="e">
        <v>#N/A</v>
      </c>
      <c r="W36" s="421" t="e">
        <v>#N/A</v>
      </c>
      <c r="X36" s="421" t="e">
        <v>#N/A</v>
      </c>
      <c r="Y36" s="421" t="e">
        <v>#N/A</v>
      </c>
      <c r="Z36" s="393" t="e">
        <v>#N/A</v>
      </c>
      <c r="AA36" s="393" t="e">
        <v>#N/A</v>
      </c>
      <c r="AB36" s="393" t="e">
        <v>#N/A</v>
      </c>
      <c r="AC36" s="421" t="e">
        <v>#N/A</v>
      </c>
      <c r="AD36" s="421" t="e">
        <v>#N/A</v>
      </c>
      <c r="AE36" s="421" t="e">
        <v>#N/A</v>
      </c>
      <c r="AF36" s="421" t="e">
        <v>#N/A</v>
      </c>
      <c r="AG36" s="421" t="e">
        <f t="shared" si="4"/>
        <v>#N/A</v>
      </c>
      <c r="AH36" s="421" t="str">
        <f t="shared" si="5"/>
        <v/>
      </c>
      <c r="AI36" s="427" t="e">
        <f>IF(NOT(OR(Z36=1,Z36=2)),IF(AQ36&gt;0,$AR$45*AQ36/SUMIF($AQ$9:$AQ$40,"&gt;0"),IF(AU36&gt;0,$AV$45*AU36/SUMIF($AU$9:$AU$40,"&gt;0"),IF(AS36&gt;0,$AT$45*AS36/SUMIF($AS$9:$AS$40,"&gt;0"),""))),IF(SUMIF(AJ37:$AJ$40,"=" &amp; AJ36,AI37:$AI$40)=0,"",SUMIF(AJ37:$AJ$40,"=" &amp; AJ36,AI37:$AI$40)))</f>
        <v>#N/A</v>
      </c>
      <c r="AJ36" s="426" t="e">
        <f t="shared" si="36"/>
        <v>#N/A</v>
      </c>
      <c r="AK36" s="421" t="str">
        <f t="shared" si="6"/>
        <v/>
      </c>
      <c r="AL36" s="393" t="str">
        <f t="shared" si="7"/>
        <v/>
      </c>
      <c r="AM36" s="393" t="str">
        <f t="shared" si="8"/>
        <v/>
      </c>
      <c r="AN36" s="393" t="str">
        <f t="shared" si="9"/>
        <v/>
      </c>
      <c r="AO36" s="393" t="e">
        <f t="shared" si="10"/>
        <v>#N/A</v>
      </c>
      <c r="AP36" s="421" t="str">
        <f t="shared" si="11"/>
        <v/>
      </c>
      <c r="AQ36" s="425">
        <f t="shared" si="12"/>
        <v>0</v>
      </c>
      <c r="AR36" s="423" t="str">
        <f t="shared" si="13"/>
        <v/>
      </c>
      <c r="AS36" s="424">
        <f t="shared" si="14"/>
        <v>0</v>
      </c>
      <c r="AT36" s="423" t="str">
        <f t="shared" si="15"/>
        <v/>
      </c>
      <c r="AU36" s="420">
        <f t="shared" si="16"/>
        <v>0</v>
      </c>
      <c r="AV36" s="422" t="str">
        <f t="shared" si="17"/>
        <v/>
      </c>
      <c r="AW36" s="420" t="b">
        <f t="shared" si="18"/>
        <v>0</v>
      </c>
      <c r="AX36" s="419" t="b">
        <f t="shared" si="19"/>
        <v>0</v>
      </c>
      <c r="AY36" s="420" t="b">
        <f t="shared" si="20"/>
        <v>0</v>
      </c>
      <c r="AZ36" s="419" t="b">
        <f t="shared" si="21"/>
        <v>0</v>
      </c>
      <c r="BA36" s="421" t="b">
        <f t="shared" si="22"/>
        <v>0</v>
      </c>
      <c r="BB36" s="421" t="b">
        <f t="shared" si="23"/>
        <v>0</v>
      </c>
      <c r="BC36" s="420" t="b">
        <f t="shared" si="24"/>
        <v>0</v>
      </c>
      <c r="BD36" s="393" t="b">
        <f t="shared" si="25"/>
        <v>0</v>
      </c>
      <c r="BE36" s="419" t="b">
        <f t="shared" si="26"/>
        <v>0</v>
      </c>
      <c r="BF36" s="418" t="b">
        <f t="shared" si="27"/>
        <v>0</v>
      </c>
      <c r="BG36" s="417" t="str">
        <f t="shared" si="28"/>
        <v>NA</v>
      </c>
      <c r="BH36" s="417" t="str">
        <f t="shared" si="29"/>
        <v/>
      </c>
      <c r="BI36" s="417" t="str">
        <f t="shared" si="30"/>
        <v/>
      </c>
      <c r="BJ36" s="417" t="str">
        <f t="shared" si="31"/>
        <v/>
      </c>
      <c r="BK36" s="417" t="str">
        <f t="shared" si="32"/>
        <v/>
      </c>
      <c r="BL36" s="435" t="str">
        <f t="shared" si="33"/>
        <v/>
      </c>
      <c r="BM36" s="417" t="str">
        <f t="shared" si="34"/>
        <v/>
      </c>
      <c r="BN36" s="417" t="str">
        <f t="shared" si="35"/>
        <v/>
      </c>
      <c r="BO36" s="1623"/>
      <c r="BP36" s="1624"/>
      <c r="BQ36" s="1624"/>
      <c r="BR36" s="1624"/>
      <c r="BS36" s="1624"/>
      <c r="BT36" s="1624"/>
      <c r="BU36" s="1625"/>
    </row>
    <row r="37" spans="2:73 1271:1271" s="416" customFormat="1" ht="12.95" customHeight="1" x14ac:dyDescent="0.25">
      <c r="B37" s="433" t="str">
        <f>IF(ISNA(Z37),"",IF(OR(Z37=1,Z37=2),"    ",MAX($B$9:B36)+1))</f>
        <v/>
      </c>
      <c r="C37" s="1618" t="str">
        <f t="shared" si="0"/>
        <v/>
      </c>
      <c r="D37" s="1618"/>
      <c r="E37" s="1618"/>
      <c r="F37" s="1619"/>
      <c r="G37" s="437" t="str">
        <f t="shared" si="1"/>
        <v/>
      </c>
      <c r="H37" s="431" t="str">
        <f t="shared" si="2"/>
        <v/>
      </c>
      <c r="I37" s="436" t="str">
        <f t="shared" si="3"/>
        <v/>
      </c>
      <c r="J37" s="429"/>
      <c r="K37" s="428"/>
      <c r="L37" s="1612"/>
      <c r="M37" s="1613"/>
      <c r="N37" s="1613"/>
      <c r="O37" s="1613"/>
      <c r="P37" s="1613"/>
      <c r="Q37" s="1613"/>
      <c r="R37" s="1614"/>
      <c r="T37" s="401">
        <v>29</v>
      </c>
      <c r="U37" s="374" t="e">
        <v>#N/A</v>
      </c>
      <c r="V37" s="421" t="e">
        <v>#N/A</v>
      </c>
      <c r="W37" s="421" t="e">
        <v>#N/A</v>
      </c>
      <c r="X37" s="421" t="e">
        <v>#N/A</v>
      </c>
      <c r="Y37" s="421" t="e">
        <v>#N/A</v>
      </c>
      <c r="Z37" s="393" t="e">
        <v>#N/A</v>
      </c>
      <c r="AA37" s="393" t="e">
        <v>#N/A</v>
      </c>
      <c r="AB37" s="393" t="e">
        <v>#N/A</v>
      </c>
      <c r="AC37" s="421" t="e">
        <v>#N/A</v>
      </c>
      <c r="AD37" s="421" t="e">
        <v>#N/A</v>
      </c>
      <c r="AE37" s="421" t="e">
        <v>#N/A</v>
      </c>
      <c r="AF37" s="421" t="e">
        <v>#N/A</v>
      </c>
      <c r="AG37" s="421" t="e">
        <f t="shared" si="4"/>
        <v>#N/A</v>
      </c>
      <c r="AH37" s="421" t="str">
        <f t="shared" si="5"/>
        <v/>
      </c>
      <c r="AI37" s="427" t="e">
        <f>IF(NOT(OR(Z37=1,Z37=2)),IF(AQ37&gt;0,$AR$45*AQ37/SUMIF($AQ$9:$AQ$40,"&gt;0"),IF(AU37&gt;0,$AV$45*AU37/SUMIF($AU$9:$AU$40,"&gt;0"),IF(AS37&gt;0,$AT$45*AS37/SUMIF($AS$9:$AS$40,"&gt;0"),""))),IF(SUMIF(AJ38:$AJ$40,"=" &amp; AJ37,AI38:$AI$40)=0,"",SUMIF(AJ38:$AJ$40,"=" &amp; AJ37,AI38:$AI$40)))</f>
        <v>#N/A</v>
      </c>
      <c r="AJ37" s="426" t="e">
        <f t="shared" si="36"/>
        <v>#N/A</v>
      </c>
      <c r="AK37" s="421" t="str">
        <f t="shared" si="6"/>
        <v/>
      </c>
      <c r="AL37" s="393" t="str">
        <f t="shared" si="7"/>
        <v/>
      </c>
      <c r="AM37" s="393" t="str">
        <f t="shared" si="8"/>
        <v/>
      </c>
      <c r="AN37" s="393" t="str">
        <f t="shared" si="9"/>
        <v/>
      </c>
      <c r="AO37" s="393" t="e">
        <f t="shared" si="10"/>
        <v>#N/A</v>
      </c>
      <c r="AP37" s="421" t="str">
        <f t="shared" si="11"/>
        <v/>
      </c>
      <c r="AQ37" s="425">
        <f t="shared" si="12"/>
        <v>0</v>
      </c>
      <c r="AR37" s="423" t="str">
        <f t="shared" si="13"/>
        <v/>
      </c>
      <c r="AS37" s="424">
        <f t="shared" si="14"/>
        <v>0</v>
      </c>
      <c r="AT37" s="423" t="str">
        <f t="shared" si="15"/>
        <v/>
      </c>
      <c r="AU37" s="420">
        <f t="shared" si="16"/>
        <v>0</v>
      </c>
      <c r="AV37" s="422" t="str">
        <f t="shared" si="17"/>
        <v/>
      </c>
      <c r="AW37" s="420" t="b">
        <f t="shared" si="18"/>
        <v>0</v>
      </c>
      <c r="AX37" s="419" t="b">
        <f t="shared" si="19"/>
        <v>0</v>
      </c>
      <c r="AY37" s="420" t="b">
        <f t="shared" si="20"/>
        <v>0</v>
      </c>
      <c r="AZ37" s="419" t="b">
        <f t="shared" si="21"/>
        <v>0</v>
      </c>
      <c r="BA37" s="421" t="b">
        <f t="shared" si="22"/>
        <v>0</v>
      </c>
      <c r="BB37" s="421" t="b">
        <f t="shared" si="23"/>
        <v>0</v>
      </c>
      <c r="BC37" s="420" t="b">
        <f t="shared" si="24"/>
        <v>0</v>
      </c>
      <c r="BD37" s="393" t="b">
        <f t="shared" si="25"/>
        <v>0</v>
      </c>
      <c r="BE37" s="419" t="b">
        <f t="shared" si="26"/>
        <v>0</v>
      </c>
      <c r="BF37" s="418" t="b">
        <f t="shared" si="27"/>
        <v>0</v>
      </c>
      <c r="BG37" s="417" t="str">
        <f t="shared" si="28"/>
        <v>NA</v>
      </c>
      <c r="BH37" s="417" t="str">
        <f t="shared" si="29"/>
        <v/>
      </c>
      <c r="BI37" s="417" t="str">
        <f t="shared" si="30"/>
        <v/>
      </c>
      <c r="BJ37" s="417" t="str">
        <f t="shared" si="31"/>
        <v/>
      </c>
      <c r="BK37" s="417" t="str">
        <f t="shared" si="32"/>
        <v/>
      </c>
      <c r="BL37" s="435" t="str">
        <f t="shared" si="33"/>
        <v/>
      </c>
      <c r="BM37" s="417" t="str">
        <f t="shared" si="34"/>
        <v/>
      </c>
      <c r="BN37" s="417" t="str">
        <f t="shared" si="35"/>
        <v/>
      </c>
      <c r="BO37" s="1623"/>
      <c r="BP37" s="1624"/>
      <c r="BQ37" s="1624"/>
      <c r="BR37" s="1624"/>
      <c r="BS37" s="1624"/>
      <c r="BT37" s="1624"/>
      <c r="BU37" s="1625"/>
    </row>
    <row r="38" spans="2:73 1271:1271" s="416" customFormat="1" ht="12.95" customHeight="1" x14ac:dyDescent="0.25">
      <c r="B38" s="433" t="str">
        <f>IF(ISNA(Z38),"",IF(OR(Z38=1,Z38=2),"    ",MAX($B$9:B37)+1))</f>
        <v/>
      </c>
      <c r="C38" s="1618" t="str">
        <f t="shared" si="0"/>
        <v/>
      </c>
      <c r="D38" s="1618"/>
      <c r="E38" s="1618"/>
      <c r="F38" s="1619"/>
      <c r="G38" s="437" t="str">
        <f t="shared" si="1"/>
        <v/>
      </c>
      <c r="H38" s="431" t="str">
        <f t="shared" si="2"/>
        <v/>
      </c>
      <c r="I38" s="436" t="str">
        <f t="shared" si="3"/>
        <v/>
      </c>
      <c r="J38" s="429"/>
      <c r="K38" s="428"/>
      <c r="L38" s="1612"/>
      <c r="M38" s="1613"/>
      <c r="N38" s="1613"/>
      <c r="O38" s="1613"/>
      <c r="P38" s="1613"/>
      <c r="Q38" s="1613"/>
      <c r="R38" s="1614"/>
      <c r="T38" s="401">
        <v>30</v>
      </c>
      <c r="U38" s="374" t="e">
        <v>#N/A</v>
      </c>
      <c r="V38" s="421" t="e">
        <v>#N/A</v>
      </c>
      <c r="W38" s="421" t="e">
        <v>#N/A</v>
      </c>
      <c r="X38" s="421" t="e">
        <v>#N/A</v>
      </c>
      <c r="Y38" s="421" t="e">
        <v>#N/A</v>
      </c>
      <c r="Z38" s="393" t="e">
        <v>#N/A</v>
      </c>
      <c r="AA38" s="393" t="e">
        <v>#N/A</v>
      </c>
      <c r="AB38" s="393" t="e">
        <v>#N/A</v>
      </c>
      <c r="AC38" s="421" t="e">
        <v>#N/A</v>
      </c>
      <c r="AD38" s="421" t="e">
        <v>#N/A</v>
      </c>
      <c r="AE38" s="421" t="e">
        <v>#N/A</v>
      </c>
      <c r="AF38" s="421" t="e">
        <v>#N/A</v>
      </c>
      <c r="AG38" s="421" t="e">
        <f t="shared" si="4"/>
        <v>#N/A</v>
      </c>
      <c r="AH38" s="421" t="str">
        <f t="shared" si="5"/>
        <v/>
      </c>
      <c r="AI38" s="427" t="e">
        <f>IF(NOT(OR(Z38=1,Z38=2)),IF(AQ38&gt;0,$AR$45*AQ38/SUMIF($AQ$9:$AQ$40,"&gt;0"),IF(AU38&gt;0,$AV$45*AU38/SUMIF($AU$9:$AU$40,"&gt;0"),IF(AS38&gt;0,$AT$45*AS38/SUMIF($AS$9:$AS$40,"&gt;0"),""))),IF(SUMIF(AJ39:$AJ$40,"=" &amp; AJ38,AI39:$AI$40)=0,"",SUMIF(AJ39:$AJ$40,"=" &amp; AJ38,AI39:$AI$40)))</f>
        <v>#N/A</v>
      </c>
      <c r="AJ38" s="426" t="e">
        <f t="shared" si="36"/>
        <v>#N/A</v>
      </c>
      <c r="AK38" s="421" t="str">
        <f t="shared" si="6"/>
        <v/>
      </c>
      <c r="AL38" s="393" t="str">
        <f t="shared" si="7"/>
        <v/>
      </c>
      <c r="AM38" s="393" t="str">
        <f t="shared" si="8"/>
        <v/>
      </c>
      <c r="AN38" s="393" t="str">
        <f t="shared" si="9"/>
        <v/>
      </c>
      <c r="AO38" s="393" t="e">
        <f t="shared" si="10"/>
        <v>#N/A</v>
      </c>
      <c r="AP38" s="421" t="str">
        <f t="shared" si="11"/>
        <v/>
      </c>
      <c r="AQ38" s="425">
        <f t="shared" si="12"/>
        <v>0</v>
      </c>
      <c r="AR38" s="423" t="str">
        <f t="shared" si="13"/>
        <v/>
      </c>
      <c r="AS38" s="424">
        <f t="shared" si="14"/>
        <v>0</v>
      </c>
      <c r="AT38" s="423" t="str">
        <f t="shared" si="15"/>
        <v/>
      </c>
      <c r="AU38" s="420">
        <f t="shared" si="16"/>
        <v>0</v>
      </c>
      <c r="AV38" s="422" t="str">
        <f t="shared" si="17"/>
        <v/>
      </c>
      <c r="AW38" s="420" t="b">
        <f t="shared" si="18"/>
        <v>0</v>
      </c>
      <c r="AX38" s="419" t="b">
        <f t="shared" si="19"/>
        <v>0</v>
      </c>
      <c r="AY38" s="420" t="b">
        <f t="shared" si="20"/>
        <v>0</v>
      </c>
      <c r="AZ38" s="419" t="b">
        <f t="shared" si="21"/>
        <v>0</v>
      </c>
      <c r="BA38" s="421" t="b">
        <f t="shared" si="22"/>
        <v>0</v>
      </c>
      <c r="BB38" s="421" t="b">
        <f t="shared" si="23"/>
        <v>0</v>
      </c>
      <c r="BC38" s="420" t="b">
        <f t="shared" si="24"/>
        <v>0</v>
      </c>
      <c r="BD38" s="393" t="b">
        <f t="shared" si="25"/>
        <v>0</v>
      </c>
      <c r="BE38" s="419" t="b">
        <f t="shared" si="26"/>
        <v>0</v>
      </c>
      <c r="BF38" s="418" t="b">
        <f t="shared" si="27"/>
        <v>0</v>
      </c>
      <c r="BG38" s="417" t="str">
        <f t="shared" si="28"/>
        <v>NA</v>
      </c>
      <c r="BH38" s="417" t="str">
        <f t="shared" si="29"/>
        <v/>
      </c>
      <c r="BI38" s="417" t="str">
        <f t="shared" si="30"/>
        <v/>
      </c>
      <c r="BJ38" s="417" t="str">
        <f t="shared" si="31"/>
        <v/>
      </c>
      <c r="BK38" s="417" t="str">
        <f t="shared" si="32"/>
        <v/>
      </c>
      <c r="BL38" s="435" t="str">
        <f t="shared" si="33"/>
        <v/>
      </c>
      <c r="BM38" s="417" t="str">
        <f t="shared" si="34"/>
        <v/>
      </c>
      <c r="BN38" s="417" t="str">
        <f t="shared" si="35"/>
        <v/>
      </c>
      <c r="BO38" s="1626"/>
      <c r="BP38" s="1627"/>
      <c r="BQ38" s="1627"/>
      <c r="BR38" s="1627"/>
      <c r="BS38" s="1627"/>
      <c r="BT38" s="1627"/>
      <c r="BU38" s="1628"/>
    </row>
    <row r="39" spans="2:73 1271:1271" s="416" customFormat="1" ht="12.95" customHeight="1" x14ac:dyDescent="0.25">
      <c r="B39" s="433" t="str">
        <f>IF(ISNA(Z39),"",IF(OR(Z39=1,Z39=2),"    ",MAX($B$9:B38)+1))</f>
        <v/>
      </c>
      <c r="C39" s="1618" t="str">
        <f t="shared" si="0"/>
        <v/>
      </c>
      <c r="D39" s="1618"/>
      <c r="E39" s="1618"/>
      <c r="F39" s="1619"/>
      <c r="G39" s="437" t="str">
        <f t="shared" si="1"/>
        <v/>
      </c>
      <c r="H39" s="431" t="str">
        <f t="shared" si="2"/>
        <v/>
      </c>
      <c r="I39" s="436" t="str">
        <f t="shared" si="3"/>
        <v/>
      </c>
      <c r="J39" s="429"/>
      <c r="K39" s="428"/>
      <c r="L39" s="1612"/>
      <c r="M39" s="1613"/>
      <c r="N39" s="1613"/>
      <c r="O39" s="1613"/>
      <c r="P39" s="1613"/>
      <c r="Q39" s="1613"/>
      <c r="R39" s="1614"/>
      <c r="T39" s="401">
        <v>31</v>
      </c>
      <c r="U39" s="374" t="e">
        <v>#N/A</v>
      </c>
      <c r="V39" s="421" t="e">
        <v>#N/A</v>
      </c>
      <c r="W39" s="421" t="e">
        <v>#N/A</v>
      </c>
      <c r="X39" s="421" t="e">
        <v>#N/A</v>
      </c>
      <c r="Y39" s="421" t="e">
        <v>#N/A</v>
      </c>
      <c r="Z39" s="393" t="e">
        <v>#N/A</v>
      </c>
      <c r="AA39" s="393" t="e">
        <v>#N/A</v>
      </c>
      <c r="AB39" s="393" t="e">
        <v>#N/A</v>
      </c>
      <c r="AC39" s="421" t="e">
        <v>#N/A</v>
      </c>
      <c r="AD39" s="421" t="e">
        <v>#N/A</v>
      </c>
      <c r="AE39" s="421" t="e">
        <v>#N/A</v>
      </c>
      <c r="AF39" s="421" t="e">
        <v>#N/A</v>
      </c>
      <c r="AG39" s="421" t="e">
        <f t="shared" si="4"/>
        <v>#N/A</v>
      </c>
      <c r="AH39" s="421" t="str">
        <f t="shared" si="5"/>
        <v/>
      </c>
      <c r="AI39" s="427" t="e">
        <f>IF(NOT(OR(Z39=1,Z39=2)),IF(AQ39&gt;0,$AR$45*AQ39/SUMIF($AQ$9:$AQ$40,"&gt;0"),IF(AU39&gt;0,$AV$45*AU39/SUMIF($AU$9:$AU$40,"&gt;0"),IF(AS39&gt;0,$AT$45*AS39/SUMIF($AS$9:$AS$40,"&gt;0"),""))),IF(SUMIF(AJ40:$AJ$40,"=" &amp; AJ39,AI40:$AI$40)=0,"",SUMIF(AJ40:$AJ$40,"=" &amp; AJ39,AI40:$AI$40)))</f>
        <v>#N/A</v>
      </c>
      <c r="AJ39" s="426" t="e">
        <f t="shared" si="36"/>
        <v>#N/A</v>
      </c>
      <c r="AK39" s="421" t="str">
        <f t="shared" si="6"/>
        <v/>
      </c>
      <c r="AL39" s="393" t="str">
        <f t="shared" si="7"/>
        <v/>
      </c>
      <c r="AM39" s="393" t="str">
        <f t="shared" si="8"/>
        <v/>
      </c>
      <c r="AN39" s="393" t="str">
        <f t="shared" si="9"/>
        <v/>
      </c>
      <c r="AO39" s="393" t="e">
        <f t="shared" si="10"/>
        <v>#N/A</v>
      </c>
      <c r="AP39" s="421" t="str">
        <f t="shared" si="11"/>
        <v/>
      </c>
      <c r="AQ39" s="425">
        <f t="shared" si="12"/>
        <v>0</v>
      </c>
      <c r="AR39" s="423" t="str">
        <f t="shared" si="13"/>
        <v/>
      </c>
      <c r="AS39" s="424">
        <f t="shared" si="14"/>
        <v>0</v>
      </c>
      <c r="AT39" s="423" t="str">
        <f t="shared" si="15"/>
        <v/>
      </c>
      <c r="AU39" s="420">
        <f t="shared" si="16"/>
        <v>0</v>
      </c>
      <c r="AV39" s="422" t="str">
        <f t="shared" si="17"/>
        <v/>
      </c>
      <c r="AW39" s="420" t="b">
        <f t="shared" si="18"/>
        <v>0</v>
      </c>
      <c r="AX39" s="419" t="b">
        <f t="shared" si="19"/>
        <v>0</v>
      </c>
      <c r="AY39" s="420" t="b">
        <f t="shared" si="20"/>
        <v>0</v>
      </c>
      <c r="AZ39" s="419" t="b">
        <f t="shared" si="21"/>
        <v>0</v>
      </c>
      <c r="BA39" s="421" t="b">
        <f t="shared" si="22"/>
        <v>0</v>
      </c>
      <c r="BB39" s="421" t="b">
        <f t="shared" si="23"/>
        <v>0</v>
      </c>
      <c r="BC39" s="420" t="b">
        <f t="shared" si="24"/>
        <v>0</v>
      </c>
      <c r="BD39" s="393" t="b">
        <f t="shared" si="25"/>
        <v>0</v>
      </c>
      <c r="BE39" s="419" t="b">
        <f t="shared" si="26"/>
        <v>0</v>
      </c>
      <c r="BF39" s="418" t="b">
        <f t="shared" si="27"/>
        <v>0</v>
      </c>
      <c r="BG39" s="417" t="str">
        <f t="shared" si="28"/>
        <v>NA</v>
      </c>
      <c r="BH39" s="417" t="str">
        <f t="shared" si="29"/>
        <v/>
      </c>
      <c r="BI39" s="417" t="str">
        <f t="shared" si="30"/>
        <v/>
      </c>
      <c r="BJ39" s="417" t="str">
        <f t="shared" si="31"/>
        <v/>
      </c>
      <c r="BK39" s="417" t="str">
        <f t="shared" si="32"/>
        <v/>
      </c>
      <c r="BL39" s="435" t="str">
        <f t="shared" si="33"/>
        <v/>
      </c>
      <c r="BM39" s="417" t="str">
        <f t="shared" si="34"/>
        <v/>
      </c>
      <c r="BN39" s="417" t="str">
        <f t="shared" si="35"/>
        <v/>
      </c>
      <c r="BO39" s="434" t="s">
        <v>241</v>
      </c>
      <c r="BP39" s="434"/>
      <c r="BQ39" s="434"/>
      <c r="BR39" s="434"/>
      <c r="BS39" s="434"/>
      <c r="BT39" s="434"/>
      <c r="BU39" s="434"/>
    </row>
    <row r="40" spans="2:73 1271:1271" s="416" customFormat="1" ht="12.95" customHeight="1" thickBot="1" x14ac:dyDescent="0.3">
      <c r="B40" s="433" t="str">
        <f>IF(ISNA(Z40),"",IF(OR(Z40=1,Z40=2),"    ",MAX($B$9:B39)+1))</f>
        <v/>
      </c>
      <c r="C40" s="1618" t="str">
        <f t="shared" si="0"/>
        <v/>
      </c>
      <c r="D40" s="1618"/>
      <c r="E40" s="1618"/>
      <c r="F40" s="1619"/>
      <c r="G40" s="432" t="str">
        <f t="shared" si="1"/>
        <v/>
      </c>
      <c r="H40" s="431" t="str">
        <f t="shared" si="2"/>
        <v/>
      </c>
      <c r="I40" s="430" t="str">
        <f t="shared" si="3"/>
        <v/>
      </c>
      <c r="J40" s="500"/>
      <c r="K40" s="499"/>
      <c r="L40" s="1615"/>
      <c r="M40" s="1616"/>
      <c r="N40" s="1616"/>
      <c r="O40" s="1616"/>
      <c r="P40" s="1616"/>
      <c r="Q40" s="1616"/>
      <c r="R40" s="1617"/>
      <c r="T40" s="401">
        <v>32</v>
      </c>
      <c r="U40" s="374" t="e">
        <v>#N/A</v>
      </c>
      <c r="V40" s="421" t="e">
        <v>#N/A</v>
      </c>
      <c r="W40" s="421" t="e">
        <v>#N/A</v>
      </c>
      <c r="X40" s="421" t="e">
        <v>#N/A</v>
      </c>
      <c r="Y40" s="421" t="e">
        <v>#N/A</v>
      </c>
      <c r="Z40" s="393" t="e">
        <v>#N/A</v>
      </c>
      <c r="AA40" s="393" t="e">
        <v>#N/A</v>
      </c>
      <c r="AB40" s="393" t="e">
        <v>#N/A</v>
      </c>
      <c r="AC40" s="421" t="e">
        <v>#N/A</v>
      </c>
      <c r="AD40" s="421" t="e">
        <v>#N/A</v>
      </c>
      <c r="AE40" s="421" t="e">
        <v>#N/A</v>
      </c>
      <c r="AF40" s="421" t="e">
        <v>#N/A</v>
      </c>
      <c r="AG40" s="421" t="e">
        <f t="shared" si="4"/>
        <v>#N/A</v>
      </c>
      <c r="AH40" s="421" t="str">
        <f t="shared" si="5"/>
        <v/>
      </c>
      <c r="AI40" s="427" t="e">
        <f>IF(NOT(OR(Z40=1,Z40=2)),IF(AQ40&gt;0,$AR$45*AQ40/SUMIF($AQ$9:$AQ$40,"&gt;0"),IF(AU40&gt;0,$AV$45*AU40/SUMIF($AU$9:$AU$40,"&gt;0"),IF(AS40&gt;0,$AT$45*AS40/SUMIF($AS$9:$AS$40,"&gt;0"),""))),IF(SUMIF(AJ$40:$AJ41,"=" &amp; AJ40,AI$40:$AI41)=0,"",SUMIF(AJ$40:$AJ41,"=" &amp; AJ40,AI$40:$AI41)))</f>
        <v>#N/A</v>
      </c>
      <c r="AJ40" s="426" t="e">
        <f t="shared" si="36"/>
        <v>#N/A</v>
      </c>
      <c r="AK40" s="421" t="str">
        <f t="shared" si="6"/>
        <v/>
      </c>
      <c r="AL40" s="393" t="str">
        <f t="shared" si="7"/>
        <v/>
      </c>
      <c r="AM40" s="393" t="str">
        <f t="shared" si="8"/>
        <v/>
      </c>
      <c r="AN40" s="393" t="str">
        <f t="shared" si="9"/>
        <v/>
      </c>
      <c r="AO40" s="393" t="e">
        <f t="shared" si="10"/>
        <v>#N/A</v>
      </c>
      <c r="AP40" s="421" t="str">
        <f t="shared" si="11"/>
        <v/>
      </c>
      <c r="AQ40" s="425">
        <f t="shared" si="12"/>
        <v>0</v>
      </c>
      <c r="AR40" s="423" t="str">
        <f t="shared" si="13"/>
        <v/>
      </c>
      <c r="AS40" s="424">
        <f t="shared" si="14"/>
        <v>0</v>
      </c>
      <c r="AT40" s="423" t="str">
        <f t="shared" si="15"/>
        <v/>
      </c>
      <c r="AU40" s="420">
        <f t="shared" si="16"/>
        <v>0</v>
      </c>
      <c r="AV40" s="422" t="str">
        <f t="shared" si="17"/>
        <v/>
      </c>
      <c r="AW40" s="420" t="b">
        <f t="shared" si="18"/>
        <v>0</v>
      </c>
      <c r="AX40" s="419" t="b">
        <f t="shared" si="19"/>
        <v>0</v>
      </c>
      <c r="AY40" s="420" t="b">
        <f t="shared" si="20"/>
        <v>0</v>
      </c>
      <c r="AZ40" s="419" t="b">
        <f t="shared" si="21"/>
        <v>0</v>
      </c>
      <c r="BA40" s="421" t="b">
        <f t="shared" si="22"/>
        <v>0</v>
      </c>
      <c r="BB40" s="421" t="b">
        <f t="shared" si="23"/>
        <v>0</v>
      </c>
      <c r="BC40" s="420" t="b">
        <f t="shared" si="24"/>
        <v>0</v>
      </c>
      <c r="BD40" s="393" t="b">
        <f t="shared" si="25"/>
        <v>0</v>
      </c>
      <c r="BE40" s="419" t="b">
        <f t="shared" si="26"/>
        <v>0</v>
      </c>
      <c r="BF40" s="418" t="b">
        <f t="shared" si="27"/>
        <v>0</v>
      </c>
      <c r="BG40" s="417" t="str">
        <f t="shared" si="28"/>
        <v>NA</v>
      </c>
      <c r="BH40" s="417" t="str">
        <f t="shared" si="29"/>
        <v/>
      </c>
      <c r="BI40" s="417" t="str">
        <f t="shared" si="30"/>
        <v/>
      </c>
      <c r="BJ40" s="417" t="str">
        <f t="shared" si="31"/>
        <v/>
      </c>
      <c r="BK40" s="417" t="str">
        <f t="shared" si="32"/>
        <v/>
      </c>
      <c r="BL40" s="417" t="str">
        <f t="shared" si="33"/>
        <v/>
      </c>
      <c r="BM40" s="417" t="str">
        <f t="shared" si="34"/>
        <v/>
      </c>
      <c r="BN40" s="417" t="str">
        <f t="shared" si="35"/>
        <v/>
      </c>
      <c r="BO40" s="1620"/>
      <c r="BP40" s="1621"/>
      <c r="BQ40" s="1621"/>
      <c r="BR40" s="1621"/>
      <c r="BS40" s="1621"/>
      <c r="BT40" s="1621"/>
      <c r="BU40" s="1622"/>
    </row>
    <row r="41" spans="2:73 1271:1271" s="406" customFormat="1" ht="8.25" customHeight="1" x14ac:dyDescent="0.25">
      <c r="B41" s="1639" t="s">
        <v>242</v>
      </c>
      <c r="C41" s="1640"/>
      <c r="D41" s="1641"/>
      <c r="E41" s="415" t="s">
        <v>243</v>
      </c>
      <c r="F41" s="1642" t="s">
        <v>244</v>
      </c>
      <c r="G41" s="1643"/>
      <c r="H41" s="1643" t="s">
        <v>245</v>
      </c>
      <c r="I41" s="1643"/>
      <c r="J41" s="1647" t="s">
        <v>246</v>
      </c>
      <c r="K41" s="1648"/>
      <c r="L41" s="414" t="s">
        <v>247</v>
      </c>
      <c r="M41" s="1631" t="s">
        <v>248</v>
      </c>
      <c r="N41" s="1631"/>
      <c r="O41" s="1632" t="str">
        <f>IF(U45,"DO REVIEW","DO REV N/A")</f>
        <v>DO REV N/A</v>
      </c>
      <c r="P41" s="1633"/>
      <c r="Q41" s="413" t="str">
        <f>IF(U46,"ED REVIEW","ED REV N/A")</f>
        <v>ED REVIEW</v>
      </c>
      <c r="R41" s="412"/>
      <c r="S41" s="411">
        <v>0</v>
      </c>
      <c r="AI41" s="410"/>
      <c r="AJ41" s="407"/>
      <c r="AK41" s="407"/>
      <c r="AL41" s="407"/>
      <c r="AM41" s="407"/>
      <c r="AN41" s="407"/>
      <c r="AO41" s="373"/>
      <c r="AP41" s="407"/>
      <c r="AQ41" s="409"/>
      <c r="AR41" s="407"/>
      <c r="AS41" s="409"/>
      <c r="AT41" s="407"/>
      <c r="AU41" s="409"/>
      <c r="AV41" s="408"/>
      <c r="AW41" s="407"/>
      <c r="AX41" s="407"/>
      <c r="AY41" s="407"/>
      <c r="AZ41" s="407"/>
      <c r="BA41" s="407"/>
      <c r="BB41" s="407"/>
      <c r="BC41" s="407"/>
      <c r="BD41" s="407"/>
      <c r="BE41" s="407"/>
      <c r="BF41" s="407"/>
      <c r="BG41" s="407"/>
      <c r="BH41" s="373"/>
      <c r="BI41" s="373"/>
      <c r="BJ41" s="373"/>
      <c r="BK41" s="373"/>
      <c r="BL41" s="373"/>
      <c r="BM41" s="373"/>
      <c r="BN41" s="373"/>
      <c r="BO41" s="1623"/>
      <c r="BP41" s="1624"/>
      <c r="BQ41" s="1624"/>
      <c r="BR41" s="1624"/>
      <c r="BS41" s="1624"/>
      <c r="BT41" s="1624"/>
      <c r="BU41" s="1625"/>
    </row>
    <row r="42" spans="2:73 1271:1271" ht="18.75" customHeight="1" thickBot="1" x14ac:dyDescent="0.3">
      <c r="B42" s="1634" t="str">
        <f>IF(ISERROR(AR47),"",TEXT(AR46,"0.0%"))</f>
        <v>0.0%</v>
      </c>
      <c r="C42" s="1635"/>
      <c r="D42" s="1636"/>
      <c r="E42" s="405" t="str">
        <f>IF(AU42=0,"N/A",CONCATENATE(TEXT(AV46,"0.0%")," of ",TEXT(AV45,"0.0%")))</f>
        <v>N/A</v>
      </c>
      <c r="F42" s="1637" t="str">
        <f>IF((graded_aca_events+graded_amn_events)&lt;1,"---",IF(AND(AW5,AX5),"INCOMPLETE",IF(AND(NOT(AW5),AX5),"ACA INC",IF(AND(AW5,NOT(AX5)),"AMN INC","COMPLETE"))))</f>
        <v>---</v>
      </c>
      <c r="G42" s="1637"/>
      <c r="H42" s="1637" t="str">
        <f>IF(AU5,IF(OR(AY5="UNK",NOT(AN7)),"---",IF(AY5,"UNSAT",IF(AVERAGEIFS(AT9:AT40,AS9:AS40,"&gt;0")&lt;0.9,"MARG","SAT"))),"N/A")</f>
        <v>N/A</v>
      </c>
      <c r="I42" s="1637"/>
      <c r="J42" s="1649" t="str">
        <f>IF(OR(AZ5="UNK",NOT(AM7)),"---",IF(OR(AZ5,AR46&lt;0.7),"FAIL","PASS"))</f>
        <v>---</v>
      </c>
      <c r="K42" s="1650"/>
      <c r="L42" s="404"/>
      <c r="M42" s="1651"/>
      <c r="N42" s="1651"/>
      <c r="O42" s="1644" t="s">
        <v>139</v>
      </c>
      <c r="P42" s="1644"/>
      <c r="Q42" s="1644" t="s">
        <v>139</v>
      </c>
      <c r="R42" s="1645"/>
      <c r="S42" s="403"/>
      <c r="T42" s="401" t="s">
        <v>249</v>
      </c>
      <c r="U42" s="393" t="s">
        <v>250</v>
      </c>
      <c r="V42" s="396"/>
      <c r="W42" s="396"/>
      <c r="X42" s="396"/>
      <c r="Y42" s="396"/>
      <c r="Z42" s="396"/>
      <c r="AA42" s="396"/>
      <c r="AB42" s="396"/>
      <c r="AC42" s="396"/>
      <c r="AD42" s="396"/>
      <c r="AE42" s="396"/>
      <c r="AF42" s="396"/>
      <c r="AG42" s="396"/>
      <c r="AH42" s="396"/>
      <c r="AI42" s="402"/>
      <c r="AJ42" s="378"/>
      <c r="AK42" s="396"/>
      <c r="AL42" s="396"/>
      <c r="AM42" s="396">
        <f>SUM(AM9:AM40)</f>
        <v>0</v>
      </c>
      <c r="AN42" s="396">
        <f>SUM(AN9:AN40)</f>
        <v>0</v>
      </c>
      <c r="AO42" s="401"/>
      <c r="AP42" s="378"/>
      <c r="AQ42" s="400">
        <f>SUMIF(AQ9:AQ40,"&gt;0")</f>
        <v>33.333332260000006</v>
      </c>
      <c r="AR42" s="395">
        <f>IF(AQ42=0,0,SUMPRODUCT($AQ$9:$AQ$40,AR9:AR40)/SUM($AQ$9:$AQ$40))</f>
        <v>0</v>
      </c>
      <c r="AS42" s="399">
        <f>SUMIF(AS9:AS40,"&gt;0")</f>
        <v>0</v>
      </c>
      <c r="AT42" s="395">
        <f>IF(AS42=0,0,SUMPRODUCT($AS$9:$AS$40,AT9:AT40)/SUM($AS$9:$AS$40))</f>
        <v>0</v>
      </c>
      <c r="AU42" s="399">
        <f>SUM(AU10:AU40)</f>
        <v>0</v>
      </c>
      <c r="AV42" s="395">
        <f>IF(AU42=0,0,SUMPRODUCT($AU$9:$AU$40,AV9:AV40)/SUM($AU$9:$AU$40))</f>
        <v>0</v>
      </c>
      <c r="AW42" s="398"/>
      <c r="AX42" s="398"/>
      <c r="AY42" s="398"/>
      <c r="AZ42" s="398"/>
      <c r="BA42" s="398"/>
      <c r="BB42" s="398"/>
      <c r="BC42" s="374" t="s">
        <v>251</v>
      </c>
      <c r="BD42" s="374" t="s">
        <v>252</v>
      </c>
      <c r="BE42" s="374" t="s">
        <v>253</v>
      </c>
      <c r="BF42" s="374"/>
      <c r="BG42" s="373"/>
      <c r="BO42" s="1623"/>
      <c r="BP42" s="1624"/>
      <c r="BQ42" s="1624"/>
      <c r="BR42" s="1624"/>
      <c r="BS42" s="1624"/>
      <c r="BT42" s="1624"/>
      <c r="BU42" s="1625"/>
      <c r="AVW42" s="397"/>
    </row>
    <row r="43" spans="2:73 1271:1271" ht="7.5" customHeight="1" thickTop="1" x14ac:dyDescent="0.25">
      <c r="L43" s="1646" t="s">
        <v>630</v>
      </c>
      <c r="M43" s="1646"/>
      <c r="N43" s="1646"/>
      <c r="O43" s="1646"/>
      <c r="P43" s="1646"/>
      <c r="Q43" s="1646"/>
      <c r="R43" s="1646"/>
      <c r="AP43" s="396"/>
      <c r="AQ43" s="378"/>
      <c r="AR43" s="378"/>
      <c r="AT43" s="395"/>
      <c r="AU43" s="395"/>
      <c r="AV43" s="395"/>
      <c r="AW43" s="378"/>
      <c r="AX43" s="395"/>
      <c r="BE43" s="374"/>
      <c r="BF43" s="374"/>
      <c r="BO43" s="1626"/>
      <c r="BP43" s="1627"/>
      <c r="BQ43" s="1627"/>
      <c r="BR43" s="1627"/>
      <c r="BS43" s="1627"/>
      <c r="BT43" s="1627"/>
      <c r="BU43" s="1628"/>
    </row>
    <row r="44" spans="2:73 1271:1271" ht="30.75" customHeight="1" x14ac:dyDescent="0.25">
      <c r="T44" s="394" t="s">
        <v>254</v>
      </c>
      <c r="U44" s="393" t="b">
        <v>0</v>
      </c>
      <c r="AI44" s="375">
        <f ca="1">SUMIF(AJ9:$AJ$40,"=" &amp; AJ9,AI10:$AI$40)</f>
        <v>0.69999999153999959</v>
      </c>
      <c r="AK44" s="373"/>
      <c r="AL44" s="373"/>
      <c r="AM44" s="373"/>
      <c r="AN44" s="373"/>
      <c r="AO44" s="392"/>
      <c r="AQ44" s="373"/>
      <c r="AR44" s="373"/>
      <c r="AS44" s="385" t="s">
        <v>255</v>
      </c>
      <c r="AT44" s="387">
        <f>SUMIF(X9:X40,"&gt;0")/SUMIF(W9:W40,"&gt;0")</f>
        <v>0</v>
      </c>
      <c r="AU44" s="385" t="s">
        <v>256</v>
      </c>
      <c r="AV44" s="391">
        <f>SUMIF(AU9:AU40,"&gt;0")/SUMIF(AQ9:AQ40,"&gt;0")</f>
        <v>0</v>
      </c>
      <c r="AW44" s="390"/>
      <c r="AY44" s="373"/>
      <c r="AZ44" s="373"/>
      <c r="BE44" s="374" t="b">
        <f>AND(ISBLANK($K31),J31&gt;0)</f>
        <v>0</v>
      </c>
      <c r="BF44" s="374"/>
      <c r="BH44" s="374"/>
      <c r="BO44" s="373"/>
      <c r="BP44" s="373"/>
      <c r="BQ44" s="372"/>
    </row>
    <row r="45" spans="2:73 1271:1271" ht="30.75" customHeight="1" x14ac:dyDescent="0.25">
      <c r="J45" s="389"/>
      <c r="T45" s="381" t="s">
        <v>257</v>
      </c>
      <c r="U45" s="374" t="b">
        <f>IF(AND(Flight?,OR(AW5,AY5,BA5,AZ5,AR46&lt;0.7,H42="MARG")),TRUE,FALSE)</f>
        <v>0</v>
      </c>
      <c r="AK45" s="373"/>
      <c r="AL45" s="373"/>
      <c r="AM45" s="373"/>
      <c r="AN45" s="373"/>
      <c r="AO45" s="380"/>
      <c r="AP45" s="373"/>
      <c r="AQ45" s="385" t="s">
        <v>258</v>
      </c>
      <c r="AR45" s="388">
        <f>1-AT45</f>
        <v>1</v>
      </c>
      <c r="AS45" s="385" t="s">
        <v>259</v>
      </c>
      <c r="AT45" s="387">
        <f>MIN(AT44,AT7)</f>
        <v>0</v>
      </c>
      <c r="AU45" s="385" t="s">
        <v>260</v>
      </c>
      <c r="AV45" s="382">
        <f>MIN(AV44,AV7)</f>
        <v>0</v>
      </c>
      <c r="AZ45" s="373"/>
      <c r="BE45" s="374"/>
      <c r="BF45" s="374"/>
      <c r="BH45" s="374"/>
      <c r="BO45" s="373"/>
      <c r="BP45" s="373"/>
      <c r="BQ45" s="372"/>
    </row>
    <row r="46" spans="2:73 1271:1271" ht="26.25" x14ac:dyDescent="0.25">
      <c r="T46" s="381" t="s">
        <v>261</v>
      </c>
      <c r="U46" s="374" t="b">
        <f>IF(OR(AX5,AY5,AZ5,BB5,AR46&lt;0.7),TRUE,FALSE)</f>
        <v>1</v>
      </c>
      <c r="AK46" s="373"/>
      <c r="AL46" s="373"/>
      <c r="AM46" s="373"/>
      <c r="AN46" s="373"/>
      <c r="AO46" s="384"/>
      <c r="AP46" s="373"/>
      <c r="AQ46" s="385" t="s">
        <v>262</v>
      </c>
      <c r="AR46" s="375">
        <f>AR42*(1-AT45)+(AT42*AT45)</f>
        <v>0</v>
      </c>
      <c r="AU46" s="373" t="s">
        <v>196</v>
      </c>
      <c r="AV46" s="382">
        <f>AV42*AV45</f>
        <v>0</v>
      </c>
      <c r="AY46" s="373"/>
      <c r="AZ46" s="373"/>
      <c r="BE46" s="374"/>
      <c r="BF46" s="374"/>
      <c r="BH46" s="374"/>
      <c r="BO46" s="373"/>
      <c r="BP46" s="373"/>
      <c r="BQ46" s="372"/>
    </row>
    <row r="47" spans="2:73 1271:1271" ht="26.25" x14ac:dyDescent="0.25">
      <c r="T47" s="381" t="s">
        <v>263</v>
      </c>
      <c r="U47" s="374" t="b">
        <v>0</v>
      </c>
      <c r="AK47" s="373"/>
      <c r="AL47" s="373"/>
      <c r="AM47" s="373"/>
      <c r="AN47" s="373"/>
      <c r="AO47" s="384"/>
      <c r="AP47" s="373"/>
      <c r="AQ47" s="385" t="s">
        <v>264</v>
      </c>
      <c r="AR47" s="382">
        <f>MIN(1,IF(NOT(OR(AY5,AZ5)),AR46+AV46,MIN(0.69,AR46+AV46)))</f>
        <v>0</v>
      </c>
      <c r="AY47" s="373"/>
      <c r="BE47" s="374"/>
      <c r="BF47" s="374"/>
      <c r="BI47" s="374"/>
      <c r="BO47" s="373"/>
      <c r="BP47" s="373"/>
      <c r="BQ47" s="372"/>
    </row>
    <row r="48" spans="2:73 1271:1271" x14ac:dyDescent="0.25">
      <c r="T48" s="381" t="s">
        <v>265</v>
      </c>
      <c r="U48" s="374" t="b">
        <f>IF(NOT(Flight?),TRUE,NOT(OR(ISBLANK(comments),ISBLANK(hdr_class),ISBLANK(hdr_date),ISBLANK(hdr_stud),ISBLANK(hdr_instr),ISBLANK(hdr_acft),ISBLANK(hdr_time),F42="---")))</f>
        <v>1</v>
      </c>
      <c r="AK48" s="373"/>
      <c r="AL48" s="373"/>
      <c r="AM48" s="373"/>
      <c r="AN48" s="373"/>
      <c r="AO48" s="384"/>
      <c r="AP48" s="373"/>
      <c r="AQ48" s="373"/>
      <c r="AR48" s="383"/>
      <c r="AS48" s="382"/>
      <c r="AU48" s="373"/>
      <c r="AV48" s="373"/>
      <c r="AW48" s="373"/>
    </row>
    <row r="49" spans="20:56" x14ac:dyDescent="0.25">
      <c r="T49" s="381" t="s">
        <v>266</v>
      </c>
      <c r="U49" s="374" t="b">
        <f>IF(Flight?,TRUE,NOT(OR(ISBLANK(comments),ISBLANK(hdr_class),ISBLANK(hdr_date),ISBLANK(hdr_stud),ISBLANK(hdr_instr),F42="---")))</f>
        <v>0</v>
      </c>
      <c r="AK49" s="373"/>
      <c r="AL49" s="373"/>
      <c r="AM49" s="373"/>
      <c r="AN49" s="373"/>
      <c r="AO49" s="380"/>
      <c r="AP49" s="378" t="s">
        <v>267</v>
      </c>
      <c r="AQ49" s="378"/>
      <c r="AR49" s="378"/>
      <c r="AS49" s="378"/>
      <c r="AT49" s="378"/>
      <c r="AU49" s="373"/>
      <c r="AV49" s="373"/>
      <c r="AW49" s="373"/>
    </row>
    <row r="50" spans="20:56" x14ac:dyDescent="0.25">
      <c r="T50" s="381" t="s">
        <v>268</v>
      </c>
      <c r="U50" s="374" t="b">
        <f>AND(U48:U49)</f>
        <v>0</v>
      </c>
      <c r="AK50" s="373"/>
      <c r="AL50" s="373"/>
      <c r="AM50" s="373"/>
      <c r="AN50" s="373"/>
      <c r="AO50" s="380"/>
      <c r="AP50" s="378"/>
      <c r="AQ50" s="378"/>
      <c r="AR50" s="378">
        <v>0</v>
      </c>
      <c r="AS50" s="378">
        <v>1</v>
      </c>
      <c r="AT50" s="378">
        <v>2</v>
      </c>
      <c r="AU50" s="378">
        <v>3</v>
      </c>
      <c r="AV50" s="378">
        <v>4</v>
      </c>
      <c r="AW50" s="373"/>
    </row>
    <row r="51" spans="20:56" x14ac:dyDescent="0.25">
      <c r="AK51" s="373"/>
      <c r="AL51" s="373"/>
      <c r="AM51" s="373"/>
      <c r="AN51" s="373"/>
      <c r="AO51" s="380"/>
      <c r="AP51" s="378" t="s">
        <v>227</v>
      </c>
      <c r="AQ51" s="378">
        <v>1</v>
      </c>
      <c r="AR51" s="377">
        <v>0.7</v>
      </c>
      <c r="AS51" s="377">
        <v>0.9</v>
      </c>
      <c r="AT51" s="377">
        <v>0.93330000000000002</v>
      </c>
      <c r="AU51" s="377">
        <v>0.9667</v>
      </c>
      <c r="AV51" s="377">
        <v>1</v>
      </c>
      <c r="AW51" s="373"/>
    </row>
    <row r="52" spans="20:56" x14ac:dyDescent="0.25">
      <c r="AK52" s="373"/>
      <c r="AL52" s="373"/>
      <c r="AM52" s="373"/>
      <c r="AN52" s="373"/>
      <c r="AO52" s="380"/>
      <c r="AP52" s="378" t="s">
        <v>228</v>
      </c>
      <c r="AQ52" s="378">
        <v>2</v>
      </c>
      <c r="AR52" s="377">
        <v>0.7</v>
      </c>
      <c r="AS52" s="377">
        <v>0.8</v>
      </c>
      <c r="AT52" s="377">
        <v>0.9</v>
      </c>
      <c r="AU52" s="377">
        <v>0.95</v>
      </c>
      <c r="AV52" s="377">
        <v>1</v>
      </c>
      <c r="AW52" s="373"/>
    </row>
    <row r="53" spans="20:56" x14ac:dyDescent="0.25">
      <c r="AK53" s="373"/>
      <c r="AL53" s="373"/>
      <c r="AM53" s="373"/>
      <c r="AN53" s="373"/>
      <c r="AO53" s="380"/>
      <c r="AP53" s="378" t="s">
        <v>229</v>
      </c>
      <c r="AQ53" s="378">
        <v>3</v>
      </c>
      <c r="AR53" s="377">
        <v>0.7</v>
      </c>
      <c r="AS53" s="377">
        <v>0.76670000000000005</v>
      </c>
      <c r="AT53" s="377">
        <v>0.83330000000000004</v>
      </c>
      <c r="AU53" s="377">
        <v>0.9</v>
      </c>
      <c r="AV53" s="377">
        <v>1</v>
      </c>
      <c r="AW53" s="373"/>
    </row>
    <row r="54" spans="20:56" x14ac:dyDescent="0.25">
      <c r="AP54" s="379" t="s">
        <v>230</v>
      </c>
      <c r="AQ54" s="378">
        <v>11</v>
      </c>
      <c r="AR54" s="377">
        <v>0.6</v>
      </c>
      <c r="AS54" s="377">
        <v>0.9</v>
      </c>
      <c r="AT54" s="377">
        <v>0.93330000000000002</v>
      </c>
      <c r="AU54" s="377">
        <v>0.9667</v>
      </c>
      <c r="AV54" s="377">
        <v>1</v>
      </c>
      <c r="AW54" s="373"/>
    </row>
    <row r="55" spans="20:56" x14ac:dyDescent="0.25">
      <c r="AP55" s="379" t="s">
        <v>231</v>
      </c>
      <c r="AQ55" s="378">
        <v>12</v>
      </c>
      <c r="AR55" s="377">
        <v>0.6</v>
      </c>
      <c r="AS55" s="377">
        <v>0.7</v>
      </c>
      <c r="AT55" s="377">
        <v>0.9</v>
      </c>
      <c r="AU55" s="377">
        <v>0.95</v>
      </c>
      <c r="AV55" s="377">
        <v>1</v>
      </c>
      <c r="AW55" s="373"/>
    </row>
    <row r="56" spans="20:56" x14ac:dyDescent="0.25">
      <c r="AP56" s="379" t="s">
        <v>232</v>
      </c>
      <c r="AQ56" s="378">
        <v>13</v>
      </c>
      <c r="AR56" s="377">
        <v>0.6</v>
      </c>
      <c r="AS56" s="377">
        <v>0.7</v>
      </c>
      <c r="AT56" s="377">
        <v>0.8</v>
      </c>
      <c r="AU56" s="377">
        <v>0.9</v>
      </c>
      <c r="AV56" s="377">
        <v>1</v>
      </c>
      <c r="AW56" s="373"/>
    </row>
    <row r="57" spans="20:56" x14ac:dyDescent="0.25">
      <c r="AP57" s="379" t="s">
        <v>233</v>
      </c>
      <c r="AQ57" s="378">
        <v>22</v>
      </c>
      <c r="AR57" s="377">
        <v>0.3</v>
      </c>
      <c r="AS57" s="377">
        <v>0.6</v>
      </c>
      <c r="AT57" s="377">
        <v>0.9</v>
      </c>
      <c r="AU57" s="377">
        <v>0.95</v>
      </c>
      <c r="AV57" s="377">
        <v>1</v>
      </c>
      <c r="AW57" s="373"/>
    </row>
    <row r="58" spans="20:56" x14ac:dyDescent="0.25">
      <c r="AP58" s="379" t="s">
        <v>234</v>
      </c>
      <c r="AQ58" s="378">
        <v>23</v>
      </c>
      <c r="AR58" s="377">
        <v>0.3</v>
      </c>
      <c r="AS58" s="377">
        <v>0.6</v>
      </c>
      <c r="AT58" s="377">
        <v>0.7</v>
      </c>
      <c r="AU58" s="377">
        <v>0.9</v>
      </c>
      <c r="AV58" s="377">
        <v>1</v>
      </c>
      <c r="AW58" s="373"/>
    </row>
    <row r="59" spans="20:56" x14ac:dyDescent="0.25">
      <c r="AP59" s="379" t="s">
        <v>235</v>
      </c>
      <c r="AQ59" s="378">
        <v>33</v>
      </c>
      <c r="AR59" s="377">
        <v>0</v>
      </c>
      <c r="AS59" s="377">
        <v>0.3</v>
      </c>
      <c r="AT59" s="377">
        <v>0.6</v>
      </c>
      <c r="AU59" s="377">
        <v>0.9</v>
      </c>
      <c r="AV59" s="377">
        <v>1</v>
      </c>
      <c r="AW59" s="83"/>
      <c r="AX59" s="84"/>
      <c r="BC59" s="84"/>
      <c r="BD59" s="84"/>
    </row>
    <row r="60" spans="20:56" x14ac:dyDescent="0.25">
      <c r="AP60" s="373"/>
      <c r="AQ60" s="373"/>
      <c r="AR60" s="373"/>
      <c r="AS60" s="373"/>
      <c r="AT60" s="373"/>
      <c r="AU60" s="373"/>
      <c r="AV60" s="373"/>
      <c r="AW60" s="84"/>
      <c r="AX60" s="84"/>
      <c r="BC60" s="84"/>
      <c r="BD60" s="84"/>
    </row>
    <row r="61" spans="20:56" x14ac:dyDescent="0.25">
      <c r="AP61" s="84"/>
      <c r="AQ61" s="83"/>
      <c r="AR61" s="84"/>
      <c r="AS61" s="84"/>
      <c r="AT61" s="84"/>
      <c r="AU61" s="84"/>
      <c r="AV61" s="84"/>
      <c r="AW61" s="83"/>
      <c r="AX61" s="83"/>
      <c r="BC61" s="84"/>
      <c r="BD61" s="84"/>
    </row>
    <row r="62" spans="20:56" x14ac:dyDescent="0.25">
      <c r="AP62" s="101"/>
      <c r="AQ62" s="83"/>
      <c r="AR62" s="84"/>
      <c r="AS62" s="84"/>
      <c r="AT62" s="84"/>
      <c r="AU62" s="84"/>
      <c r="AV62" s="84"/>
      <c r="AW62" s="83"/>
      <c r="AX62" s="83"/>
      <c r="BC62" s="84"/>
      <c r="BD62" s="84"/>
    </row>
    <row r="63" spans="20:56" x14ac:dyDescent="0.25">
      <c r="AP63" s="83"/>
      <c r="AQ63" s="83"/>
      <c r="AR63" s="84"/>
      <c r="AS63" s="84"/>
      <c r="AT63" s="84"/>
      <c r="AU63" s="84"/>
      <c r="AV63" s="84"/>
      <c r="AW63" s="83"/>
      <c r="AX63" s="83"/>
      <c r="BC63" s="84"/>
      <c r="BD63" s="84"/>
    </row>
    <row r="64" spans="20:56" x14ac:dyDescent="0.25">
      <c r="AP64" s="83"/>
      <c r="AQ64" s="83"/>
      <c r="AR64" s="84"/>
      <c r="AS64" s="84"/>
      <c r="AT64" s="84"/>
      <c r="AU64" s="84"/>
      <c r="AV64" s="84"/>
      <c r="AW64" s="83"/>
      <c r="AX64" s="84"/>
      <c r="BC64" s="84"/>
      <c r="BD64" s="84"/>
    </row>
    <row r="65" spans="42:56" x14ac:dyDescent="0.25">
      <c r="AP65" s="83"/>
      <c r="AQ65" s="83"/>
      <c r="AR65" s="84"/>
      <c r="AS65" s="84"/>
      <c r="AT65" s="84"/>
      <c r="AU65" s="84"/>
      <c r="AV65" s="84"/>
      <c r="AW65" s="83"/>
      <c r="AX65" s="84"/>
      <c r="BC65" s="84"/>
      <c r="BD65" s="84"/>
    </row>
    <row r="66" spans="42:56" x14ac:dyDescent="0.25">
      <c r="AP66" s="83"/>
      <c r="AQ66" s="83"/>
      <c r="AR66" s="84"/>
      <c r="AS66" s="84"/>
      <c r="AT66" s="84"/>
      <c r="AU66" s="84"/>
      <c r="AV66" s="84"/>
    </row>
    <row r="67" spans="42:56" x14ac:dyDescent="0.25">
      <c r="AP67" s="83"/>
      <c r="AQ67" s="83"/>
      <c r="AR67" s="84"/>
      <c r="AS67" s="84"/>
      <c r="AT67" s="84"/>
      <c r="AU67" s="84"/>
      <c r="AV67" s="84"/>
    </row>
  </sheetData>
  <mergeCells count="76">
    <mergeCell ref="BP4:BU5"/>
    <mergeCell ref="C39:F39"/>
    <mergeCell ref="C40:F40"/>
    <mergeCell ref="BO40:BU43"/>
    <mergeCell ref="B41:D41"/>
    <mergeCell ref="F41:G41"/>
    <mergeCell ref="H41:I41"/>
    <mergeCell ref="Q42:R42"/>
    <mergeCell ref="L43:R43"/>
    <mergeCell ref="J41:K41"/>
    <mergeCell ref="J42:K42"/>
    <mergeCell ref="M42:N42"/>
    <mergeCell ref="C35:F35"/>
    <mergeCell ref="C21:F21"/>
    <mergeCell ref="C22:F22"/>
    <mergeCell ref="O42:P42"/>
    <mergeCell ref="M41:N41"/>
    <mergeCell ref="O41:P41"/>
    <mergeCell ref="B42:D42"/>
    <mergeCell ref="F42:G42"/>
    <mergeCell ref="H42:I42"/>
    <mergeCell ref="BO35:BU38"/>
    <mergeCell ref="C36:F36"/>
    <mergeCell ref="C37:F37"/>
    <mergeCell ref="C38:F38"/>
    <mergeCell ref="BQ20:BU20"/>
    <mergeCell ref="C31:F31"/>
    <mergeCell ref="C32:F32"/>
    <mergeCell ref="C33:F33"/>
    <mergeCell ref="C34:F34"/>
    <mergeCell ref="BO22:BO30"/>
    <mergeCell ref="C23:F23"/>
    <mergeCell ref="C24:F24"/>
    <mergeCell ref="C25:F25"/>
    <mergeCell ref="C26:F26"/>
    <mergeCell ref="C27:F27"/>
    <mergeCell ref="C28:F28"/>
    <mergeCell ref="C9:F9"/>
    <mergeCell ref="L9:R40"/>
    <mergeCell ref="C10:F10"/>
    <mergeCell ref="C11:F11"/>
    <mergeCell ref="C12:F12"/>
    <mergeCell ref="C13:F13"/>
    <mergeCell ref="C14:F14"/>
    <mergeCell ref="C15:F15"/>
    <mergeCell ref="C30:F30"/>
    <mergeCell ref="C17:F17"/>
    <mergeCell ref="C18:F18"/>
    <mergeCell ref="C19:F19"/>
    <mergeCell ref="C20:F20"/>
    <mergeCell ref="C16:F16"/>
    <mergeCell ref="C29:F29"/>
    <mergeCell ref="B4:G4"/>
    <mergeCell ref="B5:G5"/>
    <mergeCell ref="B8:F8"/>
    <mergeCell ref="O7:P7"/>
    <mergeCell ref="Q7:R7"/>
    <mergeCell ref="H4:N4"/>
    <mergeCell ref="O4:P4"/>
    <mergeCell ref="Q4:R4"/>
    <mergeCell ref="O6:P6"/>
    <mergeCell ref="Q6:R6"/>
    <mergeCell ref="H5:N5"/>
    <mergeCell ref="O5:P5"/>
    <mergeCell ref="Q5:R5"/>
    <mergeCell ref="L8:R8"/>
    <mergeCell ref="BH5:BK7"/>
    <mergeCell ref="BL5:BN7"/>
    <mergeCell ref="B6:E6"/>
    <mergeCell ref="F6:G6"/>
    <mergeCell ref="H6:L6"/>
    <mergeCell ref="M6:N6"/>
    <mergeCell ref="B7:E7"/>
    <mergeCell ref="F7:G7"/>
    <mergeCell ref="H7:L7"/>
    <mergeCell ref="M7:N7"/>
  </mergeCells>
  <conditionalFormatting sqref="B9:F40">
    <cfRule type="expression" dxfId="58" priority="9" stopIfTrue="1">
      <formula>IF($Z9=1,TRUE,FALSE)</formula>
    </cfRule>
    <cfRule type="expression" dxfId="57" priority="10">
      <formula>IF($Z9=2,TRUE,FALSE)</formula>
    </cfRule>
  </conditionalFormatting>
  <conditionalFormatting sqref="C9:F40">
    <cfRule type="expression" dxfId="56" priority="2" stopIfTrue="1">
      <formula>IF($AF9=FALSE,TRUE,FALSE)</formula>
    </cfRule>
  </conditionalFormatting>
  <conditionalFormatting sqref="F6:G7 M6:P7">
    <cfRule type="expression" dxfId="55" priority="5" stopIfTrue="1">
      <formula>NOT($AU$5)</formula>
    </cfRule>
  </conditionalFormatting>
  <conditionalFormatting sqref="F7:G7">
    <cfRule type="cellIs" dxfId="54" priority="4" operator="equal">
      <formula>""</formula>
    </cfRule>
  </conditionalFormatting>
  <conditionalFormatting sqref="G9:K40">
    <cfRule type="expression" dxfId="53" priority="7" stopIfTrue="1">
      <formula>IF($Z9=1,TRUE,FALSE)</formula>
    </cfRule>
    <cfRule type="expression" dxfId="52" priority="8" stopIfTrue="1">
      <formula>IF($Z9=2,TRUE,FALSE)</formula>
    </cfRule>
  </conditionalFormatting>
  <conditionalFormatting sqref="H9:H40">
    <cfRule type="expression" dxfId="51" priority="11" stopIfTrue="1">
      <formula>IF($AB9=0,TRUE,FALSE)</formula>
    </cfRule>
  </conditionalFormatting>
  <conditionalFormatting sqref="H41:I42">
    <cfRule type="expression" dxfId="50" priority="3" stopIfTrue="1">
      <formula>IF($H$42="N/A",TRUE,FALSE)</formula>
    </cfRule>
  </conditionalFormatting>
  <conditionalFormatting sqref="H7:P7 O5:R5 B7 L9">
    <cfRule type="containsBlanks" dxfId="49" priority="6">
      <formula>LEN(TRIM(B5))=0</formula>
    </cfRule>
  </conditionalFormatting>
  <conditionalFormatting sqref="J9:J40">
    <cfRule type="expression" dxfId="48" priority="15">
      <formula>IF($Z9=1,FALSE,OR($BE9,$BD9))</formula>
    </cfRule>
  </conditionalFormatting>
  <conditionalFormatting sqref="J9:K40 C9:F40">
    <cfRule type="expression" dxfId="47" priority="14">
      <formula>IF($Z9=1,FALSE,OR($AW9,$AX9,$AY9,$AZ9))</formula>
    </cfRule>
  </conditionalFormatting>
  <conditionalFormatting sqref="J9:K40">
    <cfRule type="expression" dxfId="46" priority="12" stopIfTrue="1">
      <formula>IF(ISNA($Z9),TRUE,FALSE)</formula>
    </cfRule>
  </conditionalFormatting>
  <conditionalFormatting sqref="K9:K40">
    <cfRule type="expression" dxfId="45" priority="13">
      <formula>IF(OR($Z9=1,$Z9=2),FALSE,OR($BC9,$BE9,$BF9))</formula>
    </cfRule>
  </conditionalFormatting>
  <conditionalFormatting sqref="L42">
    <cfRule type="expression" dxfId="44" priority="1">
      <formula>NOT($U$50)</formula>
    </cfRule>
  </conditionalFormatting>
  <dataValidations count="6">
    <dataValidation type="list" allowBlank="1" showInputMessage="1" showErrorMessage="1" sqref="F7:G7" xr:uid="{C81E008F-3350-4973-8A21-86C50378954C}">
      <formula1>"No,Yes"</formula1>
    </dataValidation>
    <dataValidation type="list" allowBlank="1" showInputMessage="1" showErrorMessage="1" sqref="J9:J40" xr:uid="{771AF5F4-56DA-4F2D-B129-215DD2201C26}">
      <formula1>"NA,0,1,2,3,4,5,6,7,8,9,10,11,12,13,14,15"</formula1>
    </dataValidation>
    <dataValidation type="list" allowBlank="1" showInputMessage="1" showErrorMessage="1" sqref="K9:K40" xr:uid="{E45AB24F-B99F-4A57-972B-F597434C1DAC}">
      <formula1>"D,0,1,2,3,4"</formula1>
    </dataValidation>
    <dataValidation showInputMessage="1" showErrorMessage="1" sqref="O42:R42" xr:uid="{697717DF-67E0-4D52-8EF2-19C2AB903ED5}"/>
    <dataValidation type="decimal" allowBlank="1" showInputMessage="1" showErrorMessage="1" sqref="O7:P7" xr:uid="{5B4F9172-40FE-42B9-A2F6-3FE6E5FEA7CD}">
      <formula1>0</formula1>
      <formula2>10</formula2>
    </dataValidation>
    <dataValidation type="date" allowBlank="1" showInputMessage="1" showErrorMessage="1" sqref="Q5:R5" xr:uid="{1A020227-C504-45DF-B355-5E81CEC6EF50}">
      <formula1>41151</formula1>
      <formula2>77433</formula2>
    </dataValidation>
  </dataValidations>
  <hyperlinks>
    <hyperlink ref="BP4" location="PF!A1" display="PF phase Summary Page" xr:uid="{4B1F924F-55DE-4819-84C8-AD8303B21A53}"/>
    <hyperlink ref="BP4:BU5" location="TF!A1" display="TF Summary Page" xr:uid="{DE5F95E8-D517-411B-8161-5DD923FC6B29}"/>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63CD4-7783-4FDB-A6CB-CC5FD3A12507}">
  <sheetPr>
    <tabColor rgb="FFFFFF00"/>
    <pageSetUpPr autoPageBreaks="0"/>
  </sheetPr>
  <dimension ref="A1:AVW67"/>
  <sheetViews>
    <sheetView showGridLines="0" showRowColHeaders="0" topLeftCell="A3" zoomScaleNormal="100" workbookViewId="0">
      <selection activeCell="C37" sqref="C37:F37"/>
    </sheetView>
  </sheetViews>
  <sheetFormatPr defaultColWidth="9.140625" defaultRowHeight="15" x14ac:dyDescent="0.25"/>
  <cols>
    <col min="1" max="1" width="1.5703125" style="376" customWidth="1"/>
    <col min="2" max="2" width="3.5703125" style="376" customWidth="1"/>
    <col min="3" max="3" width="5.5703125" style="371" customWidth="1"/>
    <col min="4" max="4" width="9.140625" style="371"/>
    <col min="5" max="5" width="14" style="371" customWidth="1"/>
    <col min="6" max="6" width="7.85546875" style="371" customWidth="1"/>
    <col min="7" max="11" width="5.140625" style="371" customWidth="1"/>
    <col min="12" max="12" width="21.5703125" style="371" customWidth="1"/>
    <col min="13" max="13" width="6.5703125" style="371" customWidth="1"/>
    <col min="14" max="14" width="12.5703125" style="371" customWidth="1"/>
    <col min="15" max="15" width="7.85546875" style="371" customWidth="1"/>
    <col min="16" max="16" width="2.7109375" style="371" customWidth="1"/>
    <col min="17" max="17" width="4.85546875" style="371" customWidth="1"/>
    <col min="18" max="18" width="7.28515625" style="371" customWidth="1"/>
    <col min="19" max="19" width="1.7109375" style="371" customWidth="1"/>
    <col min="20" max="20" width="19.140625" style="374" hidden="1" customWidth="1"/>
    <col min="21" max="21" width="31.140625" style="374" hidden="1" customWidth="1"/>
    <col min="22" max="22" width="5.140625" style="374" hidden="1" customWidth="1"/>
    <col min="23" max="24" width="6.28515625" style="374" hidden="1" customWidth="1"/>
    <col min="25" max="25" width="8.42578125" style="374" hidden="1" customWidth="1"/>
    <col min="26" max="26" width="7.85546875" style="374" hidden="1" customWidth="1"/>
    <col min="27" max="27" width="10.7109375" style="374" hidden="1" customWidth="1"/>
    <col min="28" max="28" width="8" style="374" hidden="1" customWidth="1"/>
    <col min="29" max="31" width="5.140625" style="374" hidden="1" customWidth="1"/>
    <col min="32" max="34" width="5.85546875" style="374" hidden="1" customWidth="1"/>
    <col min="35" max="35" width="8.5703125" style="375" hidden="1" customWidth="1"/>
    <col min="36" max="36" width="7" style="374" hidden="1" customWidth="1"/>
    <col min="37" max="38" width="5.28515625" style="374" hidden="1" customWidth="1"/>
    <col min="39" max="40" width="7" style="374" hidden="1" customWidth="1"/>
    <col min="41" max="41" width="5.140625" style="374" hidden="1" customWidth="1"/>
    <col min="42" max="42" width="11.28515625" style="374" hidden="1" customWidth="1"/>
    <col min="43" max="43" width="6.42578125" style="374" hidden="1" customWidth="1"/>
    <col min="44" max="44" width="8.28515625" style="374" hidden="1" customWidth="1"/>
    <col min="45" max="45" width="8.85546875" style="374" hidden="1" customWidth="1"/>
    <col min="46" max="46" width="10.7109375" style="374" hidden="1" customWidth="1"/>
    <col min="47" max="47" width="8.85546875" style="374" hidden="1" customWidth="1"/>
    <col min="48" max="48" width="6.28515625" style="374" hidden="1" customWidth="1"/>
    <col min="49" max="49" width="10" style="374" hidden="1" customWidth="1"/>
    <col min="50" max="50" width="7.5703125" style="374" hidden="1" customWidth="1"/>
    <col min="51" max="51" width="7" style="374" hidden="1" customWidth="1"/>
    <col min="52" max="52" width="8.140625" style="374" hidden="1" customWidth="1"/>
    <col min="53" max="53" width="12.5703125" style="374" hidden="1" customWidth="1"/>
    <col min="54" max="54" width="7.7109375" style="374" hidden="1" customWidth="1"/>
    <col min="55" max="55" width="12.7109375" style="374" hidden="1" customWidth="1"/>
    <col min="56" max="56" width="7" style="374" hidden="1" customWidth="1"/>
    <col min="57" max="57" width="15.5703125" style="373" hidden="1" customWidth="1"/>
    <col min="58" max="58" width="9.140625" style="373" hidden="1" customWidth="1"/>
    <col min="59" max="59" width="10" style="374" hidden="1" customWidth="1"/>
    <col min="60" max="60" width="5.28515625" style="373" hidden="1" customWidth="1"/>
    <col min="61" max="61" width="4" style="373" hidden="1" customWidth="1"/>
    <col min="62" max="62" width="4.7109375" style="373" hidden="1" customWidth="1"/>
    <col min="63" max="63" width="5.5703125" style="373" hidden="1" customWidth="1"/>
    <col min="64" max="64" width="5.28515625" style="373" hidden="1" customWidth="1"/>
    <col min="65" max="65" width="4" style="373" hidden="1" customWidth="1"/>
    <col min="66" max="66" width="5.5703125" style="373" hidden="1" customWidth="1"/>
    <col min="67" max="67" width="5.140625" style="372" customWidth="1"/>
    <col min="68" max="73" width="5.140625" style="371" customWidth="1"/>
    <col min="74" max="16384" width="9.140625" style="371"/>
  </cols>
  <sheetData>
    <row r="1" spans="2:73" s="447" customFormat="1" ht="12" hidden="1" x14ac:dyDescent="0.2">
      <c r="T1" s="378"/>
      <c r="U1" s="378"/>
      <c r="V1" s="378"/>
      <c r="W1" s="378"/>
      <c r="X1" s="378"/>
      <c r="Y1" s="378"/>
      <c r="Z1" s="378"/>
      <c r="AA1" s="378"/>
      <c r="AB1" s="378"/>
      <c r="AC1" s="378"/>
      <c r="AD1" s="378"/>
      <c r="AE1" s="378"/>
      <c r="AF1" s="378"/>
      <c r="AG1" s="378"/>
      <c r="AH1" s="378"/>
      <c r="AI1" s="402"/>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row>
    <row r="2" spans="2:73" s="447" customFormat="1" ht="12" hidden="1" x14ac:dyDescent="0.2">
      <c r="T2" s="378"/>
      <c r="U2" s="378"/>
      <c r="V2" s="378"/>
      <c r="W2" s="378"/>
      <c r="X2" s="378"/>
      <c r="Y2" s="378"/>
      <c r="Z2" s="378"/>
      <c r="AA2" s="378"/>
      <c r="AB2" s="378"/>
      <c r="AC2" s="378"/>
      <c r="AD2" s="378"/>
      <c r="AE2" s="378"/>
      <c r="AF2" s="378"/>
      <c r="AG2" s="378"/>
      <c r="AH2" s="378"/>
      <c r="AI2" s="402"/>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row>
    <row r="3" spans="2:73" ht="15.75" thickBot="1" x14ac:dyDescent="0.3">
      <c r="BE3" s="374"/>
      <c r="BF3" s="374"/>
      <c r="BG3" s="373"/>
    </row>
    <row r="4" spans="2:73" ht="13.5" customHeight="1" thickTop="1" x14ac:dyDescent="0.25">
      <c r="B4" s="1576" t="s">
        <v>141</v>
      </c>
      <c r="C4" s="1577"/>
      <c r="D4" s="1577"/>
      <c r="E4" s="1577"/>
      <c r="F4" s="1577"/>
      <c r="G4" s="1578"/>
      <c r="H4" s="1589" t="s">
        <v>301</v>
      </c>
      <c r="I4" s="1590"/>
      <c r="J4" s="1590"/>
      <c r="K4" s="1590"/>
      <c r="L4" s="1590"/>
      <c r="M4" s="1590"/>
      <c r="N4" s="1591"/>
      <c r="O4" s="1592" t="s">
        <v>142</v>
      </c>
      <c r="P4" s="1593"/>
      <c r="Q4" s="1592" t="s">
        <v>143</v>
      </c>
      <c r="R4" s="1594"/>
      <c r="S4" s="406"/>
      <c r="T4" s="407"/>
      <c r="U4" s="407"/>
      <c r="V4" s="407"/>
      <c r="W4" s="407"/>
      <c r="X4" s="407"/>
      <c r="Y4" s="407"/>
      <c r="Z4" s="407"/>
      <c r="AA4" s="407"/>
      <c r="AB4" s="407"/>
      <c r="AC4" s="407"/>
      <c r="AD4" s="407"/>
      <c r="AE4" s="407"/>
      <c r="AF4" s="407"/>
      <c r="AG4" s="407"/>
      <c r="AH4" s="407"/>
      <c r="AI4" s="492"/>
      <c r="AJ4" s="407"/>
      <c r="AK4" s="407"/>
      <c r="AL4" s="407"/>
      <c r="AM4" s="407"/>
      <c r="AN4" s="407"/>
      <c r="AO4" s="407"/>
      <c r="AP4" s="407"/>
      <c r="AQ4" s="378"/>
      <c r="AR4" s="378"/>
      <c r="AW4" s="374" t="s">
        <v>144</v>
      </c>
      <c r="AX4" s="374" t="s">
        <v>145</v>
      </c>
      <c r="AY4" s="374" t="s">
        <v>146</v>
      </c>
      <c r="AZ4" s="374" t="s">
        <v>147</v>
      </c>
      <c r="BA4" s="374" t="s">
        <v>148</v>
      </c>
      <c r="BB4" s="374" t="s">
        <v>149</v>
      </c>
      <c r="BE4" s="374"/>
      <c r="BF4" s="374"/>
      <c r="BG4" s="373"/>
      <c r="BP4" s="1668" t="s">
        <v>313</v>
      </c>
      <c r="BQ4" s="1668"/>
      <c r="BR4" s="1668"/>
      <c r="BS4" s="1668"/>
      <c r="BT4" s="1668"/>
      <c r="BU4" s="1668"/>
    </row>
    <row r="5" spans="2:73" s="416" customFormat="1" ht="15.75" customHeight="1" x14ac:dyDescent="0.2">
      <c r="B5" s="1579" t="s">
        <v>293</v>
      </c>
      <c r="C5" s="1580"/>
      <c r="D5" s="1580"/>
      <c r="E5" s="1580"/>
      <c r="F5" s="1580"/>
      <c r="G5" s="1581"/>
      <c r="H5" s="1598" t="s">
        <v>316</v>
      </c>
      <c r="I5" s="1599"/>
      <c r="J5" s="1599"/>
      <c r="K5" s="1599"/>
      <c r="L5" s="1599"/>
      <c r="M5" s="1599"/>
      <c r="N5" s="1600"/>
      <c r="O5" s="1601"/>
      <c r="P5" s="1602"/>
      <c r="Q5" s="1603"/>
      <c r="R5" s="1604"/>
      <c r="S5" s="498"/>
      <c r="T5" s="496"/>
      <c r="U5" s="496"/>
      <c r="V5" s="496"/>
      <c r="W5" s="496"/>
      <c r="X5" s="496"/>
      <c r="Y5" s="496"/>
      <c r="Z5" s="496"/>
      <c r="AA5" s="496"/>
      <c r="AB5" s="496"/>
      <c r="AC5" s="496"/>
      <c r="AD5" s="496"/>
      <c r="AE5" s="496"/>
      <c r="AF5" s="496"/>
      <c r="AG5" s="496"/>
      <c r="AH5" s="496"/>
      <c r="AI5" s="497"/>
      <c r="AJ5" s="496"/>
      <c r="AK5" s="496"/>
      <c r="AL5" s="496"/>
      <c r="AM5" s="496"/>
      <c r="AN5" s="496"/>
      <c r="AO5" s="496"/>
      <c r="AP5" s="496"/>
      <c r="AQ5" s="487"/>
      <c r="AR5" s="487"/>
      <c r="AS5" s="401"/>
      <c r="AT5" s="495" t="s">
        <v>151</v>
      </c>
      <c r="AU5" s="494" t="b">
        <v>0</v>
      </c>
      <c r="AV5" s="401">
        <v>0</v>
      </c>
      <c r="AW5" s="401" t="b">
        <f>IF(ISERR(OR(AW9:AW40)),"UNK",IF(AND(graded_aca_events&gt;=1,input_test),FALSE,OR(AW9:AW40)))</f>
        <v>0</v>
      </c>
      <c r="AX5" s="401" t="b">
        <f>IF(ISERR(OR(AX9:AX40)),"UNK",IF(AND(graded_aca_events&gt;=1,input_test),FALSE,OR(AX9:AX40)))</f>
        <v>1</v>
      </c>
      <c r="AY5" s="401" t="b">
        <f>IF(ISERR(OR(AY9:AY40)),"UNK",OR(AY9:AY40))</f>
        <v>0</v>
      </c>
      <c r="AZ5" s="401" t="b">
        <f>IF(ISERR(OR(AZ9:AZ40)),"UNK",OR(AZ9:AZ40))</f>
        <v>0</v>
      </c>
      <c r="BA5" s="401" t="b">
        <f>IF(ISERR(OR(BA9:BA40)),"UNK",OR(BA9:BA40))</f>
        <v>0</v>
      </c>
      <c r="BB5" s="401" t="b">
        <f>IF(ISERR(OR(BB9:BB40)),"UNK",OR(BB9:BB40))</f>
        <v>0</v>
      </c>
      <c r="BC5" s="493" t="b">
        <f>OR(BC9:BC40)</f>
        <v>0</v>
      </c>
      <c r="BD5" s="493" t="b">
        <f>OR(BD9:BD40)</f>
        <v>0</v>
      </c>
      <c r="BE5" s="493" t="b">
        <f>OR(BE9:BE40)</f>
        <v>0</v>
      </c>
      <c r="BF5" s="493"/>
      <c r="BG5" s="401"/>
      <c r="BH5" s="1558" t="s">
        <v>152</v>
      </c>
      <c r="BI5" s="1558"/>
      <c r="BJ5" s="1558"/>
      <c r="BK5" s="1558"/>
      <c r="BL5" s="1559" t="s">
        <v>153</v>
      </c>
      <c r="BM5" s="1559"/>
      <c r="BN5" s="1559"/>
      <c r="BO5" s="372"/>
      <c r="BP5" s="1668"/>
      <c r="BQ5" s="1668"/>
      <c r="BR5" s="1668"/>
      <c r="BS5" s="1668"/>
      <c r="BT5" s="1668"/>
      <c r="BU5" s="1668"/>
    </row>
    <row r="6" spans="2:73" s="406" customFormat="1" ht="7.5" customHeight="1" x14ac:dyDescent="0.25">
      <c r="B6" s="1560" t="s">
        <v>154</v>
      </c>
      <c r="C6" s="1561"/>
      <c r="D6" s="1561"/>
      <c r="E6" s="1562"/>
      <c r="F6" s="1563" t="s">
        <v>155</v>
      </c>
      <c r="G6" s="1562"/>
      <c r="H6" s="1563" t="s">
        <v>156</v>
      </c>
      <c r="I6" s="1561"/>
      <c r="J6" s="1561"/>
      <c r="K6" s="1561"/>
      <c r="L6" s="1562"/>
      <c r="M6" s="1564" t="s">
        <v>157</v>
      </c>
      <c r="N6" s="1565"/>
      <c r="O6" s="1595" t="s">
        <v>158</v>
      </c>
      <c r="P6" s="1596"/>
      <c r="Q6" s="1563" t="str">
        <f>IF(AU42=0,"GRADE","GRADE (inc. bonus)")</f>
        <v>GRADE</v>
      </c>
      <c r="R6" s="1597"/>
      <c r="T6" s="407"/>
      <c r="U6" s="407"/>
      <c r="V6" s="407"/>
      <c r="W6" s="407"/>
      <c r="X6" s="407"/>
      <c r="Y6" s="407"/>
      <c r="Z6" s="407"/>
      <c r="AA6" s="407"/>
      <c r="AB6" s="407"/>
      <c r="AC6" s="407"/>
      <c r="AD6" s="407"/>
      <c r="AE6" s="407"/>
      <c r="AF6" s="407"/>
      <c r="AG6" s="407"/>
      <c r="AH6" s="407"/>
      <c r="AI6" s="492"/>
      <c r="AJ6" s="407"/>
      <c r="AK6" s="407"/>
      <c r="AL6" s="407"/>
      <c r="AM6" s="407"/>
      <c r="AN6" s="407"/>
      <c r="AO6" s="407"/>
      <c r="AP6" s="407"/>
      <c r="AQ6" s="407"/>
      <c r="AR6" s="407"/>
      <c r="AS6" s="407"/>
      <c r="AT6" s="407"/>
      <c r="AU6" s="407"/>
      <c r="AV6" s="407"/>
      <c r="AW6" s="407"/>
      <c r="AX6" s="407"/>
      <c r="AY6" s="407"/>
      <c r="AZ6" s="407"/>
      <c r="BA6" s="407"/>
      <c r="BB6" s="407"/>
      <c r="BC6" s="407"/>
      <c r="BD6" s="407"/>
      <c r="BE6" s="407"/>
      <c r="BF6" s="407"/>
      <c r="BG6" s="407"/>
      <c r="BH6" s="1558"/>
      <c r="BI6" s="1558"/>
      <c r="BJ6" s="1558"/>
      <c r="BK6" s="1558"/>
      <c r="BL6" s="1559"/>
      <c r="BM6" s="1559"/>
      <c r="BN6" s="1559"/>
      <c r="BO6" s="491"/>
    </row>
    <row r="7" spans="2:73" s="416" customFormat="1" ht="15.75" customHeight="1" thickBot="1" x14ac:dyDescent="0.25">
      <c r="B7" s="1566"/>
      <c r="C7" s="1567"/>
      <c r="D7" s="1567"/>
      <c r="E7" s="1568"/>
      <c r="F7" s="1569" t="s">
        <v>270</v>
      </c>
      <c r="G7" s="1570"/>
      <c r="H7" s="1571"/>
      <c r="I7" s="1572"/>
      <c r="J7" s="1572"/>
      <c r="K7" s="1572"/>
      <c r="L7" s="1573"/>
      <c r="M7" s="1574"/>
      <c r="N7" s="1575"/>
      <c r="O7" s="1585"/>
      <c r="P7" s="1586"/>
      <c r="Q7" s="1587" t="str">
        <f>IF((graded_aca_events+graded_amn_events)&lt;1,"---",IF(ISERROR(AR47),"",IF(F42&lt;&gt;"COMPLETE","INCOMPLETE",AR47)))</f>
        <v>---</v>
      </c>
      <c r="R7" s="1588"/>
      <c r="S7" s="371"/>
      <c r="T7" s="401"/>
      <c r="U7" s="401">
        <v>2</v>
      </c>
      <c r="V7" s="401">
        <v>3</v>
      </c>
      <c r="W7" s="401">
        <v>6</v>
      </c>
      <c r="X7" s="401">
        <v>7</v>
      </c>
      <c r="Y7" s="401">
        <v>11</v>
      </c>
      <c r="Z7" s="401">
        <v>8</v>
      </c>
      <c r="AA7" s="490">
        <v>9</v>
      </c>
      <c r="AB7" s="490">
        <v>10</v>
      </c>
      <c r="AC7" s="490">
        <v>5</v>
      </c>
      <c r="AD7" s="490">
        <v>4</v>
      </c>
      <c r="AE7" s="490">
        <v>12</v>
      </c>
      <c r="AF7" s="490">
        <v>13</v>
      </c>
      <c r="AG7" s="490"/>
      <c r="AH7" s="490"/>
      <c r="AI7" s="489"/>
      <c r="AJ7" s="488"/>
      <c r="AK7" s="488"/>
      <c r="AL7" s="488"/>
      <c r="AM7" s="488" t="b">
        <f>IF(COUNT(AM9:AM40)&gt;0,TRUE,FALSE)</f>
        <v>0</v>
      </c>
      <c r="AN7" s="488" t="b">
        <f>IF(COUNT(AN9:AN40)&gt;0,TRUE,FALSE)</f>
        <v>0</v>
      </c>
      <c r="AO7" s="401"/>
      <c r="AP7" s="401"/>
      <c r="AQ7" s="487"/>
      <c r="AR7" s="487"/>
      <c r="AS7" s="401"/>
      <c r="AT7" s="486">
        <v>0.2</v>
      </c>
      <c r="AU7" s="401"/>
      <c r="AV7" s="485">
        <f>0.01*input_maxb</f>
        <v>0</v>
      </c>
      <c r="AW7" s="483" t="s">
        <v>159</v>
      </c>
      <c r="AX7" s="484"/>
      <c r="AY7" s="483" t="s">
        <v>160</v>
      </c>
      <c r="AZ7" s="484"/>
      <c r="BA7" s="482" t="s">
        <v>161</v>
      </c>
      <c r="BB7" s="482"/>
      <c r="BC7" s="483" t="s">
        <v>162</v>
      </c>
      <c r="BD7" s="482"/>
      <c r="BE7" s="481"/>
      <c r="BF7" s="480"/>
      <c r="BG7" s="401" t="s">
        <v>163</v>
      </c>
      <c r="BH7" s="1558"/>
      <c r="BI7" s="1558"/>
      <c r="BJ7" s="1558"/>
      <c r="BK7" s="1558"/>
      <c r="BL7" s="1559"/>
      <c r="BM7" s="1559"/>
      <c r="BN7" s="1559"/>
      <c r="BO7" s="372"/>
    </row>
    <row r="8" spans="2:73" ht="27" customHeight="1" thickBot="1" x14ac:dyDescent="0.3">
      <c r="B8" s="1582" t="s">
        <v>164</v>
      </c>
      <c r="C8" s="1583"/>
      <c r="D8" s="1583"/>
      <c r="E8" s="1583"/>
      <c r="F8" s="1584"/>
      <c r="G8" s="479" t="s">
        <v>165</v>
      </c>
      <c r="H8" s="478" t="s">
        <v>166</v>
      </c>
      <c r="I8" s="477" t="s">
        <v>167</v>
      </c>
      <c r="J8" s="476" t="s">
        <v>168</v>
      </c>
      <c r="K8" s="475" t="s">
        <v>169</v>
      </c>
      <c r="L8" s="1605" t="s">
        <v>170</v>
      </c>
      <c r="M8" s="1583"/>
      <c r="N8" s="1583"/>
      <c r="O8" s="1583"/>
      <c r="P8" s="1583"/>
      <c r="Q8" s="1583"/>
      <c r="R8" s="1606"/>
      <c r="S8" s="376"/>
      <c r="T8" s="385" t="s">
        <v>171</v>
      </c>
      <c r="U8" s="385"/>
      <c r="V8" s="385" t="s">
        <v>172</v>
      </c>
      <c r="W8" s="385" t="s">
        <v>173</v>
      </c>
      <c r="X8" s="385" t="s">
        <v>174</v>
      </c>
      <c r="Y8" s="385" t="s">
        <v>175</v>
      </c>
      <c r="Z8" s="385" t="s">
        <v>176</v>
      </c>
      <c r="AA8" s="385" t="s">
        <v>177</v>
      </c>
      <c r="AB8" s="385" t="s">
        <v>178</v>
      </c>
      <c r="AC8" s="385" t="s">
        <v>179</v>
      </c>
      <c r="AD8" s="385" t="s">
        <v>180</v>
      </c>
      <c r="AE8" s="385" t="s">
        <v>181</v>
      </c>
      <c r="AF8" s="385" t="s">
        <v>182</v>
      </c>
      <c r="AG8" s="385" t="s">
        <v>183</v>
      </c>
      <c r="AH8" s="385" t="s">
        <v>184</v>
      </c>
      <c r="AI8" s="474" t="s">
        <v>185</v>
      </c>
      <c r="AJ8" s="472" t="s">
        <v>186</v>
      </c>
      <c r="AK8" s="473" t="s">
        <v>187</v>
      </c>
      <c r="AL8" s="473" t="s">
        <v>188</v>
      </c>
      <c r="AM8" s="473" t="s">
        <v>189</v>
      </c>
      <c r="AN8" s="473" t="s">
        <v>190</v>
      </c>
      <c r="AO8" s="472" t="s">
        <v>191</v>
      </c>
      <c r="AP8" s="472" t="s">
        <v>192</v>
      </c>
      <c r="AQ8" s="470" t="s">
        <v>193</v>
      </c>
      <c r="AR8" s="471" t="s">
        <v>1</v>
      </c>
      <c r="AS8" s="470" t="s">
        <v>194</v>
      </c>
      <c r="AT8" s="471" t="s">
        <v>1</v>
      </c>
      <c r="AU8" s="470" t="s">
        <v>195</v>
      </c>
      <c r="AV8" s="469" t="s">
        <v>196</v>
      </c>
      <c r="AW8" s="468" t="s">
        <v>197</v>
      </c>
      <c r="AX8" s="467" t="s">
        <v>198</v>
      </c>
      <c r="AY8" s="468" t="s">
        <v>199</v>
      </c>
      <c r="AZ8" s="467" t="s">
        <v>200</v>
      </c>
      <c r="BA8" s="466" t="s">
        <v>201</v>
      </c>
      <c r="BB8" s="466" t="s">
        <v>202</v>
      </c>
      <c r="BC8" s="465" t="s">
        <v>203</v>
      </c>
      <c r="BD8" s="464" t="s">
        <v>204</v>
      </c>
      <c r="BE8" s="463" t="s">
        <v>205</v>
      </c>
      <c r="BF8" s="462" t="s">
        <v>206</v>
      </c>
      <c r="BG8" s="373"/>
      <c r="BH8" s="373" t="s">
        <v>207</v>
      </c>
      <c r="BI8" s="373" t="s">
        <v>208</v>
      </c>
      <c r="BJ8" s="385" t="s">
        <v>209</v>
      </c>
      <c r="BK8" s="373" t="s">
        <v>210</v>
      </c>
      <c r="BL8" s="373" t="s">
        <v>207</v>
      </c>
      <c r="BM8" s="373" t="s">
        <v>208</v>
      </c>
      <c r="BN8" s="373" t="s">
        <v>210</v>
      </c>
    </row>
    <row r="9" spans="2:73" ht="12.95" customHeight="1" x14ac:dyDescent="0.25">
      <c r="B9" s="461" t="str">
        <f>IF(ISNA(Z9),"",IF(OR(Z9=1,Z9=2),"",1))</f>
        <v/>
      </c>
      <c r="C9" s="1607" t="str">
        <f t="shared" ref="C9:C40" si="0">IF(ISNA(Z9),"",CONCATENATE($U9,IF(ISNUMBER(AI9),TEXT(ROUND($AI9,3)," (0.0%)"),""),IF(AU9&gt;0," Bonus","")))</f>
        <v>Structure &amp; Logic (30.0%)</v>
      </c>
      <c r="D9" s="1607"/>
      <c r="E9" s="1607"/>
      <c r="F9" s="1608"/>
      <c r="G9" s="437" t="str">
        <f t="shared" ref="G9:G40" si="1">BH9</f>
        <v/>
      </c>
      <c r="H9" s="431" t="str">
        <f t="shared" ref="H9:H40" si="2">BJ9</f>
        <v/>
      </c>
      <c r="I9" s="460" t="str">
        <f t="shared" ref="I9:I40" si="3">BK9</f>
        <v/>
      </c>
      <c r="J9" s="459"/>
      <c r="K9" s="458"/>
      <c r="L9" s="1609"/>
      <c r="M9" s="1610"/>
      <c r="N9" s="1610"/>
      <c r="O9" s="1610"/>
      <c r="P9" s="1610"/>
      <c r="Q9" s="1610"/>
      <c r="R9" s="1611"/>
      <c r="T9" s="374">
        <v>1</v>
      </c>
      <c r="U9" s="374" t="s">
        <v>646</v>
      </c>
      <c r="V9" s="421" t="s">
        <v>212</v>
      </c>
      <c r="W9" s="421" t="s">
        <v>212</v>
      </c>
      <c r="X9" s="421" t="s">
        <v>212</v>
      </c>
      <c r="Y9" s="421" t="s">
        <v>212</v>
      </c>
      <c r="Z9" s="421">
        <v>2</v>
      </c>
      <c r="AA9" s="421">
        <v>1</v>
      </c>
      <c r="AB9" s="421">
        <v>1</v>
      </c>
      <c r="AC9" s="421" t="s">
        <v>212</v>
      </c>
      <c r="AD9" s="421" t="s">
        <v>212</v>
      </c>
      <c r="AE9" s="421" t="s">
        <v>212</v>
      </c>
      <c r="AF9" s="421" t="s">
        <v>212</v>
      </c>
      <c r="AG9" s="421" t="str">
        <f t="shared" ref="AG9:AG40" si="4">IF(CrewSoloQual="Yes",$AC9,$AD9)</f>
        <v/>
      </c>
      <c r="AH9" s="421" t="str">
        <f t="shared" ref="AH9:AH40" si="5">IF(ISNUMBER(AC9),IF(CrewSoloQual="Yes",$AC9-1,$AD9-1),"")</f>
        <v/>
      </c>
      <c r="AI9" s="427">
        <f>IF(NOT(OR(Z9=1,Z9=2)),IF(AQ9&gt;0,$AR$45*AQ9/SUMIF($AQ$9:$AQ$40,"&gt;0"),IF(AU9&gt;0,$AV$45*AU9/SUMIF($AU$9:$AU$40,"&gt;0"),IF(AS9&gt;0,$AT$45*AS9/SUMIF($AS$9:$AS$40,"&gt;0"),""))),IF(SUMIF(AJ10:$AJ$40,"=" &amp; AJ9,AI10:$AI$40)=0,"",SUMIF(AJ10:$AJ$40,"=" &amp; AJ9,AI10:$AI$40)))</f>
        <v>0.29999997965999931</v>
      </c>
      <c r="AJ9" s="426">
        <f>0</f>
        <v>0</v>
      </c>
      <c r="AK9" s="421" t="str">
        <f t="shared" ref="AK9:AK40" si="6">BI9</f>
        <v/>
      </c>
      <c r="AL9" s="421" t="str">
        <f t="shared" ref="AL9:AL40" si="7">IF(ISBLANK(K9),"",K9)</f>
        <v/>
      </c>
      <c r="AM9" s="421" t="str">
        <f t="shared" ref="AM9:AM40" si="8">IF(ISNUMBER(AK9),IF(ISNUMBER(AL9),1,""),"")</f>
        <v/>
      </c>
      <c r="AN9" s="421" t="str">
        <f t="shared" ref="AN9:AN40" si="9">IF(ISNUMBER(AH9),IF(AND(AB9=0,ISNUMBER(AC9),ISNUMBER(AL9)),1,""),"")</f>
        <v/>
      </c>
      <c r="AO9" s="421" t="str">
        <f t="shared" ref="AO9:AO40" si="10">IF(AB9=0,IF(CrewSoloQual="No",BI9,BK9),"")</f>
        <v/>
      </c>
      <c r="AP9" s="421" t="str">
        <f t="shared" ref="AP9:AP40" si="11">IF(ISNA(Z9),"",IF(AND(ISNUMBER(B9),G9&gt;=1,H9&lt;&gt;"NG"),IF(K9&lt;BK9,TRUE,FALSE),IF(AND(G9&gt;=1,J9="NA"),TRUE,IF(AND(AM9=1,G9=0,AL9&lt;BI9),TRUE,""))))</f>
        <v/>
      </c>
      <c r="AQ9" s="425">
        <f t="shared" ref="AQ9:AQ40" si="12">IF(ISNA(Z9),0,IF(OR(J9="NA",W9="",AB9=0),0,W9))</f>
        <v>0</v>
      </c>
      <c r="AR9" s="423" t="str">
        <f t="shared" ref="AR9:AR40" si="13">IF(ISNA(Z9),"",IF(AND(NOT(OR(Z9=1,Z9=2,AK9="NG",AB9=0)),IF(ISNUMBER(AL9),AL9&gt;=0,FALSE)),VLOOKUP((10*AD9+AC9),$AQ$51:$AV$59,2+AL9,FALSE),IF(AND(input_test=TRUE,ISNUMBER(AD9),V9&lt;&gt;0),VLOOKUP((10*AD9+AC9),$AQ$51:$AV$59,2,FALSE),"")))</f>
        <v/>
      </c>
      <c r="AS9" s="424">
        <f t="shared" ref="AS9:AS40" si="14">IF(ISNA(Z9),0,IF(OR(J9="NA",X9="",AB9=1),0,X9))</f>
        <v>0</v>
      </c>
      <c r="AT9" s="423" t="str">
        <f t="shared" ref="AT9:AT40" si="15">IF(ISNA(Z9),"",IF(AND(NOT(OR(Z9=1,Z9=2,AK9="NG",AB9=1)),IF(ISNUMBER(AL9),AL9&gt;=0,FALSE)),VLOOKUP((10*AH9+AG9),$AQ$51:$AV$59,2+AL9,FALSE),IF(AND(input_test=TRUE,ISNUMBER(AD9),V9&lt;&gt;0),VLOOKUP((10*AH9+AG9),$AQ$51:$AV$59,2,FALSE),"")))</f>
        <v/>
      </c>
      <c r="AU9" s="420">
        <f t="shared" ref="AU9:AU40" si="16">IF(ISNA(Z9),0,IF(OR(J9="NA",Y9=""),0,Y9))</f>
        <v>0</v>
      </c>
      <c r="AV9" s="422" t="str">
        <f t="shared" ref="AV9:AV40" si="17">AR9</f>
        <v/>
      </c>
      <c r="AW9" s="420" t="b">
        <f t="shared" ref="AW9:AW40" si="18">IF(ISNA(Z9),FALSE,IF(OR(AB9=1,G9=0,Z9=1,Z9=2),FALSE,IF(OR(J9="NA",J9&gt;=G9),FALSE,TRUE)))</f>
        <v>0</v>
      </c>
      <c r="AX9" s="419" t="b">
        <f t="shared" ref="AX9:AX40" si="19">IF(ISNA(Z9),FALSE,IF(OR(AB9=0,G9=0,Z9=1,Z9=2,J9="NA"),FALSE,IF(AK9="NG",IF(NOT(ISBLANK(K9)),FALSE,TRUE),IF(J9&gt;=G9,FALSE,TRUE))))</f>
        <v>0</v>
      </c>
      <c r="AY9" s="420" t="b">
        <f t="shared" ref="AY9:AY40" si="20">IF(ISNA(Z9),FALSE,IF(OR(AB9=1,G9&lt;1,Z9=1,Z9=2,AE9=0,ISBLANK(K9)),FALSE,IF(OR(J9="NA",K9&gt;=BI9),FALSE,TRUE)))</f>
        <v>0</v>
      </c>
      <c r="AZ9" s="419" t="b">
        <f t="shared" ref="AZ9:AZ40" si="21">IF(ISNA(Z9),FALSE,IF(OR(AB9=0,G9=0,Z9=1,Z9=2,AE9=0,BI9="NG",K9="",ISBLANK(K9)),FALSE,IF(OR(J9="NA",K9&gt;=AK9),FALSE,TRUE)))</f>
        <v>0</v>
      </c>
      <c r="BA9" s="421" t="b">
        <f t="shared" ref="BA9:BA40" si="22">IF(ISNA(Z9),FALSE,IF(OR(AB9=1,G9&lt;1,Z9=1,Z9=2,AE9=0),FALSE,IF(J9="NA",TRUE,FALSE)))</f>
        <v>0</v>
      </c>
      <c r="BB9" s="421" t="b">
        <f t="shared" ref="BB9:BB40" si="23">IF(ISNA(Z9),FALSE,IF(OR(AB9=0,G9=0,Z9=1,Z9=2),FALSE,IF(J9="NA",TRUE,FALSE)))</f>
        <v>0</v>
      </c>
      <c r="BC9" s="420" t="b">
        <f t="shared" ref="BC9:BC40" si="24">IF(OR(ISNA($Z9),ISNUMBER($Z9),NOT(ISNUMBER($J9)),K9="D"),FALSE,IF(AND(NOT(ISNUMBER($K9)),J9&gt;0),TRUE,FALSE))</f>
        <v>0</v>
      </c>
      <c r="BD9" s="393" t="b">
        <f t="shared" ref="BD9:BD40" si="25">IF(OR(ISNA($Z9),ISNUMBER($Z9),NOT(ISNUMBER(K9))),FALSE,OR(NOT(ISNUMBER(J9)),J9=0,AND(J9=0,K9&lt;&gt;0)))</f>
        <v>0</v>
      </c>
      <c r="BE9" s="419" t="b">
        <f t="shared" ref="BE9:BE40" si="26">IF(OR(ISNA($Z9),K9&lt;&gt;"D"),FALSE,IF(OR(AND(H9="NG",J9=0),AND(H9&lt;&gt;"NG",NOT(OR(J9="NA",J9=0)))),TRUE,FALSE))</f>
        <v>0</v>
      </c>
      <c r="BF9" s="418" t="b">
        <f t="shared" ref="BF9:BF40" si="27">IF(OR(ISNA($Z9),H9&lt;&gt;"NG"),FALSE,IF(AND(J9="NA",K9&lt;&gt;""),TRUE,FALSE))</f>
        <v>0</v>
      </c>
      <c r="BG9" s="417" t="b">
        <f t="shared" ref="BG9:BG40" si="28">IF(ISNA($Z9),"NA",IF(OR(AZ9,AY9,AX9,AW9,AP9,BA9,BB9),TRUE,FALSE))</f>
        <v>0</v>
      </c>
      <c r="BH9" s="435" t="str">
        <f t="shared" ref="BH9:BH40" si="29">IF(ISNA($Z9),"",IF(OR($Z9=1,$Z9=2),"",$V9))</f>
        <v/>
      </c>
      <c r="BI9" s="417" t="str">
        <f t="shared" ref="BI9:BI40" si="30">IF(ISNA($Z9),"",IF(OR($Z9=1,$Z9=2,$G9=""),"",IF(AB9=0,AH9,$AD9)))</f>
        <v/>
      </c>
      <c r="BJ9" s="417" t="str">
        <f t="shared" ref="BJ9:BJ40" si="31">IF(ISNA(AE9),"",IF(OR(Z9=1,Z9=2),"",IF(OR(AE9=0,AD9="NG"),TEXT(BI9,"0"),CONCATENATE(TEXT(BI9,"0"),"*"))))</f>
        <v/>
      </c>
      <c r="BK9" s="417" t="str">
        <f t="shared" ref="BK9:BK40" si="32">IF(ISNA($Z9),"",IF(OR($Z9=1,$Z9=2,$G9=""),"",IF(AB9=0,AG9,$AC9)))</f>
        <v/>
      </c>
      <c r="BL9" s="435" t="str">
        <f t="shared" ref="BL9:BL40" si="33">IF(ISBLANK(BH9),"",IF(BH9=0,"",BH9))</f>
        <v/>
      </c>
      <c r="BM9" s="417" t="str">
        <f t="shared" ref="BM9:BM40" si="34">IF($BH9=0,"",IF($BI9="NG","D",$BI9))</f>
        <v/>
      </c>
      <c r="BN9" s="417" t="str">
        <f t="shared" ref="BN9:BN40" si="35">IF(ISNA(U9),"",IF($BH9=0,"",IF($BI9="NG","D",BK9)))</f>
        <v/>
      </c>
      <c r="BO9" s="457" t="s">
        <v>213</v>
      </c>
      <c r="BP9" s="434"/>
    </row>
    <row r="10" spans="2:73" s="416" customFormat="1" ht="12.95" customHeight="1" x14ac:dyDescent="0.25">
      <c r="B10" s="433">
        <f>IF(ISNA(Z10),"",IF(OR(Z10=1,Z10=2),"    ",MAX($B$9:B9)+1))</f>
        <v>1</v>
      </c>
      <c r="C10" s="1618" t="str">
        <f t="shared" si="0"/>
        <v xml:space="preserve">      - Executive Summary (8.0%)</v>
      </c>
      <c r="D10" s="1618"/>
      <c r="E10" s="1618"/>
      <c r="F10" s="1619"/>
      <c r="G10" s="437">
        <f t="shared" si="1"/>
        <v>1</v>
      </c>
      <c r="H10" s="431" t="str">
        <f t="shared" si="2"/>
        <v>2*</v>
      </c>
      <c r="I10" s="436">
        <f t="shared" si="3"/>
        <v>3</v>
      </c>
      <c r="J10" s="456"/>
      <c r="K10" s="448"/>
      <c r="L10" s="1612"/>
      <c r="M10" s="1613"/>
      <c r="N10" s="1613"/>
      <c r="O10" s="1613"/>
      <c r="P10" s="1613"/>
      <c r="Q10" s="1613"/>
      <c r="R10" s="1614"/>
      <c r="T10" s="401">
        <v>2</v>
      </c>
      <c r="U10" s="374" t="s">
        <v>290</v>
      </c>
      <c r="V10" s="421">
        <v>1</v>
      </c>
      <c r="W10" s="421">
        <v>2.6666660000000002</v>
      </c>
      <c r="X10" s="421" t="s">
        <v>212</v>
      </c>
      <c r="Y10" s="421" t="s">
        <v>212</v>
      </c>
      <c r="Z10" s="393" t="s">
        <v>212</v>
      </c>
      <c r="AA10" s="393">
        <v>2</v>
      </c>
      <c r="AB10" s="393">
        <v>1</v>
      </c>
      <c r="AC10" s="421">
        <v>3</v>
      </c>
      <c r="AD10" s="421">
        <v>2</v>
      </c>
      <c r="AE10" s="421">
        <v>1</v>
      </c>
      <c r="AF10" s="421" t="b">
        <v>1</v>
      </c>
      <c r="AG10" s="421">
        <f t="shared" si="4"/>
        <v>2</v>
      </c>
      <c r="AH10" s="421">
        <f t="shared" si="5"/>
        <v>1</v>
      </c>
      <c r="AI10" s="427">
        <f>IF(NOT(OR(Z10=1,Z10=2)),IF(AQ10&gt;0,$AR$45*AQ10/SUMIF($AQ$9:$AQ$40,"&gt;0"),IF(AU10&gt;0,$AV$45*AU10/SUMIF($AU$9:$AU$40,"&gt;0"),IF(AS10&gt;0,$AT$45*AS10/SUMIF($AS$9:$AS$40,"&gt;0"),""))),IF(SUMIF(AJ11:$AJ$40,"=" &amp; AJ10,AI11:$AI$40)=0,"",SUMIF(AJ11:$AJ$40,"=" &amp; AJ10,AI11:$AI$40)))</f>
        <v>7.9999982575999426E-2</v>
      </c>
      <c r="AJ10" s="426">
        <f t="shared" ref="AJ10:AJ40" si="36">IF(OR(Z10=1,Z10=2,AA10&lt;AA9),AJ9+1,AJ9)</f>
        <v>0</v>
      </c>
      <c r="AK10" s="421">
        <f t="shared" si="6"/>
        <v>2</v>
      </c>
      <c r="AL10" s="393" t="str">
        <f t="shared" si="7"/>
        <v/>
      </c>
      <c r="AM10" s="393" t="str">
        <f t="shared" si="8"/>
        <v/>
      </c>
      <c r="AN10" s="393" t="str">
        <f t="shared" si="9"/>
        <v/>
      </c>
      <c r="AO10" s="393" t="str">
        <f t="shared" si="10"/>
        <v/>
      </c>
      <c r="AP10" s="421" t="b">
        <f t="shared" si="11"/>
        <v>1</v>
      </c>
      <c r="AQ10" s="425">
        <f t="shared" si="12"/>
        <v>2.6666660000000002</v>
      </c>
      <c r="AR10" s="423" t="str">
        <f t="shared" si="13"/>
        <v/>
      </c>
      <c r="AS10" s="424">
        <f t="shared" si="14"/>
        <v>0</v>
      </c>
      <c r="AT10" s="423" t="str">
        <f t="shared" si="15"/>
        <v/>
      </c>
      <c r="AU10" s="420">
        <f t="shared" si="16"/>
        <v>0</v>
      </c>
      <c r="AV10" s="422" t="str">
        <f t="shared" si="17"/>
        <v/>
      </c>
      <c r="AW10" s="420" t="b">
        <f t="shared" si="18"/>
        <v>0</v>
      </c>
      <c r="AX10" s="419" t="b">
        <f t="shared" si="19"/>
        <v>1</v>
      </c>
      <c r="AY10" s="420" t="b">
        <f t="shared" si="20"/>
        <v>0</v>
      </c>
      <c r="AZ10" s="419" t="b">
        <f t="shared" si="21"/>
        <v>0</v>
      </c>
      <c r="BA10" s="421" t="b">
        <f t="shared" si="22"/>
        <v>0</v>
      </c>
      <c r="BB10" s="421" t="b">
        <f t="shared" si="23"/>
        <v>0</v>
      </c>
      <c r="BC10" s="420" t="b">
        <f t="shared" si="24"/>
        <v>0</v>
      </c>
      <c r="BD10" s="393" t="b">
        <f t="shared" si="25"/>
        <v>0</v>
      </c>
      <c r="BE10" s="419" t="b">
        <f t="shared" si="26"/>
        <v>0</v>
      </c>
      <c r="BF10" s="418" t="b">
        <f t="shared" si="27"/>
        <v>0</v>
      </c>
      <c r="BG10" s="417" t="b">
        <f t="shared" si="28"/>
        <v>1</v>
      </c>
      <c r="BH10" s="417">
        <f t="shared" si="29"/>
        <v>1</v>
      </c>
      <c r="BI10" s="417">
        <f t="shared" si="30"/>
        <v>2</v>
      </c>
      <c r="BJ10" s="417" t="str">
        <f t="shared" si="31"/>
        <v>2*</v>
      </c>
      <c r="BK10" s="417">
        <f t="shared" si="32"/>
        <v>3</v>
      </c>
      <c r="BL10" s="435">
        <f t="shared" si="33"/>
        <v>1</v>
      </c>
      <c r="BM10" s="417">
        <f t="shared" si="34"/>
        <v>2</v>
      </c>
      <c r="BN10" s="417">
        <f t="shared" si="35"/>
        <v>3</v>
      </c>
      <c r="BO10" s="439" t="s">
        <v>214</v>
      </c>
      <c r="BP10" s="455" t="s">
        <v>139</v>
      </c>
    </row>
    <row r="11" spans="2:73" s="416" customFormat="1" ht="12.95" customHeight="1" x14ac:dyDescent="0.25">
      <c r="B11" s="433">
        <f>IF(ISNA(Z11),"",IF(OR(Z11=1,Z11=2),"    ",MAX($B$9:B10)+1))</f>
        <v>2</v>
      </c>
      <c r="C11" s="1618" t="str">
        <f t="shared" si="0"/>
        <v xml:space="preserve">      - Report Org. &amp; Structure (10.0%)</v>
      </c>
      <c r="D11" s="1618"/>
      <c r="E11" s="1618"/>
      <c r="F11" s="1619"/>
      <c r="G11" s="437">
        <f t="shared" si="1"/>
        <v>1</v>
      </c>
      <c r="H11" s="431" t="str">
        <f t="shared" si="2"/>
        <v>2*</v>
      </c>
      <c r="I11" s="436">
        <f t="shared" si="3"/>
        <v>3</v>
      </c>
      <c r="J11" s="449"/>
      <c r="K11" s="448"/>
      <c r="L11" s="1612"/>
      <c r="M11" s="1613"/>
      <c r="N11" s="1613"/>
      <c r="O11" s="1613"/>
      <c r="P11" s="1613"/>
      <c r="Q11" s="1613"/>
      <c r="R11" s="1614"/>
      <c r="T11" s="401">
        <v>3</v>
      </c>
      <c r="U11" s="374" t="s">
        <v>645</v>
      </c>
      <c r="V11" s="421">
        <v>1</v>
      </c>
      <c r="W11" s="421">
        <v>3.3333330000000001</v>
      </c>
      <c r="X11" s="421" t="s">
        <v>212</v>
      </c>
      <c r="Y11" s="421" t="s">
        <v>212</v>
      </c>
      <c r="Z11" s="393" t="s">
        <v>212</v>
      </c>
      <c r="AA11" s="393">
        <v>2</v>
      </c>
      <c r="AB11" s="393">
        <v>1</v>
      </c>
      <c r="AC11" s="421">
        <v>3</v>
      </c>
      <c r="AD11" s="421">
        <v>2</v>
      </c>
      <c r="AE11" s="421">
        <v>1</v>
      </c>
      <c r="AF11" s="421" t="b">
        <v>1</v>
      </c>
      <c r="AG11" s="421">
        <f t="shared" si="4"/>
        <v>2</v>
      </c>
      <c r="AH11" s="421">
        <f t="shared" si="5"/>
        <v>1</v>
      </c>
      <c r="AI11" s="427">
        <f>IF(NOT(OR(Z11=1,Z11=2)),IF(AQ11&gt;0,$AR$45*AQ11/SUMIF($AQ$9:$AQ$40,"&gt;0"),IF(AU11&gt;0,$AV$45*AU11/SUMIF($AU$9:$AU$40,"&gt;0"),IF(AS11&gt;0,$AT$45*AS11/SUMIF($AS$9:$AS$40,"&gt;0"),""))),IF(SUMIF(AJ12:$AJ$40,"=" &amp; AJ11,AI12:$AI$40)=0,"",SUMIF(AJ12:$AJ$40,"=" &amp; AJ11,AI12:$AI$40)))</f>
        <v>9.9999993219999764E-2</v>
      </c>
      <c r="AJ11" s="426">
        <f t="shared" si="36"/>
        <v>0</v>
      </c>
      <c r="AK11" s="421">
        <f t="shared" si="6"/>
        <v>2</v>
      </c>
      <c r="AL11" s="393" t="str">
        <f t="shared" si="7"/>
        <v/>
      </c>
      <c r="AM11" s="393" t="str">
        <f t="shared" si="8"/>
        <v/>
      </c>
      <c r="AN11" s="393" t="str">
        <f t="shared" si="9"/>
        <v/>
      </c>
      <c r="AO11" s="393" t="str">
        <f t="shared" si="10"/>
        <v/>
      </c>
      <c r="AP11" s="421" t="b">
        <f t="shared" si="11"/>
        <v>1</v>
      </c>
      <c r="AQ11" s="425">
        <f t="shared" si="12"/>
        <v>3.3333330000000001</v>
      </c>
      <c r="AR11" s="423" t="str">
        <f t="shared" si="13"/>
        <v/>
      </c>
      <c r="AS11" s="424">
        <f t="shared" si="14"/>
        <v>0</v>
      </c>
      <c r="AT11" s="423" t="str">
        <f t="shared" si="15"/>
        <v/>
      </c>
      <c r="AU11" s="420">
        <f t="shared" si="16"/>
        <v>0</v>
      </c>
      <c r="AV11" s="422" t="str">
        <f t="shared" si="17"/>
        <v/>
      </c>
      <c r="AW11" s="420" t="b">
        <f t="shared" si="18"/>
        <v>0</v>
      </c>
      <c r="AX11" s="419" t="b">
        <f t="shared" si="19"/>
        <v>1</v>
      </c>
      <c r="AY11" s="420" t="b">
        <f t="shared" si="20"/>
        <v>0</v>
      </c>
      <c r="AZ11" s="419" t="b">
        <f t="shared" si="21"/>
        <v>0</v>
      </c>
      <c r="BA11" s="421" t="b">
        <f t="shared" si="22"/>
        <v>0</v>
      </c>
      <c r="BB11" s="421" t="b">
        <f t="shared" si="23"/>
        <v>0</v>
      </c>
      <c r="BC11" s="420" t="b">
        <f t="shared" si="24"/>
        <v>0</v>
      </c>
      <c r="BD11" s="393" t="b">
        <f t="shared" si="25"/>
        <v>0</v>
      </c>
      <c r="BE11" s="419" t="b">
        <f t="shared" si="26"/>
        <v>0</v>
      </c>
      <c r="BF11" s="418" t="b">
        <f t="shared" si="27"/>
        <v>0</v>
      </c>
      <c r="BG11" s="417" t="b">
        <f t="shared" si="28"/>
        <v>1</v>
      </c>
      <c r="BH11" s="417">
        <f t="shared" si="29"/>
        <v>1</v>
      </c>
      <c r="BI11" s="417">
        <f t="shared" si="30"/>
        <v>2</v>
      </c>
      <c r="BJ11" s="417" t="str">
        <f t="shared" si="31"/>
        <v>2*</v>
      </c>
      <c r="BK11" s="417">
        <f t="shared" si="32"/>
        <v>3</v>
      </c>
      <c r="BL11" s="435">
        <f t="shared" si="33"/>
        <v>1</v>
      </c>
      <c r="BM11" s="417">
        <f t="shared" si="34"/>
        <v>2</v>
      </c>
      <c r="BN11" s="417">
        <f t="shared" si="35"/>
        <v>3</v>
      </c>
      <c r="BO11" s="439">
        <v>0</v>
      </c>
      <c r="BP11" s="455" t="s">
        <v>287</v>
      </c>
    </row>
    <row r="12" spans="2:73" s="416" customFormat="1" ht="12.95" customHeight="1" x14ac:dyDescent="0.25">
      <c r="B12" s="433">
        <f>IF(ISNA(Z12),"",IF(OR(Z12=1,Z12=2),"    ",MAX($B$9:B11)+1))</f>
        <v>3</v>
      </c>
      <c r="C12" s="1618" t="str">
        <f t="shared" si="0"/>
        <v xml:space="preserve">      - Logical Chain of Reasoning (12.0%)</v>
      </c>
      <c r="D12" s="1618"/>
      <c r="E12" s="1618"/>
      <c r="F12" s="1619"/>
      <c r="G12" s="437">
        <f t="shared" si="1"/>
        <v>1</v>
      </c>
      <c r="H12" s="431" t="str">
        <f t="shared" si="2"/>
        <v>2*</v>
      </c>
      <c r="I12" s="436">
        <f t="shared" si="3"/>
        <v>3</v>
      </c>
      <c r="J12" s="449"/>
      <c r="K12" s="448"/>
      <c r="L12" s="1612"/>
      <c r="M12" s="1613"/>
      <c r="N12" s="1613"/>
      <c r="O12" s="1613"/>
      <c r="P12" s="1613"/>
      <c r="Q12" s="1613"/>
      <c r="R12" s="1614"/>
      <c r="T12" s="401">
        <v>4</v>
      </c>
      <c r="U12" s="374" t="s">
        <v>644</v>
      </c>
      <c r="V12" s="421">
        <v>1</v>
      </c>
      <c r="W12" s="421">
        <v>4</v>
      </c>
      <c r="X12" s="421" t="s">
        <v>212</v>
      </c>
      <c r="Y12" s="421" t="s">
        <v>212</v>
      </c>
      <c r="Z12" s="393" t="s">
        <v>212</v>
      </c>
      <c r="AA12" s="393">
        <v>2</v>
      </c>
      <c r="AB12" s="393">
        <v>1</v>
      </c>
      <c r="AC12" s="421">
        <v>3</v>
      </c>
      <c r="AD12" s="421">
        <v>2</v>
      </c>
      <c r="AE12" s="421">
        <v>1</v>
      </c>
      <c r="AF12" s="421" t="b">
        <v>1</v>
      </c>
      <c r="AG12" s="421">
        <f t="shared" si="4"/>
        <v>2</v>
      </c>
      <c r="AH12" s="421">
        <f t="shared" si="5"/>
        <v>1</v>
      </c>
      <c r="AI12" s="427">
        <f>IF(NOT(OR(Z12=1,Z12=2)),IF(AQ12&gt;0,$AR$45*AQ12/SUMIF($AQ$9:$AQ$40,"&gt;0"),IF(AU12&gt;0,$AV$45*AU12/SUMIF($AU$9:$AU$40,"&gt;0"),IF(AS12&gt;0,$AT$45*AS12/SUMIF($AS$9:$AS$40,"&gt;0"),""))),IF(SUMIF(AJ13:$AJ$40,"=" &amp; AJ12,AI13:$AI$40)=0,"",SUMIF(AJ13:$AJ$40,"=" &amp; AJ12,AI13:$AI$40)))</f>
        <v>0.1200000038640001</v>
      </c>
      <c r="AJ12" s="426">
        <f t="shared" si="36"/>
        <v>0</v>
      </c>
      <c r="AK12" s="421">
        <f t="shared" si="6"/>
        <v>2</v>
      </c>
      <c r="AL12" s="393" t="str">
        <f t="shared" si="7"/>
        <v/>
      </c>
      <c r="AM12" s="393" t="str">
        <f t="shared" si="8"/>
        <v/>
      </c>
      <c r="AN12" s="393" t="str">
        <f t="shared" si="9"/>
        <v/>
      </c>
      <c r="AO12" s="393" t="str">
        <f t="shared" si="10"/>
        <v/>
      </c>
      <c r="AP12" s="421" t="b">
        <f t="shared" si="11"/>
        <v>1</v>
      </c>
      <c r="AQ12" s="425">
        <f t="shared" si="12"/>
        <v>4</v>
      </c>
      <c r="AR12" s="423" t="str">
        <f t="shared" si="13"/>
        <v/>
      </c>
      <c r="AS12" s="424">
        <f t="shared" si="14"/>
        <v>0</v>
      </c>
      <c r="AT12" s="423" t="str">
        <f t="shared" si="15"/>
        <v/>
      </c>
      <c r="AU12" s="420">
        <f t="shared" si="16"/>
        <v>0</v>
      </c>
      <c r="AV12" s="422" t="str">
        <f t="shared" si="17"/>
        <v/>
      </c>
      <c r="AW12" s="420" t="b">
        <f t="shared" si="18"/>
        <v>0</v>
      </c>
      <c r="AX12" s="419" t="b">
        <f t="shared" si="19"/>
        <v>1</v>
      </c>
      <c r="AY12" s="420" t="b">
        <f t="shared" si="20"/>
        <v>0</v>
      </c>
      <c r="AZ12" s="419" t="b">
        <f t="shared" si="21"/>
        <v>0</v>
      </c>
      <c r="BA12" s="421" t="b">
        <f t="shared" si="22"/>
        <v>0</v>
      </c>
      <c r="BB12" s="421" t="b">
        <f t="shared" si="23"/>
        <v>0</v>
      </c>
      <c r="BC12" s="420" t="b">
        <f t="shared" si="24"/>
        <v>0</v>
      </c>
      <c r="BD12" s="393" t="b">
        <f t="shared" si="25"/>
        <v>0</v>
      </c>
      <c r="BE12" s="419" t="b">
        <f t="shared" si="26"/>
        <v>0</v>
      </c>
      <c r="BF12" s="418" t="b">
        <f t="shared" si="27"/>
        <v>0</v>
      </c>
      <c r="BG12" s="417" t="b">
        <f t="shared" si="28"/>
        <v>1</v>
      </c>
      <c r="BH12" s="417">
        <f t="shared" si="29"/>
        <v>1</v>
      </c>
      <c r="BI12" s="417">
        <f t="shared" si="30"/>
        <v>2</v>
      </c>
      <c r="BJ12" s="417" t="str">
        <f t="shared" si="31"/>
        <v>2*</v>
      </c>
      <c r="BK12" s="417">
        <f t="shared" si="32"/>
        <v>3</v>
      </c>
      <c r="BL12" s="435">
        <f t="shared" si="33"/>
        <v>1</v>
      </c>
      <c r="BM12" s="417">
        <f t="shared" si="34"/>
        <v>2</v>
      </c>
      <c r="BN12" s="417">
        <f t="shared" si="35"/>
        <v>3</v>
      </c>
      <c r="BO12" s="439">
        <v>1</v>
      </c>
      <c r="BP12" s="455" t="s">
        <v>288</v>
      </c>
    </row>
    <row r="13" spans="2:73" s="416" customFormat="1" ht="12.95" customHeight="1" x14ac:dyDescent="0.25">
      <c r="B13" s="433" t="str">
        <f>IF(ISNA(Z13),"",IF(OR(Z13=1,Z13=2),"    ",MAX($B$9:B12)+1))</f>
        <v xml:space="preserve">    </v>
      </c>
      <c r="C13" s="1618" t="str">
        <f t="shared" si="0"/>
        <v>Content &amp; Analysis (40.0%)</v>
      </c>
      <c r="D13" s="1618"/>
      <c r="E13" s="1618"/>
      <c r="F13" s="1619"/>
      <c r="G13" s="437" t="str">
        <f t="shared" si="1"/>
        <v/>
      </c>
      <c r="H13" s="431" t="str">
        <f t="shared" si="2"/>
        <v/>
      </c>
      <c r="I13" s="436" t="str">
        <f t="shared" si="3"/>
        <v/>
      </c>
      <c r="J13" s="429"/>
      <c r="K13" s="428"/>
      <c r="L13" s="1612"/>
      <c r="M13" s="1613"/>
      <c r="N13" s="1613"/>
      <c r="O13" s="1613"/>
      <c r="P13" s="1613"/>
      <c r="Q13" s="1613"/>
      <c r="R13" s="1614"/>
      <c r="T13" s="401">
        <v>5</v>
      </c>
      <c r="U13" s="374" t="s">
        <v>648</v>
      </c>
      <c r="V13" s="421" t="s">
        <v>212</v>
      </c>
      <c r="W13" s="421" t="s">
        <v>212</v>
      </c>
      <c r="X13" s="421" t="s">
        <v>212</v>
      </c>
      <c r="Y13" s="421" t="s">
        <v>212</v>
      </c>
      <c r="Z13" s="393">
        <v>2</v>
      </c>
      <c r="AA13" s="393">
        <v>1</v>
      </c>
      <c r="AB13" s="393">
        <v>1</v>
      </c>
      <c r="AC13" s="421" t="s">
        <v>212</v>
      </c>
      <c r="AD13" s="421" t="s">
        <v>212</v>
      </c>
      <c r="AE13" s="421" t="s">
        <v>212</v>
      </c>
      <c r="AF13" s="421" t="s">
        <v>212</v>
      </c>
      <c r="AG13" s="421" t="str">
        <f t="shared" si="4"/>
        <v/>
      </c>
      <c r="AH13" s="421" t="str">
        <f t="shared" si="5"/>
        <v/>
      </c>
      <c r="AI13" s="427">
        <f>IF(NOT(OR(Z13=1,Z13=2)),IF(AQ13&gt;0,$AR$45*AQ13/SUMIF($AQ$9:$AQ$40,"&gt;0"),IF(AU13&gt;0,$AV$45*AU13/SUMIF($AU$9:$AU$40,"&gt;0"),IF(AS13&gt;0,$AT$45*AS13/SUMIF($AS$9:$AS$40,"&gt;0"),""))),IF(SUMIF(AJ14:$AJ$40,"=" &amp; AJ13,AI14:$AI$40)=0,"",SUMIF(AJ14:$AJ$40,"=" &amp; AJ13,AI14:$AI$40)))</f>
        <v>0.40000001188000028</v>
      </c>
      <c r="AJ13" s="426">
        <f t="shared" si="36"/>
        <v>1</v>
      </c>
      <c r="AK13" s="421" t="str">
        <f t="shared" si="6"/>
        <v/>
      </c>
      <c r="AL13" s="393" t="str">
        <f t="shared" si="7"/>
        <v/>
      </c>
      <c r="AM13" s="393" t="str">
        <f t="shared" si="8"/>
        <v/>
      </c>
      <c r="AN13" s="393" t="str">
        <f t="shared" si="9"/>
        <v/>
      </c>
      <c r="AO13" s="393" t="str">
        <f t="shared" si="10"/>
        <v/>
      </c>
      <c r="AP13" s="421" t="str">
        <f t="shared" si="11"/>
        <v/>
      </c>
      <c r="AQ13" s="425">
        <f t="shared" si="12"/>
        <v>0</v>
      </c>
      <c r="AR13" s="423" t="str">
        <f t="shared" si="13"/>
        <v/>
      </c>
      <c r="AS13" s="424">
        <f t="shared" si="14"/>
        <v>0</v>
      </c>
      <c r="AT13" s="423" t="str">
        <f t="shared" si="15"/>
        <v/>
      </c>
      <c r="AU13" s="420">
        <f t="shared" si="16"/>
        <v>0</v>
      </c>
      <c r="AV13" s="422" t="str">
        <f t="shared" si="17"/>
        <v/>
      </c>
      <c r="AW13" s="420" t="b">
        <f t="shared" si="18"/>
        <v>0</v>
      </c>
      <c r="AX13" s="419" t="b">
        <f t="shared" si="19"/>
        <v>0</v>
      </c>
      <c r="AY13" s="420" t="b">
        <f t="shared" si="20"/>
        <v>0</v>
      </c>
      <c r="AZ13" s="419" t="b">
        <f t="shared" si="21"/>
        <v>0</v>
      </c>
      <c r="BA13" s="421" t="b">
        <f t="shared" si="22"/>
        <v>0</v>
      </c>
      <c r="BB13" s="421" t="b">
        <f t="shared" si="23"/>
        <v>0</v>
      </c>
      <c r="BC13" s="420" t="b">
        <f t="shared" si="24"/>
        <v>0</v>
      </c>
      <c r="BD13" s="393" t="b">
        <f t="shared" si="25"/>
        <v>0</v>
      </c>
      <c r="BE13" s="419" t="b">
        <f t="shared" si="26"/>
        <v>0</v>
      </c>
      <c r="BF13" s="418" t="b">
        <f t="shared" si="27"/>
        <v>0</v>
      </c>
      <c r="BG13" s="417" t="b">
        <f t="shared" si="28"/>
        <v>0</v>
      </c>
      <c r="BH13" s="417" t="str">
        <f t="shared" si="29"/>
        <v/>
      </c>
      <c r="BI13" s="417" t="str">
        <f t="shared" si="30"/>
        <v/>
      </c>
      <c r="BJ13" s="417" t="str">
        <f t="shared" si="31"/>
        <v/>
      </c>
      <c r="BK13" s="417" t="str">
        <f t="shared" si="32"/>
        <v/>
      </c>
      <c r="BL13" s="435" t="str">
        <f t="shared" si="33"/>
        <v/>
      </c>
      <c r="BM13" s="417" t="str">
        <f t="shared" si="34"/>
        <v/>
      </c>
      <c r="BN13" s="417" t="str">
        <f t="shared" si="35"/>
        <v/>
      </c>
      <c r="BO13" s="439">
        <v>2</v>
      </c>
      <c r="BP13" s="455" t="s">
        <v>218</v>
      </c>
    </row>
    <row r="14" spans="2:73" s="416" customFormat="1" ht="12.95" customHeight="1" x14ac:dyDescent="0.25">
      <c r="B14" s="433">
        <f>IF(ISNA(Z14),"",IF(OR(Z14=1,Z14=2),"    ",MAX($B$9:B13)+1))</f>
        <v>4</v>
      </c>
      <c r="C14" s="1618" t="str">
        <f t="shared" si="0"/>
        <v xml:space="preserve">      - Test Methods and Conditions (6.0%)</v>
      </c>
      <c r="D14" s="1618"/>
      <c r="E14" s="1618"/>
      <c r="F14" s="1619"/>
      <c r="G14" s="437">
        <f t="shared" si="1"/>
        <v>1</v>
      </c>
      <c r="H14" s="431" t="str">
        <f t="shared" si="2"/>
        <v>2*</v>
      </c>
      <c r="I14" s="436">
        <f t="shared" si="3"/>
        <v>3</v>
      </c>
      <c r="J14" s="449"/>
      <c r="K14" s="448"/>
      <c r="L14" s="1612"/>
      <c r="M14" s="1613"/>
      <c r="N14" s="1613"/>
      <c r="O14" s="1613"/>
      <c r="P14" s="1613"/>
      <c r="Q14" s="1613"/>
      <c r="R14" s="1614"/>
      <c r="T14" s="401">
        <v>6</v>
      </c>
      <c r="U14" s="374" t="s">
        <v>642</v>
      </c>
      <c r="V14" s="421">
        <v>1</v>
      </c>
      <c r="W14" s="421">
        <v>2</v>
      </c>
      <c r="X14" s="421" t="s">
        <v>212</v>
      </c>
      <c r="Y14" s="421" t="s">
        <v>212</v>
      </c>
      <c r="Z14" s="393" t="s">
        <v>212</v>
      </c>
      <c r="AA14" s="393">
        <v>2</v>
      </c>
      <c r="AB14" s="393">
        <v>1</v>
      </c>
      <c r="AC14" s="421">
        <v>3</v>
      </c>
      <c r="AD14" s="421">
        <v>2</v>
      </c>
      <c r="AE14" s="421">
        <v>1</v>
      </c>
      <c r="AF14" s="421" t="b">
        <v>1</v>
      </c>
      <c r="AG14" s="421">
        <f t="shared" si="4"/>
        <v>2</v>
      </c>
      <c r="AH14" s="421">
        <f t="shared" si="5"/>
        <v>1</v>
      </c>
      <c r="AI14" s="427">
        <f>IF(NOT(OR(Z14=1,Z14=2)),IF(AQ14&gt;0,$AR$45*AQ14/SUMIF($AQ$9:$AQ$40,"&gt;0"),IF(AU14&gt;0,$AV$45*AU14/SUMIF($AU$9:$AU$40,"&gt;0"),IF(AS14&gt;0,$AT$45*AS14/SUMIF($AS$9:$AS$40,"&gt;0"),""))),IF(SUMIF(AJ15:$AJ$40,"=" &amp; AJ14,AI15:$AI$40)=0,"",SUMIF(AJ15:$AJ$40,"=" &amp; AJ14,AI15:$AI$40)))</f>
        <v>6.0000001932000051E-2</v>
      </c>
      <c r="AJ14" s="426">
        <f t="shared" si="36"/>
        <v>1</v>
      </c>
      <c r="AK14" s="421">
        <f t="shared" si="6"/>
        <v>2</v>
      </c>
      <c r="AL14" s="393" t="str">
        <f t="shared" si="7"/>
        <v/>
      </c>
      <c r="AM14" s="393" t="str">
        <f t="shared" si="8"/>
        <v/>
      </c>
      <c r="AN14" s="393" t="str">
        <f t="shared" si="9"/>
        <v/>
      </c>
      <c r="AO14" s="393" t="str">
        <f t="shared" si="10"/>
        <v/>
      </c>
      <c r="AP14" s="421" t="b">
        <f t="shared" si="11"/>
        <v>1</v>
      </c>
      <c r="AQ14" s="425">
        <f t="shared" si="12"/>
        <v>2</v>
      </c>
      <c r="AR14" s="423" t="str">
        <f t="shared" si="13"/>
        <v/>
      </c>
      <c r="AS14" s="424">
        <f t="shared" si="14"/>
        <v>0</v>
      </c>
      <c r="AT14" s="423" t="str">
        <f t="shared" si="15"/>
        <v/>
      </c>
      <c r="AU14" s="420">
        <f t="shared" si="16"/>
        <v>0</v>
      </c>
      <c r="AV14" s="422" t="str">
        <f t="shared" si="17"/>
        <v/>
      </c>
      <c r="AW14" s="420" t="b">
        <f t="shared" si="18"/>
        <v>0</v>
      </c>
      <c r="AX14" s="419" t="b">
        <f t="shared" si="19"/>
        <v>1</v>
      </c>
      <c r="AY14" s="420" t="b">
        <f t="shared" si="20"/>
        <v>0</v>
      </c>
      <c r="AZ14" s="419" t="b">
        <f t="shared" si="21"/>
        <v>0</v>
      </c>
      <c r="BA14" s="421" t="b">
        <f t="shared" si="22"/>
        <v>0</v>
      </c>
      <c r="BB14" s="421" t="b">
        <f t="shared" si="23"/>
        <v>0</v>
      </c>
      <c r="BC14" s="420" t="b">
        <f t="shared" si="24"/>
        <v>0</v>
      </c>
      <c r="BD14" s="393" t="b">
        <f t="shared" si="25"/>
        <v>0</v>
      </c>
      <c r="BE14" s="419" t="b">
        <f t="shared" si="26"/>
        <v>0</v>
      </c>
      <c r="BF14" s="418" t="b">
        <f t="shared" si="27"/>
        <v>0</v>
      </c>
      <c r="BG14" s="417" t="b">
        <f t="shared" si="28"/>
        <v>1</v>
      </c>
      <c r="BH14" s="417">
        <f t="shared" si="29"/>
        <v>1</v>
      </c>
      <c r="BI14" s="417">
        <f t="shared" si="30"/>
        <v>2</v>
      </c>
      <c r="BJ14" s="417" t="str">
        <f t="shared" si="31"/>
        <v>2*</v>
      </c>
      <c r="BK14" s="417">
        <f t="shared" si="32"/>
        <v>3</v>
      </c>
      <c r="BL14" s="435">
        <f t="shared" si="33"/>
        <v>1</v>
      </c>
      <c r="BM14" s="417">
        <f t="shared" si="34"/>
        <v>2</v>
      </c>
      <c r="BN14" s="417">
        <f t="shared" si="35"/>
        <v>3</v>
      </c>
      <c r="BO14" s="439">
        <v>3</v>
      </c>
      <c r="BP14" s="455" t="s">
        <v>220</v>
      </c>
    </row>
    <row r="15" spans="2:73" s="416" customFormat="1" ht="12.95" customHeight="1" x14ac:dyDescent="0.25">
      <c r="B15" s="433">
        <f>IF(ISNA(Z15),"",IF(OR(Z15=1,Z15=2),"    ",MAX($B$9:B14)+1))</f>
        <v>5</v>
      </c>
      <c r="C15" s="1618" t="str">
        <f t="shared" si="0"/>
        <v xml:space="preserve">      - Objective Results (12.0%)</v>
      </c>
      <c r="D15" s="1618"/>
      <c r="E15" s="1618"/>
      <c r="F15" s="1619"/>
      <c r="G15" s="437">
        <f t="shared" si="1"/>
        <v>1</v>
      </c>
      <c r="H15" s="431" t="str">
        <f t="shared" si="2"/>
        <v>2*</v>
      </c>
      <c r="I15" s="436">
        <f t="shared" si="3"/>
        <v>3</v>
      </c>
      <c r="J15" s="449"/>
      <c r="K15" s="448"/>
      <c r="L15" s="1612"/>
      <c r="M15" s="1613"/>
      <c r="N15" s="1613"/>
      <c r="O15" s="1613"/>
      <c r="P15" s="1613"/>
      <c r="Q15" s="1613"/>
      <c r="R15" s="1614"/>
      <c r="T15" s="401">
        <v>7</v>
      </c>
      <c r="U15" s="374" t="s">
        <v>641</v>
      </c>
      <c r="V15" s="421">
        <v>1</v>
      </c>
      <c r="W15" s="421">
        <v>4</v>
      </c>
      <c r="X15" s="421" t="s">
        <v>212</v>
      </c>
      <c r="Y15" s="421" t="s">
        <v>212</v>
      </c>
      <c r="Z15" s="393" t="s">
        <v>212</v>
      </c>
      <c r="AA15" s="393">
        <v>2</v>
      </c>
      <c r="AB15" s="393">
        <v>1</v>
      </c>
      <c r="AC15" s="421">
        <v>3</v>
      </c>
      <c r="AD15" s="421">
        <v>2</v>
      </c>
      <c r="AE15" s="421">
        <v>1</v>
      </c>
      <c r="AF15" s="421" t="b">
        <v>1</v>
      </c>
      <c r="AG15" s="421">
        <f t="shared" si="4"/>
        <v>2</v>
      </c>
      <c r="AH15" s="421">
        <f t="shared" si="5"/>
        <v>1</v>
      </c>
      <c r="AI15" s="427">
        <f>IF(NOT(OR(Z15=1,Z15=2)),IF(AQ15&gt;0,$AR$45*AQ15/SUMIF($AQ$9:$AQ$40,"&gt;0"),IF(AU15&gt;0,$AV$45*AU15/SUMIF($AU$9:$AU$40,"&gt;0"),IF(AS15&gt;0,$AT$45*AS15/SUMIF($AS$9:$AS$40,"&gt;0"),""))),IF(SUMIF(AJ16:$AJ$40,"=" &amp; AJ15,AI16:$AI$40)=0,"",SUMIF(AJ16:$AJ$40,"=" &amp; AJ15,AI16:$AI$40)))</f>
        <v>0.1200000038640001</v>
      </c>
      <c r="AJ15" s="426">
        <f t="shared" si="36"/>
        <v>1</v>
      </c>
      <c r="AK15" s="421">
        <f t="shared" si="6"/>
        <v>2</v>
      </c>
      <c r="AL15" s="393" t="str">
        <f t="shared" si="7"/>
        <v/>
      </c>
      <c r="AM15" s="393" t="str">
        <f t="shared" si="8"/>
        <v/>
      </c>
      <c r="AN15" s="393" t="str">
        <f t="shared" si="9"/>
        <v/>
      </c>
      <c r="AO15" s="393" t="str">
        <f t="shared" si="10"/>
        <v/>
      </c>
      <c r="AP15" s="421" t="b">
        <f t="shared" si="11"/>
        <v>1</v>
      </c>
      <c r="AQ15" s="425">
        <f t="shared" si="12"/>
        <v>4</v>
      </c>
      <c r="AR15" s="423" t="str">
        <f t="shared" si="13"/>
        <v/>
      </c>
      <c r="AS15" s="424">
        <f t="shared" si="14"/>
        <v>0</v>
      </c>
      <c r="AT15" s="423" t="str">
        <f t="shared" si="15"/>
        <v/>
      </c>
      <c r="AU15" s="420">
        <f t="shared" si="16"/>
        <v>0</v>
      </c>
      <c r="AV15" s="422" t="str">
        <f t="shared" si="17"/>
        <v/>
      </c>
      <c r="AW15" s="420" t="b">
        <f t="shared" si="18"/>
        <v>0</v>
      </c>
      <c r="AX15" s="419" t="b">
        <f t="shared" si="19"/>
        <v>1</v>
      </c>
      <c r="AY15" s="420" t="b">
        <f t="shared" si="20"/>
        <v>0</v>
      </c>
      <c r="AZ15" s="419" t="b">
        <f t="shared" si="21"/>
        <v>0</v>
      </c>
      <c r="BA15" s="421" t="b">
        <f t="shared" si="22"/>
        <v>0</v>
      </c>
      <c r="BB15" s="421" t="b">
        <f t="shared" si="23"/>
        <v>0</v>
      </c>
      <c r="BC15" s="420" t="b">
        <f t="shared" si="24"/>
        <v>0</v>
      </c>
      <c r="BD15" s="393" t="b">
        <f t="shared" si="25"/>
        <v>0</v>
      </c>
      <c r="BE15" s="419" t="b">
        <f t="shared" si="26"/>
        <v>0</v>
      </c>
      <c r="BF15" s="418" t="b">
        <f t="shared" si="27"/>
        <v>0</v>
      </c>
      <c r="BG15" s="417" t="b">
        <f t="shared" si="28"/>
        <v>1</v>
      </c>
      <c r="BH15" s="417">
        <f t="shared" si="29"/>
        <v>1</v>
      </c>
      <c r="BI15" s="417">
        <f t="shared" si="30"/>
        <v>2</v>
      </c>
      <c r="BJ15" s="417" t="str">
        <f t="shared" si="31"/>
        <v>2*</v>
      </c>
      <c r="BK15" s="417">
        <f t="shared" si="32"/>
        <v>3</v>
      </c>
      <c r="BL15" s="435">
        <f t="shared" si="33"/>
        <v>1</v>
      </c>
      <c r="BM15" s="417">
        <f t="shared" si="34"/>
        <v>2</v>
      </c>
      <c r="BN15" s="417">
        <f t="shared" si="35"/>
        <v>3</v>
      </c>
      <c r="BO15" s="439">
        <v>4</v>
      </c>
      <c r="BP15" s="455" t="s">
        <v>222</v>
      </c>
    </row>
    <row r="16" spans="2:73" s="416" customFormat="1" ht="12.95" customHeight="1" x14ac:dyDescent="0.25">
      <c r="B16" s="433">
        <f>IF(ISNA(Z16),"",IF(OR(Z16=1,Z16=2),"    ",MAX($B$9:B15)+1))</f>
        <v>6</v>
      </c>
      <c r="C16" s="1618" t="str">
        <f t="shared" si="0"/>
        <v xml:space="preserve">      - Eng Analysis &amp; Oper. Impact (12.0%)</v>
      </c>
      <c r="D16" s="1618"/>
      <c r="E16" s="1618"/>
      <c r="F16" s="1619"/>
      <c r="G16" s="437">
        <f t="shared" si="1"/>
        <v>1</v>
      </c>
      <c r="H16" s="431" t="str">
        <f t="shared" si="2"/>
        <v>2*</v>
      </c>
      <c r="I16" s="436">
        <f t="shared" si="3"/>
        <v>3</v>
      </c>
      <c r="J16" s="449"/>
      <c r="K16" s="448"/>
      <c r="L16" s="1612"/>
      <c r="M16" s="1613"/>
      <c r="N16" s="1613"/>
      <c r="O16" s="1613"/>
      <c r="P16" s="1613"/>
      <c r="Q16" s="1613"/>
      <c r="R16" s="1614"/>
      <c r="T16" s="401">
        <v>8</v>
      </c>
      <c r="U16" s="374" t="s">
        <v>640</v>
      </c>
      <c r="V16" s="421">
        <v>1</v>
      </c>
      <c r="W16" s="421">
        <v>4</v>
      </c>
      <c r="X16" s="421" t="s">
        <v>212</v>
      </c>
      <c r="Y16" s="421" t="s">
        <v>212</v>
      </c>
      <c r="Z16" s="393" t="s">
        <v>212</v>
      </c>
      <c r="AA16" s="393">
        <v>2</v>
      </c>
      <c r="AB16" s="393">
        <v>1</v>
      </c>
      <c r="AC16" s="421">
        <v>3</v>
      </c>
      <c r="AD16" s="421">
        <v>2</v>
      </c>
      <c r="AE16" s="421">
        <v>1</v>
      </c>
      <c r="AF16" s="421" t="b">
        <v>1</v>
      </c>
      <c r="AG16" s="421">
        <f t="shared" si="4"/>
        <v>2</v>
      </c>
      <c r="AH16" s="421">
        <f t="shared" si="5"/>
        <v>1</v>
      </c>
      <c r="AI16" s="427">
        <f>IF(NOT(OR(Z16=1,Z16=2)),IF(AQ16&gt;0,$AR$45*AQ16/SUMIF($AQ$9:$AQ$40,"&gt;0"),IF(AU16&gt;0,$AV$45*AU16/SUMIF($AU$9:$AU$40,"&gt;0"),IF(AS16&gt;0,$AT$45*AS16/SUMIF($AS$9:$AS$40,"&gt;0"),""))),IF(SUMIF(AJ17:$AJ$40,"=" &amp; AJ16,AI17:$AI$40)=0,"",SUMIF(AJ17:$AJ$40,"=" &amp; AJ16,AI17:$AI$40)))</f>
        <v>0.1200000038640001</v>
      </c>
      <c r="AJ16" s="426">
        <f t="shared" si="36"/>
        <v>1</v>
      </c>
      <c r="AK16" s="421">
        <f t="shared" si="6"/>
        <v>2</v>
      </c>
      <c r="AL16" s="393" t="str">
        <f t="shared" si="7"/>
        <v/>
      </c>
      <c r="AM16" s="393" t="str">
        <f t="shared" si="8"/>
        <v/>
      </c>
      <c r="AN16" s="393" t="str">
        <f t="shared" si="9"/>
        <v/>
      </c>
      <c r="AO16" s="393" t="str">
        <f t="shared" si="10"/>
        <v/>
      </c>
      <c r="AP16" s="421" t="b">
        <f t="shared" si="11"/>
        <v>1</v>
      </c>
      <c r="AQ16" s="425">
        <f t="shared" si="12"/>
        <v>4</v>
      </c>
      <c r="AR16" s="423" t="str">
        <f t="shared" si="13"/>
        <v/>
      </c>
      <c r="AS16" s="424">
        <f t="shared" si="14"/>
        <v>0</v>
      </c>
      <c r="AT16" s="423" t="str">
        <f t="shared" si="15"/>
        <v/>
      </c>
      <c r="AU16" s="420">
        <f t="shared" si="16"/>
        <v>0</v>
      </c>
      <c r="AV16" s="422" t="str">
        <f t="shared" si="17"/>
        <v/>
      </c>
      <c r="AW16" s="420" t="b">
        <f t="shared" si="18"/>
        <v>0</v>
      </c>
      <c r="AX16" s="419" t="b">
        <f t="shared" si="19"/>
        <v>1</v>
      </c>
      <c r="AY16" s="420" t="b">
        <f t="shared" si="20"/>
        <v>0</v>
      </c>
      <c r="AZ16" s="419" t="b">
        <f t="shared" si="21"/>
        <v>0</v>
      </c>
      <c r="BA16" s="421" t="b">
        <f t="shared" si="22"/>
        <v>0</v>
      </c>
      <c r="BB16" s="421" t="b">
        <f t="shared" si="23"/>
        <v>0</v>
      </c>
      <c r="BC16" s="420" t="b">
        <f t="shared" si="24"/>
        <v>0</v>
      </c>
      <c r="BD16" s="393" t="b">
        <f t="shared" si="25"/>
        <v>0</v>
      </c>
      <c r="BE16" s="419" t="b">
        <f t="shared" si="26"/>
        <v>0</v>
      </c>
      <c r="BF16" s="418" t="b">
        <f t="shared" si="27"/>
        <v>0</v>
      </c>
      <c r="BG16" s="417" t="b">
        <f t="shared" si="28"/>
        <v>1</v>
      </c>
      <c r="BH16" s="417">
        <f t="shared" si="29"/>
        <v>1</v>
      </c>
      <c r="BI16" s="417">
        <f t="shared" si="30"/>
        <v>2</v>
      </c>
      <c r="BJ16" s="417" t="str">
        <f t="shared" si="31"/>
        <v>2*</v>
      </c>
      <c r="BK16" s="417">
        <f t="shared" si="32"/>
        <v>3</v>
      </c>
      <c r="BL16" s="435">
        <f t="shared" si="33"/>
        <v>1</v>
      </c>
      <c r="BM16" s="417">
        <f t="shared" si="34"/>
        <v>2</v>
      </c>
      <c r="BN16" s="417">
        <f t="shared" si="35"/>
        <v>3</v>
      </c>
      <c r="BO16" s="372"/>
    </row>
    <row r="17" spans="2:75" s="416" customFormat="1" ht="12.95" customHeight="1" x14ac:dyDescent="0.25">
      <c r="B17" s="433">
        <f>IF(ISNA(Z17),"",IF(OR(Z17=1,Z17=2),"    ",MAX($B$9:B16)+1))</f>
        <v>7</v>
      </c>
      <c r="C17" s="1618" t="str">
        <f t="shared" si="0"/>
        <v xml:space="preserve">      - Conclusions &amp; Recomm. (10.0%)</v>
      </c>
      <c r="D17" s="1618"/>
      <c r="E17" s="1618"/>
      <c r="F17" s="1619"/>
      <c r="G17" s="437">
        <f t="shared" si="1"/>
        <v>1</v>
      </c>
      <c r="H17" s="431" t="str">
        <f t="shared" si="2"/>
        <v>2*</v>
      </c>
      <c r="I17" s="436">
        <f t="shared" si="3"/>
        <v>3</v>
      </c>
      <c r="J17" s="449"/>
      <c r="K17" s="448"/>
      <c r="L17" s="1612"/>
      <c r="M17" s="1613"/>
      <c r="N17" s="1613"/>
      <c r="O17" s="1613"/>
      <c r="P17" s="1613"/>
      <c r="Q17" s="1613"/>
      <c r="R17" s="1614"/>
      <c r="T17" s="401">
        <v>9</v>
      </c>
      <c r="U17" s="374" t="s">
        <v>639</v>
      </c>
      <c r="V17" s="421">
        <v>1</v>
      </c>
      <c r="W17" s="421">
        <v>3.3333333000000001</v>
      </c>
      <c r="X17" s="421" t="s">
        <v>212</v>
      </c>
      <c r="Y17" s="421" t="s">
        <v>212</v>
      </c>
      <c r="Z17" s="393" t="s">
        <v>212</v>
      </c>
      <c r="AA17" s="393">
        <v>2</v>
      </c>
      <c r="AB17" s="393">
        <v>1</v>
      </c>
      <c r="AC17" s="421">
        <v>3</v>
      </c>
      <c r="AD17" s="421">
        <v>2</v>
      </c>
      <c r="AE17" s="421">
        <v>1</v>
      </c>
      <c r="AF17" s="421" t="b">
        <v>1</v>
      </c>
      <c r="AG17" s="421">
        <f t="shared" si="4"/>
        <v>2</v>
      </c>
      <c r="AH17" s="421">
        <f t="shared" si="5"/>
        <v>1</v>
      </c>
      <c r="AI17" s="427">
        <f>IF(NOT(OR(Z17=1,Z17=2)),IF(AQ17&gt;0,$AR$45*AQ17/SUMIF($AQ$9:$AQ$40,"&gt;0"),IF(AU17&gt;0,$AV$45*AU17/SUMIF($AU$9:$AU$40,"&gt;0"),IF(AS17&gt;0,$AT$45*AS17/SUMIF($AS$9:$AS$40,"&gt;0"),""))),IF(SUMIF(AJ18:$AJ$40,"=" &amp; AJ17,AI18:$AI$40)=0,"",SUMIF(AJ18:$AJ$40,"=" &amp; AJ17,AI18:$AI$40)))</f>
        <v>0.10000000222000005</v>
      </c>
      <c r="AJ17" s="426">
        <f t="shared" si="36"/>
        <v>1</v>
      </c>
      <c r="AK17" s="421">
        <f t="shared" si="6"/>
        <v>2</v>
      </c>
      <c r="AL17" s="393" t="str">
        <f t="shared" si="7"/>
        <v/>
      </c>
      <c r="AM17" s="393" t="str">
        <f t="shared" si="8"/>
        <v/>
      </c>
      <c r="AN17" s="393" t="str">
        <f t="shared" si="9"/>
        <v/>
      </c>
      <c r="AO17" s="393" t="str">
        <f t="shared" si="10"/>
        <v/>
      </c>
      <c r="AP17" s="421" t="b">
        <f t="shared" si="11"/>
        <v>1</v>
      </c>
      <c r="AQ17" s="425">
        <f t="shared" si="12"/>
        <v>3.3333333000000001</v>
      </c>
      <c r="AR17" s="423" t="str">
        <f t="shared" si="13"/>
        <v/>
      </c>
      <c r="AS17" s="424">
        <f t="shared" si="14"/>
        <v>0</v>
      </c>
      <c r="AT17" s="423" t="str">
        <f t="shared" si="15"/>
        <v/>
      </c>
      <c r="AU17" s="420">
        <f t="shared" si="16"/>
        <v>0</v>
      </c>
      <c r="AV17" s="422" t="str">
        <f t="shared" si="17"/>
        <v/>
      </c>
      <c r="AW17" s="420" t="b">
        <f t="shared" si="18"/>
        <v>0</v>
      </c>
      <c r="AX17" s="419" t="b">
        <f t="shared" si="19"/>
        <v>1</v>
      </c>
      <c r="AY17" s="420" t="b">
        <f t="shared" si="20"/>
        <v>0</v>
      </c>
      <c r="AZ17" s="419" t="b">
        <f t="shared" si="21"/>
        <v>0</v>
      </c>
      <c r="BA17" s="421" t="b">
        <f t="shared" si="22"/>
        <v>0</v>
      </c>
      <c r="BB17" s="421" t="b">
        <f t="shared" si="23"/>
        <v>0</v>
      </c>
      <c r="BC17" s="420" t="b">
        <f t="shared" si="24"/>
        <v>0</v>
      </c>
      <c r="BD17" s="393" t="b">
        <f t="shared" si="25"/>
        <v>0</v>
      </c>
      <c r="BE17" s="419" t="b">
        <f t="shared" si="26"/>
        <v>0</v>
      </c>
      <c r="BF17" s="418" t="b">
        <f t="shared" si="27"/>
        <v>0</v>
      </c>
      <c r="BG17" s="417" t="b">
        <f t="shared" si="28"/>
        <v>1</v>
      </c>
      <c r="BH17" s="417">
        <f t="shared" si="29"/>
        <v>1</v>
      </c>
      <c r="BI17" s="417">
        <f t="shared" si="30"/>
        <v>2</v>
      </c>
      <c r="BJ17" s="417" t="str">
        <f t="shared" si="31"/>
        <v>2*</v>
      </c>
      <c r="BK17" s="417">
        <f t="shared" si="32"/>
        <v>3</v>
      </c>
      <c r="BL17" s="435">
        <f t="shared" si="33"/>
        <v>1</v>
      </c>
      <c r="BM17" s="417">
        <f t="shared" si="34"/>
        <v>2</v>
      </c>
      <c r="BN17" s="417">
        <f t="shared" si="35"/>
        <v>3</v>
      </c>
      <c r="BO17" s="439"/>
      <c r="BP17" s="454"/>
    </row>
    <row r="18" spans="2:75" s="416" customFormat="1" ht="12.95" customHeight="1" x14ac:dyDescent="0.25">
      <c r="B18" s="433" t="str">
        <f>IF(ISNA(Z18),"",IF(OR(Z18=1,Z18=2),"    ",MAX($B$9:B17)+1))</f>
        <v xml:space="preserve">    </v>
      </c>
      <c r="C18" s="1618" t="str">
        <f t="shared" si="0"/>
        <v>Clarity &amp; Precision (Mechanics) (10.0%)</v>
      </c>
      <c r="D18" s="1618"/>
      <c r="E18" s="1618"/>
      <c r="F18" s="1619"/>
      <c r="G18" s="437" t="str">
        <f t="shared" si="1"/>
        <v/>
      </c>
      <c r="H18" s="431" t="str">
        <f t="shared" si="2"/>
        <v/>
      </c>
      <c r="I18" s="436" t="str">
        <f t="shared" si="3"/>
        <v/>
      </c>
      <c r="J18" s="429"/>
      <c r="K18" s="428"/>
      <c r="L18" s="1612"/>
      <c r="M18" s="1613"/>
      <c r="N18" s="1613"/>
      <c r="O18" s="1613"/>
      <c r="P18" s="1613"/>
      <c r="Q18" s="1613"/>
      <c r="R18" s="1614"/>
      <c r="T18" s="401">
        <v>10</v>
      </c>
      <c r="U18" s="374" t="s">
        <v>638</v>
      </c>
      <c r="V18" s="421" t="s">
        <v>212</v>
      </c>
      <c r="W18" s="421" t="s">
        <v>212</v>
      </c>
      <c r="X18" s="421" t="s">
        <v>212</v>
      </c>
      <c r="Y18" s="421" t="s">
        <v>212</v>
      </c>
      <c r="Z18" s="393">
        <v>2</v>
      </c>
      <c r="AA18" s="393">
        <v>1</v>
      </c>
      <c r="AB18" s="393">
        <v>1</v>
      </c>
      <c r="AC18" s="421" t="s">
        <v>212</v>
      </c>
      <c r="AD18" s="421" t="s">
        <v>212</v>
      </c>
      <c r="AE18" s="421" t="s">
        <v>212</v>
      </c>
      <c r="AF18" s="421" t="s">
        <v>212</v>
      </c>
      <c r="AG18" s="421" t="str">
        <f t="shared" si="4"/>
        <v/>
      </c>
      <c r="AH18" s="421" t="str">
        <f t="shared" si="5"/>
        <v/>
      </c>
      <c r="AI18" s="427">
        <f>IF(NOT(OR(Z18=1,Z18=2)),IF(AQ18&gt;0,$AR$45*AQ18/SUMIF($AQ$9:$AQ$40,"&gt;0"),IF(AU18&gt;0,$AV$45*AU18/SUMIF($AU$9:$AU$40,"&gt;0"),IF(AS18&gt;0,$AT$45*AS18/SUMIF($AS$9:$AS$40,"&gt;0"),""))),IF(SUMIF(AJ19:$AJ$40,"=" &amp; AJ18,AI19:$AI$40)=0,"",SUMIF(AJ19:$AJ$40,"=" &amp; AJ18,AI19:$AI$40)))</f>
        <v>0.10000000222000006</v>
      </c>
      <c r="AJ18" s="426">
        <f t="shared" si="36"/>
        <v>2</v>
      </c>
      <c r="AK18" s="421" t="str">
        <f t="shared" si="6"/>
        <v/>
      </c>
      <c r="AL18" s="393" t="str">
        <f t="shared" si="7"/>
        <v/>
      </c>
      <c r="AM18" s="393" t="str">
        <f t="shared" si="8"/>
        <v/>
      </c>
      <c r="AN18" s="393" t="str">
        <f t="shared" si="9"/>
        <v/>
      </c>
      <c r="AO18" s="393" t="str">
        <f t="shared" si="10"/>
        <v/>
      </c>
      <c r="AP18" s="421" t="str">
        <f t="shared" si="11"/>
        <v/>
      </c>
      <c r="AQ18" s="425">
        <f t="shared" si="12"/>
        <v>0</v>
      </c>
      <c r="AR18" s="423" t="str">
        <f t="shared" si="13"/>
        <v/>
      </c>
      <c r="AS18" s="424">
        <f t="shared" si="14"/>
        <v>0</v>
      </c>
      <c r="AT18" s="423" t="str">
        <f t="shared" si="15"/>
        <v/>
      </c>
      <c r="AU18" s="420">
        <f t="shared" si="16"/>
        <v>0</v>
      </c>
      <c r="AV18" s="422" t="str">
        <f t="shared" si="17"/>
        <v/>
      </c>
      <c r="AW18" s="420" t="b">
        <f t="shared" si="18"/>
        <v>0</v>
      </c>
      <c r="AX18" s="419" t="b">
        <f t="shared" si="19"/>
        <v>0</v>
      </c>
      <c r="AY18" s="420" t="b">
        <f t="shared" si="20"/>
        <v>0</v>
      </c>
      <c r="AZ18" s="419" t="b">
        <f t="shared" si="21"/>
        <v>0</v>
      </c>
      <c r="BA18" s="421" t="b">
        <f t="shared" si="22"/>
        <v>0</v>
      </c>
      <c r="BB18" s="421" t="b">
        <f t="shared" si="23"/>
        <v>0</v>
      </c>
      <c r="BC18" s="420" t="b">
        <f t="shared" si="24"/>
        <v>0</v>
      </c>
      <c r="BD18" s="393" t="b">
        <f t="shared" si="25"/>
        <v>0</v>
      </c>
      <c r="BE18" s="419" t="b">
        <f t="shared" si="26"/>
        <v>0</v>
      </c>
      <c r="BF18" s="418" t="b">
        <f t="shared" si="27"/>
        <v>0</v>
      </c>
      <c r="BG18" s="417" t="b">
        <f t="shared" si="28"/>
        <v>0</v>
      </c>
      <c r="BH18" s="417" t="str">
        <f t="shared" si="29"/>
        <v/>
      </c>
      <c r="BI18" s="417" t="str">
        <f t="shared" si="30"/>
        <v/>
      </c>
      <c r="BJ18" s="417" t="str">
        <f t="shared" si="31"/>
        <v/>
      </c>
      <c r="BK18" s="417" t="str">
        <f t="shared" si="32"/>
        <v/>
      </c>
      <c r="BL18" s="435" t="str">
        <f t="shared" si="33"/>
        <v/>
      </c>
      <c r="BM18" s="417" t="str">
        <f t="shared" si="34"/>
        <v/>
      </c>
      <c r="BN18" s="417" t="str">
        <f t="shared" si="35"/>
        <v/>
      </c>
      <c r="BO18" s="372"/>
    </row>
    <row r="19" spans="2:75" s="416" customFormat="1" ht="12.95" customHeight="1" x14ac:dyDescent="0.25">
      <c r="B19" s="433">
        <f>IF(ISNA(Z19),"",IF(OR(Z19=1,Z19=2),"    ",MAX($B$9:B18)+1))</f>
        <v>8</v>
      </c>
      <c r="C19" s="1618" t="str">
        <f t="shared" si="0"/>
        <v xml:space="preserve">      - Grammar &amp; Syntax (4.0%)</v>
      </c>
      <c r="D19" s="1618"/>
      <c r="E19" s="1618"/>
      <c r="F19" s="1619"/>
      <c r="G19" s="437">
        <f t="shared" si="1"/>
        <v>1</v>
      </c>
      <c r="H19" s="431" t="str">
        <f t="shared" si="2"/>
        <v>2*</v>
      </c>
      <c r="I19" s="436">
        <f t="shared" si="3"/>
        <v>3</v>
      </c>
      <c r="J19" s="449"/>
      <c r="K19" s="448"/>
      <c r="L19" s="1612"/>
      <c r="M19" s="1613"/>
      <c r="N19" s="1613"/>
      <c r="O19" s="1613"/>
      <c r="P19" s="1613"/>
      <c r="Q19" s="1613"/>
      <c r="R19" s="1614"/>
      <c r="T19" s="401">
        <v>11</v>
      </c>
      <c r="U19" s="374" t="s">
        <v>637</v>
      </c>
      <c r="V19" s="421">
        <v>1</v>
      </c>
      <c r="W19" s="421">
        <v>1.3333333000000001</v>
      </c>
      <c r="X19" s="421" t="s">
        <v>212</v>
      </c>
      <c r="Y19" s="421" t="s">
        <v>212</v>
      </c>
      <c r="Z19" s="393" t="s">
        <v>212</v>
      </c>
      <c r="AA19" s="393">
        <v>2</v>
      </c>
      <c r="AB19" s="393">
        <v>1</v>
      </c>
      <c r="AC19" s="421">
        <v>3</v>
      </c>
      <c r="AD19" s="421">
        <v>2</v>
      </c>
      <c r="AE19" s="421">
        <v>1</v>
      </c>
      <c r="AF19" s="421" t="b">
        <v>1</v>
      </c>
      <c r="AG19" s="421">
        <f t="shared" si="4"/>
        <v>2</v>
      </c>
      <c r="AH19" s="421">
        <f t="shared" si="5"/>
        <v>1</v>
      </c>
      <c r="AI19" s="427">
        <f>IF(NOT(OR(Z19=1,Z19=2)),IF(AQ19&gt;0,$AR$45*AQ19/SUMIF($AQ$9:$AQ$40,"&gt;0"),IF(AU19&gt;0,$AV$45*AU19/SUMIF($AU$9:$AU$40,"&gt;0"),IF(AS19&gt;0,$AT$45*AS19/SUMIF($AS$9:$AS$40,"&gt;0"),""))),IF(SUMIF(AJ20:$AJ$40,"=" &amp; AJ19,AI20:$AI$40)=0,"",SUMIF(AJ20:$AJ$40,"=" &amp; AJ19,AI20:$AI$40)))</f>
        <v>4.0000000288000007E-2</v>
      </c>
      <c r="AJ19" s="426">
        <f t="shared" si="36"/>
        <v>2</v>
      </c>
      <c r="AK19" s="421">
        <f t="shared" si="6"/>
        <v>2</v>
      </c>
      <c r="AL19" s="393" t="str">
        <f t="shared" si="7"/>
        <v/>
      </c>
      <c r="AM19" s="393" t="str">
        <f t="shared" si="8"/>
        <v/>
      </c>
      <c r="AN19" s="393" t="str">
        <f t="shared" si="9"/>
        <v/>
      </c>
      <c r="AO19" s="393" t="str">
        <f t="shared" si="10"/>
        <v/>
      </c>
      <c r="AP19" s="421" t="b">
        <f t="shared" si="11"/>
        <v>1</v>
      </c>
      <c r="AQ19" s="425">
        <f t="shared" si="12"/>
        <v>1.3333333000000001</v>
      </c>
      <c r="AR19" s="423" t="str">
        <f t="shared" si="13"/>
        <v/>
      </c>
      <c r="AS19" s="424">
        <f t="shared" si="14"/>
        <v>0</v>
      </c>
      <c r="AT19" s="423" t="str">
        <f t="shared" si="15"/>
        <v/>
      </c>
      <c r="AU19" s="420">
        <f t="shared" si="16"/>
        <v>0</v>
      </c>
      <c r="AV19" s="422" t="str">
        <f t="shared" si="17"/>
        <v/>
      </c>
      <c r="AW19" s="420" t="b">
        <f t="shared" si="18"/>
        <v>0</v>
      </c>
      <c r="AX19" s="419" t="b">
        <f t="shared" si="19"/>
        <v>1</v>
      </c>
      <c r="AY19" s="420" t="b">
        <f t="shared" si="20"/>
        <v>0</v>
      </c>
      <c r="AZ19" s="419" t="b">
        <f t="shared" si="21"/>
        <v>0</v>
      </c>
      <c r="BA19" s="421" t="b">
        <f t="shared" si="22"/>
        <v>0</v>
      </c>
      <c r="BB19" s="421" t="b">
        <f t="shared" si="23"/>
        <v>0</v>
      </c>
      <c r="BC19" s="420" t="b">
        <f t="shared" si="24"/>
        <v>0</v>
      </c>
      <c r="BD19" s="393" t="b">
        <f t="shared" si="25"/>
        <v>0</v>
      </c>
      <c r="BE19" s="419" t="b">
        <f t="shared" si="26"/>
        <v>0</v>
      </c>
      <c r="BF19" s="418" t="b">
        <f t="shared" si="27"/>
        <v>0</v>
      </c>
      <c r="BG19" s="417" t="b">
        <f t="shared" si="28"/>
        <v>1</v>
      </c>
      <c r="BH19" s="417">
        <f t="shared" si="29"/>
        <v>1</v>
      </c>
      <c r="BI19" s="417">
        <f t="shared" si="30"/>
        <v>2</v>
      </c>
      <c r="BJ19" s="417" t="str">
        <f t="shared" si="31"/>
        <v>2*</v>
      </c>
      <c r="BK19" s="417">
        <f t="shared" si="32"/>
        <v>3</v>
      </c>
      <c r="BL19" s="435">
        <f t="shared" si="33"/>
        <v>1</v>
      </c>
      <c r="BM19" s="417">
        <f t="shared" si="34"/>
        <v>2</v>
      </c>
      <c r="BN19" s="417">
        <f t="shared" si="35"/>
        <v>3</v>
      </c>
      <c r="BO19" s="443"/>
      <c r="BP19" s="454" t="s">
        <v>223</v>
      </c>
      <c r="BQ19" s="438"/>
      <c r="BR19" s="438"/>
      <c r="BS19" s="438"/>
      <c r="BT19" s="438"/>
      <c r="BU19" s="438"/>
    </row>
    <row r="20" spans="2:75" s="416" customFormat="1" ht="12.95" customHeight="1" x14ac:dyDescent="0.25">
      <c r="B20" s="433">
        <f>IF(ISNA(Z20),"",IF(OR(Z20=1,Z20=2),"    ",MAX($B$9:B19)+1))</f>
        <v>9</v>
      </c>
      <c r="C20" s="1618" t="str">
        <f t="shared" si="0"/>
        <v xml:space="preserve">      - Punct. Acronyms &amp; Format (3.0%)</v>
      </c>
      <c r="D20" s="1618"/>
      <c r="E20" s="1618"/>
      <c r="F20" s="1619"/>
      <c r="G20" s="437">
        <f t="shared" si="1"/>
        <v>1</v>
      </c>
      <c r="H20" s="431" t="str">
        <f t="shared" si="2"/>
        <v>2*</v>
      </c>
      <c r="I20" s="436">
        <f t="shared" si="3"/>
        <v>3</v>
      </c>
      <c r="J20" s="449"/>
      <c r="K20" s="448"/>
      <c r="L20" s="1612"/>
      <c r="M20" s="1613"/>
      <c r="N20" s="1613"/>
      <c r="O20" s="1613"/>
      <c r="P20" s="1613"/>
      <c r="Q20" s="1613"/>
      <c r="R20" s="1614"/>
      <c r="T20" s="401">
        <v>12</v>
      </c>
      <c r="U20" s="374" t="s">
        <v>636</v>
      </c>
      <c r="V20" s="421">
        <v>1</v>
      </c>
      <c r="W20" s="421">
        <v>1</v>
      </c>
      <c r="X20" s="421" t="s">
        <v>212</v>
      </c>
      <c r="Y20" s="421" t="s">
        <v>212</v>
      </c>
      <c r="Z20" s="393" t="s">
        <v>212</v>
      </c>
      <c r="AA20" s="393">
        <v>2</v>
      </c>
      <c r="AB20" s="393">
        <v>1</v>
      </c>
      <c r="AC20" s="421">
        <v>3</v>
      </c>
      <c r="AD20" s="421">
        <v>2</v>
      </c>
      <c r="AE20" s="421">
        <v>1</v>
      </c>
      <c r="AF20" s="421" t="b">
        <v>1</v>
      </c>
      <c r="AG20" s="421">
        <f t="shared" si="4"/>
        <v>2</v>
      </c>
      <c r="AH20" s="421">
        <f t="shared" si="5"/>
        <v>1</v>
      </c>
      <c r="AI20" s="427">
        <f>IF(NOT(OR(Z20=1,Z20=2)),IF(AQ20&gt;0,$AR$45*AQ20/SUMIF($AQ$9:$AQ$40,"&gt;0"),IF(AU20&gt;0,$AV$45*AU20/SUMIF($AU$9:$AU$40,"&gt;0"),IF(AS20&gt;0,$AT$45*AS20/SUMIF($AS$9:$AS$40,"&gt;0"),""))),IF(SUMIF(AJ21:$AJ$40,"=" &amp; AJ20,AI21:$AI$40)=0,"",SUMIF(AJ21:$AJ$40,"=" &amp; AJ20,AI21:$AI$40)))</f>
        <v>3.0000000966000025E-2</v>
      </c>
      <c r="AJ20" s="426">
        <f t="shared" si="36"/>
        <v>2</v>
      </c>
      <c r="AK20" s="421">
        <f t="shared" si="6"/>
        <v>2</v>
      </c>
      <c r="AL20" s="393" t="str">
        <f t="shared" si="7"/>
        <v/>
      </c>
      <c r="AM20" s="393" t="str">
        <f t="shared" si="8"/>
        <v/>
      </c>
      <c r="AN20" s="393" t="str">
        <f t="shared" si="9"/>
        <v/>
      </c>
      <c r="AO20" s="393" t="str">
        <f t="shared" si="10"/>
        <v/>
      </c>
      <c r="AP20" s="421" t="b">
        <f t="shared" si="11"/>
        <v>1</v>
      </c>
      <c r="AQ20" s="425">
        <f t="shared" si="12"/>
        <v>1</v>
      </c>
      <c r="AR20" s="423" t="str">
        <f t="shared" si="13"/>
        <v/>
      </c>
      <c r="AS20" s="424">
        <f t="shared" si="14"/>
        <v>0</v>
      </c>
      <c r="AT20" s="423" t="str">
        <f t="shared" si="15"/>
        <v/>
      </c>
      <c r="AU20" s="420">
        <f t="shared" si="16"/>
        <v>0</v>
      </c>
      <c r="AV20" s="422" t="str">
        <f t="shared" si="17"/>
        <v/>
      </c>
      <c r="AW20" s="420" t="b">
        <f t="shared" si="18"/>
        <v>0</v>
      </c>
      <c r="AX20" s="419" t="b">
        <f t="shared" si="19"/>
        <v>1</v>
      </c>
      <c r="AY20" s="420" t="b">
        <f t="shared" si="20"/>
        <v>0</v>
      </c>
      <c r="AZ20" s="419" t="b">
        <f t="shared" si="21"/>
        <v>0</v>
      </c>
      <c r="BA20" s="421" t="b">
        <f t="shared" si="22"/>
        <v>0</v>
      </c>
      <c r="BB20" s="421" t="b">
        <f t="shared" si="23"/>
        <v>0</v>
      </c>
      <c r="BC20" s="420" t="b">
        <f t="shared" si="24"/>
        <v>0</v>
      </c>
      <c r="BD20" s="393" t="b">
        <f t="shared" si="25"/>
        <v>0</v>
      </c>
      <c r="BE20" s="419" t="b">
        <f t="shared" si="26"/>
        <v>0</v>
      </c>
      <c r="BF20" s="418" t="b">
        <f t="shared" si="27"/>
        <v>0</v>
      </c>
      <c r="BG20" s="417" t="b">
        <f t="shared" si="28"/>
        <v>1</v>
      </c>
      <c r="BH20" s="417">
        <f t="shared" si="29"/>
        <v>1</v>
      </c>
      <c r="BI20" s="417">
        <f t="shared" si="30"/>
        <v>2</v>
      </c>
      <c r="BJ20" s="417" t="str">
        <f t="shared" si="31"/>
        <v>2*</v>
      </c>
      <c r="BK20" s="417">
        <f t="shared" si="32"/>
        <v>3</v>
      </c>
      <c r="BL20" s="435">
        <f t="shared" si="33"/>
        <v>1</v>
      </c>
      <c r="BM20" s="417">
        <f t="shared" si="34"/>
        <v>2</v>
      </c>
      <c r="BN20" s="417">
        <f t="shared" si="35"/>
        <v>3</v>
      </c>
      <c r="BO20" s="443"/>
      <c r="BP20" s="434"/>
      <c r="BQ20" s="1629" t="s">
        <v>224</v>
      </c>
      <c r="BR20" s="1629"/>
      <c r="BS20" s="1629"/>
      <c r="BT20" s="1629"/>
      <c r="BU20" s="1629"/>
    </row>
    <row r="21" spans="2:75" s="416" customFormat="1" ht="12.95" customHeight="1" x14ac:dyDescent="0.25">
      <c r="B21" s="433">
        <f>IF(ISNA(Z21),"",IF(OR(Z21=1,Z21=2),"    ",MAX($B$9:B20)+1))</f>
        <v>10</v>
      </c>
      <c r="C21" s="1618" t="str">
        <f t="shared" si="0"/>
        <v xml:space="preserve">      - Profess. Tone &amp; Word Choice (3.0%)</v>
      </c>
      <c r="D21" s="1618"/>
      <c r="E21" s="1618"/>
      <c r="F21" s="1619"/>
      <c r="G21" s="437">
        <f t="shared" si="1"/>
        <v>1</v>
      </c>
      <c r="H21" s="431" t="str">
        <f t="shared" si="2"/>
        <v>2*</v>
      </c>
      <c r="I21" s="436">
        <f t="shared" si="3"/>
        <v>3</v>
      </c>
      <c r="J21" s="449"/>
      <c r="K21" s="448"/>
      <c r="L21" s="1612"/>
      <c r="M21" s="1613"/>
      <c r="N21" s="1613"/>
      <c r="O21" s="1613"/>
      <c r="P21" s="1613"/>
      <c r="Q21" s="1613"/>
      <c r="R21" s="1614"/>
      <c r="T21" s="401">
        <v>13</v>
      </c>
      <c r="U21" s="374" t="s">
        <v>635</v>
      </c>
      <c r="V21" s="421">
        <v>1</v>
      </c>
      <c r="W21" s="421">
        <v>1</v>
      </c>
      <c r="X21" s="421" t="s">
        <v>212</v>
      </c>
      <c r="Y21" s="421" t="s">
        <v>212</v>
      </c>
      <c r="Z21" s="393" t="s">
        <v>212</v>
      </c>
      <c r="AA21" s="393">
        <v>2</v>
      </c>
      <c r="AB21" s="393">
        <v>1</v>
      </c>
      <c r="AC21" s="421">
        <v>3</v>
      </c>
      <c r="AD21" s="421">
        <v>2</v>
      </c>
      <c r="AE21" s="421">
        <v>1</v>
      </c>
      <c r="AF21" s="421" t="b">
        <v>1</v>
      </c>
      <c r="AG21" s="421">
        <f t="shared" si="4"/>
        <v>2</v>
      </c>
      <c r="AH21" s="421">
        <f t="shared" si="5"/>
        <v>1</v>
      </c>
      <c r="AI21" s="427">
        <f>IF(NOT(OR(Z21=1,Z21=2)),IF(AQ21&gt;0,$AR$45*AQ21/SUMIF($AQ$9:$AQ$40,"&gt;0"),IF(AU21&gt;0,$AV$45*AU21/SUMIF($AU$9:$AU$40,"&gt;0"),IF(AS21&gt;0,$AT$45*AS21/SUMIF($AS$9:$AS$40,"&gt;0"),""))),IF(SUMIF(AJ22:$AJ$40,"=" &amp; AJ21,AI22:$AI$40)=0,"",SUMIF(AJ22:$AJ$40,"=" &amp; AJ21,AI22:$AI$40)))</f>
        <v>3.0000000966000025E-2</v>
      </c>
      <c r="AJ21" s="426">
        <f t="shared" si="36"/>
        <v>2</v>
      </c>
      <c r="AK21" s="421">
        <f t="shared" si="6"/>
        <v>2</v>
      </c>
      <c r="AL21" s="393" t="str">
        <f t="shared" si="7"/>
        <v/>
      </c>
      <c r="AM21" s="393" t="str">
        <f t="shared" si="8"/>
        <v/>
      </c>
      <c r="AN21" s="393" t="str">
        <f t="shared" si="9"/>
        <v/>
      </c>
      <c r="AO21" s="393" t="str">
        <f t="shared" si="10"/>
        <v/>
      </c>
      <c r="AP21" s="421" t="b">
        <f t="shared" si="11"/>
        <v>1</v>
      </c>
      <c r="AQ21" s="425">
        <f t="shared" si="12"/>
        <v>1</v>
      </c>
      <c r="AR21" s="423" t="str">
        <f t="shared" si="13"/>
        <v/>
      </c>
      <c r="AS21" s="424">
        <f t="shared" si="14"/>
        <v>0</v>
      </c>
      <c r="AT21" s="423" t="str">
        <f t="shared" si="15"/>
        <v/>
      </c>
      <c r="AU21" s="420">
        <f t="shared" si="16"/>
        <v>0</v>
      </c>
      <c r="AV21" s="422" t="str">
        <f t="shared" si="17"/>
        <v/>
      </c>
      <c r="AW21" s="420" t="b">
        <f t="shared" si="18"/>
        <v>0</v>
      </c>
      <c r="AX21" s="419" t="b">
        <f t="shared" si="19"/>
        <v>1</v>
      </c>
      <c r="AY21" s="420" t="b">
        <f t="shared" si="20"/>
        <v>0</v>
      </c>
      <c r="AZ21" s="419" t="b">
        <f t="shared" si="21"/>
        <v>0</v>
      </c>
      <c r="BA21" s="421" t="b">
        <f t="shared" si="22"/>
        <v>0</v>
      </c>
      <c r="BB21" s="421" t="b">
        <f t="shared" si="23"/>
        <v>0</v>
      </c>
      <c r="BC21" s="420" t="b">
        <f t="shared" si="24"/>
        <v>0</v>
      </c>
      <c r="BD21" s="393" t="b">
        <f t="shared" si="25"/>
        <v>0</v>
      </c>
      <c r="BE21" s="419" t="b">
        <f t="shared" si="26"/>
        <v>0</v>
      </c>
      <c r="BF21" s="418" t="b">
        <f t="shared" si="27"/>
        <v>0</v>
      </c>
      <c r="BG21" s="417" t="b">
        <f t="shared" si="28"/>
        <v>1</v>
      </c>
      <c r="BH21" s="417">
        <f t="shared" si="29"/>
        <v>1</v>
      </c>
      <c r="BI21" s="417">
        <f t="shared" si="30"/>
        <v>2</v>
      </c>
      <c r="BJ21" s="417" t="str">
        <f t="shared" si="31"/>
        <v>2*</v>
      </c>
      <c r="BK21" s="417">
        <f t="shared" si="32"/>
        <v>3</v>
      </c>
      <c r="BL21" s="435">
        <f t="shared" si="33"/>
        <v>1</v>
      </c>
      <c r="BM21" s="417">
        <f t="shared" si="34"/>
        <v>2</v>
      </c>
      <c r="BN21" s="417">
        <f t="shared" si="35"/>
        <v>3</v>
      </c>
      <c r="BO21" s="443"/>
      <c r="BP21" s="443"/>
      <c r="BQ21" s="443">
        <v>0</v>
      </c>
      <c r="BR21" s="443">
        <v>1</v>
      </c>
      <c r="BS21" s="443">
        <v>2</v>
      </c>
      <c r="BT21" s="443">
        <v>3</v>
      </c>
      <c r="BU21" s="443">
        <v>4</v>
      </c>
    </row>
    <row r="22" spans="2:75" s="416" customFormat="1" ht="12.95" customHeight="1" x14ac:dyDescent="0.25">
      <c r="B22" s="433" t="str">
        <f>IF(ISNA(Z22),"",IF(OR(Z22=1,Z22=2),"    ",MAX($B$9:B21)+1))</f>
        <v xml:space="preserve">    </v>
      </c>
      <c r="C22" s="1618" t="str">
        <f t="shared" si="0"/>
        <v>Visual Eng &amp; Data Presentation (20.0%)</v>
      </c>
      <c r="D22" s="1618"/>
      <c r="E22" s="1618"/>
      <c r="F22" s="1619"/>
      <c r="G22" s="437" t="str">
        <f t="shared" si="1"/>
        <v/>
      </c>
      <c r="H22" s="431" t="str">
        <f t="shared" si="2"/>
        <v/>
      </c>
      <c r="I22" s="436" t="str">
        <f t="shared" si="3"/>
        <v/>
      </c>
      <c r="J22" s="429"/>
      <c r="K22" s="428"/>
      <c r="L22" s="1612"/>
      <c r="M22" s="1613"/>
      <c r="N22" s="1613"/>
      <c r="O22" s="1613"/>
      <c r="P22" s="1613"/>
      <c r="Q22" s="1613"/>
      <c r="R22" s="1614"/>
      <c r="T22" s="401">
        <v>14</v>
      </c>
      <c r="U22" s="374" t="s">
        <v>634</v>
      </c>
      <c r="V22" s="421" t="s">
        <v>212</v>
      </c>
      <c r="W22" s="421" t="s">
        <v>212</v>
      </c>
      <c r="X22" s="421" t="s">
        <v>212</v>
      </c>
      <c r="Y22" s="421" t="s">
        <v>212</v>
      </c>
      <c r="Z22" s="393">
        <v>2</v>
      </c>
      <c r="AA22" s="393">
        <v>1</v>
      </c>
      <c r="AB22" s="393">
        <v>1</v>
      </c>
      <c r="AC22" s="421" t="s">
        <v>212</v>
      </c>
      <c r="AD22" s="421" t="s">
        <v>212</v>
      </c>
      <c r="AE22" s="421" t="s">
        <v>212</v>
      </c>
      <c r="AF22" s="421" t="s">
        <v>212</v>
      </c>
      <c r="AG22" s="421" t="str">
        <f t="shared" si="4"/>
        <v/>
      </c>
      <c r="AH22" s="421" t="str">
        <f t="shared" si="5"/>
        <v/>
      </c>
      <c r="AI22" s="427">
        <f>IF(NOT(OR(Z22=1,Z22=2)),IF(AQ22&gt;0,$AR$45*AQ22/SUMIF($AQ$9:$AQ$40,"&gt;0"),IF(AU22&gt;0,$AV$45*AU22/SUMIF($AU$9:$AU$40,"&gt;0"),IF(AS22&gt;0,$AT$45*AS22/SUMIF($AS$9:$AS$40,"&gt;0"),""))),IF(SUMIF(AJ23:$AJ$40,"=" &amp; AJ22,AI23:$AI$40)=0,"",SUMIF(AJ23:$AJ$40,"=" &amp; AJ22,AI23:$AI$40)))</f>
        <v>0.20000000624000017</v>
      </c>
      <c r="AJ22" s="426">
        <f t="shared" si="36"/>
        <v>3</v>
      </c>
      <c r="AK22" s="421" t="str">
        <f t="shared" si="6"/>
        <v/>
      </c>
      <c r="AL22" s="393" t="str">
        <f t="shared" si="7"/>
        <v/>
      </c>
      <c r="AM22" s="393" t="str">
        <f t="shared" si="8"/>
        <v/>
      </c>
      <c r="AN22" s="393" t="str">
        <f t="shared" si="9"/>
        <v/>
      </c>
      <c r="AO22" s="393" t="str">
        <f t="shared" si="10"/>
        <v/>
      </c>
      <c r="AP22" s="421" t="str">
        <f t="shared" si="11"/>
        <v/>
      </c>
      <c r="AQ22" s="425">
        <f t="shared" si="12"/>
        <v>0</v>
      </c>
      <c r="AR22" s="423" t="str">
        <f t="shared" si="13"/>
        <v/>
      </c>
      <c r="AS22" s="424">
        <f t="shared" si="14"/>
        <v>0</v>
      </c>
      <c r="AT22" s="423" t="str">
        <f t="shared" si="15"/>
        <v/>
      </c>
      <c r="AU22" s="420">
        <f t="shared" si="16"/>
        <v>0</v>
      </c>
      <c r="AV22" s="422" t="str">
        <f t="shared" si="17"/>
        <v/>
      </c>
      <c r="AW22" s="420" t="b">
        <f t="shared" si="18"/>
        <v>0</v>
      </c>
      <c r="AX22" s="419" t="b">
        <f t="shared" si="19"/>
        <v>0</v>
      </c>
      <c r="AY22" s="420" t="b">
        <f t="shared" si="20"/>
        <v>0</v>
      </c>
      <c r="AZ22" s="419" t="b">
        <f t="shared" si="21"/>
        <v>0</v>
      </c>
      <c r="BA22" s="421" t="b">
        <f t="shared" si="22"/>
        <v>0</v>
      </c>
      <c r="BB22" s="421" t="b">
        <f t="shared" si="23"/>
        <v>0</v>
      </c>
      <c r="BC22" s="420" t="b">
        <f t="shared" si="24"/>
        <v>0</v>
      </c>
      <c r="BD22" s="393" t="b">
        <f t="shared" si="25"/>
        <v>0</v>
      </c>
      <c r="BE22" s="419" t="b">
        <f t="shared" si="26"/>
        <v>0</v>
      </c>
      <c r="BF22" s="418" t="b">
        <f t="shared" si="27"/>
        <v>0</v>
      </c>
      <c r="BG22" s="417" t="b">
        <f t="shared" si="28"/>
        <v>0</v>
      </c>
      <c r="BH22" s="417" t="str">
        <f t="shared" si="29"/>
        <v/>
      </c>
      <c r="BI22" s="417" t="str">
        <f t="shared" si="30"/>
        <v/>
      </c>
      <c r="BJ22" s="417" t="str">
        <f t="shared" si="31"/>
        <v/>
      </c>
      <c r="BK22" s="417" t="str">
        <f t="shared" si="32"/>
        <v/>
      </c>
      <c r="BL22" s="435" t="str">
        <f t="shared" si="33"/>
        <v/>
      </c>
      <c r="BM22" s="417" t="str">
        <f t="shared" si="34"/>
        <v/>
      </c>
      <c r="BN22" s="417" t="str">
        <f t="shared" si="35"/>
        <v/>
      </c>
      <c r="BO22" s="1630" t="s">
        <v>226</v>
      </c>
      <c r="BP22" s="443" t="s">
        <v>227</v>
      </c>
      <c r="BQ22" s="453">
        <f t="shared" ref="BQ22:BQ30" si="37">AR51</f>
        <v>0.7</v>
      </c>
      <c r="BR22" s="452">
        <f t="shared" ref="BR22:BR30" si="38">AS51</f>
        <v>0.9</v>
      </c>
      <c r="BS22" s="452">
        <f t="shared" ref="BS22:BS30" si="39">AT51</f>
        <v>0.93330000000000002</v>
      </c>
      <c r="BT22" s="452">
        <f t="shared" ref="BT22:BT30" si="40">AU51</f>
        <v>0.9667</v>
      </c>
      <c r="BU22" s="451">
        <f t="shared" ref="BU22:BU30" si="41">AV51</f>
        <v>1</v>
      </c>
      <c r="BV22" s="450"/>
      <c r="BW22" s="447"/>
    </row>
    <row r="23" spans="2:75" s="416" customFormat="1" ht="12.95" customHeight="1" x14ac:dyDescent="0.25">
      <c r="B23" s="433">
        <f>IF(ISNA(Z23),"",IF(OR(Z23=1,Z23=2),"    ",MAX($B$9:B22)+1))</f>
        <v>11</v>
      </c>
      <c r="C23" s="1618" t="str">
        <f t="shared" si="0"/>
        <v xml:space="preserve">      - Anatomy of a Valid Plot/Table (8.0%)</v>
      </c>
      <c r="D23" s="1618"/>
      <c r="E23" s="1618"/>
      <c r="F23" s="1619"/>
      <c r="G23" s="437">
        <f t="shared" si="1"/>
        <v>1</v>
      </c>
      <c r="H23" s="431" t="str">
        <f t="shared" si="2"/>
        <v>2*</v>
      </c>
      <c r="I23" s="436">
        <f t="shared" si="3"/>
        <v>3</v>
      </c>
      <c r="J23" s="449"/>
      <c r="K23" s="448"/>
      <c r="L23" s="1612"/>
      <c r="M23" s="1613"/>
      <c r="N23" s="1613"/>
      <c r="O23" s="1613"/>
      <c r="P23" s="1613"/>
      <c r="Q23" s="1613"/>
      <c r="R23" s="1614"/>
      <c r="T23" s="401">
        <v>15</v>
      </c>
      <c r="U23" s="374" t="s">
        <v>633</v>
      </c>
      <c r="V23" s="421">
        <v>1</v>
      </c>
      <c r="W23" s="421">
        <v>2.6666666600000002</v>
      </c>
      <c r="X23" s="421" t="s">
        <v>212</v>
      </c>
      <c r="Y23" s="421" t="s">
        <v>212</v>
      </c>
      <c r="Z23" s="393" t="s">
        <v>212</v>
      </c>
      <c r="AA23" s="393">
        <v>2</v>
      </c>
      <c r="AB23" s="393">
        <v>1</v>
      </c>
      <c r="AC23" s="421">
        <v>3</v>
      </c>
      <c r="AD23" s="421">
        <v>2</v>
      </c>
      <c r="AE23" s="421">
        <v>1</v>
      </c>
      <c r="AF23" s="421" t="b">
        <v>1</v>
      </c>
      <c r="AG23" s="421">
        <f t="shared" si="4"/>
        <v>2</v>
      </c>
      <c r="AH23" s="421">
        <f t="shared" si="5"/>
        <v>1</v>
      </c>
      <c r="AI23" s="427">
        <f>IF(NOT(OR(Z23=1,Z23=2)),IF(AQ23&gt;0,$AR$45*AQ23/SUMIF($AQ$9:$AQ$40,"&gt;0"),IF(AU23&gt;0,$AV$45*AU23/SUMIF($AU$9:$AU$40,"&gt;0"),IF(AS23&gt;0,$AT$45*AS23/SUMIF($AS$9:$AS$40,"&gt;0"),""))),IF(SUMIF(AJ24:$AJ$40,"=" &amp; AJ23,AI24:$AI$40)=0,"",SUMIF(AJ24:$AJ$40,"=" &amp; AJ23,AI24:$AI$40)))</f>
        <v>8.0000002376000065E-2</v>
      </c>
      <c r="AJ23" s="426">
        <f t="shared" si="36"/>
        <v>3</v>
      </c>
      <c r="AK23" s="421">
        <f t="shared" si="6"/>
        <v>2</v>
      </c>
      <c r="AL23" s="393" t="str">
        <f t="shared" si="7"/>
        <v/>
      </c>
      <c r="AM23" s="393" t="str">
        <f t="shared" si="8"/>
        <v/>
      </c>
      <c r="AN23" s="393" t="str">
        <f t="shared" si="9"/>
        <v/>
      </c>
      <c r="AO23" s="393" t="str">
        <f t="shared" si="10"/>
        <v/>
      </c>
      <c r="AP23" s="421" t="b">
        <f t="shared" si="11"/>
        <v>1</v>
      </c>
      <c r="AQ23" s="425">
        <f t="shared" si="12"/>
        <v>2.6666666600000002</v>
      </c>
      <c r="AR23" s="423" t="str">
        <f t="shared" si="13"/>
        <v/>
      </c>
      <c r="AS23" s="424">
        <f t="shared" si="14"/>
        <v>0</v>
      </c>
      <c r="AT23" s="423" t="str">
        <f t="shared" si="15"/>
        <v/>
      </c>
      <c r="AU23" s="420">
        <f t="shared" si="16"/>
        <v>0</v>
      </c>
      <c r="AV23" s="422" t="str">
        <f t="shared" si="17"/>
        <v/>
      </c>
      <c r="AW23" s="420" t="b">
        <f t="shared" si="18"/>
        <v>0</v>
      </c>
      <c r="AX23" s="419" t="b">
        <f t="shared" si="19"/>
        <v>1</v>
      </c>
      <c r="AY23" s="420" t="b">
        <f t="shared" si="20"/>
        <v>0</v>
      </c>
      <c r="AZ23" s="419" t="b">
        <f t="shared" si="21"/>
        <v>0</v>
      </c>
      <c r="BA23" s="421" t="b">
        <f t="shared" si="22"/>
        <v>0</v>
      </c>
      <c r="BB23" s="421" t="b">
        <f t="shared" si="23"/>
        <v>0</v>
      </c>
      <c r="BC23" s="420" t="b">
        <f t="shared" si="24"/>
        <v>0</v>
      </c>
      <c r="BD23" s="393" t="b">
        <f t="shared" si="25"/>
        <v>0</v>
      </c>
      <c r="BE23" s="419" t="b">
        <f t="shared" si="26"/>
        <v>0</v>
      </c>
      <c r="BF23" s="418" t="b">
        <f t="shared" si="27"/>
        <v>0</v>
      </c>
      <c r="BG23" s="417" t="b">
        <f t="shared" si="28"/>
        <v>1</v>
      </c>
      <c r="BH23" s="417">
        <f t="shared" si="29"/>
        <v>1</v>
      </c>
      <c r="BI23" s="417">
        <f t="shared" si="30"/>
        <v>2</v>
      </c>
      <c r="BJ23" s="417" t="str">
        <f t="shared" si="31"/>
        <v>2*</v>
      </c>
      <c r="BK23" s="417">
        <f t="shared" si="32"/>
        <v>3</v>
      </c>
      <c r="BL23" s="435">
        <f t="shared" si="33"/>
        <v>1</v>
      </c>
      <c r="BM23" s="417">
        <f t="shared" si="34"/>
        <v>2</v>
      </c>
      <c r="BN23" s="417">
        <f t="shared" si="35"/>
        <v>3</v>
      </c>
      <c r="BO23" s="1630"/>
      <c r="BP23" s="443" t="s">
        <v>228</v>
      </c>
      <c r="BQ23" s="446">
        <f t="shared" si="37"/>
        <v>0.7</v>
      </c>
      <c r="BR23" s="445">
        <f t="shared" si="38"/>
        <v>0.8</v>
      </c>
      <c r="BS23" s="445">
        <f t="shared" si="39"/>
        <v>0.9</v>
      </c>
      <c r="BT23" s="445">
        <f t="shared" si="40"/>
        <v>0.95</v>
      </c>
      <c r="BU23" s="444">
        <f t="shared" si="41"/>
        <v>1</v>
      </c>
      <c r="BV23" s="447"/>
      <c r="BW23" s="403"/>
    </row>
    <row r="24" spans="2:75" s="416" customFormat="1" ht="12.95" customHeight="1" x14ac:dyDescent="0.25">
      <c r="B24" s="433">
        <f>IF(ISNA(Z24),"",IF(OR(Z24=1,Z24=2),"    ",MAX($B$9:B23)+1))</f>
        <v>12</v>
      </c>
      <c r="C24" s="1618" t="str">
        <f t="shared" si="0"/>
        <v xml:space="preserve">      - Data-Ink Ratio &amp; Clarity (6.0%)</v>
      </c>
      <c r="D24" s="1618"/>
      <c r="E24" s="1618"/>
      <c r="F24" s="1619"/>
      <c r="G24" s="437">
        <f t="shared" si="1"/>
        <v>1</v>
      </c>
      <c r="H24" s="431" t="str">
        <f t="shared" si="2"/>
        <v>2*</v>
      </c>
      <c r="I24" s="436">
        <f t="shared" si="3"/>
        <v>3</v>
      </c>
      <c r="J24" s="449"/>
      <c r="K24" s="448"/>
      <c r="L24" s="1612"/>
      <c r="M24" s="1613"/>
      <c r="N24" s="1613"/>
      <c r="O24" s="1613"/>
      <c r="P24" s="1613"/>
      <c r="Q24" s="1613"/>
      <c r="R24" s="1614"/>
      <c r="T24" s="401">
        <v>16</v>
      </c>
      <c r="U24" s="374" t="s">
        <v>632</v>
      </c>
      <c r="V24" s="421">
        <v>1</v>
      </c>
      <c r="W24" s="421">
        <v>2</v>
      </c>
      <c r="X24" s="421" t="s">
        <v>212</v>
      </c>
      <c r="Y24" s="421" t="s">
        <v>212</v>
      </c>
      <c r="Z24" s="393" t="s">
        <v>212</v>
      </c>
      <c r="AA24" s="393">
        <v>2</v>
      </c>
      <c r="AB24" s="393">
        <v>1</v>
      </c>
      <c r="AC24" s="421">
        <v>3</v>
      </c>
      <c r="AD24" s="421">
        <v>2</v>
      </c>
      <c r="AE24" s="421">
        <v>1</v>
      </c>
      <c r="AF24" s="421" t="b">
        <v>1</v>
      </c>
      <c r="AG24" s="421">
        <f t="shared" si="4"/>
        <v>2</v>
      </c>
      <c r="AH24" s="421">
        <f t="shared" si="5"/>
        <v>1</v>
      </c>
      <c r="AI24" s="427">
        <f>IF(NOT(OR(Z24=1,Z24=2)),IF(AQ24&gt;0,$AR$45*AQ24/SUMIF($AQ$9:$AQ$40,"&gt;0"),IF(AU24&gt;0,$AV$45*AU24/SUMIF($AU$9:$AU$40,"&gt;0"),IF(AS24&gt;0,$AT$45*AS24/SUMIF($AS$9:$AS$40,"&gt;0"),""))),IF(SUMIF(AJ25:$AJ$40,"=" &amp; AJ24,AI25:$AI$40)=0,"",SUMIF(AJ25:$AJ$40,"=" &amp; AJ24,AI25:$AI$40)))</f>
        <v>6.0000001932000051E-2</v>
      </c>
      <c r="AJ24" s="426">
        <f t="shared" si="36"/>
        <v>3</v>
      </c>
      <c r="AK24" s="421">
        <f t="shared" si="6"/>
        <v>2</v>
      </c>
      <c r="AL24" s="393" t="str">
        <f t="shared" si="7"/>
        <v/>
      </c>
      <c r="AM24" s="393" t="str">
        <f t="shared" si="8"/>
        <v/>
      </c>
      <c r="AN24" s="393" t="str">
        <f t="shared" si="9"/>
        <v/>
      </c>
      <c r="AO24" s="393" t="str">
        <f t="shared" si="10"/>
        <v/>
      </c>
      <c r="AP24" s="421" t="b">
        <f t="shared" si="11"/>
        <v>1</v>
      </c>
      <c r="AQ24" s="425">
        <f t="shared" si="12"/>
        <v>2</v>
      </c>
      <c r="AR24" s="423" t="str">
        <f t="shared" si="13"/>
        <v/>
      </c>
      <c r="AS24" s="424">
        <f t="shared" si="14"/>
        <v>0</v>
      </c>
      <c r="AT24" s="423" t="str">
        <f t="shared" si="15"/>
        <v/>
      </c>
      <c r="AU24" s="420">
        <f t="shared" si="16"/>
        <v>0</v>
      </c>
      <c r="AV24" s="422" t="str">
        <f t="shared" si="17"/>
        <v/>
      </c>
      <c r="AW24" s="420" t="b">
        <f t="shared" si="18"/>
        <v>0</v>
      </c>
      <c r="AX24" s="419" t="b">
        <f t="shared" si="19"/>
        <v>1</v>
      </c>
      <c r="AY24" s="420" t="b">
        <f t="shared" si="20"/>
        <v>0</v>
      </c>
      <c r="AZ24" s="419" t="b">
        <f t="shared" si="21"/>
        <v>0</v>
      </c>
      <c r="BA24" s="421" t="b">
        <f t="shared" si="22"/>
        <v>0</v>
      </c>
      <c r="BB24" s="421" t="b">
        <f t="shared" si="23"/>
        <v>0</v>
      </c>
      <c r="BC24" s="420" t="b">
        <f t="shared" si="24"/>
        <v>0</v>
      </c>
      <c r="BD24" s="393" t="b">
        <f t="shared" si="25"/>
        <v>0</v>
      </c>
      <c r="BE24" s="419" t="b">
        <f t="shared" si="26"/>
        <v>0</v>
      </c>
      <c r="BF24" s="418" t="b">
        <f t="shared" si="27"/>
        <v>0</v>
      </c>
      <c r="BG24" s="417" t="b">
        <f t="shared" si="28"/>
        <v>1</v>
      </c>
      <c r="BH24" s="417">
        <f t="shared" si="29"/>
        <v>1</v>
      </c>
      <c r="BI24" s="417">
        <f t="shared" si="30"/>
        <v>2</v>
      </c>
      <c r="BJ24" s="417" t="str">
        <f t="shared" si="31"/>
        <v>2*</v>
      </c>
      <c r="BK24" s="417">
        <f t="shared" si="32"/>
        <v>3</v>
      </c>
      <c r="BL24" s="435">
        <f t="shared" si="33"/>
        <v>1</v>
      </c>
      <c r="BM24" s="417">
        <f t="shared" si="34"/>
        <v>2</v>
      </c>
      <c r="BN24" s="417">
        <f t="shared" si="35"/>
        <v>3</v>
      </c>
      <c r="BO24" s="1630"/>
      <c r="BP24" s="443" t="s">
        <v>229</v>
      </c>
      <c r="BQ24" s="446">
        <f t="shared" si="37"/>
        <v>0.7</v>
      </c>
      <c r="BR24" s="445">
        <f t="shared" si="38"/>
        <v>0.76670000000000005</v>
      </c>
      <c r="BS24" s="445">
        <f t="shared" si="39"/>
        <v>0.83330000000000004</v>
      </c>
      <c r="BT24" s="445">
        <f t="shared" si="40"/>
        <v>0.9</v>
      </c>
      <c r="BU24" s="444">
        <f t="shared" si="41"/>
        <v>1</v>
      </c>
      <c r="BV24" s="447"/>
      <c r="BW24" s="403"/>
    </row>
    <row r="25" spans="2:75" s="416" customFormat="1" ht="12.95" customHeight="1" x14ac:dyDescent="0.25">
      <c r="B25" s="433">
        <f>IF(ISNA(Z25),"",IF(OR(Z25=1,Z25=2),"    ",MAX($B$9:B24)+1))</f>
        <v>13</v>
      </c>
      <c r="C25" s="1618" t="str">
        <f t="shared" si="0"/>
        <v xml:space="preserve">      - Data Honesty &amp; Context (6.0%)</v>
      </c>
      <c r="D25" s="1618"/>
      <c r="E25" s="1618"/>
      <c r="F25" s="1619"/>
      <c r="G25" s="437">
        <f t="shared" si="1"/>
        <v>1</v>
      </c>
      <c r="H25" s="431" t="str">
        <f t="shared" si="2"/>
        <v>2*</v>
      </c>
      <c r="I25" s="436">
        <f t="shared" si="3"/>
        <v>3</v>
      </c>
      <c r="J25" s="449"/>
      <c r="K25" s="448"/>
      <c r="L25" s="1612"/>
      <c r="M25" s="1613"/>
      <c r="N25" s="1613"/>
      <c r="O25" s="1613"/>
      <c r="P25" s="1613"/>
      <c r="Q25" s="1613"/>
      <c r="R25" s="1614"/>
      <c r="T25" s="401">
        <v>17</v>
      </c>
      <c r="U25" s="374" t="s">
        <v>631</v>
      </c>
      <c r="V25" s="421">
        <v>1</v>
      </c>
      <c r="W25" s="421">
        <v>2</v>
      </c>
      <c r="X25" s="421" t="s">
        <v>212</v>
      </c>
      <c r="Y25" s="421" t="s">
        <v>212</v>
      </c>
      <c r="Z25" s="393" t="s">
        <v>212</v>
      </c>
      <c r="AA25" s="393">
        <v>2</v>
      </c>
      <c r="AB25" s="393">
        <v>1</v>
      </c>
      <c r="AC25" s="421">
        <v>3</v>
      </c>
      <c r="AD25" s="421">
        <v>2</v>
      </c>
      <c r="AE25" s="421">
        <v>1</v>
      </c>
      <c r="AF25" s="421" t="b">
        <v>1</v>
      </c>
      <c r="AG25" s="421">
        <f t="shared" si="4"/>
        <v>2</v>
      </c>
      <c r="AH25" s="421">
        <f t="shared" si="5"/>
        <v>1</v>
      </c>
      <c r="AI25" s="427">
        <f>IF(NOT(OR(Z25=1,Z25=2)),IF(AQ25&gt;0,$AR$45*AQ25/SUMIF($AQ$9:$AQ$40,"&gt;0"),IF(AU25&gt;0,$AV$45*AU25/SUMIF($AU$9:$AU$40,"&gt;0"),IF(AS25&gt;0,$AT$45*AS25/SUMIF($AS$9:$AS$40,"&gt;0"),""))),IF(SUMIF(AJ26:$AJ$40,"=" &amp; AJ25,AI26:$AI$40)=0,"",SUMIF(AJ26:$AJ$40,"=" &amp; AJ25,AI26:$AI$40)))</f>
        <v>6.0000001932000051E-2</v>
      </c>
      <c r="AJ25" s="426">
        <f t="shared" si="36"/>
        <v>3</v>
      </c>
      <c r="AK25" s="421">
        <f t="shared" si="6"/>
        <v>2</v>
      </c>
      <c r="AL25" s="393" t="str">
        <f t="shared" si="7"/>
        <v/>
      </c>
      <c r="AM25" s="393" t="str">
        <f t="shared" si="8"/>
        <v/>
      </c>
      <c r="AN25" s="393" t="str">
        <f t="shared" si="9"/>
        <v/>
      </c>
      <c r="AO25" s="393" t="str">
        <f t="shared" si="10"/>
        <v/>
      </c>
      <c r="AP25" s="421" t="b">
        <f t="shared" si="11"/>
        <v>1</v>
      </c>
      <c r="AQ25" s="425">
        <f t="shared" si="12"/>
        <v>2</v>
      </c>
      <c r="AR25" s="423" t="str">
        <f t="shared" si="13"/>
        <v/>
      </c>
      <c r="AS25" s="424">
        <f t="shared" si="14"/>
        <v>0</v>
      </c>
      <c r="AT25" s="423" t="str">
        <f t="shared" si="15"/>
        <v/>
      </c>
      <c r="AU25" s="420">
        <f t="shared" si="16"/>
        <v>0</v>
      </c>
      <c r="AV25" s="422" t="str">
        <f t="shared" si="17"/>
        <v/>
      </c>
      <c r="AW25" s="420" t="b">
        <f t="shared" si="18"/>
        <v>0</v>
      </c>
      <c r="AX25" s="419" t="b">
        <f t="shared" si="19"/>
        <v>1</v>
      </c>
      <c r="AY25" s="420" t="b">
        <f t="shared" si="20"/>
        <v>0</v>
      </c>
      <c r="AZ25" s="419" t="b">
        <f t="shared" si="21"/>
        <v>0</v>
      </c>
      <c r="BA25" s="421" t="b">
        <f t="shared" si="22"/>
        <v>0</v>
      </c>
      <c r="BB25" s="421" t="b">
        <f t="shared" si="23"/>
        <v>0</v>
      </c>
      <c r="BC25" s="420" t="b">
        <f t="shared" si="24"/>
        <v>0</v>
      </c>
      <c r="BD25" s="393" t="b">
        <f t="shared" si="25"/>
        <v>0</v>
      </c>
      <c r="BE25" s="419" t="b">
        <f t="shared" si="26"/>
        <v>0</v>
      </c>
      <c r="BF25" s="418" t="b">
        <f t="shared" si="27"/>
        <v>0</v>
      </c>
      <c r="BG25" s="417" t="b">
        <f t="shared" si="28"/>
        <v>1</v>
      </c>
      <c r="BH25" s="417">
        <f t="shared" si="29"/>
        <v>1</v>
      </c>
      <c r="BI25" s="417">
        <f t="shared" si="30"/>
        <v>2</v>
      </c>
      <c r="BJ25" s="417" t="str">
        <f t="shared" si="31"/>
        <v>2*</v>
      </c>
      <c r="BK25" s="417">
        <f t="shared" si="32"/>
        <v>3</v>
      </c>
      <c r="BL25" s="435">
        <f t="shared" si="33"/>
        <v>1</v>
      </c>
      <c r="BM25" s="417">
        <f t="shared" si="34"/>
        <v>2</v>
      </c>
      <c r="BN25" s="417">
        <f t="shared" si="35"/>
        <v>3</v>
      </c>
      <c r="BO25" s="1630"/>
      <c r="BP25" s="443" t="s">
        <v>230</v>
      </c>
      <c r="BQ25" s="446">
        <f t="shared" si="37"/>
        <v>0.6</v>
      </c>
      <c r="BR25" s="445">
        <f t="shared" si="38"/>
        <v>0.9</v>
      </c>
      <c r="BS25" s="445">
        <f t="shared" si="39"/>
        <v>0.93330000000000002</v>
      </c>
      <c r="BT25" s="445">
        <f t="shared" si="40"/>
        <v>0.9667</v>
      </c>
      <c r="BU25" s="444">
        <f t="shared" si="41"/>
        <v>1</v>
      </c>
      <c r="BV25" s="447"/>
      <c r="BW25" s="403"/>
    </row>
    <row r="26" spans="2:75" s="416" customFormat="1" ht="12.95" customHeight="1" x14ac:dyDescent="0.25">
      <c r="B26" s="433" t="str">
        <f>IF(ISNA(Z26),"",IF(OR(Z26=1,Z26=2),"    ",MAX($B$9:B25)+1))</f>
        <v/>
      </c>
      <c r="C26" s="1618" t="str">
        <f t="shared" si="0"/>
        <v/>
      </c>
      <c r="D26" s="1618"/>
      <c r="E26" s="1618"/>
      <c r="F26" s="1619"/>
      <c r="G26" s="437" t="str">
        <f t="shared" si="1"/>
        <v/>
      </c>
      <c r="H26" s="431" t="str">
        <f t="shared" si="2"/>
        <v/>
      </c>
      <c r="I26" s="436" t="str">
        <f t="shared" si="3"/>
        <v/>
      </c>
      <c r="J26" s="429"/>
      <c r="K26" s="428"/>
      <c r="L26" s="1612"/>
      <c r="M26" s="1613"/>
      <c r="N26" s="1613"/>
      <c r="O26" s="1613"/>
      <c r="P26" s="1613"/>
      <c r="Q26" s="1613"/>
      <c r="R26" s="1614"/>
      <c r="T26" s="401">
        <v>18</v>
      </c>
      <c r="U26" s="374" t="e">
        <v>#N/A</v>
      </c>
      <c r="V26" s="421" t="e">
        <v>#N/A</v>
      </c>
      <c r="W26" s="421" t="e">
        <v>#N/A</v>
      </c>
      <c r="X26" s="421" t="e">
        <v>#N/A</v>
      </c>
      <c r="Y26" s="421" t="e">
        <v>#N/A</v>
      </c>
      <c r="Z26" s="393" t="e">
        <v>#N/A</v>
      </c>
      <c r="AA26" s="393" t="e">
        <v>#N/A</v>
      </c>
      <c r="AB26" s="393" t="e">
        <v>#N/A</v>
      </c>
      <c r="AC26" s="421" t="e">
        <v>#N/A</v>
      </c>
      <c r="AD26" s="421" t="e">
        <v>#N/A</v>
      </c>
      <c r="AE26" s="421" t="e">
        <v>#N/A</v>
      </c>
      <c r="AF26" s="421" t="e">
        <v>#N/A</v>
      </c>
      <c r="AG26" s="421" t="e">
        <f t="shared" si="4"/>
        <v>#N/A</v>
      </c>
      <c r="AH26" s="421" t="str">
        <f t="shared" si="5"/>
        <v/>
      </c>
      <c r="AI26" s="427" t="e">
        <f>IF(NOT(OR(Z26=1,Z26=2)),IF(AQ26&gt;0,$AR$45*AQ26/SUMIF($AQ$9:$AQ$40,"&gt;0"),IF(AU26&gt;0,$AV$45*AU26/SUMIF($AU$9:$AU$40,"&gt;0"),IF(AS26&gt;0,$AT$45*AS26/SUMIF($AS$9:$AS$40,"&gt;0"),""))),IF(SUMIF(AJ27:$AJ$40,"=" &amp; AJ26,AI27:$AI$40)=0,"",SUMIF(AJ27:$AJ$40,"=" &amp; AJ26,AI27:$AI$40)))</f>
        <v>#N/A</v>
      </c>
      <c r="AJ26" s="426" t="e">
        <f t="shared" si="36"/>
        <v>#N/A</v>
      </c>
      <c r="AK26" s="421" t="str">
        <f t="shared" si="6"/>
        <v/>
      </c>
      <c r="AL26" s="393" t="str">
        <f t="shared" si="7"/>
        <v/>
      </c>
      <c r="AM26" s="393" t="str">
        <f t="shared" si="8"/>
        <v/>
      </c>
      <c r="AN26" s="393" t="str">
        <f t="shared" si="9"/>
        <v/>
      </c>
      <c r="AO26" s="393" t="e">
        <f t="shared" si="10"/>
        <v>#N/A</v>
      </c>
      <c r="AP26" s="421" t="str">
        <f t="shared" si="11"/>
        <v/>
      </c>
      <c r="AQ26" s="425">
        <f t="shared" si="12"/>
        <v>0</v>
      </c>
      <c r="AR26" s="423" t="str">
        <f t="shared" si="13"/>
        <v/>
      </c>
      <c r="AS26" s="424">
        <f t="shared" si="14"/>
        <v>0</v>
      </c>
      <c r="AT26" s="423" t="str">
        <f t="shared" si="15"/>
        <v/>
      </c>
      <c r="AU26" s="420">
        <f t="shared" si="16"/>
        <v>0</v>
      </c>
      <c r="AV26" s="422" t="str">
        <f t="shared" si="17"/>
        <v/>
      </c>
      <c r="AW26" s="420" t="b">
        <f t="shared" si="18"/>
        <v>0</v>
      </c>
      <c r="AX26" s="419" t="b">
        <f t="shared" si="19"/>
        <v>0</v>
      </c>
      <c r="AY26" s="420" t="b">
        <f t="shared" si="20"/>
        <v>0</v>
      </c>
      <c r="AZ26" s="419" t="b">
        <f t="shared" si="21"/>
        <v>0</v>
      </c>
      <c r="BA26" s="421" t="b">
        <f t="shared" si="22"/>
        <v>0</v>
      </c>
      <c r="BB26" s="421" t="b">
        <f t="shared" si="23"/>
        <v>0</v>
      </c>
      <c r="BC26" s="420" t="b">
        <f t="shared" si="24"/>
        <v>0</v>
      </c>
      <c r="BD26" s="393" t="b">
        <f t="shared" si="25"/>
        <v>0</v>
      </c>
      <c r="BE26" s="419" t="b">
        <f t="shared" si="26"/>
        <v>0</v>
      </c>
      <c r="BF26" s="418" t="b">
        <f t="shared" si="27"/>
        <v>0</v>
      </c>
      <c r="BG26" s="417" t="str">
        <f t="shared" si="28"/>
        <v>NA</v>
      </c>
      <c r="BH26" s="417" t="str">
        <f t="shared" si="29"/>
        <v/>
      </c>
      <c r="BI26" s="417" t="str">
        <f t="shared" si="30"/>
        <v/>
      </c>
      <c r="BJ26" s="417" t="str">
        <f t="shared" si="31"/>
        <v/>
      </c>
      <c r="BK26" s="417" t="str">
        <f t="shared" si="32"/>
        <v/>
      </c>
      <c r="BL26" s="435" t="str">
        <f t="shared" si="33"/>
        <v/>
      </c>
      <c r="BM26" s="417" t="str">
        <f t="shared" si="34"/>
        <v/>
      </c>
      <c r="BN26" s="417" t="str">
        <f t="shared" si="35"/>
        <v/>
      </c>
      <c r="BO26" s="1630"/>
      <c r="BP26" s="443" t="s">
        <v>231</v>
      </c>
      <c r="BQ26" s="446">
        <f t="shared" si="37"/>
        <v>0.6</v>
      </c>
      <c r="BR26" s="445">
        <f t="shared" si="38"/>
        <v>0.7</v>
      </c>
      <c r="BS26" s="445">
        <f t="shared" si="39"/>
        <v>0.9</v>
      </c>
      <c r="BT26" s="445">
        <f t="shared" si="40"/>
        <v>0.95</v>
      </c>
      <c r="BU26" s="444">
        <f t="shared" si="41"/>
        <v>1</v>
      </c>
      <c r="BV26" s="447"/>
      <c r="BW26" s="403"/>
    </row>
    <row r="27" spans="2:75" s="416" customFormat="1" ht="12.95" customHeight="1" x14ac:dyDescent="0.25">
      <c r="B27" s="433" t="str">
        <f>IF(ISNA(Z27),"",IF(OR(Z27=1,Z27=2),"    ",MAX($B$9:B26)+1))</f>
        <v/>
      </c>
      <c r="C27" s="1618" t="str">
        <f t="shared" si="0"/>
        <v/>
      </c>
      <c r="D27" s="1618"/>
      <c r="E27" s="1618"/>
      <c r="F27" s="1619"/>
      <c r="G27" s="437" t="str">
        <f t="shared" si="1"/>
        <v/>
      </c>
      <c r="H27" s="431" t="str">
        <f t="shared" si="2"/>
        <v/>
      </c>
      <c r="I27" s="436" t="str">
        <f t="shared" si="3"/>
        <v/>
      </c>
      <c r="J27" s="429"/>
      <c r="K27" s="428"/>
      <c r="L27" s="1612"/>
      <c r="M27" s="1613"/>
      <c r="N27" s="1613"/>
      <c r="O27" s="1613"/>
      <c r="P27" s="1613"/>
      <c r="Q27" s="1613"/>
      <c r="R27" s="1614"/>
      <c r="T27" s="401">
        <v>19</v>
      </c>
      <c r="U27" s="374" t="e">
        <v>#N/A</v>
      </c>
      <c r="V27" s="421" t="e">
        <v>#N/A</v>
      </c>
      <c r="W27" s="421" t="e">
        <v>#N/A</v>
      </c>
      <c r="X27" s="421" t="e">
        <v>#N/A</v>
      </c>
      <c r="Y27" s="421" t="e">
        <v>#N/A</v>
      </c>
      <c r="Z27" s="393" t="e">
        <v>#N/A</v>
      </c>
      <c r="AA27" s="393" t="e">
        <v>#N/A</v>
      </c>
      <c r="AB27" s="393" t="e">
        <v>#N/A</v>
      </c>
      <c r="AC27" s="421" t="e">
        <v>#N/A</v>
      </c>
      <c r="AD27" s="421" t="e">
        <v>#N/A</v>
      </c>
      <c r="AE27" s="421" t="e">
        <v>#N/A</v>
      </c>
      <c r="AF27" s="421" t="e">
        <v>#N/A</v>
      </c>
      <c r="AG27" s="421" t="e">
        <f t="shared" si="4"/>
        <v>#N/A</v>
      </c>
      <c r="AH27" s="421" t="str">
        <f t="shared" si="5"/>
        <v/>
      </c>
      <c r="AI27" s="427" t="e">
        <f>IF(NOT(OR(Z27=1,Z27=2)),IF(AQ27&gt;0,$AR$45*AQ27/SUMIF($AQ$9:$AQ$40,"&gt;0"),IF(AU27&gt;0,$AV$45*AU27/SUMIF($AU$9:$AU$40,"&gt;0"),IF(AS27&gt;0,$AT$45*AS27/SUMIF($AS$9:$AS$40,"&gt;0"),""))),IF(SUMIF(AJ28:$AJ$40,"=" &amp; AJ27,AI28:$AI$40)=0,"",SUMIF(AJ28:$AJ$40,"=" &amp; AJ27,AI28:$AI$40)))</f>
        <v>#N/A</v>
      </c>
      <c r="AJ27" s="426" t="e">
        <f t="shared" si="36"/>
        <v>#N/A</v>
      </c>
      <c r="AK27" s="421" t="str">
        <f t="shared" si="6"/>
        <v/>
      </c>
      <c r="AL27" s="393" t="str">
        <f t="shared" si="7"/>
        <v/>
      </c>
      <c r="AM27" s="393" t="str">
        <f t="shared" si="8"/>
        <v/>
      </c>
      <c r="AN27" s="393" t="str">
        <f t="shared" si="9"/>
        <v/>
      </c>
      <c r="AO27" s="393" t="e">
        <f t="shared" si="10"/>
        <v>#N/A</v>
      </c>
      <c r="AP27" s="421" t="str">
        <f t="shared" si="11"/>
        <v/>
      </c>
      <c r="AQ27" s="425">
        <f t="shared" si="12"/>
        <v>0</v>
      </c>
      <c r="AR27" s="423" t="str">
        <f t="shared" si="13"/>
        <v/>
      </c>
      <c r="AS27" s="424">
        <f t="shared" si="14"/>
        <v>0</v>
      </c>
      <c r="AT27" s="423" t="str">
        <f t="shared" si="15"/>
        <v/>
      </c>
      <c r="AU27" s="420">
        <f t="shared" si="16"/>
        <v>0</v>
      </c>
      <c r="AV27" s="422" t="str">
        <f t="shared" si="17"/>
        <v/>
      </c>
      <c r="AW27" s="420" t="b">
        <f t="shared" si="18"/>
        <v>0</v>
      </c>
      <c r="AX27" s="419" t="b">
        <f t="shared" si="19"/>
        <v>0</v>
      </c>
      <c r="AY27" s="420" t="b">
        <f t="shared" si="20"/>
        <v>0</v>
      </c>
      <c r="AZ27" s="419" t="b">
        <f t="shared" si="21"/>
        <v>0</v>
      </c>
      <c r="BA27" s="421" t="b">
        <f t="shared" si="22"/>
        <v>0</v>
      </c>
      <c r="BB27" s="421" t="b">
        <f t="shared" si="23"/>
        <v>0</v>
      </c>
      <c r="BC27" s="420" t="b">
        <f t="shared" si="24"/>
        <v>0</v>
      </c>
      <c r="BD27" s="393" t="b">
        <f t="shared" si="25"/>
        <v>0</v>
      </c>
      <c r="BE27" s="419" t="b">
        <f t="shared" si="26"/>
        <v>0</v>
      </c>
      <c r="BF27" s="418" t="b">
        <f t="shared" si="27"/>
        <v>0</v>
      </c>
      <c r="BG27" s="417" t="str">
        <f t="shared" si="28"/>
        <v>NA</v>
      </c>
      <c r="BH27" s="417" t="str">
        <f t="shared" si="29"/>
        <v/>
      </c>
      <c r="BI27" s="417" t="str">
        <f t="shared" si="30"/>
        <v/>
      </c>
      <c r="BJ27" s="417" t="str">
        <f t="shared" si="31"/>
        <v/>
      </c>
      <c r="BK27" s="417" t="str">
        <f t="shared" si="32"/>
        <v/>
      </c>
      <c r="BL27" s="435" t="str">
        <f t="shared" si="33"/>
        <v/>
      </c>
      <c r="BM27" s="417" t="str">
        <f t="shared" si="34"/>
        <v/>
      </c>
      <c r="BN27" s="417" t="str">
        <f t="shared" si="35"/>
        <v/>
      </c>
      <c r="BO27" s="1630"/>
      <c r="BP27" s="443" t="s">
        <v>232</v>
      </c>
      <c r="BQ27" s="446">
        <f t="shared" si="37"/>
        <v>0.6</v>
      </c>
      <c r="BR27" s="445">
        <f t="shared" si="38"/>
        <v>0.7</v>
      </c>
      <c r="BS27" s="445">
        <f t="shared" si="39"/>
        <v>0.8</v>
      </c>
      <c r="BT27" s="445">
        <f t="shared" si="40"/>
        <v>0.9</v>
      </c>
      <c r="BU27" s="444">
        <f t="shared" si="41"/>
        <v>1</v>
      </c>
    </row>
    <row r="28" spans="2:75" s="416" customFormat="1" ht="12.95" customHeight="1" x14ac:dyDescent="0.25">
      <c r="B28" s="433" t="str">
        <f>IF(ISNA(Z28),"",IF(OR(Z28=1,Z28=2),"    ",MAX($B$9:B27)+1))</f>
        <v/>
      </c>
      <c r="C28" s="1618" t="str">
        <f t="shared" si="0"/>
        <v/>
      </c>
      <c r="D28" s="1618"/>
      <c r="E28" s="1618"/>
      <c r="F28" s="1619"/>
      <c r="G28" s="437" t="str">
        <f t="shared" si="1"/>
        <v/>
      </c>
      <c r="H28" s="431" t="str">
        <f t="shared" si="2"/>
        <v/>
      </c>
      <c r="I28" s="436" t="str">
        <f t="shared" si="3"/>
        <v/>
      </c>
      <c r="J28" s="429"/>
      <c r="K28" s="428"/>
      <c r="L28" s="1612"/>
      <c r="M28" s="1613"/>
      <c r="N28" s="1613"/>
      <c r="O28" s="1613"/>
      <c r="P28" s="1613"/>
      <c r="Q28" s="1613"/>
      <c r="R28" s="1614"/>
      <c r="T28" s="401">
        <v>20</v>
      </c>
      <c r="U28" s="374" t="e">
        <v>#N/A</v>
      </c>
      <c r="V28" s="421" t="e">
        <v>#N/A</v>
      </c>
      <c r="W28" s="421" t="e">
        <v>#N/A</v>
      </c>
      <c r="X28" s="421" t="e">
        <v>#N/A</v>
      </c>
      <c r="Y28" s="421" t="e">
        <v>#N/A</v>
      </c>
      <c r="Z28" s="393" t="e">
        <v>#N/A</v>
      </c>
      <c r="AA28" s="393" t="e">
        <v>#N/A</v>
      </c>
      <c r="AB28" s="393" t="e">
        <v>#N/A</v>
      </c>
      <c r="AC28" s="421" t="e">
        <v>#N/A</v>
      </c>
      <c r="AD28" s="421" t="e">
        <v>#N/A</v>
      </c>
      <c r="AE28" s="421" t="e">
        <v>#N/A</v>
      </c>
      <c r="AF28" s="421" t="e">
        <v>#N/A</v>
      </c>
      <c r="AG28" s="421" t="e">
        <f t="shared" si="4"/>
        <v>#N/A</v>
      </c>
      <c r="AH28" s="421" t="str">
        <f t="shared" si="5"/>
        <v/>
      </c>
      <c r="AI28" s="427" t="e">
        <f>IF(NOT(OR(Z28=1,Z28=2)),IF(AQ28&gt;0,$AR$45*AQ28/SUMIF($AQ$9:$AQ$40,"&gt;0"),IF(AU28&gt;0,$AV$45*AU28/SUMIF($AU$9:$AU$40,"&gt;0"),IF(AS28&gt;0,$AT$45*AS28/SUMIF($AS$9:$AS$40,"&gt;0"),""))),IF(SUMIF(AJ29:$AJ$40,"=" &amp; AJ28,AI29:$AI$40)=0,"",SUMIF(AJ29:$AJ$40,"=" &amp; AJ28,AI29:$AI$40)))</f>
        <v>#N/A</v>
      </c>
      <c r="AJ28" s="426" t="e">
        <f t="shared" si="36"/>
        <v>#N/A</v>
      </c>
      <c r="AK28" s="421" t="str">
        <f t="shared" si="6"/>
        <v/>
      </c>
      <c r="AL28" s="393" t="str">
        <f t="shared" si="7"/>
        <v/>
      </c>
      <c r="AM28" s="393" t="str">
        <f t="shared" si="8"/>
        <v/>
      </c>
      <c r="AN28" s="393" t="str">
        <f t="shared" si="9"/>
        <v/>
      </c>
      <c r="AO28" s="393" t="e">
        <f t="shared" si="10"/>
        <v>#N/A</v>
      </c>
      <c r="AP28" s="421" t="str">
        <f t="shared" si="11"/>
        <v/>
      </c>
      <c r="AQ28" s="425">
        <f t="shared" si="12"/>
        <v>0</v>
      </c>
      <c r="AR28" s="423" t="str">
        <f t="shared" si="13"/>
        <v/>
      </c>
      <c r="AS28" s="424">
        <f t="shared" si="14"/>
        <v>0</v>
      </c>
      <c r="AT28" s="423" t="str">
        <f t="shared" si="15"/>
        <v/>
      </c>
      <c r="AU28" s="420">
        <f t="shared" si="16"/>
        <v>0</v>
      </c>
      <c r="AV28" s="422" t="str">
        <f t="shared" si="17"/>
        <v/>
      </c>
      <c r="AW28" s="420" t="b">
        <f t="shared" si="18"/>
        <v>0</v>
      </c>
      <c r="AX28" s="419" t="b">
        <f t="shared" si="19"/>
        <v>0</v>
      </c>
      <c r="AY28" s="420" t="b">
        <f t="shared" si="20"/>
        <v>0</v>
      </c>
      <c r="AZ28" s="419" t="b">
        <f t="shared" si="21"/>
        <v>0</v>
      </c>
      <c r="BA28" s="421" t="b">
        <f t="shared" si="22"/>
        <v>0</v>
      </c>
      <c r="BB28" s="421" t="b">
        <f t="shared" si="23"/>
        <v>0</v>
      </c>
      <c r="BC28" s="420" t="b">
        <f t="shared" si="24"/>
        <v>0</v>
      </c>
      <c r="BD28" s="393" t="b">
        <f t="shared" si="25"/>
        <v>0</v>
      </c>
      <c r="BE28" s="419" t="b">
        <f t="shared" si="26"/>
        <v>0</v>
      </c>
      <c r="BF28" s="418" t="b">
        <f t="shared" si="27"/>
        <v>0</v>
      </c>
      <c r="BG28" s="417" t="str">
        <f t="shared" si="28"/>
        <v>NA</v>
      </c>
      <c r="BH28" s="417" t="str">
        <f t="shared" si="29"/>
        <v/>
      </c>
      <c r="BI28" s="417" t="str">
        <f t="shared" si="30"/>
        <v/>
      </c>
      <c r="BJ28" s="417" t="str">
        <f t="shared" si="31"/>
        <v/>
      </c>
      <c r="BK28" s="417" t="str">
        <f t="shared" si="32"/>
        <v/>
      </c>
      <c r="BL28" s="435" t="str">
        <f t="shared" si="33"/>
        <v/>
      </c>
      <c r="BM28" s="417" t="str">
        <f t="shared" si="34"/>
        <v/>
      </c>
      <c r="BN28" s="417" t="str">
        <f t="shared" si="35"/>
        <v/>
      </c>
      <c r="BO28" s="1630"/>
      <c r="BP28" s="443" t="s">
        <v>233</v>
      </c>
      <c r="BQ28" s="446">
        <f t="shared" si="37"/>
        <v>0.3</v>
      </c>
      <c r="BR28" s="445">
        <f t="shared" si="38"/>
        <v>0.6</v>
      </c>
      <c r="BS28" s="445">
        <f t="shared" si="39"/>
        <v>0.9</v>
      </c>
      <c r="BT28" s="445">
        <f t="shared" si="40"/>
        <v>0.95</v>
      </c>
      <c r="BU28" s="444">
        <f t="shared" si="41"/>
        <v>1</v>
      </c>
    </row>
    <row r="29" spans="2:75" s="416" customFormat="1" ht="12.95" customHeight="1" x14ac:dyDescent="0.25">
      <c r="B29" s="433" t="str">
        <f>IF(ISNA(Z29),"",IF(OR(Z29=1,Z29=2),"    ",MAX($B$9:B28)+1))</f>
        <v/>
      </c>
      <c r="C29" s="1618" t="str">
        <f t="shared" si="0"/>
        <v/>
      </c>
      <c r="D29" s="1618"/>
      <c r="E29" s="1618"/>
      <c r="F29" s="1619"/>
      <c r="G29" s="437" t="str">
        <f t="shared" si="1"/>
        <v/>
      </c>
      <c r="H29" s="431" t="str">
        <f t="shared" si="2"/>
        <v/>
      </c>
      <c r="I29" s="436" t="str">
        <f t="shared" si="3"/>
        <v/>
      </c>
      <c r="J29" s="429"/>
      <c r="K29" s="428"/>
      <c r="L29" s="1612"/>
      <c r="M29" s="1613"/>
      <c r="N29" s="1613"/>
      <c r="O29" s="1613"/>
      <c r="P29" s="1613"/>
      <c r="Q29" s="1613"/>
      <c r="R29" s="1614"/>
      <c r="T29" s="401">
        <v>21</v>
      </c>
      <c r="U29" s="374" t="e">
        <v>#N/A</v>
      </c>
      <c r="V29" s="421" t="e">
        <v>#N/A</v>
      </c>
      <c r="W29" s="421" t="e">
        <v>#N/A</v>
      </c>
      <c r="X29" s="421" t="e">
        <v>#N/A</v>
      </c>
      <c r="Y29" s="421" t="e">
        <v>#N/A</v>
      </c>
      <c r="Z29" s="393" t="e">
        <v>#N/A</v>
      </c>
      <c r="AA29" s="393" t="e">
        <v>#N/A</v>
      </c>
      <c r="AB29" s="393" t="e">
        <v>#N/A</v>
      </c>
      <c r="AC29" s="421" t="e">
        <v>#N/A</v>
      </c>
      <c r="AD29" s="421" t="e">
        <v>#N/A</v>
      </c>
      <c r="AE29" s="421" t="e">
        <v>#N/A</v>
      </c>
      <c r="AF29" s="421" t="e">
        <v>#N/A</v>
      </c>
      <c r="AG29" s="421" t="e">
        <f t="shared" si="4"/>
        <v>#N/A</v>
      </c>
      <c r="AH29" s="421" t="str">
        <f t="shared" si="5"/>
        <v/>
      </c>
      <c r="AI29" s="427" t="e">
        <f>IF(NOT(OR(Z29=1,Z29=2)),IF(AQ29&gt;0,$AR$45*AQ29/SUMIF($AQ$9:$AQ$40,"&gt;0"),IF(AU29&gt;0,$AV$45*AU29/SUMIF($AU$9:$AU$40,"&gt;0"),IF(AS29&gt;0,$AT$45*AS29/SUMIF($AS$9:$AS$40,"&gt;0"),""))),IF(SUMIF(AJ30:$AJ$40,"=" &amp; AJ29,AI30:$AI$40)=0,"",SUMIF(AJ30:$AJ$40,"=" &amp; AJ29,AI30:$AI$40)))</f>
        <v>#N/A</v>
      </c>
      <c r="AJ29" s="426" t="e">
        <f t="shared" si="36"/>
        <v>#N/A</v>
      </c>
      <c r="AK29" s="421" t="str">
        <f t="shared" si="6"/>
        <v/>
      </c>
      <c r="AL29" s="393" t="str">
        <f t="shared" si="7"/>
        <v/>
      </c>
      <c r="AM29" s="393" t="str">
        <f t="shared" si="8"/>
        <v/>
      </c>
      <c r="AN29" s="393" t="str">
        <f t="shared" si="9"/>
        <v/>
      </c>
      <c r="AO29" s="393" t="e">
        <f t="shared" si="10"/>
        <v>#N/A</v>
      </c>
      <c r="AP29" s="421" t="str">
        <f t="shared" si="11"/>
        <v/>
      </c>
      <c r="AQ29" s="425">
        <f t="shared" si="12"/>
        <v>0</v>
      </c>
      <c r="AR29" s="423" t="str">
        <f t="shared" si="13"/>
        <v/>
      </c>
      <c r="AS29" s="424">
        <f t="shared" si="14"/>
        <v>0</v>
      </c>
      <c r="AT29" s="423" t="str">
        <f t="shared" si="15"/>
        <v/>
      </c>
      <c r="AU29" s="420">
        <f t="shared" si="16"/>
        <v>0</v>
      </c>
      <c r="AV29" s="422" t="str">
        <f t="shared" si="17"/>
        <v/>
      </c>
      <c r="AW29" s="420" t="b">
        <f t="shared" si="18"/>
        <v>0</v>
      </c>
      <c r="AX29" s="419" t="b">
        <f t="shared" si="19"/>
        <v>0</v>
      </c>
      <c r="AY29" s="420" t="b">
        <f t="shared" si="20"/>
        <v>0</v>
      </c>
      <c r="AZ29" s="419" t="b">
        <f t="shared" si="21"/>
        <v>0</v>
      </c>
      <c r="BA29" s="421" t="b">
        <f t="shared" si="22"/>
        <v>0</v>
      </c>
      <c r="BB29" s="421" t="b">
        <f t="shared" si="23"/>
        <v>0</v>
      </c>
      <c r="BC29" s="420" t="b">
        <f t="shared" si="24"/>
        <v>0</v>
      </c>
      <c r="BD29" s="393" t="b">
        <f t="shared" si="25"/>
        <v>0</v>
      </c>
      <c r="BE29" s="419" t="b">
        <f t="shared" si="26"/>
        <v>0</v>
      </c>
      <c r="BF29" s="418" t="b">
        <f t="shared" si="27"/>
        <v>0</v>
      </c>
      <c r="BG29" s="417" t="str">
        <f t="shared" si="28"/>
        <v>NA</v>
      </c>
      <c r="BH29" s="417" t="str">
        <f t="shared" si="29"/>
        <v/>
      </c>
      <c r="BI29" s="417" t="str">
        <f t="shared" si="30"/>
        <v/>
      </c>
      <c r="BJ29" s="417" t="str">
        <f t="shared" si="31"/>
        <v/>
      </c>
      <c r="BK29" s="417" t="str">
        <f t="shared" si="32"/>
        <v/>
      </c>
      <c r="BL29" s="435" t="str">
        <f t="shared" si="33"/>
        <v/>
      </c>
      <c r="BM29" s="417" t="str">
        <f t="shared" si="34"/>
        <v/>
      </c>
      <c r="BN29" s="417" t="str">
        <f t="shared" si="35"/>
        <v/>
      </c>
      <c r="BO29" s="1630"/>
      <c r="BP29" s="443" t="s">
        <v>234</v>
      </c>
      <c r="BQ29" s="446">
        <f t="shared" si="37"/>
        <v>0.3</v>
      </c>
      <c r="BR29" s="445">
        <f t="shared" si="38"/>
        <v>0.6</v>
      </c>
      <c r="BS29" s="445">
        <f t="shared" si="39"/>
        <v>0.7</v>
      </c>
      <c r="BT29" s="445">
        <f t="shared" si="40"/>
        <v>0.9</v>
      </c>
      <c r="BU29" s="444">
        <f t="shared" si="41"/>
        <v>1</v>
      </c>
    </row>
    <row r="30" spans="2:75" s="416" customFormat="1" ht="12.95" customHeight="1" x14ac:dyDescent="0.25">
      <c r="B30" s="433" t="str">
        <f>IF(ISNA(Z30),"",IF(OR(Z30=1,Z30=2),"    ",MAX($B$9:B29)+1))</f>
        <v/>
      </c>
      <c r="C30" s="1618" t="str">
        <f t="shared" si="0"/>
        <v/>
      </c>
      <c r="D30" s="1618"/>
      <c r="E30" s="1618"/>
      <c r="F30" s="1619"/>
      <c r="G30" s="437" t="str">
        <f t="shared" si="1"/>
        <v/>
      </c>
      <c r="H30" s="431" t="str">
        <f t="shared" si="2"/>
        <v/>
      </c>
      <c r="I30" s="436" t="str">
        <f t="shared" si="3"/>
        <v/>
      </c>
      <c r="J30" s="429"/>
      <c r="K30" s="428"/>
      <c r="L30" s="1612"/>
      <c r="M30" s="1613"/>
      <c r="N30" s="1613"/>
      <c r="O30" s="1613"/>
      <c r="P30" s="1613"/>
      <c r="Q30" s="1613"/>
      <c r="R30" s="1614"/>
      <c r="T30" s="401">
        <v>22</v>
      </c>
      <c r="U30" s="374" t="e">
        <v>#N/A</v>
      </c>
      <c r="V30" s="421" t="e">
        <v>#N/A</v>
      </c>
      <c r="W30" s="421" t="e">
        <v>#N/A</v>
      </c>
      <c r="X30" s="421" t="e">
        <v>#N/A</v>
      </c>
      <c r="Y30" s="421" t="e">
        <v>#N/A</v>
      </c>
      <c r="Z30" s="393" t="e">
        <v>#N/A</v>
      </c>
      <c r="AA30" s="393" t="e">
        <v>#N/A</v>
      </c>
      <c r="AB30" s="393" t="e">
        <v>#N/A</v>
      </c>
      <c r="AC30" s="421" t="e">
        <v>#N/A</v>
      </c>
      <c r="AD30" s="421" t="e">
        <v>#N/A</v>
      </c>
      <c r="AE30" s="421" t="e">
        <v>#N/A</v>
      </c>
      <c r="AF30" s="421" t="e">
        <v>#N/A</v>
      </c>
      <c r="AG30" s="421" t="e">
        <f t="shared" si="4"/>
        <v>#N/A</v>
      </c>
      <c r="AH30" s="421" t="str">
        <f t="shared" si="5"/>
        <v/>
      </c>
      <c r="AI30" s="427" t="e">
        <f>IF(NOT(OR(Z30=1,Z30=2)),IF(AQ30&gt;0,$AR$45*AQ30/SUMIF($AQ$9:$AQ$40,"&gt;0"),IF(AU30&gt;0,$AV$45*AU30/SUMIF($AU$9:$AU$40,"&gt;0"),IF(AS30&gt;0,$AT$45*AS30/SUMIF($AS$9:$AS$40,"&gt;0"),""))),IF(SUMIF(AJ31:$AJ$40,"=" &amp; AJ30,AI31:$AI$40)=0,"",SUMIF(AJ31:$AJ$40,"=" &amp; AJ30,AI31:$AI$40)))</f>
        <v>#N/A</v>
      </c>
      <c r="AJ30" s="426" t="e">
        <f t="shared" si="36"/>
        <v>#N/A</v>
      </c>
      <c r="AK30" s="421" t="str">
        <f t="shared" si="6"/>
        <v/>
      </c>
      <c r="AL30" s="393" t="str">
        <f t="shared" si="7"/>
        <v/>
      </c>
      <c r="AM30" s="393" t="str">
        <f t="shared" si="8"/>
        <v/>
      </c>
      <c r="AN30" s="393" t="str">
        <f t="shared" si="9"/>
        <v/>
      </c>
      <c r="AO30" s="393" t="e">
        <f t="shared" si="10"/>
        <v>#N/A</v>
      </c>
      <c r="AP30" s="421" t="str">
        <f t="shared" si="11"/>
        <v/>
      </c>
      <c r="AQ30" s="425">
        <f t="shared" si="12"/>
        <v>0</v>
      </c>
      <c r="AR30" s="423" t="str">
        <f t="shared" si="13"/>
        <v/>
      </c>
      <c r="AS30" s="424">
        <f t="shared" si="14"/>
        <v>0</v>
      </c>
      <c r="AT30" s="423" t="str">
        <f t="shared" si="15"/>
        <v/>
      </c>
      <c r="AU30" s="420">
        <f t="shared" si="16"/>
        <v>0</v>
      </c>
      <c r="AV30" s="422" t="str">
        <f t="shared" si="17"/>
        <v/>
      </c>
      <c r="AW30" s="420" t="b">
        <f t="shared" si="18"/>
        <v>0</v>
      </c>
      <c r="AX30" s="419" t="b">
        <f t="shared" si="19"/>
        <v>0</v>
      </c>
      <c r="AY30" s="420" t="b">
        <f t="shared" si="20"/>
        <v>0</v>
      </c>
      <c r="AZ30" s="419" t="b">
        <f t="shared" si="21"/>
        <v>0</v>
      </c>
      <c r="BA30" s="421" t="b">
        <f t="shared" si="22"/>
        <v>0</v>
      </c>
      <c r="BB30" s="421" t="b">
        <f t="shared" si="23"/>
        <v>0</v>
      </c>
      <c r="BC30" s="420" t="b">
        <f t="shared" si="24"/>
        <v>0</v>
      </c>
      <c r="BD30" s="393" t="b">
        <f t="shared" si="25"/>
        <v>0</v>
      </c>
      <c r="BE30" s="419" t="b">
        <f t="shared" si="26"/>
        <v>0</v>
      </c>
      <c r="BF30" s="418" t="b">
        <f t="shared" si="27"/>
        <v>0</v>
      </c>
      <c r="BG30" s="417" t="str">
        <f t="shared" si="28"/>
        <v>NA</v>
      </c>
      <c r="BH30" s="417" t="str">
        <f t="shared" si="29"/>
        <v/>
      </c>
      <c r="BI30" s="417" t="str">
        <f t="shared" si="30"/>
        <v/>
      </c>
      <c r="BJ30" s="417" t="str">
        <f t="shared" si="31"/>
        <v/>
      </c>
      <c r="BK30" s="417" t="str">
        <f t="shared" si="32"/>
        <v/>
      </c>
      <c r="BL30" s="435" t="str">
        <f t="shared" si="33"/>
        <v/>
      </c>
      <c r="BM30" s="417" t="str">
        <f t="shared" si="34"/>
        <v/>
      </c>
      <c r="BN30" s="417" t="str">
        <f t="shared" si="35"/>
        <v/>
      </c>
      <c r="BO30" s="1630"/>
      <c r="BP30" s="443" t="s">
        <v>235</v>
      </c>
      <c r="BQ30" s="442">
        <f t="shared" si="37"/>
        <v>0</v>
      </c>
      <c r="BR30" s="441">
        <f t="shared" si="38"/>
        <v>0.3</v>
      </c>
      <c r="BS30" s="441">
        <f t="shared" si="39"/>
        <v>0.6</v>
      </c>
      <c r="BT30" s="441">
        <f t="shared" si="40"/>
        <v>0.9</v>
      </c>
      <c r="BU30" s="440">
        <f t="shared" si="41"/>
        <v>1</v>
      </c>
    </row>
    <row r="31" spans="2:75" s="416" customFormat="1" ht="12.95" customHeight="1" x14ac:dyDescent="0.25">
      <c r="B31" s="433" t="str">
        <f>IF(ISNA(Z31),"",IF(OR(Z31=1,Z31=2),"    ",MAX($B$9:B30)+1))</f>
        <v/>
      </c>
      <c r="C31" s="1618" t="str">
        <f t="shared" si="0"/>
        <v/>
      </c>
      <c r="D31" s="1618"/>
      <c r="E31" s="1618"/>
      <c r="F31" s="1619"/>
      <c r="G31" s="437" t="str">
        <f t="shared" si="1"/>
        <v/>
      </c>
      <c r="H31" s="431" t="str">
        <f t="shared" si="2"/>
        <v/>
      </c>
      <c r="I31" s="436" t="str">
        <f t="shared" si="3"/>
        <v/>
      </c>
      <c r="J31" s="429"/>
      <c r="K31" s="428"/>
      <c r="L31" s="1612"/>
      <c r="M31" s="1613"/>
      <c r="N31" s="1613"/>
      <c r="O31" s="1613"/>
      <c r="P31" s="1613"/>
      <c r="Q31" s="1613"/>
      <c r="R31" s="1614"/>
      <c r="T31" s="401">
        <v>23</v>
      </c>
      <c r="U31" s="374" t="e">
        <v>#N/A</v>
      </c>
      <c r="V31" s="421" t="e">
        <v>#N/A</v>
      </c>
      <c r="W31" s="421" t="e">
        <v>#N/A</v>
      </c>
      <c r="X31" s="421" t="e">
        <v>#N/A</v>
      </c>
      <c r="Y31" s="421" t="e">
        <v>#N/A</v>
      </c>
      <c r="Z31" s="393" t="e">
        <v>#N/A</v>
      </c>
      <c r="AA31" s="393" t="e">
        <v>#N/A</v>
      </c>
      <c r="AB31" s="393" t="e">
        <v>#N/A</v>
      </c>
      <c r="AC31" s="421" t="e">
        <v>#N/A</v>
      </c>
      <c r="AD31" s="421" t="e">
        <v>#N/A</v>
      </c>
      <c r="AE31" s="421" t="e">
        <v>#N/A</v>
      </c>
      <c r="AF31" s="421" t="e">
        <v>#N/A</v>
      </c>
      <c r="AG31" s="421" t="e">
        <f t="shared" si="4"/>
        <v>#N/A</v>
      </c>
      <c r="AH31" s="421" t="str">
        <f t="shared" si="5"/>
        <v/>
      </c>
      <c r="AI31" s="427" t="e">
        <f>IF(NOT(OR(Z31=1,Z31=2)),IF(AQ31&gt;0,$AR$45*AQ31/SUMIF($AQ$9:$AQ$40,"&gt;0"),IF(AU31&gt;0,$AV$45*AU31/SUMIF($AU$9:$AU$40,"&gt;0"),IF(AS31&gt;0,$AT$45*AS31/SUMIF($AS$9:$AS$40,"&gt;0"),""))),IF(SUMIF(AJ32:$AJ$40,"=" &amp; AJ31,AI32:$AI$40)=0,"",SUMIF(AJ32:$AJ$40,"=" &amp; AJ31,AI32:$AI$40)))</f>
        <v>#N/A</v>
      </c>
      <c r="AJ31" s="426" t="e">
        <f t="shared" si="36"/>
        <v>#N/A</v>
      </c>
      <c r="AK31" s="421" t="str">
        <f t="shared" si="6"/>
        <v/>
      </c>
      <c r="AL31" s="393" t="str">
        <f t="shared" si="7"/>
        <v/>
      </c>
      <c r="AM31" s="393" t="str">
        <f t="shared" si="8"/>
        <v/>
      </c>
      <c r="AN31" s="393" t="str">
        <f t="shared" si="9"/>
        <v/>
      </c>
      <c r="AO31" s="393" t="e">
        <f t="shared" si="10"/>
        <v>#N/A</v>
      </c>
      <c r="AP31" s="421" t="str">
        <f t="shared" si="11"/>
        <v/>
      </c>
      <c r="AQ31" s="425">
        <f t="shared" si="12"/>
        <v>0</v>
      </c>
      <c r="AR31" s="423" t="str">
        <f t="shared" si="13"/>
        <v/>
      </c>
      <c r="AS31" s="424">
        <f t="shared" si="14"/>
        <v>0</v>
      </c>
      <c r="AT31" s="423" t="str">
        <f t="shared" si="15"/>
        <v/>
      </c>
      <c r="AU31" s="420">
        <f t="shared" si="16"/>
        <v>0</v>
      </c>
      <c r="AV31" s="422" t="str">
        <f t="shared" si="17"/>
        <v/>
      </c>
      <c r="AW31" s="420" t="b">
        <f t="shared" si="18"/>
        <v>0</v>
      </c>
      <c r="AX31" s="419" t="b">
        <f t="shared" si="19"/>
        <v>0</v>
      </c>
      <c r="AY31" s="420" t="b">
        <f t="shared" si="20"/>
        <v>0</v>
      </c>
      <c r="AZ31" s="419" t="b">
        <f t="shared" si="21"/>
        <v>0</v>
      </c>
      <c r="BA31" s="421" t="b">
        <f t="shared" si="22"/>
        <v>0</v>
      </c>
      <c r="BB31" s="421" t="b">
        <f t="shared" si="23"/>
        <v>0</v>
      </c>
      <c r="BC31" s="420" t="b">
        <f t="shared" si="24"/>
        <v>0</v>
      </c>
      <c r="BD31" s="393" t="b">
        <f t="shared" si="25"/>
        <v>0</v>
      </c>
      <c r="BE31" s="419" t="b">
        <f t="shared" si="26"/>
        <v>0</v>
      </c>
      <c r="BF31" s="418" t="b">
        <f t="shared" si="27"/>
        <v>0</v>
      </c>
      <c r="BG31" s="417" t="str">
        <f t="shared" si="28"/>
        <v>NA</v>
      </c>
      <c r="BH31" s="417" t="str">
        <f t="shared" si="29"/>
        <v/>
      </c>
      <c r="BI31" s="417" t="str">
        <f t="shared" si="30"/>
        <v/>
      </c>
      <c r="BJ31" s="417" t="str">
        <f t="shared" si="31"/>
        <v/>
      </c>
      <c r="BK31" s="417" t="str">
        <f t="shared" si="32"/>
        <v/>
      </c>
      <c r="BL31" s="435" t="str">
        <f t="shared" si="33"/>
        <v/>
      </c>
      <c r="BM31" s="417" t="str">
        <f t="shared" si="34"/>
        <v/>
      </c>
      <c r="BN31" s="417" t="str">
        <f t="shared" si="35"/>
        <v/>
      </c>
      <c r="BO31" s="372"/>
    </row>
    <row r="32" spans="2:75" s="416" customFormat="1" ht="12.95" customHeight="1" x14ac:dyDescent="0.25">
      <c r="B32" s="433" t="str">
        <f>IF(ISNA(Z32),"",IF(OR(Z32=1,Z32=2),"    ",MAX($B$9:B31)+1))</f>
        <v/>
      </c>
      <c r="C32" s="1618" t="str">
        <f t="shared" si="0"/>
        <v/>
      </c>
      <c r="D32" s="1618"/>
      <c r="E32" s="1618"/>
      <c r="F32" s="1619"/>
      <c r="G32" s="437" t="str">
        <f t="shared" si="1"/>
        <v/>
      </c>
      <c r="H32" s="431" t="str">
        <f t="shared" si="2"/>
        <v/>
      </c>
      <c r="I32" s="436" t="str">
        <f t="shared" si="3"/>
        <v/>
      </c>
      <c r="J32" s="429"/>
      <c r="K32" s="428"/>
      <c r="L32" s="1612"/>
      <c r="M32" s="1613"/>
      <c r="N32" s="1613"/>
      <c r="O32" s="1613"/>
      <c r="P32" s="1613"/>
      <c r="Q32" s="1613"/>
      <c r="R32" s="1614"/>
      <c r="T32" s="401">
        <v>24</v>
      </c>
      <c r="U32" s="374" t="e">
        <v>#N/A</v>
      </c>
      <c r="V32" s="421" t="e">
        <v>#N/A</v>
      </c>
      <c r="W32" s="421" t="e">
        <v>#N/A</v>
      </c>
      <c r="X32" s="421" t="e">
        <v>#N/A</v>
      </c>
      <c r="Y32" s="421" t="e">
        <v>#N/A</v>
      </c>
      <c r="Z32" s="393" t="e">
        <v>#N/A</v>
      </c>
      <c r="AA32" s="393" t="e">
        <v>#N/A</v>
      </c>
      <c r="AB32" s="393" t="e">
        <v>#N/A</v>
      </c>
      <c r="AC32" s="421" t="e">
        <v>#N/A</v>
      </c>
      <c r="AD32" s="421" t="e">
        <v>#N/A</v>
      </c>
      <c r="AE32" s="421" t="e">
        <v>#N/A</v>
      </c>
      <c r="AF32" s="421" t="e">
        <v>#N/A</v>
      </c>
      <c r="AG32" s="421" t="e">
        <f t="shared" si="4"/>
        <v>#N/A</v>
      </c>
      <c r="AH32" s="421" t="str">
        <f t="shared" si="5"/>
        <v/>
      </c>
      <c r="AI32" s="427" t="e">
        <f>IF(NOT(OR(Z32=1,Z32=2)),IF(AQ32&gt;0,$AR$45*AQ32/SUMIF($AQ$9:$AQ$40,"&gt;0"),IF(AU32&gt;0,$AV$45*AU32/SUMIF($AU$9:$AU$40,"&gt;0"),IF(AS32&gt;0,$AT$45*AS32/SUMIF($AS$9:$AS$40,"&gt;0"),""))),IF(SUMIF(AJ33:$AJ$40,"=" &amp; AJ32,AI33:$AI$40)=0,"",SUMIF(AJ33:$AJ$40,"=" &amp; AJ32,AI33:$AI$40)))</f>
        <v>#N/A</v>
      </c>
      <c r="AJ32" s="426" t="e">
        <f t="shared" si="36"/>
        <v>#N/A</v>
      </c>
      <c r="AK32" s="421" t="str">
        <f t="shared" si="6"/>
        <v/>
      </c>
      <c r="AL32" s="393" t="str">
        <f t="shared" si="7"/>
        <v/>
      </c>
      <c r="AM32" s="393" t="str">
        <f t="shared" si="8"/>
        <v/>
      </c>
      <c r="AN32" s="393" t="str">
        <f t="shared" si="9"/>
        <v/>
      </c>
      <c r="AO32" s="393" t="e">
        <f t="shared" si="10"/>
        <v>#N/A</v>
      </c>
      <c r="AP32" s="421" t="str">
        <f t="shared" si="11"/>
        <v/>
      </c>
      <c r="AQ32" s="425">
        <f t="shared" si="12"/>
        <v>0</v>
      </c>
      <c r="AR32" s="423" t="str">
        <f t="shared" si="13"/>
        <v/>
      </c>
      <c r="AS32" s="424">
        <f t="shared" si="14"/>
        <v>0</v>
      </c>
      <c r="AT32" s="423" t="str">
        <f t="shared" si="15"/>
        <v/>
      </c>
      <c r="AU32" s="420">
        <f t="shared" si="16"/>
        <v>0</v>
      </c>
      <c r="AV32" s="422" t="str">
        <f t="shared" si="17"/>
        <v/>
      </c>
      <c r="AW32" s="420" t="b">
        <f t="shared" si="18"/>
        <v>0</v>
      </c>
      <c r="AX32" s="419" t="b">
        <f t="shared" si="19"/>
        <v>0</v>
      </c>
      <c r="AY32" s="420" t="b">
        <f t="shared" si="20"/>
        <v>0</v>
      </c>
      <c r="AZ32" s="419" t="b">
        <f t="shared" si="21"/>
        <v>0</v>
      </c>
      <c r="BA32" s="421" t="b">
        <f t="shared" si="22"/>
        <v>0</v>
      </c>
      <c r="BB32" s="421" t="b">
        <f t="shared" si="23"/>
        <v>0</v>
      </c>
      <c r="BC32" s="420" t="b">
        <f t="shared" si="24"/>
        <v>0</v>
      </c>
      <c r="BD32" s="393" t="b">
        <f t="shared" si="25"/>
        <v>0</v>
      </c>
      <c r="BE32" s="419" t="b">
        <f t="shared" si="26"/>
        <v>0</v>
      </c>
      <c r="BF32" s="418" t="b">
        <f t="shared" si="27"/>
        <v>0</v>
      </c>
      <c r="BG32" s="417" t="str">
        <f t="shared" si="28"/>
        <v>NA</v>
      </c>
      <c r="BH32" s="417" t="str">
        <f t="shared" si="29"/>
        <v/>
      </c>
      <c r="BI32" s="417" t="str">
        <f t="shared" si="30"/>
        <v/>
      </c>
      <c r="BJ32" s="417" t="str">
        <f t="shared" si="31"/>
        <v/>
      </c>
      <c r="BK32" s="417" t="str">
        <f t="shared" si="32"/>
        <v/>
      </c>
      <c r="BL32" s="435" t="str">
        <f t="shared" si="33"/>
        <v/>
      </c>
      <c r="BM32" s="417" t="str">
        <f t="shared" si="34"/>
        <v/>
      </c>
      <c r="BN32" s="417" t="str">
        <f t="shared" si="35"/>
        <v/>
      </c>
      <c r="BO32" s="439" t="s">
        <v>236</v>
      </c>
      <c r="BP32" s="438" t="s">
        <v>237</v>
      </c>
    </row>
    <row r="33" spans="2:73 1271:1271" s="416" customFormat="1" ht="12.95" customHeight="1" x14ac:dyDescent="0.25">
      <c r="B33" s="433" t="str">
        <f>IF(ISNA(Z33),"",IF(OR(Z33=1,Z33=2),"    ",MAX($B$9:B32)+1))</f>
        <v/>
      </c>
      <c r="C33" s="1618" t="str">
        <f t="shared" si="0"/>
        <v/>
      </c>
      <c r="D33" s="1618"/>
      <c r="E33" s="1618"/>
      <c r="F33" s="1619"/>
      <c r="G33" s="437" t="str">
        <f t="shared" si="1"/>
        <v/>
      </c>
      <c r="H33" s="431" t="str">
        <f t="shared" si="2"/>
        <v/>
      </c>
      <c r="I33" s="436" t="str">
        <f t="shared" si="3"/>
        <v/>
      </c>
      <c r="J33" s="429"/>
      <c r="K33" s="428"/>
      <c r="L33" s="1612"/>
      <c r="M33" s="1613"/>
      <c r="N33" s="1613"/>
      <c r="O33" s="1613"/>
      <c r="P33" s="1613"/>
      <c r="Q33" s="1613"/>
      <c r="R33" s="1614"/>
      <c r="T33" s="401">
        <v>25</v>
      </c>
      <c r="U33" s="374" t="e">
        <v>#N/A</v>
      </c>
      <c r="V33" s="421" t="e">
        <v>#N/A</v>
      </c>
      <c r="W33" s="421" t="e">
        <v>#N/A</v>
      </c>
      <c r="X33" s="421" t="e">
        <v>#N/A</v>
      </c>
      <c r="Y33" s="421" t="e">
        <v>#N/A</v>
      </c>
      <c r="Z33" s="393" t="e">
        <v>#N/A</v>
      </c>
      <c r="AA33" s="393" t="e">
        <v>#N/A</v>
      </c>
      <c r="AB33" s="393" t="e">
        <v>#N/A</v>
      </c>
      <c r="AC33" s="421" t="e">
        <v>#N/A</v>
      </c>
      <c r="AD33" s="421" t="e">
        <v>#N/A</v>
      </c>
      <c r="AE33" s="421" t="e">
        <v>#N/A</v>
      </c>
      <c r="AF33" s="421" t="e">
        <v>#N/A</v>
      </c>
      <c r="AG33" s="421" t="e">
        <f t="shared" si="4"/>
        <v>#N/A</v>
      </c>
      <c r="AH33" s="421" t="str">
        <f t="shared" si="5"/>
        <v/>
      </c>
      <c r="AI33" s="427" t="e">
        <f>IF(NOT(OR(Z33=1,Z33=2)),IF(AQ33&gt;0,$AR$45*AQ33/SUMIF($AQ$9:$AQ$40,"&gt;0"),IF(AU33&gt;0,$AV$45*AU33/SUMIF($AU$9:$AU$40,"&gt;0"),IF(AS33&gt;0,$AT$45*AS33/SUMIF($AS$9:$AS$40,"&gt;0"),""))),IF(SUMIF(AJ34:$AJ$40,"=" &amp; AJ33,AI34:$AI$40)=0,"",SUMIF(AJ34:$AJ$40,"=" &amp; AJ33,AI34:$AI$40)))</f>
        <v>#N/A</v>
      </c>
      <c r="AJ33" s="426" t="e">
        <f t="shared" si="36"/>
        <v>#N/A</v>
      </c>
      <c r="AK33" s="421" t="str">
        <f t="shared" si="6"/>
        <v/>
      </c>
      <c r="AL33" s="393" t="str">
        <f t="shared" si="7"/>
        <v/>
      </c>
      <c r="AM33" s="393" t="str">
        <f t="shared" si="8"/>
        <v/>
      </c>
      <c r="AN33" s="393" t="str">
        <f t="shared" si="9"/>
        <v/>
      </c>
      <c r="AO33" s="393" t="e">
        <f t="shared" si="10"/>
        <v>#N/A</v>
      </c>
      <c r="AP33" s="421" t="str">
        <f t="shared" si="11"/>
        <v/>
      </c>
      <c r="AQ33" s="425">
        <f t="shared" si="12"/>
        <v>0</v>
      </c>
      <c r="AR33" s="423" t="str">
        <f t="shared" si="13"/>
        <v/>
      </c>
      <c r="AS33" s="424">
        <f t="shared" si="14"/>
        <v>0</v>
      </c>
      <c r="AT33" s="423" t="str">
        <f t="shared" si="15"/>
        <v/>
      </c>
      <c r="AU33" s="420">
        <f t="shared" si="16"/>
        <v>0</v>
      </c>
      <c r="AV33" s="422" t="str">
        <f t="shared" si="17"/>
        <v/>
      </c>
      <c r="AW33" s="420" t="b">
        <f t="shared" si="18"/>
        <v>0</v>
      </c>
      <c r="AX33" s="419" t="b">
        <f t="shared" si="19"/>
        <v>0</v>
      </c>
      <c r="AY33" s="420" t="b">
        <f t="shared" si="20"/>
        <v>0</v>
      </c>
      <c r="AZ33" s="419" t="b">
        <f t="shared" si="21"/>
        <v>0</v>
      </c>
      <c r="BA33" s="421" t="b">
        <f t="shared" si="22"/>
        <v>0</v>
      </c>
      <c r="BB33" s="421" t="b">
        <f t="shared" si="23"/>
        <v>0</v>
      </c>
      <c r="BC33" s="420" t="b">
        <f t="shared" si="24"/>
        <v>0</v>
      </c>
      <c r="BD33" s="393" t="b">
        <f t="shared" si="25"/>
        <v>0</v>
      </c>
      <c r="BE33" s="419" t="b">
        <f t="shared" si="26"/>
        <v>0</v>
      </c>
      <c r="BF33" s="418" t="b">
        <f t="shared" si="27"/>
        <v>0</v>
      </c>
      <c r="BG33" s="417" t="str">
        <f t="shared" si="28"/>
        <v>NA</v>
      </c>
      <c r="BH33" s="417" t="str">
        <f t="shared" si="29"/>
        <v/>
      </c>
      <c r="BI33" s="417" t="str">
        <f t="shared" si="30"/>
        <v/>
      </c>
      <c r="BJ33" s="417" t="str">
        <f t="shared" si="31"/>
        <v/>
      </c>
      <c r="BK33" s="417" t="str">
        <f t="shared" si="32"/>
        <v/>
      </c>
      <c r="BL33" s="435" t="str">
        <f t="shared" si="33"/>
        <v/>
      </c>
      <c r="BM33" s="417" t="str">
        <f t="shared" si="34"/>
        <v/>
      </c>
      <c r="BN33" s="417" t="str">
        <f t="shared" si="35"/>
        <v/>
      </c>
      <c r="BO33" s="439" t="s">
        <v>238</v>
      </c>
      <c r="BP33" s="438" t="s">
        <v>239</v>
      </c>
    </row>
    <row r="34" spans="2:73 1271:1271" s="416" customFormat="1" ht="12.95" customHeight="1" x14ac:dyDescent="0.25">
      <c r="B34" s="433" t="str">
        <f>IF(ISNA(Z34),"",IF(OR(Z34=1,Z34=2),"    ",MAX($B$9:B33)+1))</f>
        <v/>
      </c>
      <c r="C34" s="1618" t="str">
        <f t="shared" si="0"/>
        <v/>
      </c>
      <c r="D34" s="1618"/>
      <c r="E34" s="1618"/>
      <c r="F34" s="1619"/>
      <c r="G34" s="437" t="str">
        <f t="shared" si="1"/>
        <v/>
      </c>
      <c r="H34" s="431" t="str">
        <f t="shared" si="2"/>
        <v/>
      </c>
      <c r="I34" s="436" t="str">
        <f t="shared" si="3"/>
        <v/>
      </c>
      <c r="J34" s="429"/>
      <c r="K34" s="428"/>
      <c r="L34" s="1612"/>
      <c r="M34" s="1613"/>
      <c r="N34" s="1613"/>
      <c r="O34" s="1613"/>
      <c r="P34" s="1613"/>
      <c r="Q34" s="1613"/>
      <c r="R34" s="1614"/>
      <c r="T34" s="401">
        <v>26</v>
      </c>
      <c r="U34" s="374" t="e">
        <v>#N/A</v>
      </c>
      <c r="V34" s="421" t="e">
        <v>#N/A</v>
      </c>
      <c r="W34" s="421" t="e">
        <v>#N/A</v>
      </c>
      <c r="X34" s="421" t="e">
        <v>#N/A</v>
      </c>
      <c r="Y34" s="421" t="e">
        <v>#N/A</v>
      </c>
      <c r="Z34" s="393" t="e">
        <v>#N/A</v>
      </c>
      <c r="AA34" s="393" t="e">
        <v>#N/A</v>
      </c>
      <c r="AB34" s="393" t="e">
        <v>#N/A</v>
      </c>
      <c r="AC34" s="421" t="e">
        <v>#N/A</v>
      </c>
      <c r="AD34" s="421" t="e">
        <v>#N/A</v>
      </c>
      <c r="AE34" s="421" t="e">
        <v>#N/A</v>
      </c>
      <c r="AF34" s="421" t="e">
        <v>#N/A</v>
      </c>
      <c r="AG34" s="421" t="e">
        <f t="shared" si="4"/>
        <v>#N/A</v>
      </c>
      <c r="AH34" s="421" t="str">
        <f t="shared" si="5"/>
        <v/>
      </c>
      <c r="AI34" s="427" t="e">
        <f>IF(NOT(OR(Z34=1,Z34=2)),IF(AQ34&gt;0,$AR$45*AQ34/SUMIF($AQ$9:$AQ$40,"&gt;0"),IF(AU34&gt;0,$AV$45*AU34/SUMIF($AU$9:$AU$40,"&gt;0"),IF(AS34&gt;0,$AT$45*AS34/SUMIF($AS$9:$AS$40,"&gt;0"),""))),IF(SUMIF(AJ35:$AJ$40,"=" &amp; AJ34,AI35:$AI$40)=0,"",SUMIF(AJ35:$AJ$40,"=" &amp; AJ34,AI35:$AI$40)))</f>
        <v>#N/A</v>
      </c>
      <c r="AJ34" s="426" t="e">
        <f t="shared" si="36"/>
        <v>#N/A</v>
      </c>
      <c r="AK34" s="421" t="str">
        <f t="shared" si="6"/>
        <v/>
      </c>
      <c r="AL34" s="393" t="str">
        <f t="shared" si="7"/>
        <v/>
      </c>
      <c r="AM34" s="393" t="str">
        <f t="shared" si="8"/>
        <v/>
      </c>
      <c r="AN34" s="393" t="str">
        <f t="shared" si="9"/>
        <v/>
      </c>
      <c r="AO34" s="393" t="e">
        <f t="shared" si="10"/>
        <v>#N/A</v>
      </c>
      <c r="AP34" s="421" t="str">
        <f t="shared" si="11"/>
        <v/>
      </c>
      <c r="AQ34" s="425">
        <f t="shared" si="12"/>
        <v>0</v>
      </c>
      <c r="AR34" s="423" t="str">
        <f t="shared" si="13"/>
        <v/>
      </c>
      <c r="AS34" s="424">
        <f t="shared" si="14"/>
        <v>0</v>
      </c>
      <c r="AT34" s="423" t="str">
        <f t="shared" si="15"/>
        <v/>
      </c>
      <c r="AU34" s="420">
        <f t="shared" si="16"/>
        <v>0</v>
      </c>
      <c r="AV34" s="422" t="str">
        <f t="shared" si="17"/>
        <v/>
      </c>
      <c r="AW34" s="420" t="b">
        <f t="shared" si="18"/>
        <v>0</v>
      </c>
      <c r="AX34" s="419" t="b">
        <f t="shared" si="19"/>
        <v>0</v>
      </c>
      <c r="AY34" s="420" t="b">
        <f t="shared" si="20"/>
        <v>0</v>
      </c>
      <c r="AZ34" s="419" t="b">
        <f t="shared" si="21"/>
        <v>0</v>
      </c>
      <c r="BA34" s="421" t="b">
        <f t="shared" si="22"/>
        <v>0</v>
      </c>
      <c r="BB34" s="421" t="b">
        <f t="shared" si="23"/>
        <v>0</v>
      </c>
      <c r="BC34" s="420" t="b">
        <f t="shared" si="24"/>
        <v>0</v>
      </c>
      <c r="BD34" s="393" t="b">
        <f t="shared" si="25"/>
        <v>0</v>
      </c>
      <c r="BE34" s="419" t="b">
        <f t="shared" si="26"/>
        <v>0</v>
      </c>
      <c r="BF34" s="418" t="b">
        <f t="shared" si="27"/>
        <v>0</v>
      </c>
      <c r="BG34" s="417" t="str">
        <f t="shared" si="28"/>
        <v>NA</v>
      </c>
      <c r="BH34" s="417" t="str">
        <f t="shared" si="29"/>
        <v/>
      </c>
      <c r="BI34" s="417" t="str">
        <f t="shared" si="30"/>
        <v/>
      </c>
      <c r="BJ34" s="417" t="str">
        <f t="shared" si="31"/>
        <v/>
      </c>
      <c r="BK34" s="417" t="str">
        <f t="shared" si="32"/>
        <v/>
      </c>
      <c r="BL34" s="435" t="str">
        <f t="shared" si="33"/>
        <v/>
      </c>
      <c r="BM34" s="417" t="str">
        <f t="shared" si="34"/>
        <v/>
      </c>
      <c r="BN34" s="417" t="str">
        <f t="shared" si="35"/>
        <v/>
      </c>
      <c r="BO34" s="434" t="s">
        <v>240</v>
      </c>
      <c r="BP34" s="438"/>
      <c r="BQ34" s="438"/>
      <c r="BR34" s="438"/>
      <c r="BS34" s="438"/>
      <c r="BT34" s="438"/>
      <c r="BU34" s="438"/>
    </row>
    <row r="35" spans="2:73 1271:1271" s="416" customFormat="1" ht="12.95" customHeight="1" x14ac:dyDescent="0.25">
      <c r="B35" s="433" t="str">
        <f>IF(ISNA(Z35),"",IF(OR(Z35=1,Z35=2),"    ",MAX($B$9:B34)+1))</f>
        <v/>
      </c>
      <c r="C35" s="1618" t="str">
        <f t="shared" si="0"/>
        <v/>
      </c>
      <c r="D35" s="1618"/>
      <c r="E35" s="1618"/>
      <c r="F35" s="1619"/>
      <c r="G35" s="437" t="str">
        <f t="shared" si="1"/>
        <v/>
      </c>
      <c r="H35" s="431" t="str">
        <f t="shared" si="2"/>
        <v/>
      </c>
      <c r="I35" s="436" t="str">
        <f t="shared" si="3"/>
        <v/>
      </c>
      <c r="J35" s="429"/>
      <c r="K35" s="428"/>
      <c r="L35" s="1612"/>
      <c r="M35" s="1613"/>
      <c r="N35" s="1613"/>
      <c r="O35" s="1613"/>
      <c r="P35" s="1613"/>
      <c r="Q35" s="1613"/>
      <c r="R35" s="1614"/>
      <c r="T35" s="401">
        <v>27</v>
      </c>
      <c r="U35" s="374" t="e">
        <v>#N/A</v>
      </c>
      <c r="V35" s="421" t="e">
        <v>#N/A</v>
      </c>
      <c r="W35" s="421" t="e">
        <v>#N/A</v>
      </c>
      <c r="X35" s="421" t="e">
        <v>#N/A</v>
      </c>
      <c r="Y35" s="421" t="e">
        <v>#N/A</v>
      </c>
      <c r="Z35" s="393" t="e">
        <v>#N/A</v>
      </c>
      <c r="AA35" s="393" t="e">
        <v>#N/A</v>
      </c>
      <c r="AB35" s="393" t="e">
        <v>#N/A</v>
      </c>
      <c r="AC35" s="421" t="e">
        <v>#N/A</v>
      </c>
      <c r="AD35" s="421" t="e">
        <v>#N/A</v>
      </c>
      <c r="AE35" s="421" t="e">
        <v>#N/A</v>
      </c>
      <c r="AF35" s="421" t="e">
        <v>#N/A</v>
      </c>
      <c r="AG35" s="421" t="e">
        <f t="shared" si="4"/>
        <v>#N/A</v>
      </c>
      <c r="AH35" s="421" t="str">
        <f t="shared" si="5"/>
        <v/>
      </c>
      <c r="AI35" s="427" t="e">
        <f>IF(NOT(OR(Z35=1,Z35=2)),IF(AQ35&gt;0,$AR$45*AQ35/SUMIF($AQ$9:$AQ$40,"&gt;0"),IF(AU35&gt;0,$AV$45*AU35/SUMIF($AU$9:$AU$40,"&gt;0"),IF(AS35&gt;0,$AT$45*AS35/SUMIF($AS$9:$AS$40,"&gt;0"),""))),IF(SUMIF(AJ36:$AJ$40,"=" &amp; AJ35,AI36:$AI$40)=0,"",SUMIF(AJ36:$AJ$40,"=" &amp; AJ35,AI36:$AI$40)))</f>
        <v>#N/A</v>
      </c>
      <c r="AJ35" s="426" t="e">
        <f t="shared" si="36"/>
        <v>#N/A</v>
      </c>
      <c r="AK35" s="421" t="str">
        <f t="shared" si="6"/>
        <v/>
      </c>
      <c r="AL35" s="393" t="str">
        <f t="shared" si="7"/>
        <v/>
      </c>
      <c r="AM35" s="393" t="str">
        <f t="shared" si="8"/>
        <v/>
      </c>
      <c r="AN35" s="393" t="str">
        <f t="shared" si="9"/>
        <v/>
      </c>
      <c r="AO35" s="393" t="e">
        <f t="shared" si="10"/>
        <v>#N/A</v>
      </c>
      <c r="AP35" s="421" t="str">
        <f t="shared" si="11"/>
        <v/>
      </c>
      <c r="AQ35" s="425">
        <f t="shared" si="12"/>
        <v>0</v>
      </c>
      <c r="AR35" s="423" t="str">
        <f t="shared" si="13"/>
        <v/>
      </c>
      <c r="AS35" s="424">
        <f t="shared" si="14"/>
        <v>0</v>
      </c>
      <c r="AT35" s="423" t="str">
        <f t="shared" si="15"/>
        <v/>
      </c>
      <c r="AU35" s="420">
        <f t="shared" si="16"/>
        <v>0</v>
      </c>
      <c r="AV35" s="422" t="str">
        <f t="shared" si="17"/>
        <v/>
      </c>
      <c r="AW35" s="420" t="b">
        <f t="shared" si="18"/>
        <v>0</v>
      </c>
      <c r="AX35" s="419" t="b">
        <f t="shared" si="19"/>
        <v>0</v>
      </c>
      <c r="AY35" s="420" t="b">
        <f t="shared" si="20"/>
        <v>0</v>
      </c>
      <c r="AZ35" s="419" t="b">
        <f t="shared" si="21"/>
        <v>0</v>
      </c>
      <c r="BA35" s="421" t="b">
        <f t="shared" si="22"/>
        <v>0</v>
      </c>
      <c r="BB35" s="421" t="b">
        <f t="shared" si="23"/>
        <v>0</v>
      </c>
      <c r="BC35" s="420" t="b">
        <f t="shared" si="24"/>
        <v>0</v>
      </c>
      <c r="BD35" s="393" t="b">
        <f t="shared" si="25"/>
        <v>0</v>
      </c>
      <c r="BE35" s="419" t="b">
        <f t="shared" si="26"/>
        <v>0</v>
      </c>
      <c r="BF35" s="418" t="b">
        <f t="shared" si="27"/>
        <v>0</v>
      </c>
      <c r="BG35" s="417" t="str">
        <f t="shared" si="28"/>
        <v>NA</v>
      </c>
      <c r="BH35" s="417" t="str">
        <f t="shared" si="29"/>
        <v/>
      </c>
      <c r="BI35" s="417" t="str">
        <f t="shared" si="30"/>
        <v/>
      </c>
      <c r="BJ35" s="417" t="str">
        <f t="shared" si="31"/>
        <v/>
      </c>
      <c r="BK35" s="417" t="str">
        <f t="shared" si="32"/>
        <v/>
      </c>
      <c r="BL35" s="435" t="str">
        <f t="shared" si="33"/>
        <v/>
      </c>
      <c r="BM35" s="417" t="str">
        <f t="shared" si="34"/>
        <v/>
      </c>
      <c r="BN35" s="417" t="str">
        <f t="shared" si="35"/>
        <v/>
      </c>
      <c r="BO35" s="1620"/>
      <c r="BP35" s="1621"/>
      <c r="BQ35" s="1621"/>
      <c r="BR35" s="1621"/>
      <c r="BS35" s="1621"/>
      <c r="BT35" s="1621"/>
      <c r="BU35" s="1622"/>
    </row>
    <row r="36" spans="2:73 1271:1271" s="416" customFormat="1" ht="12.95" customHeight="1" x14ac:dyDescent="0.25">
      <c r="B36" s="433" t="str">
        <f>IF(ISNA(Z36),"",IF(OR(Z36=1,Z36=2),"    ",MAX($B$9:B35)+1))</f>
        <v/>
      </c>
      <c r="C36" s="1618" t="str">
        <f t="shared" si="0"/>
        <v/>
      </c>
      <c r="D36" s="1618"/>
      <c r="E36" s="1618"/>
      <c r="F36" s="1619"/>
      <c r="G36" s="437" t="str">
        <f t="shared" si="1"/>
        <v/>
      </c>
      <c r="H36" s="431" t="str">
        <f t="shared" si="2"/>
        <v/>
      </c>
      <c r="I36" s="436" t="str">
        <f t="shared" si="3"/>
        <v/>
      </c>
      <c r="J36" s="429"/>
      <c r="K36" s="428"/>
      <c r="L36" s="1612"/>
      <c r="M36" s="1613"/>
      <c r="N36" s="1613"/>
      <c r="O36" s="1613"/>
      <c r="P36" s="1613"/>
      <c r="Q36" s="1613"/>
      <c r="R36" s="1614"/>
      <c r="T36" s="401">
        <v>28</v>
      </c>
      <c r="U36" s="374" t="e">
        <v>#N/A</v>
      </c>
      <c r="V36" s="421" t="e">
        <v>#N/A</v>
      </c>
      <c r="W36" s="421" t="e">
        <v>#N/A</v>
      </c>
      <c r="X36" s="421" t="e">
        <v>#N/A</v>
      </c>
      <c r="Y36" s="421" t="e">
        <v>#N/A</v>
      </c>
      <c r="Z36" s="393" t="e">
        <v>#N/A</v>
      </c>
      <c r="AA36" s="393" t="e">
        <v>#N/A</v>
      </c>
      <c r="AB36" s="393" t="e">
        <v>#N/A</v>
      </c>
      <c r="AC36" s="421" t="e">
        <v>#N/A</v>
      </c>
      <c r="AD36" s="421" t="e">
        <v>#N/A</v>
      </c>
      <c r="AE36" s="421" t="e">
        <v>#N/A</v>
      </c>
      <c r="AF36" s="421" t="e">
        <v>#N/A</v>
      </c>
      <c r="AG36" s="421" t="e">
        <f t="shared" si="4"/>
        <v>#N/A</v>
      </c>
      <c r="AH36" s="421" t="str">
        <f t="shared" si="5"/>
        <v/>
      </c>
      <c r="AI36" s="427" t="e">
        <f>IF(NOT(OR(Z36=1,Z36=2)),IF(AQ36&gt;0,$AR$45*AQ36/SUMIF($AQ$9:$AQ$40,"&gt;0"),IF(AU36&gt;0,$AV$45*AU36/SUMIF($AU$9:$AU$40,"&gt;0"),IF(AS36&gt;0,$AT$45*AS36/SUMIF($AS$9:$AS$40,"&gt;0"),""))),IF(SUMIF(AJ37:$AJ$40,"=" &amp; AJ36,AI37:$AI$40)=0,"",SUMIF(AJ37:$AJ$40,"=" &amp; AJ36,AI37:$AI$40)))</f>
        <v>#N/A</v>
      </c>
      <c r="AJ36" s="426" t="e">
        <f t="shared" si="36"/>
        <v>#N/A</v>
      </c>
      <c r="AK36" s="421" t="str">
        <f t="shared" si="6"/>
        <v/>
      </c>
      <c r="AL36" s="393" t="str">
        <f t="shared" si="7"/>
        <v/>
      </c>
      <c r="AM36" s="393" t="str">
        <f t="shared" si="8"/>
        <v/>
      </c>
      <c r="AN36" s="393" t="str">
        <f t="shared" si="9"/>
        <v/>
      </c>
      <c r="AO36" s="393" t="e">
        <f t="shared" si="10"/>
        <v>#N/A</v>
      </c>
      <c r="AP36" s="421" t="str">
        <f t="shared" si="11"/>
        <v/>
      </c>
      <c r="AQ36" s="425">
        <f t="shared" si="12"/>
        <v>0</v>
      </c>
      <c r="AR36" s="423" t="str">
        <f t="shared" si="13"/>
        <v/>
      </c>
      <c r="AS36" s="424">
        <f t="shared" si="14"/>
        <v>0</v>
      </c>
      <c r="AT36" s="423" t="str">
        <f t="shared" si="15"/>
        <v/>
      </c>
      <c r="AU36" s="420">
        <f t="shared" si="16"/>
        <v>0</v>
      </c>
      <c r="AV36" s="422" t="str">
        <f t="shared" si="17"/>
        <v/>
      </c>
      <c r="AW36" s="420" t="b">
        <f t="shared" si="18"/>
        <v>0</v>
      </c>
      <c r="AX36" s="419" t="b">
        <f t="shared" si="19"/>
        <v>0</v>
      </c>
      <c r="AY36" s="420" t="b">
        <f t="shared" si="20"/>
        <v>0</v>
      </c>
      <c r="AZ36" s="419" t="b">
        <f t="shared" si="21"/>
        <v>0</v>
      </c>
      <c r="BA36" s="421" t="b">
        <f t="shared" si="22"/>
        <v>0</v>
      </c>
      <c r="BB36" s="421" t="b">
        <f t="shared" si="23"/>
        <v>0</v>
      </c>
      <c r="BC36" s="420" t="b">
        <f t="shared" si="24"/>
        <v>0</v>
      </c>
      <c r="BD36" s="393" t="b">
        <f t="shared" si="25"/>
        <v>0</v>
      </c>
      <c r="BE36" s="419" t="b">
        <f t="shared" si="26"/>
        <v>0</v>
      </c>
      <c r="BF36" s="418" t="b">
        <f t="shared" si="27"/>
        <v>0</v>
      </c>
      <c r="BG36" s="417" t="str">
        <f t="shared" si="28"/>
        <v>NA</v>
      </c>
      <c r="BH36" s="417" t="str">
        <f t="shared" si="29"/>
        <v/>
      </c>
      <c r="BI36" s="417" t="str">
        <f t="shared" si="30"/>
        <v/>
      </c>
      <c r="BJ36" s="417" t="str">
        <f t="shared" si="31"/>
        <v/>
      </c>
      <c r="BK36" s="417" t="str">
        <f t="shared" si="32"/>
        <v/>
      </c>
      <c r="BL36" s="435" t="str">
        <f t="shared" si="33"/>
        <v/>
      </c>
      <c r="BM36" s="417" t="str">
        <f t="shared" si="34"/>
        <v/>
      </c>
      <c r="BN36" s="417" t="str">
        <f t="shared" si="35"/>
        <v/>
      </c>
      <c r="BO36" s="1623"/>
      <c r="BP36" s="1624"/>
      <c r="BQ36" s="1624"/>
      <c r="BR36" s="1624"/>
      <c r="BS36" s="1624"/>
      <c r="BT36" s="1624"/>
      <c r="BU36" s="1625"/>
    </row>
    <row r="37" spans="2:73 1271:1271" s="416" customFormat="1" ht="12.95" customHeight="1" x14ac:dyDescent="0.25">
      <c r="B37" s="433" t="str">
        <f>IF(ISNA(Z37),"",IF(OR(Z37=1,Z37=2),"    ",MAX($B$9:B36)+1))</f>
        <v/>
      </c>
      <c r="C37" s="1618" t="str">
        <f t="shared" si="0"/>
        <v/>
      </c>
      <c r="D37" s="1618"/>
      <c r="E37" s="1618"/>
      <c r="F37" s="1619"/>
      <c r="G37" s="437" t="str">
        <f t="shared" si="1"/>
        <v/>
      </c>
      <c r="H37" s="431" t="str">
        <f t="shared" si="2"/>
        <v/>
      </c>
      <c r="I37" s="436" t="str">
        <f t="shared" si="3"/>
        <v/>
      </c>
      <c r="J37" s="429"/>
      <c r="K37" s="428"/>
      <c r="L37" s="1612"/>
      <c r="M37" s="1613"/>
      <c r="N37" s="1613"/>
      <c r="O37" s="1613"/>
      <c r="P37" s="1613"/>
      <c r="Q37" s="1613"/>
      <c r="R37" s="1614"/>
      <c r="T37" s="401">
        <v>29</v>
      </c>
      <c r="U37" s="374" t="e">
        <v>#N/A</v>
      </c>
      <c r="V37" s="421" t="e">
        <v>#N/A</v>
      </c>
      <c r="W37" s="421" t="e">
        <v>#N/A</v>
      </c>
      <c r="X37" s="421" t="e">
        <v>#N/A</v>
      </c>
      <c r="Y37" s="421" t="e">
        <v>#N/A</v>
      </c>
      <c r="Z37" s="393" t="e">
        <v>#N/A</v>
      </c>
      <c r="AA37" s="393" t="e">
        <v>#N/A</v>
      </c>
      <c r="AB37" s="393" t="e">
        <v>#N/A</v>
      </c>
      <c r="AC37" s="421" t="e">
        <v>#N/A</v>
      </c>
      <c r="AD37" s="421" t="e">
        <v>#N/A</v>
      </c>
      <c r="AE37" s="421" t="e">
        <v>#N/A</v>
      </c>
      <c r="AF37" s="421" t="e">
        <v>#N/A</v>
      </c>
      <c r="AG37" s="421" t="e">
        <f t="shared" si="4"/>
        <v>#N/A</v>
      </c>
      <c r="AH37" s="421" t="str">
        <f t="shared" si="5"/>
        <v/>
      </c>
      <c r="AI37" s="427" t="e">
        <f>IF(NOT(OR(Z37=1,Z37=2)),IF(AQ37&gt;0,$AR$45*AQ37/SUMIF($AQ$9:$AQ$40,"&gt;0"),IF(AU37&gt;0,$AV$45*AU37/SUMIF($AU$9:$AU$40,"&gt;0"),IF(AS37&gt;0,$AT$45*AS37/SUMIF($AS$9:$AS$40,"&gt;0"),""))),IF(SUMIF(AJ38:$AJ$40,"=" &amp; AJ37,AI38:$AI$40)=0,"",SUMIF(AJ38:$AJ$40,"=" &amp; AJ37,AI38:$AI$40)))</f>
        <v>#N/A</v>
      </c>
      <c r="AJ37" s="426" t="e">
        <f t="shared" si="36"/>
        <v>#N/A</v>
      </c>
      <c r="AK37" s="421" t="str">
        <f t="shared" si="6"/>
        <v/>
      </c>
      <c r="AL37" s="393" t="str">
        <f t="shared" si="7"/>
        <v/>
      </c>
      <c r="AM37" s="393" t="str">
        <f t="shared" si="8"/>
        <v/>
      </c>
      <c r="AN37" s="393" t="str">
        <f t="shared" si="9"/>
        <v/>
      </c>
      <c r="AO37" s="393" t="e">
        <f t="shared" si="10"/>
        <v>#N/A</v>
      </c>
      <c r="AP37" s="421" t="str">
        <f t="shared" si="11"/>
        <v/>
      </c>
      <c r="AQ37" s="425">
        <f t="shared" si="12"/>
        <v>0</v>
      </c>
      <c r="AR37" s="423" t="str">
        <f t="shared" si="13"/>
        <v/>
      </c>
      <c r="AS37" s="424">
        <f t="shared" si="14"/>
        <v>0</v>
      </c>
      <c r="AT37" s="423" t="str">
        <f t="shared" si="15"/>
        <v/>
      </c>
      <c r="AU37" s="420">
        <f t="shared" si="16"/>
        <v>0</v>
      </c>
      <c r="AV37" s="422" t="str">
        <f t="shared" si="17"/>
        <v/>
      </c>
      <c r="AW37" s="420" t="b">
        <f t="shared" si="18"/>
        <v>0</v>
      </c>
      <c r="AX37" s="419" t="b">
        <f t="shared" si="19"/>
        <v>0</v>
      </c>
      <c r="AY37" s="420" t="b">
        <f t="shared" si="20"/>
        <v>0</v>
      </c>
      <c r="AZ37" s="419" t="b">
        <f t="shared" si="21"/>
        <v>0</v>
      </c>
      <c r="BA37" s="421" t="b">
        <f t="shared" si="22"/>
        <v>0</v>
      </c>
      <c r="BB37" s="421" t="b">
        <f t="shared" si="23"/>
        <v>0</v>
      </c>
      <c r="BC37" s="420" t="b">
        <f t="shared" si="24"/>
        <v>0</v>
      </c>
      <c r="BD37" s="393" t="b">
        <f t="shared" si="25"/>
        <v>0</v>
      </c>
      <c r="BE37" s="419" t="b">
        <f t="shared" si="26"/>
        <v>0</v>
      </c>
      <c r="BF37" s="418" t="b">
        <f t="shared" si="27"/>
        <v>0</v>
      </c>
      <c r="BG37" s="417" t="str">
        <f t="shared" si="28"/>
        <v>NA</v>
      </c>
      <c r="BH37" s="417" t="str">
        <f t="shared" si="29"/>
        <v/>
      </c>
      <c r="BI37" s="417" t="str">
        <f t="shared" si="30"/>
        <v/>
      </c>
      <c r="BJ37" s="417" t="str">
        <f t="shared" si="31"/>
        <v/>
      </c>
      <c r="BK37" s="417" t="str">
        <f t="shared" si="32"/>
        <v/>
      </c>
      <c r="BL37" s="435" t="str">
        <f t="shared" si="33"/>
        <v/>
      </c>
      <c r="BM37" s="417" t="str">
        <f t="shared" si="34"/>
        <v/>
      </c>
      <c r="BN37" s="417" t="str">
        <f t="shared" si="35"/>
        <v/>
      </c>
      <c r="BO37" s="1623"/>
      <c r="BP37" s="1624"/>
      <c r="BQ37" s="1624"/>
      <c r="BR37" s="1624"/>
      <c r="BS37" s="1624"/>
      <c r="BT37" s="1624"/>
      <c r="BU37" s="1625"/>
    </row>
    <row r="38" spans="2:73 1271:1271" s="416" customFormat="1" ht="12.95" customHeight="1" x14ac:dyDescent="0.25">
      <c r="B38" s="433" t="str">
        <f>IF(ISNA(Z38),"",IF(OR(Z38=1,Z38=2),"    ",MAX($B$9:B37)+1))</f>
        <v/>
      </c>
      <c r="C38" s="1618" t="str">
        <f t="shared" si="0"/>
        <v/>
      </c>
      <c r="D38" s="1618"/>
      <c r="E38" s="1618"/>
      <c r="F38" s="1619"/>
      <c r="G38" s="437" t="str">
        <f t="shared" si="1"/>
        <v/>
      </c>
      <c r="H38" s="431" t="str">
        <f t="shared" si="2"/>
        <v/>
      </c>
      <c r="I38" s="436" t="str">
        <f t="shared" si="3"/>
        <v/>
      </c>
      <c r="J38" s="429"/>
      <c r="K38" s="428"/>
      <c r="L38" s="1612"/>
      <c r="M38" s="1613"/>
      <c r="N38" s="1613"/>
      <c r="O38" s="1613"/>
      <c r="P38" s="1613"/>
      <c r="Q38" s="1613"/>
      <c r="R38" s="1614"/>
      <c r="T38" s="401">
        <v>30</v>
      </c>
      <c r="U38" s="374" t="e">
        <v>#N/A</v>
      </c>
      <c r="V38" s="421" t="e">
        <v>#N/A</v>
      </c>
      <c r="W38" s="421" t="e">
        <v>#N/A</v>
      </c>
      <c r="X38" s="421" t="e">
        <v>#N/A</v>
      </c>
      <c r="Y38" s="421" t="e">
        <v>#N/A</v>
      </c>
      <c r="Z38" s="393" t="e">
        <v>#N/A</v>
      </c>
      <c r="AA38" s="393" t="e">
        <v>#N/A</v>
      </c>
      <c r="AB38" s="393" t="e">
        <v>#N/A</v>
      </c>
      <c r="AC38" s="421" t="e">
        <v>#N/A</v>
      </c>
      <c r="AD38" s="421" t="e">
        <v>#N/A</v>
      </c>
      <c r="AE38" s="421" t="e">
        <v>#N/A</v>
      </c>
      <c r="AF38" s="421" t="e">
        <v>#N/A</v>
      </c>
      <c r="AG38" s="421" t="e">
        <f t="shared" si="4"/>
        <v>#N/A</v>
      </c>
      <c r="AH38" s="421" t="str">
        <f t="shared" si="5"/>
        <v/>
      </c>
      <c r="AI38" s="427" t="e">
        <f>IF(NOT(OR(Z38=1,Z38=2)),IF(AQ38&gt;0,$AR$45*AQ38/SUMIF($AQ$9:$AQ$40,"&gt;0"),IF(AU38&gt;0,$AV$45*AU38/SUMIF($AU$9:$AU$40,"&gt;0"),IF(AS38&gt;0,$AT$45*AS38/SUMIF($AS$9:$AS$40,"&gt;0"),""))),IF(SUMIF(AJ39:$AJ$40,"=" &amp; AJ38,AI39:$AI$40)=0,"",SUMIF(AJ39:$AJ$40,"=" &amp; AJ38,AI39:$AI$40)))</f>
        <v>#N/A</v>
      </c>
      <c r="AJ38" s="426" t="e">
        <f t="shared" si="36"/>
        <v>#N/A</v>
      </c>
      <c r="AK38" s="421" t="str">
        <f t="shared" si="6"/>
        <v/>
      </c>
      <c r="AL38" s="393" t="str">
        <f t="shared" si="7"/>
        <v/>
      </c>
      <c r="AM38" s="393" t="str">
        <f t="shared" si="8"/>
        <v/>
      </c>
      <c r="AN38" s="393" t="str">
        <f t="shared" si="9"/>
        <v/>
      </c>
      <c r="AO38" s="393" t="e">
        <f t="shared" si="10"/>
        <v>#N/A</v>
      </c>
      <c r="AP38" s="421" t="str">
        <f t="shared" si="11"/>
        <v/>
      </c>
      <c r="AQ38" s="425">
        <f t="shared" si="12"/>
        <v>0</v>
      </c>
      <c r="AR38" s="423" t="str">
        <f t="shared" si="13"/>
        <v/>
      </c>
      <c r="AS38" s="424">
        <f t="shared" si="14"/>
        <v>0</v>
      </c>
      <c r="AT38" s="423" t="str">
        <f t="shared" si="15"/>
        <v/>
      </c>
      <c r="AU38" s="420">
        <f t="shared" si="16"/>
        <v>0</v>
      </c>
      <c r="AV38" s="422" t="str">
        <f t="shared" si="17"/>
        <v/>
      </c>
      <c r="AW38" s="420" t="b">
        <f t="shared" si="18"/>
        <v>0</v>
      </c>
      <c r="AX38" s="419" t="b">
        <f t="shared" si="19"/>
        <v>0</v>
      </c>
      <c r="AY38" s="420" t="b">
        <f t="shared" si="20"/>
        <v>0</v>
      </c>
      <c r="AZ38" s="419" t="b">
        <f t="shared" si="21"/>
        <v>0</v>
      </c>
      <c r="BA38" s="421" t="b">
        <f t="shared" si="22"/>
        <v>0</v>
      </c>
      <c r="BB38" s="421" t="b">
        <f t="shared" si="23"/>
        <v>0</v>
      </c>
      <c r="BC38" s="420" t="b">
        <f t="shared" si="24"/>
        <v>0</v>
      </c>
      <c r="BD38" s="393" t="b">
        <f t="shared" si="25"/>
        <v>0</v>
      </c>
      <c r="BE38" s="419" t="b">
        <f t="shared" si="26"/>
        <v>0</v>
      </c>
      <c r="BF38" s="418" t="b">
        <f t="shared" si="27"/>
        <v>0</v>
      </c>
      <c r="BG38" s="417" t="str">
        <f t="shared" si="28"/>
        <v>NA</v>
      </c>
      <c r="BH38" s="417" t="str">
        <f t="shared" si="29"/>
        <v/>
      </c>
      <c r="BI38" s="417" t="str">
        <f t="shared" si="30"/>
        <v/>
      </c>
      <c r="BJ38" s="417" t="str">
        <f t="shared" si="31"/>
        <v/>
      </c>
      <c r="BK38" s="417" t="str">
        <f t="shared" si="32"/>
        <v/>
      </c>
      <c r="BL38" s="435" t="str">
        <f t="shared" si="33"/>
        <v/>
      </c>
      <c r="BM38" s="417" t="str">
        <f t="shared" si="34"/>
        <v/>
      </c>
      <c r="BN38" s="417" t="str">
        <f t="shared" si="35"/>
        <v/>
      </c>
      <c r="BO38" s="1626"/>
      <c r="BP38" s="1627"/>
      <c r="BQ38" s="1627"/>
      <c r="BR38" s="1627"/>
      <c r="BS38" s="1627"/>
      <c r="BT38" s="1627"/>
      <c r="BU38" s="1628"/>
    </row>
    <row r="39" spans="2:73 1271:1271" s="416" customFormat="1" ht="12.95" customHeight="1" x14ac:dyDescent="0.25">
      <c r="B39" s="433" t="str">
        <f>IF(ISNA(Z39),"",IF(OR(Z39=1,Z39=2),"    ",MAX($B$9:B38)+1))</f>
        <v/>
      </c>
      <c r="C39" s="1618" t="str">
        <f t="shared" si="0"/>
        <v/>
      </c>
      <c r="D39" s="1618"/>
      <c r="E39" s="1618"/>
      <c r="F39" s="1619"/>
      <c r="G39" s="437" t="str">
        <f t="shared" si="1"/>
        <v/>
      </c>
      <c r="H39" s="431" t="str">
        <f t="shared" si="2"/>
        <v/>
      </c>
      <c r="I39" s="436" t="str">
        <f t="shared" si="3"/>
        <v/>
      </c>
      <c r="J39" s="429"/>
      <c r="K39" s="428"/>
      <c r="L39" s="1612"/>
      <c r="M39" s="1613"/>
      <c r="N39" s="1613"/>
      <c r="O39" s="1613"/>
      <c r="P39" s="1613"/>
      <c r="Q39" s="1613"/>
      <c r="R39" s="1614"/>
      <c r="T39" s="401">
        <v>31</v>
      </c>
      <c r="U39" s="374" t="e">
        <v>#N/A</v>
      </c>
      <c r="V39" s="421" t="e">
        <v>#N/A</v>
      </c>
      <c r="W39" s="421" t="e">
        <v>#N/A</v>
      </c>
      <c r="X39" s="421" t="e">
        <v>#N/A</v>
      </c>
      <c r="Y39" s="421" t="e">
        <v>#N/A</v>
      </c>
      <c r="Z39" s="393" t="e">
        <v>#N/A</v>
      </c>
      <c r="AA39" s="393" t="e">
        <v>#N/A</v>
      </c>
      <c r="AB39" s="393" t="e">
        <v>#N/A</v>
      </c>
      <c r="AC39" s="421" t="e">
        <v>#N/A</v>
      </c>
      <c r="AD39" s="421" t="e">
        <v>#N/A</v>
      </c>
      <c r="AE39" s="421" t="e">
        <v>#N/A</v>
      </c>
      <c r="AF39" s="421" t="e">
        <v>#N/A</v>
      </c>
      <c r="AG39" s="421" t="e">
        <f t="shared" si="4"/>
        <v>#N/A</v>
      </c>
      <c r="AH39" s="421" t="str">
        <f t="shared" si="5"/>
        <v/>
      </c>
      <c r="AI39" s="427" t="e">
        <f>IF(NOT(OR(Z39=1,Z39=2)),IF(AQ39&gt;0,$AR$45*AQ39/SUMIF($AQ$9:$AQ$40,"&gt;0"),IF(AU39&gt;0,$AV$45*AU39/SUMIF($AU$9:$AU$40,"&gt;0"),IF(AS39&gt;0,$AT$45*AS39/SUMIF($AS$9:$AS$40,"&gt;0"),""))),IF(SUMIF(AJ40:$AJ$40,"=" &amp; AJ39,AI40:$AI$40)=0,"",SUMIF(AJ40:$AJ$40,"=" &amp; AJ39,AI40:$AI$40)))</f>
        <v>#N/A</v>
      </c>
      <c r="AJ39" s="426" t="e">
        <f t="shared" si="36"/>
        <v>#N/A</v>
      </c>
      <c r="AK39" s="421" t="str">
        <f t="shared" si="6"/>
        <v/>
      </c>
      <c r="AL39" s="393" t="str">
        <f t="shared" si="7"/>
        <v/>
      </c>
      <c r="AM39" s="393" t="str">
        <f t="shared" si="8"/>
        <v/>
      </c>
      <c r="AN39" s="393" t="str">
        <f t="shared" si="9"/>
        <v/>
      </c>
      <c r="AO39" s="393" t="e">
        <f t="shared" si="10"/>
        <v>#N/A</v>
      </c>
      <c r="AP39" s="421" t="str">
        <f t="shared" si="11"/>
        <v/>
      </c>
      <c r="AQ39" s="425">
        <f t="shared" si="12"/>
        <v>0</v>
      </c>
      <c r="AR39" s="423" t="str">
        <f t="shared" si="13"/>
        <v/>
      </c>
      <c r="AS39" s="424">
        <f t="shared" si="14"/>
        <v>0</v>
      </c>
      <c r="AT39" s="423" t="str">
        <f t="shared" si="15"/>
        <v/>
      </c>
      <c r="AU39" s="420">
        <f t="shared" si="16"/>
        <v>0</v>
      </c>
      <c r="AV39" s="422" t="str">
        <f t="shared" si="17"/>
        <v/>
      </c>
      <c r="AW39" s="420" t="b">
        <f t="shared" si="18"/>
        <v>0</v>
      </c>
      <c r="AX39" s="419" t="b">
        <f t="shared" si="19"/>
        <v>0</v>
      </c>
      <c r="AY39" s="420" t="b">
        <f t="shared" si="20"/>
        <v>0</v>
      </c>
      <c r="AZ39" s="419" t="b">
        <f t="shared" si="21"/>
        <v>0</v>
      </c>
      <c r="BA39" s="421" t="b">
        <f t="shared" si="22"/>
        <v>0</v>
      </c>
      <c r="BB39" s="421" t="b">
        <f t="shared" si="23"/>
        <v>0</v>
      </c>
      <c r="BC39" s="420" t="b">
        <f t="shared" si="24"/>
        <v>0</v>
      </c>
      <c r="BD39" s="393" t="b">
        <f t="shared" si="25"/>
        <v>0</v>
      </c>
      <c r="BE39" s="419" t="b">
        <f t="shared" si="26"/>
        <v>0</v>
      </c>
      <c r="BF39" s="418" t="b">
        <f t="shared" si="27"/>
        <v>0</v>
      </c>
      <c r="BG39" s="417" t="str">
        <f t="shared" si="28"/>
        <v>NA</v>
      </c>
      <c r="BH39" s="417" t="str">
        <f t="shared" si="29"/>
        <v/>
      </c>
      <c r="BI39" s="417" t="str">
        <f t="shared" si="30"/>
        <v/>
      </c>
      <c r="BJ39" s="417" t="str">
        <f t="shared" si="31"/>
        <v/>
      </c>
      <c r="BK39" s="417" t="str">
        <f t="shared" si="32"/>
        <v/>
      </c>
      <c r="BL39" s="435" t="str">
        <f t="shared" si="33"/>
        <v/>
      </c>
      <c r="BM39" s="417" t="str">
        <f t="shared" si="34"/>
        <v/>
      </c>
      <c r="BN39" s="417" t="str">
        <f t="shared" si="35"/>
        <v/>
      </c>
      <c r="BO39" s="434" t="s">
        <v>241</v>
      </c>
      <c r="BP39" s="434"/>
      <c r="BQ39" s="434"/>
      <c r="BR39" s="434"/>
      <c r="BS39" s="434"/>
      <c r="BT39" s="434"/>
      <c r="BU39" s="434"/>
    </row>
    <row r="40" spans="2:73 1271:1271" s="416" customFormat="1" ht="12.95" customHeight="1" thickBot="1" x14ac:dyDescent="0.3">
      <c r="B40" s="433" t="str">
        <f>IF(ISNA(Z40),"",IF(OR(Z40=1,Z40=2),"    ",MAX($B$9:B39)+1))</f>
        <v/>
      </c>
      <c r="C40" s="1618" t="str">
        <f t="shared" si="0"/>
        <v/>
      </c>
      <c r="D40" s="1618"/>
      <c r="E40" s="1618"/>
      <c r="F40" s="1619"/>
      <c r="G40" s="432" t="str">
        <f t="shared" si="1"/>
        <v/>
      </c>
      <c r="H40" s="431" t="str">
        <f t="shared" si="2"/>
        <v/>
      </c>
      <c r="I40" s="430" t="str">
        <f t="shared" si="3"/>
        <v/>
      </c>
      <c r="J40" s="500"/>
      <c r="K40" s="499"/>
      <c r="L40" s="1615"/>
      <c r="M40" s="1616"/>
      <c r="N40" s="1616"/>
      <c r="O40" s="1616"/>
      <c r="P40" s="1616"/>
      <c r="Q40" s="1616"/>
      <c r="R40" s="1617"/>
      <c r="T40" s="401">
        <v>32</v>
      </c>
      <c r="U40" s="374" t="e">
        <v>#N/A</v>
      </c>
      <c r="V40" s="421" t="e">
        <v>#N/A</v>
      </c>
      <c r="W40" s="421" t="e">
        <v>#N/A</v>
      </c>
      <c r="X40" s="421" t="e">
        <v>#N/A</v>
      </c>
      <c r="Y40" s="421" t="e">
        <v>#N/A</v>
      </c>
      <c r="Z40" s="393" t="e">
        <v>#N/A</v>
      </c>
      <c r="AA40" s="393" t="e">
        <v>#N/A</v>
      </c>
      <c r="AB40" s="393" t="e">
        <v>#N/A</v>
      </c>
      <c r="AC40" s="421" t="e">
        <v>#N/A</v>
      </c>
      <c r="AD40" s="421" t="e">
        <v>#N/A</v>
      </c>
      <c r="AE40" s="421" t="e">
        <v>#N/A</v>
      </c>
      <c r="AF40" s="421" t="e">
        <v>#N/A</v>
      </c>
      <c r="AG40" s="421" t="e">
        <f t="shared" si="4"/>
        <v>#N/A</v>
      </c>
      <c r="AH40" s="421" t="str">
        <f t="shared" si="5"/>
        <v/>
      </c>
      <c r="AI40" s="427" t="e">
        <f>IF(NOT(OR(Z40=1,Z40=2)),IF(AQ40&gt;0,$AR$45*AQ40/SUMIF($AQ$9:$AQ$40,"&gt;0"),IF(AU40&gt;0,$AV$45*AU40/SUMIF($AU$9:$AU$40,"&gt;0"),IF(AS40&gt;0,$AT$45*AS40/SUMIF($AS$9:$AS$40,"&gt;0"),""))),IF(SUMIF(AJ$40:$AJ41,"=" &amp; AJ40,AI$40:$AI41)=0,"",SUMIF(AJ$40:$AJ41,"=" &amp; AJ40,AI$40:$AI41)))</f>
        <v>#N/A</v>
      </c>
      <c r="AJ40" s="426" t="e">
        <f t="shared" si="36"/>
        <v>#N/A</v>
      </c>
      <c r="AK40" s="421" t="str">
        <f t="shared" si="6"/>
        <v/>
      </c>
      <c r="AL40" s="393" t="str">
        <f t="shared" si="7"/>
        <v/>
      </c>
      <c r="AM40" s="393" t="str">
        <f t="shared" si="8"/>
        <v/>
      </c>
      <c r="AN40" s="393" t="str">
        <f t="shared" si="9"/>
        <v/>
      </c>
      <c r="AO40" s="393" t="e">
        <f t="shared" si="10"/>
        <v>#N/A</v>
      </c>
      <c r="AP40" s="421" t="str">
        <f t="shared" si="11"/>
        <v/>
      </c>
      <c r="AQ40" s="425">
        <f t="shared" si="12"/>
        <v>0</v>
      </c>
      <c r="AR40" s="423" t="str">
        <f t="shared" si="13"/>
        <v/>
      </c>
      <c r="AS40" s="424">
        <f t="shared" si="14"/>
        <v>0</v>
      </c>
      <c r="AT40" s="423" t="str">
        <f t="shared" si="15"/>
        <v/>
      </c>
      <c r="AU40" s="420">
        <f t="shared" si="16"/>
        <v>0</v>
      </c>
      <c r="AV40" s="422" t="str">
        <f t="shared" si="17"/>
        <v/>
      </c>
      <c r="AW40" s="420" t="b">
        <f t="shared" si="18"/>
        <v>0</v>
      </c>
      <c r="AX40" s="419" t="b">
        <f t="shared" si="19"/>
        <v>0</v>
      </c>
      <c r="AY40" s="420" t="b">
        <f t="shared" si="20"/>
        <v>0</v>
      </c>
      <c r="AZ40" s="419" t="b">
        <f t="shared" si="21"/>
        <v>0</v>
      </c>
      <c r="BA40" s="421" t="b">
        <f t="shared" si="22"/>
        <v>0</v>
      </c>
      <c r="BB40" s="421" t="b">
        <f t="shared" si="23"/>
        <v>0</v>
      </c>
      <c r="BC40" s="420" t="b">
        <f t="shared" si="24"/>
        <v>0</v>
      </c>
      <c r="BD40" s="393" t="b">
        <f t="shared" si="25"/>
        <v>0</v>
      </c>
      <c r="BE40" s="419" t="b">
        <f t="shared" si="26"/>
        <v>0</v>
      </c>
      <c r="BF40" s="418" t="b">
        <f t="shared" si="27"/>
        <v>0</v>
      </c>
      <c r="BG40" s="417" t="str">
        <f t="shared" si="28"/>
        <v>NA</v>
      </c>
      <c r="BH40" s="417" t="str">
        <f t="shared" si="29"/>
        <v/>
      </c>
      <c r="BI40" s="417" t="str">
        <f t="shared" si="30"/>
        <v/>
      </c>
      <c r="BJ40" s="417" t="str">
        <f t="shared" si="31"/>
        <v/>
      </c>
      <c r="BK40" s="417" t="str">
        <f t="shared" si="32"/>
        <v/>
      </c>
      <c r="BL40" s="417" t="str">
        <f t="shared" si="33"/>
        <v/>
      </c>
      <c r="BM40" s="417" t="str">
        <f t="shared" si="34"/>
        <v/>
      </c>
      <c r="BN40" s="417" t="str">
        <f t="shared" si="35"/>
        <v/>
      </c>
      <c r="BO40" s="1620"/>
      <c r="BP40" s="1621"/>
      <c r="BQ40" s="1621"/>
      <c r="BR40" s="1621"/>
      <c r="BS40" s="1621"/>
      <c r="BT40" s="1621"/>
      <c r="BU40" s="1622"/>
    </row>
    <row r="41" spans="2:73 1271:1271" s="406" customFormat="1" ht="8.25" customHeight="1" x14ac:dyDescent="0.25">
      <c r="B41" s="1639" t="s">
        <v>242</v>
      </c>
      <c r="C41" s="1640"/>
      <c r="D41" s="1641"/>
      <c r="E41" s="415" t="s">
        <v>243</v>
      </c>
      <c r="F41" s="1642" t="s">
        <v>244</v>
      </c>
      <c r="G41" s="1643"/>
      <c r="H41" s="1643" t="s">
        <v>245</v>
      </c>
      <c r="I41" s="1643"/>
      <c r="J41" s="1647" t="s">
        <v>246</v>
      </c>
      <c r="K41" s="1648"/>
      <c r="L41" s="414" t="s">
        <v>247</v>
      </c>
      <c r="M41" s="1631" t="s">
        <v>248</v>
      </c>
      <c r="N41" s="1631"/>
      <c r="O41" s="1632" t="str">
        <f>IF(U45,"DO REVIEW","DO REV N/A")</f>
        <v>DO REV N/A</v>
      </c>
      <c r="P41" s="1633"/>
      <c r="Q41" s="413" t="str">
        <f>IF(U46,"ED REVIEW","ED REV N/A")</f>
        <v>ED REVIEW</v>
      </c>
      <c r="R41" s="412"/>
      <c r="S41" s="411">
        <v>0</v>
      </c>
      <c r="AI41" s="410"/>
      <c r="AJ41" s="407"/>
      <c r="AK41" s="407"/>
      <c r="AL41" s="407"/>
      <c r="AM41" s="407"/>
      <c r="AN41" s="407"/>
      <c r="AO41" s="373"/>
      <c r="AP41" s="407"/>
      <c r="AQ41" s="409"/>
      <c r="AR41" s="407"/>
      <c r="AS41" s="409"/>
      <c r="AT41" s="407"/>
      <c r="AU41" s="409"/>
      <c r="AV41" s="408"/>
      <c r="AW41" s="407"/>
      <c r="AX41" s="407"/>
      <c r="AY41" s="407"/>
      <c r="AZ41" s="407"/>
      <c r="BA41" s="407"/>
      <c r="BB41" s="407"/>
      <c r="BC41" s="407"/>
      <c r="BD41" s="407"/>
      <c r="BE41" s="407"/>
      <c r="BF41" s="407"/>
      <c r="BG41" s="407"/>
      <c r="BH41" s="373"/>
      <c r="BI41" s="373"/>
      <c r="BJ41" s="373"/>
      <c r="BK41" s="373"/>
      <c r="BL41" s="373"/>
      <c r="BM41" s="373"/>
      <c r="BN41" s="373"/>
      <c r="BO41" s="1623"/>
      <c r="BP41" s="1624"/>
      <c r="BQ41" s="1624"/>
      <c r="BR41" s="1624"/>
      <c r="BS41" s="1624"/>
      <c r="BT41" s="1624"/>
      <c r="BU41" s="1625"/>
    </row>
    <row r="42" spans="2:73 1271:1271" ht="18.75" customHeight="1" thickBot="1" x14ac:dyDescent="0.3">
      <c r="B42" s="1634" t="str">
        <f>IF(ISERROR(AR47),"",TEXT(AR46,"0.0%"))</f>
        <v>0.0%</v>
      </c>
      <c r="C42" s="1635"/>
      <c r="D42" s="1636"/>
      <c r="E42" s="405" t="str">
        <f>IF(AU42=0,"N/A",CONCATENATE(TEXT(AV46,"0.0%")," of ",TEXT(AV45,"0.0%")))</f>
        <v>N/A</v>
      </c>
      <c r="F42" s="1637" t="str">
        <f>IF((graded_aca_events+graded_amn_events)&lt;1,"---",IF(AND(AW5,AX5),"INCOMPLETE",IF(AND(NOT(AW5),AX5),"ACA INC",IF(AND(AW5,NOT(AX5)),"AMN INC","COMPLETE"))))</f>
        <v>---</v>
      </c>
      <c r="G42" s="1637"/>
      <c r="H42" s="1637" t="str">
        <f>IF(AU5,IF(OR(AY5="UNK",NOT(AN7)),"---",IF(AY5,"UNSAT",IF(AVERAGEIFS(AT9:AT40,AS9:AS40,"&gt;0")&lt;0.9,"MARG","SAT"))),"N/A")</f>
        <v>N/A</v>
      </c>
      <c r="I42" s="1637"/>
      <c r="J42" s="1649" t="str">
        <f>IF(OR(AZ5="UNK",NOT(AM7)),"---",IF(OR(AZ5,AR46&lt;0.7),"FAIL","PASS"))</f>
        <v>---</v>
      </c>
      <c r="K42" s="1650"/>
      <c r="L42" s="404"/>
      <c r="M42" s="1651"/>
      <c r="N42" s="1651"/>
      <c r="O42" s="1644" t="s">
        <v>139</v>
      </c>
      <c r="P42" s="1644"/>
      <c r="Q42" s="1644" t="s">
        <v>139</v>
      </c>
      <c r="R42" s="1645"/>
      <c r="S42" s="403"/>
      <c r="T42" s="401" t="s">
        <v>249</v>
      </c>
      <c r="U42" s="393" t="s">
        <v>250</v>
      </c>
      <c r="V42" s="396"/>
      <c r="W42" s="396"/>
      <c r="X42" s="396"/>
      <c r="Y42" s="396"/>
      <c r="Z42" s="396"/>
      <c r="AA42" s="396"/>
      <c r="AB42" s="396"/>
      <c r="AC42" s="396"/>
      <c r="AD42" s="396"/>
      <c r="AE42" s="396"/>
      <c r="AF42" s="396"/>
      <c r="AG42" s="396"/>
      <c r="AH42" s="396"/>
      <c r="AI42" s="402"/>
      <c r="AJ42" s="378"/>
      <c r="AK42" s="396"/>
      <c r="AL42" s="396"/>
      <c r="AM42" s="396">
        <f>SUM(AM9:AM40)</f>
        <v>0</v>
      </c>
      <c r="AN42" s="396">
        <f>SUM(AN9:AN40)</f>
        <v>0</v>
      </c>
      <c r="AO42" s="401"/>
      <c r="AP42" s="378"/>
      <c r="AQ42" s="400">
        <f>SUMIF(AQ9:AQ40,"&gt;0")</f>
        <v>33.333332260000006</v>
      </c>
      <c r="AR42" s="395">
        <f>IF(AQ42=0,0,SUMPRODUCT($AQ$9:$AQ$40,AR9:AR40)/SUM($AQ$9:$AQ$40))</f>
        <v>0</v>
      </c>
      <c r="AS42" s="399">
        <f>SUMIF(AS9:AS40,"&gt;0")</f>
        <v>0</v>
      </c>
      <c r="AT42" s="395">
        <f>IF(AS42=0,0,SUMPRODUCT($AS$9:$AS$40,AT9:AT40)/SUM($AS$9:$AS$40))</f>
        <v>0</v>
      </c>
      <c r="AU42" s="399">
        <f>SUM(AU10:AU40)</f>
        <v>0</v>
      </c>
      <c r="AV42" s="395">
        <f>IF(AU42=0,0,SUMPRODUCT($AU$9:$AU$40,AV9:AV40)/SUM($AU$9:$AU$40))</f>
        <v>0</v>
      </c>
      <c r="AW42" s="398"/>
      <c r="AX42" s="398"/>
      <c r="AY42" s="398"/>
      <c r="AZ42" s="398"/>
      <c r="BA42" s="398"/>
      <c r="BB42" s="398"/>
      <c r="BC42" s="374" t="s">
        <v>251</v>
      </c>
      <c r="BD42" s="374" t="s">
        <v>252</v>
      </c>
      <c r="BE42" s="374" t="s">
        <v>253</v>
      </c>
      <c r="BF42" s="374"/>
      <c r="BG42" s="373"/>
      <c r="BO42" s="1623"/>
      <c r="BP42" s="1624"/>
      <c r="BQ42" s="1624"/>
      <c r="BR42" s="1624"/>
      <c r="BS42" s="1624"/>
      <c r="BT42" s="1624"/>
      <c r="BU42" s="1625"/>
      <c r="AVW42" s="397"/>
    </row>
    <row r="43" spans="2:73 1271:1271" ht="7.5" customHeight="1" thickTop="1" x14ac:dyDescent="0.25">
      <c r="L43" s="1646" t="s">
        <v>630</v>
      </c>
      <c r="M43" s="1646"/>
      <c r="N43" s="1646"/>
      <c r="O43" s="1646"/>
      <c r="P43" s="1646"/>
      <c r="Q43" s="1646"/>
      <c r="R43" s="1646"/>
      <c r="AP43" s="396"/>
      <c r="AQ43" s="378"/>
      <c r="AR43" s="378"/>
      <c r="AT43" s="395"/>
      <c r="AU43" s="395"/>
      <c r="AV43" s="395"/>
      <c r="AW43" s="378"/>
      <c r="AX43" s="395"/>
      <c r="BE43" s="374"/>
      <c r="BF43" s="374"/>
      <c r="BO43" s="1626"/>
      <c r="BP43" s="1627"/>
      <c r="BQ43" s="1627"/>
      <c r="BR43" s="1627"/>
      <c r="BS43" s="1627"/>
      <c r="BT43" s="1627"/>
      <c r="BU43" s="1628"/>
    </row>
    <row r="44" spans="2:73 1271:1271" ht="30.75" customHeight="1" x14ac:dyDescent="0.25">
      <c r="T44" s="394" t="s">
        <v>254</v>
      </c>
      <c r="U44" s="393" t="b">
        <v>0</v>
      </c>
      <c r="AI44" s="375">
        <f ca="1">SUMIF(AJ9:$AJ$40,"=" &amp; AJ9,AI10:$AI$40)</f>
        <v>0.69999999153999959</v>
      </c>
      <c r="AK44" s="373"/>
      <c r="AL44" s="373"/>
      <c r="AM44" s="373"/>
      <c r="AN44" s="373"/>
      <c r="AO44" s="392"/>
      <c r="AQ44" s="373"/>
      <c r="AR44" s="373"/>
      <c r="AS44" s="385" t="s">
        <v>255</v>
      </c>
      <c r="AT44" s="387">
        <f>SUMIF(X9:X40,"&gt;0")/SUMIF(W9:W40,"&gt;0")</f>
        <v>0</v>
      </c>
      <c r="AU44" s="385" t="s">
        <v>256</v>
      </c>
      <c r="AV44" s="391">
        <f>SUMIF(AU9:AU40,"&gt;0")/SUMIF(AQ9:AQ40,"&gt;0")</f>
        <v>0</v>
      </c>
      <c r="AW44" s="390"/>
      <c r="AY44" s="373"/>
      <c r="AZ44" s="373"/>
      <c r="BE44" s="374" t="b">
        <f>AND(ISBLANK($K31),J31&gt;0)</f>
        <v>0</v>
      </c>
      <c r="BF44" s="374"/>
      <c r="BH44" s="374"/>
      <c r="BO44" s="373"/>
      <c r="BP44" s="373"/>
      <c r="BQ44" s="372"/>
    </row>
    <row r="45" spans="2:73 1271:1271" ht="30.75" customHeight="1" x14ac:dyDescent="0.25">
      <c r="J45" s="389"/>
      <c r="T45" s="381" t="s">
        <v>257</v>
      </c>
      <c r="U45" s="374" t="b">
        <f>IF(AND(Flight?,OR(AW5,AY5,BA5,AZ5,AR46&lt;0.7,H42="MARG")),TRUE,FALSE)</f>
        <v>0</v>
      </c>
      <c r="AK45" s="373"/>
      <c r="AL45" s="373"/>
      <c r="AM45" s="373"/>
      <c r="AN45" s="373"/>
      <c r="AO45" s="380"/>
      <c r="AP45" s="373"/>
      <c r="AQ45" s="385" t="s">
        <v>258</v>
      </c>
      <c r="AR45" s="388">
        <f>1-AT45</f>
        <v>1</v>
      </c>
      <c r="AS45" s="385" t="s">
        <v>259</v>
      </c>
      <c r="AT45" s="387">
        <f>MIN(AT44,AT7)</f>
        <v>0</v>
      </c>
      <c r="AU45" s="385" t="s">
        <v>260</v>
      </c>
      <c r="AV45" s="382">
        <f>MIN(AV44,AV7)</f>
        <v>0</v>
      </c>
      <c r="AZ45" s="373"/>
      <c r="BE45" s="374"/>
      <c r="BF45" s="374"/>
      <c r="BH45" s="374"/>
      <c r="BO45" s="373"/>
      <c r="BP45" s="373"/>
      <c r="BQ45" s="372"/>
    </row>
    <row r="46" spans="2:73 1271:1271" ht="26.25" x14ac:dyDescent="0.25">
      <c r="T46" s="381" t="s">
        <v>261</v>
      </c>
      <c r="U46" s="374" t="b">
        <f>IF(OR(AX5,AY5,AZ5,BB5,AR46&lt;0.7),TRUE,FALSE)</f>
        <v>1</v>
      </c>
      <c r="AK46" s="373"/>
      <c r="AL46" s="373"/>
      <c r="AM46" s="373"/>
      <c r="AN46" s="373"/>
      <c r="AO46" s="384"/>
      <c r="AP46" s="373"/>
      <c r="AQ46" s="385" t="s">
        <v>262</v>
      </c>
      <c r="AR46" s="375">
        <f>AR42*(1-AT45)+(AT42*AT45)</f>
        <v>0</v>
      </c>
      <c r="AU46" s="373" t="s">
        <v>196</v>
      </c>
      <c r="AV46" s="382">
        <f>AV42*AV45</f>
        <v>0</v>
      </c>
      <c r="AY46" s="373"/>
      <c r="AZ46" s="373"/>
      <c r="BE46" s="374"/>
      <c r="BF46" s="374"/>
      <c r="BH46" s="374"/>
      <c r="BO46" s="373"/>
      <c r="BP46" s="373"/>
      <c r="BQ46" s="372"/>
    </row>
    <row r="47" spans="2:73 1271:1271" ht="26.25" x14ac:dyDescent="0.25">
      <c r="T47" s="381" t="s">
        <v>263</v>
      </c>
      <c r="U47" s="374" t="b">
        <v>0</v>
      </c>
      <c r="AK47" s="373"/>
      <c r="AL47" s="373"/>
      <c r="AM47" s="373"/>
      <c r="AN47" s="373"/>
      <c r="AO47" s="384"/>
      <c r="AP47" s="373"/>
      <c r="AQ47" s="385" t="s">
        <v>264</v>
      </c>
      <c r="AR47" s="382">
        <f>MIN(1,IF(NOT(OR(AY5,AZ5)),AR46+AV46,MIN(0.69,AR46+AV46)))</f>
        <v>0</v>
      </c>
      <c r="AY47" s="373"/>
      <c r="BE47" s="374"/>
      <c r="BF47" s="374"/>
      <c r="BI47" s="374"/>
      <c r="BO47" s="373"/>
      <c r="BP47" s="373"/>
      <c r="BQ47" s="372"/>
    </row>
    <row r="48" spans="2:73 1271:1271" x14ac:dyDescent="0.25">
      <c r="T48" s="381" t="s">
        <v>265</v>
      </c>
      <c r="U48" s="374" t="b">
        <f>IF(NOT(Flight?),TRUE,NOT(OR(ISBLANK(comments),ISBLANK(hdr_class),ISBLANK(hdr_date),ISBLANK(hdr_stud),ISBLANK(hdr_instr),ISBLANK(hdr_acft),ISBLANK(hdr_time),F42="---")))</f>
        <v>1</v>
      </c>
      <c r="AK48" s="373"/>
      <c r="AL48" s="373"/>
      <c r="AM48" s="373"/>
      <c r="AN48" s="373"/>
      <c r="AO48" s="384"/>
      <c r="AP48" s="373"/>
      <c r="AQ48" s="373"/>
      <c r="AR48" s="383"/>
      <c r="AS48" s="382"/>
      <c r="AU48" s="373"/>
      <c r="AV48" s="373"/>
      <c r="AW48" s="373"/>
    </row>
    <row r="49" spans="20:56" x14ac:dyDescent="0.25">
      <c r="T49" s="381" t="s">
        <v>266</v>
      </c>
      <c r="U49" s="374" t="b">
        <f>IF(Flight?,TRUE,NOT(OR(ISBLANK(comments),ISBLANK(hdr_class),ISBLANK(hdr_date),ISBLANK(hdr_stud),ISBLANK(hdr_instr),F42="---")))</f>
        <v>0</v>
      </c>
      <c r="AK49" s="373"/>
      <c r="AL49" s="373"/>
      <c r="AM49" s="373"/>
      <c r="AN49" s="373"/>
      <c r="AO49" s="380"/>
      <c r="AP49" s="378" t="s">
        <v>267</v>
      </c>
      <c r="AQ49" s="378"/>
      <c r="AR49" s="378"/>
      <c r="AS49" s="378"/>
      <c r="AT49" s="378"/>
      <c r="AU49" s="373"/>
      <c r="AV49" s="373"/>
      <c r="AW49" s="373"/>
    </row>
    <row r="50" spans="20:56" x14ac:dyDescent="0.25">
      <c r="T50" s="381" t="s">
        <v>268</v>
      </c>
      <c r="U50" s="374" t="b">
        <f>AND(U48:U49)</f>
        <v>0</v>
      </c>
      <c r="AK50" s="373"/>
      <c r="AL50" s="373"/>
      <c r="AM50" s="373"/>
      <c r="AN50" s="373"/>
      <c r="AO50" s="380"/>
      <c r="AP50" s="378"/>
      <c r="AQ50" s="378"/>
      <c r="AR50" s="378">
        <v>0</v>
      </c>
      <c r="AS50" s="378">
        <v>1</v>
      </c>
      <c r="AT50" s="378">
        <v>2</v>
      </c>
      <c r="AU50" s="378">
        <v>3</v>
      </c>
      <c r="AV50" s="378">
        <v>4</v>
      </c>
      <c r="AW50" s="373"/>
    </row>
    <row r="51" spans="20:56" x14ac:dyDescent="0.25">
      <c r="AK51" s="373"/>
      <c r="AL51" s="373"/>
      <c r="AM51" s="373"/>
      <c r="AN51" s="373"/>
      <c r="AO51" s="380"/>
      <c r="AP51" s="378" t="s">
        <v>227</v>
      </c>
      <c r="AQ51" s="378">
        <v>1</v>
      </c>
      <c r="AR51" s="377">
        <v>0.7</v>
      </c>
      <c r="AS51" s="377">
        <v>0.9</v>
      </c>
      <c r="AT51" s="377">
        <v>0.93330000000000002</v>
      </c>
      <c r="AU51" s="377">
        <v>0.9667</v>
      </c>
      <c r="AV51" s="377">
        <v>1</v>
      </c>
      <c r="AW51" s="373"/>
    </row>
    <row r="52" spans="20:56" x14ac:dyDescent="0.25">
      <c r="AK52" s="373"/>
      <c r="AL52" s="373"/>
      <c r="AM52" s="373"/>
      <c r="AN52" s="373"/>
      <c r="AO52" s="380"/>
      <c r="AP52" s="378" t="s">
        <v>228</v>
      </c>
      <c r="AQ52" s="378">
        <v>2</v>
      </c>
      <c r="AR52" s="377">
        <v>0.7</v>
      </c>
      <c r="AS52" s="377">
        <v>0.8</v>
      </c>
      <c r="AT52" s="377">
        <v>0.9</v>
      </c>
      <c r="AU52" s="377">
        <v>0.95</v>
      </c>
      <c r="AV52" s="377">
        <v>1</v>
      </c>
      <c r="AW52" s="373"/>
    </row>
    <row r="53" spans="20:56" x14ac:dyDescent="0.25">
      <c r="AK53" s="373"/>
      <c r="AL53" s="373"/>
      <c r="AM53" s="373"/>
      <c r="AN53" s="373"/>
      <c r="AO53" s="380"/>
      <c r="AP53" s="378" t="s">
        <v>229</v>
      </c>
      <c r="AQ53" s="378">
        <v>3</v>
      </c>
      <c r="AR53" s="377">
        <v>0.7</v>
      </c>
      <c r="AS53" s="377">
        <v>0.76670000000000005</v>
      </c>
      <c r="AT53" s="377">
        <v>0.83330000000000004</v>
      </c>
      <c r="AU53" s="377">
        <v>0.9</v>
      </c>
      <c r="AV53" s="377">
        <v>1</v>
      </c>
      <c r="AW53" s="373"/>
    </row>
    <row r="54" spans="20:56" x14ac:dyDescent="0.25">
      <c r="AP54" s="379" t="s">
        <v>230</v>
      </c>
      <c r="AQ54" s="378">
        <v>11</v>
      </c>
      <c r="AR54" s="377">
        <v>0.6</v>
      </c>
      <c r="AS54" s="377">
        <v>0.9</v>
      </c>
      <c r="AT54" s="377">
        <v>0.93330000000000002</v>
      </c>
      <c r="AU54" s="377">
        <v>0.9667</v>
      </c>
      <c r="AV54" s="377">
        <v>1</v>
      </c>
      <c r="AW54" s="373"/>
    </row>
    <row r="55" spans="20:56" x14ac:dyDescent="0.25">
      <c r="AP55" s="379" t="s">
        <v>231</v>
      </c>
      <c r="AQ55" s="378">
        <v>12</v>
      </c>
      <c r="AR55" s="377">
        <v>0.6</v>
      </c>
      <c r="AS55" s="377">
        <v>0.7</v>
      </c>
      <c r="AT55" s="377">
        <v>0.9</v>
      </c>
      <c r="AU55" s="377">
        <v>0.95</v>
      </c>
      <c r="AV55" s="377">
        <v>1</v>
      </c>
      <c r="AW55" s="373"/>
    </row>
    <row r="56" spans="20:56" x14ac:dyDescent="0.25">
      <c r="AP56" s="379" t="s">
        <v>232</v>
      </c>
      <c r="AQ56" s="378">
        <v>13</v>
      </c>
      <c r="AR56" s="377">
        <v>0.6</v>
      </c>
      <c r="AS56" s="377">
        <v>0.7</v>
      </c>
      <c r="AT56" s="377">
        <v>0.8</v>
      </c>
      <c r="AU56" s="377">
        <v>0.9</v>
      </c>
      <c r="AV56" s="377">
        <v>1</v>
      </c>
      <c r="AW56" s="373"/>
    </row>
    <row r="57" spans="20:56" x14ac:dyDescent="0.25">
      <c r="AP57" s="379" t="s">
        <v>233</v>
      </c>
      <c r="AQ57" s="378">
        <v>22</v>
      </c>
      <c r="AR57" s="377">
        <v>0.3</v>
      </c>
      <c r="AS57" s="377">
        <v>0.6</v>
      </c>
      <c r="AT57" s="377">
        <v>0.9</v>
      </c>
      <c r="AU57" s="377">
        <v>0.95</v>
      </c>
      <c r="AV57" s="377">
        <v>1</v>
      </c>
      <c r="AW57" s="373"/>
    </row>
    <row r="58" spans="20:56" x14ac:dyDescent="0.25">
      <c r="AP58" s="379" t="s">
        <v>234</v>
      </c>
      <c r="AQ58" s="378">
        <v>23</v>
      </c>
      <c r="AR58" s="377">
        <v>0.3</v>
      </c>
      <c r="AS58" s="377">
        <v>0.6</v>
      </c>
      <c r="AT58" s="377">
        <v>0.7</v>
      </c>
      <c r="AU58" s="377">
        <v>0.9</v>
      </c>
      <c r="AV58" s="377">
        <v>1</v>
      </c>
      <c r="AW58" s="373"/>
    </row>
    <row r="59" spans="20:56" x14ac:dyDescent="0.25">
      <c r="AP59" s="379" t="s">
        <v>235</v>
      </c>
      <c r="AQ59" s="378">
        <v>33</v>
      </c>
      <c r="AR59" s="377">
        <v>0</v>
      </c>
      <c r="AS59" s="377">
        <v>0.3</v>
      </c>
      <c r="AT59" s="377">
        <v>0.6</v>
      </c>
      <c r="AU59" s="377">
        <v>0.9</v>
      </c>
      <c r="AV59" s="377">
        <v>1</v>
      </c>
      <c r="AW59" s="83"/>
      <c r="AX59" s="84"/>
      <c r="BC59" s="84"/>
      <c r="BD59" s="84"/>
    </row>
    <row r="60" spans="20:56" x14ac:dyDescent="0.25">
      <c r="AP60" s="373"/>
      <c r="AQ60" s="373"/>
      <c r="AR60" s="373"/>
      <c r="AS60" s="373"/>
      <c r="AT60" s="373"/>
      <c r="AU60" s="373"/>
      <c r="AV60" s="373"/>
      <c r="AW60" s="84"/>
      <c r="AX60" s="84"/>
      <c r="BC60" s="84"/>
      <c r="BD60" s="84"/>
    </row>
    <row r="61" spans="20:56" x14ac:dyDescent="0.25">
      <c r="AP61" s="84"/>
      <c r="AQ61" s="83"/>
      <c r="AR61" s="84"/>
      <c r="AS61" s="84"/>
      <c r="AT61" s="84"/>
      <c r="AU61" s="84"/>
      <c r="AV61" s="84"/>
      <c r="AW61" s="83"/>
      <c r="AX61" s="83"/>
      <c r="BC61" s="84"/>
      <c r="BD61" s="84"/>
    </row>
    <row r="62" spans="20:56" x14ac:dyDescent="0.25">
      <c r="AP62" s="101"/>
      <c r="AQ62" s="83"/>
      <c r="AR62" s="84"/>
      <c r="AS62" s="84"/>
      <c r="AT62" s="84"/>
      <c r="AU62" s="84"/>
      <c r="AV62" s="84"/>
      <c r="AW62" s="83"/>
      <c r="AX62" s="83"/>
      <c r="BC62" s="84"/>
      <c r="BD62" s="84"/>
    </row>
    <row r="63" spans="20:56" x14ac:dyDescent="0.25">
      <c r="AP63" s="83"/>
      <c r="AQ63" s="83"/>
      <c r="AR63" s="84"/>
      <c r="AS63" s="84"/>
      <c r="AT63" s="84"/>
      <c r="AU63" s="84"/>
      <c r="AV63" s="84"/>
      <c r="AW63" s="83"/>
      <c r="AX63" s="83"/>
      <c r="BC63" s="84"/>
      <c r="BD63" s="84"/>
    </row>
    <row r="64" spans="20:56" x14ac:dyDescent="0.25">
      <c r="AP64" s="83"/>
      <c r="AQ64" s="83"/>
      <c r="AR64" s="84"/>
      <c r="AS64" s="84"/>
      <c r="AT64" s="84"/>
      <c r="AU64" s="84"/>
      <c r="AV64" s="84"/>
      <c r="AW64" s="83"/>
      <c r="AX64" s="84"/>
      <c r="BC64" s="84"/>
      <c r="BD64" s="84"/>
    </row>
    <row r="65" spans="42:56" x14ac:dyDescent="0.25">
      <c r="AP65" s="83"/>
      <c r="AQ65" s="83"/>
      <c r="AR65" s="84"/>
      <c r="AS65" s="84"/>
      <c r="AT65" s="84"/>
      <c r="AU65" s="84"/>
      <c r="AV65" s="84"/>
      <c r="AW65" s="83"/>
      <c r="AX65" s="84"/>
      <c r="BC65" s="84"/>
      <c r="BD65" s="84"/>
    </row>
    <row r="66" spans="42:56" x14ac:dyDescent="0.25">
      <c r="AP66" s="83"/>
      <c r="AQ66" s="83"/>
      <c r="AR66" s="84"/>
      <c r="AS66" s="84"/>
      <c r="AT66" s="84"/>
      <c r="AU66" s="84"/>
      <c r="AV66" s="84"/>
    </row>
    <row r="67" spans="42:56" x14ac:dyDescent="0.25">
      <c r="AP67" s="83"/>
      <c r="AQ67" s="83"/>
      <c r="AR67" s="84"/>
      <c r="AS67" s="84"/>
      <c r="AT67" s="84"/>
      <c r="AU67" s="84"/>
      <c r="AV67" s="84"/>
    </row>
  </sheetData>
  <mergeCells count="76">
    <mergeCell ref="B5:G5"/>
    <mergeCell ref="H5:N5"/>
    <mergeCell ref="O5:P5"/>
    <mergeCell ref="Q5:R5"/>
    <mergeCell ref="BP4:BU5"/>
    <mergeCell ref="B4:G4"/>
    <mergeCell ref="H4:N4"/>
    <mergeCell ref="O4:P4"/>
    <mergeCell ref="Q4:R4"/>
    <mergeCell ref="BH5:BK7"/>
    <mergeCell ref="BL5:BN7"/>
    <mergeCell ref="O7:P7"/>
    <mergeCell ref="Q7:R7"/>
    <mergeCell ref="C16:F16"/>
    <mergeCell ref="C17:F17"/>
    <mergeCell ref="O6:P6"/>
    <mergeCell ref="Q6:R6"/>
    <mergeCell ref="B6:E6"/>
    <mergeCell ref="F6:G6"/>
    <mergeCell ref="H6:L6"/>
    <mergeCell ref="M6:N6"/>
    <mergeCell ref="B7:E7"/>
    <mergeCell ref="F7:G7"/>
    <mergeCell ref="H7:L7"/>
    <mergeCell ref="M7:N7"/>
    <mergeCell ref="C15:F15"/>
    <mergeCell ref="C39:F39"/>
    <mergeCell ref="C40:F40"/>
    <mergeCell ref="BQ20:BU20"/>
    <mergeCell ref="B8:F8"/>
    <mergeCell ref="L8:R8"/>
    <mergeCell ref="C9:F9"/>
    <mergeCell ref="L9:R40"/>
    <mergeCell ref="C10:F10"/>
    <mergeCell ref="C11:F11"/>
    <mergeCell ref="C12:F12"/>
    <mergeCell ref="C13:F13"/>
    <mergeCell ref="C14:F14"/>
    <mergeCell ref="C28:F28"/>
    <mergeCell ref="C29:F29"/>
    <mergeCell ref="BO35:BU38"/>
    <mergeCell ref="C36:F36"/>
    <mergeCell ref="C35:F35"/>
    <mergeCell ref="C37:F37"/>
    <mergeCell ref="C38:F38"/>
    <mergeCell ref="C18:F18"/>
    <mergeCell ref="C19:F19"/>
    <mergeCell ref="C20:F20"/>
    <mergeCell ref="C21:F21"/>
    <mergeCell ref="C22:F22"/>
    <mergeCell ref="C32:F32"/>
    <mergeCell ref="C33:F33"/>
    <mergeCell ref="C34:F34"/>
    <mergeCell ref="C30:F30"/>
    <mergeCell ref="C31:F31"/>
    <mergeCell ref="BO22:BO30"/>
    <mergeCell ref="C23:F23"/>
    <mergeCell ref="C24:F24"/>
    <mergeCell ref="C25:F25"/>
    <mergeCell ref="C26:F26"/>
    <mergeCell ref="C27:F27"/>
    <mergeCell ref="BO40:BU43"/>
    <mergeCell ref="B41:D41"/>
    <mergeCell ref="F41:G41"/>
    <mergeCell ref="H41:I41"/>
    <mergeCell ref="Q42:R42"/>
    <mergeCell ref="L43:R43"/>
    <mergeCell ref="O42:P42"/>
    <mergeCell ref="J41:K41"/>
    <mergeCell ref="M41:N41"/>
    <mergeCell ref="O41:P41"/>
    <mergeCell ref="B42:D42"/>
    <mergeCell ref="F42:G42"/>
    <mergeCell ref="H42:I42"/>
    <mergeCell ref="J42:K42"/>
    <mergeCell ref="M42:N42"/>
  </mergeCells>
  <conditionalFormatting sqref="B9:F40">
    <cfRule type="expression" dxfId="43" priority="9" stopIfTrue="1">
      <formula>IF($Z9=1,TRUE,FALSE)</formula>
    </cfRule>
    <cfRule type="expression" dxfId="42" priority="10">
      <formula>IF($Z9=2,TRUE,FALSE)</formula>
    </cfRule>
  </conditionalFormatting>
  <conditionalFormatting sqref="C9:F40">
    <cfRule type="expression" dxfId="41" priority="2" stopIfTrue="1">
      <formula>IF($AF9=FALSE,TRUE,FALSE)</formula>
    </cfRule>
  </conditionalFormatting>
  <conditionalFormatting sqref="F6:G7 M6:P7">
    <cfRule type="expression" dxfId="40" priority="5" stopIfTrue="1">
      <formula>NOT($AU$5)</formula>
    </cfRule>
  </conditionalFormatting>
  <conditionalFormatting sqref="F7:G7">
    <cfRule type="cellIs" dxfId="39" priority="4" operator="equal">
      <formula>""</formula>
    </cfRule>
  </conditionalFormatting>
  <conditionalFormatting sqref="G9:K40">
    <cfRule type="expression" dxfId="38" priority="7" stopIfTrue="1">
      <formula>IF($Z9=1,TRUE,FALSE)</formula>
    </cfRule>
    <cfRule type="expression" dxfId="37" priority="8" stopIfTrue="1">
      <formula>IF($Z9=2,TRUE,FALSE)</formula>
    </cfRule>
  </conditionalFormatting>
  <conditionalFormatting sqref="H9:H40">
    <cfRule type="expression" dxfId="36" priority="11" stopIfTrue="1">
      <formula>IF($AB9=0,TRUE,FALSE)</formula>
    </cfRule>
  </conditionalFormatting>
  <conditionalFormatting sqref="H41:I42">
    <cfRule type="expression" dxfId="35" priority="3" stopIfTrue="1">
      <formula>IF($H$42="N/A",TRUE,FALSE)</formula>
    </cfRule>
  </conditionalFormatting>
  <conditionalFormatting sqref="H7:P7 O5:R5 B7 L9">
    <cfRule type="containsBlanks" dxfId="34" priority="6">
      <formula>LEN(TRIM(B5))=0</formula>
    </cfRule>
  </conditionalFormatting>
  <conditionalFormatting sqref="J9:J40">
    <cfRule type="expression" dxfId="33" priority="15">
      <formula>IF($Z9=1,FALSE,OR($BE9,$BD9))</formula>
    </cfRule>
  </conditionalFormatting>
  <conditionalFormatting sqref="J9:K40 C9:F40">
    <cfRule type="expression" dxfId="32" priority="14">
      <formula>IF($Z9=1,FALSE,OR($AW9,$AX9,$AY9,$AZ9))</formula>
    </cfRule>
  </conditionalFormatting>
  <conditionalFormatting sqref="J9:K40">
    <cfRule type="expression" dxfId="31" priority="12" stopIfTrue="1">
      <formula>IF(ISNA($Z9),TRUE,FALSE)</formula>
    </cfRule>
  </conditionalFormatting>
  <conditionalFormatting sqref="K9:K40">
    <cfRule type="expression" dxfId="30" priority="13">
      <formula>IF(OR($Z9=1,$Z9=2),FALSE,OR($BC9,$BE9,$BF9))</formula>
    </cfRule>
  </conditionalFormatting>
  <conditionalFormatting sqref="L42">
    <cfRule type="expression" dxfId="29" priority="1">
      <formula>NOT($U$50)</formula>
    </cfRule>
  </conditionalFormatting>
  <dataValidations count="6">
    <dataValidation type="list" allowBlank="1" showInputMessage="1" showErrorMessage="1" sqref="F7:G7" xr:uid="{C81E008F-3350-4973-8A21-86C50378954C}">
      <formula1>"No,Yes"</formula1>
    </dataValidation>
    <dataValidation type="list" allowBlank="1" showInputMessage="1" showErrorMessage="1" sqref="J9:J40" xr:uid="{771AF5F4-56DA-4F2D-B129-215DD2201C26}">
      <formula1>"NA,0,1,2,3,4,5,6,7,8,9,10,11,12,13,14,15"</formula1>
    </dataValidation>
    <dataValidation type="list" allowBlank="1" showInputMessage="1" showErrorMessage="1" sqref="K9:K40" xr:uid="{E45AB24F-B99F-4A57-972B-F597434C1DAC}">
      <formula1>"D,0,1,2,3,4"</formula1>
    </dataValidation>
    <dataValidation showInputMessage="1" showErrorMessage="1" sqref="O42:R42" xr:uid="{697717DF-67E0-4D52-8EF2-19C2AB903ED5}"/>
    <dataValidation type="decimal" allowBlank="1" showInputMessage="1" showErrorMessage="1" sqref="O7:P7" xr:uid="{5B4F9172-40FE-42B9-A2F6-3FE6E5FEA7CD}">
      <formula1>0</formula1>
      <formula2>10</formula2>
    </dataValidation>
    <dataValidation type="date" allowBlank="1" showInputMessage="1" showErrorMessage="1" sqref="Q5:R5" xr:uid="{1A020227-C504-45DF-B355-5E81CEC6EF50}">
      <formula1>41151</formula1>
      <formula2>77433</formula2>
    </dataValidation>
  </dataValidations>
  <hyperlinks>
    <hyperlink ref="BP4" location="PF!A1" display="PF phase Summary Page" xr:uid="{98B6C9F7-9E91-44D5-B3A7-E5731CF12AD0}"/>
    <hyperlink ref="BP4:BU5" location="TF!A1" display="TF Summary Page" xr:uid="{4673B802-2B3A-4D42-A5D1-15BF598049F7}"/>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1CD19-9096-449C-9762-6F809EB487BE}">
  <sheetPr>
    <tabColor rgb="FFFFFF00"/>
    <pageSetUpPr autoPageBreaks="0"/>
  </sheetPr>
  <dimension ref="A1:AVW67"/>
  <sheetViews>
    <sheetView showGridLines="0" showRowColHeaders="0" topLeftCell="A3" zoomScaleNormal="100" workbookViewId="0">
      <selection activeCell="BX42" sqref="BX42"/>
    </sheetView>
  </sheetViews>
  <sheetFormatPr defaultColWidth="9.140625" defaultRowHeight="15" x14ac:dyDescent="0.25"/>
  <cols>
    <col min="1" max="1" width="1.5703125" style="376" customWidth="1"/>
    <col min="2" max="2" width="3.5703125" style="376" customWidth="1"/>
    <col min="3" max="3" width="5.5703125" style="371" customWidth="1"/>
    <col min="4" max="4" width="9.140625" style="371"/>
    <col min="5" max="5" width="14" style="371" customWidth="1"/>
    <col min="6" max="6" width="7.85546875" style="371" customWidth="1"/>
    <col min="7" max="11" width="5.140625" style="371" customWidth="1"/>
    <col min="12" max="12" width="21.5703125" style="371" customWidth="1"/>
    <col min="13" max="13" width="6.5703125" style="371" customWidth="1"/>
    <col min="14" max="14" width="12.5703125" style="371" customWidth="1"/>
    <col min="15" max="15" width="7.85546875" style="371" customWidth="1"/>
    <col min="16" max="16" width="2.7109375" style="371" customWidth="1"/>
    <col min="17" max="17" width="4.85546875" style="371" customWidth="1"/>
    <col min="18" max="18" width="7.28515625" style="371" customWidth="1"/>
    <col min="19" max="19" width="1.7109375" style="371" customWidth="1"/>
    <col min="20" max="20" width="19.140625" style="374" hidden="1" customWidth="1"/>
    <col min="21" max="21" width="31.140625" style="374" hidden="1" customWidth="1"/>
    <col min="22" max="22" width="5.140625" style="374" hidden="1" customWidth="1"/>
    <col min="23" max="24" width="6.28515625" style="374" hidden="1" customWidth="1"/>
    <col min="25" max="25" width="8.42578125" style="374" hidden="1" customWidth="1"/>
    <col min="26" max="26" width="7.85546875" style="374" hidden="1" customWidth="1"/>
    <col min="27" max="27" width="10.7109375" style="374" hidden="1" customWidth="1"/>
    <col min="28" max="28" width="8" style="374" hidden="1" customWidth="1"/>
    <col min="29" max="31" width="5.140625" style="374" hidden="1" customWidth="1"/>
    <col min="32" max="34" width="5.85546875" style="374" hidden="1" customWidth="1"/>
    <col min="35" max="35" width="8.5703125" style="375" hidden="1" customWidth="1"/>
    <col min="36" max="36" width="7" style="374" hidden="1" customWidth="1"/>
    <col min="37" max="38" width="5.28515625" style="374" hidden="1" customWidth="1"/>
    <col min="39" max="40" width="7" style="374" hidden="1" customWidth="1"/>
    <col min="41" max="41" width="5.140625" style="374" hidden="1" customWidth="1"/>
    <col min="42" max="42" width="11.28515625" style="374" hidden="1" customWidth="1"/>
    <col min="43" max="43" width="6.42578125" style="374" hidden="1" customWidth="1"/>
    <col min="44" max="44" width="8.28515625" style="374" hidden="1" customWidth="1"/>
    <col min="45" max="45" width="8.85546875" style="374" hidden="1" customWidth="1"/>
    <col min="46" max="46" width="10.7109375" style="374" hidden="1" customWidth="1"/>
    <col min="47" max="47" width="8.85546875" style="374" hidden="1" customWidth="1"/>
    <col min="48" max="48" width="6.28515625" style="374" hidden="1" customWidth="1"/>
    <col min="49" max="49" width="10" style="374" hidden="1" customWidth="1"/>
    <col min="50" max="50" width="7.5703125" style="374" hidden="1" customWidth="1"/>
    <col min="51" max="51" width="7" style="374" hidden="1" customWidth="1"/>
    <col min="52" max="52" width="8.140625" style="374" hidden="1" customWidth="1"/>
    <col min="53" max="53" width="12.5703125" style="374" hidden="1" customWidth="1"/>
    <col min="54" max="54" width="7.7109375" style="374" hidden="1" customWidth="1"/>
    <col min="55" max="55" width="12.7109375" style="374" hidden="1" customWidth="1"/>
    <col min="56" max="56" width="7" style="374" hidden="1" customWidth="1"/>
    <col min="57" max="57" width="15.5703125" style="373" hidden="1" customWidth="1"/>
    <col min="58" max="58" width="9.140625" style="373" hidden="1" customWidth="1"/>
    <col min="59" max="59" width="10" style="374" hidden="1" customWidth="1"/>
    <col min="60" max="60" width="5.28515625" style="373" hidden="1" customWidth="1"/>
    <col min="61" max="61" width="4" style="373" hidden="1" customWidth="1"/>
    <col min="62" max="62" width="4.7109375" style="373" hidden="1" customWidth="1"/>
    <col min="63" max="63" width="5.5703125" style="373" hidden="1" customWidth="1"/>
    <col min="64" max="64" width="5.28515625" style="373" hidden="1" customWidth="1"/>
    <col min="65" max="65" width="4" style="373" hidden="1" customWidth="1"/>
    <col min="66" max="66" width="5.5703125" style="373" hidden="1" customWidth="1"/>
    <col min="67" max="67" width="5.140625" style="372" customWidth="1"/>
    <col min="68" max="73" width="5.140625" style="371" customWidth="1"/>
    <col min="74" max="16384" width="9.140625" style="371"/>
  </cols>
  <sheetData>
    <row r="1" spans="2:73" s="447" customFormat="1" ht="12" hidden="1" x14ac:dyDescent="0.2">
      <c r="T1" s="378"/>
      <c r="U1" s="378"/>
      <c r="V1" s="378"/>
      <c r="W1" s="378"/>
      <c r="X1" s="378"/>
      <c r="Y1" s="378"/>
      <c r="Z1" s="378"/>
      <c r="AA1" s="378"/>
      <c r="AB1" s="378"/>
      <c r="AC1" s="378"/>
      <c r="AD1" s="378"/>
      <c r="AE1" s="378"/>
      <c r="AF1" s="378"/>
      <c r="AG1" s="378"/>
      <c r="AH1" s="378"/>
      <c r="AI1" s="402"/>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row>
    <row r="2" spans="2:73" s="447" customFormat="1" ht="12" hidden="1" x14ac:dyDescent="0.2">
      <c r="T2" s="378"/>
      <c r="U2" s="378"/>
      <c r="V2" s="378"/>
      <c r="W2" s="378"/>
      <c r="X2" s="378"/>
      <c r="Y2" s="378"/>
      <c r="Z2" s="378"/>
      <c r="AA2" s="378"/>
      <c r="AB2" s="378"/>
      <c r="AC2" s="378"/>
      <c r="AD2" s="378"/>
      <c r="AE2" s="378"/>
      <c r="AF2" s="378"/>
      <c r="AG2" s="378"/>
      <c r="AH2" s="378"/>
      <c r="AI2" s="402"/>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row>
    <row r="3" spans="2:73" ht="15.75" thickBot="1" x14ac:dyDescent="0.3">
      <c r="BE3" s="374"/>
      <c r="BF3" s="374"/>
      <c r="BG3" s="373"/>
    </row>
    <row r="4" spans="2:73" ht="13.5" customHeight="1" thickTop="1" x14ac:dyDescent="0.25">
      <c r="B4" s="1576" t="s">
        <v>141</v>
      </c>
      <c r="C4" s="1577"/>
      <c r="D4" s="1577"/>
      <c r="E4" s="1577"/>
      <c r="F4" s="1577"/>
      <c r="G4" s="1578"/>
      <c r="H4" s="1589" t="s">
        <v>302</v>
      </c>
      <c r="I4" s="1590"/>
      <c r="J4" s="1590"/>
      <c r="K4" s="1590"/>
      <c r="L4" s="1590"/>
      <c r="M4" s="1590"/>
      <c r="N4" s="1591"/>
      <c r="O4" s="1592" t="s">
        <v>142</v>
      </c>
      <c r="P4" s="1593"/>
      <c r="Q4" s="1592" t="s">
        <v>143</v>
      </c>
      <c r="R4" s="1594"/>
      <c r="S4" s="406"/>
      <c r="T4" s="407"/>
      <c r="U4" s="407"/>
      <c r="V4" s="407"/>
      <c r="W4" s="407"/>
      <c r="X4" s="407"/>
      <c r="Y4" s="407"/>
      <c r="Z4" s="407"/>
      <c r="AA4" s="407"/>
      <c r="AB4" s="407"/>
      <c r="AC4" s="407"/>
      <c r="AD4" s="407"/>
      <c r="AE4" s="407"/>
      <c r="AF4" s="407"/>
      <c r="AG4" s="407"/>
      <c r="AH4" s="407"/>
      <c r="AI4" s="492"/>
      <c r="AJ4" s="407"/>
      <c r="AK4" s="407"/>
      <c r="AL4" s="407"/>
      <c r="AM4" s="407"/>
      <c r="AN4" s="407"/>
      <c r="AO4" s="407"/>
      <c r="AP4" s="407"/>
      <c r="AQ4" s="378"/>
      <c r="AR4" s="378"/>
      <c r="AW4" s="374" t="s">
        <v>144</v>
      </c>
      <c r="AX4" s="374" t="s">
        <v>145</v>
      </c>
      <c r="AY4" s="374" t="s">
        <v>146</v>
      </c>
      <c r="AZ4" s="374" t="s">
        <v>147</v>
      </c>
      <c r="BA4" s="374" t="s">
        <v>148</v>
      </c>
      <c r="BB4" s="374" t="s">
        <v>149</v>
      </c>
      <c r="BE4" s="374"/>
      <c r="BF4" s="374"/>
      <c r="BG4" s="373"/>
      <c r="BP4" s="1668" t="s">
        <v>313</v>
      </c>
      <c r="BQ4" s="1668"/>
      <c r="BR4" s="1668"/>
      <c r="BS4" s="1668"/>
      <c r="BT4" s="1668"/>
      <c r="BU4" s="1668"/>
    </row>
    <row r="5" spans="2:73" s="416" customFormat="1" ht="15.75" customHeight="1" x14ac:dyDescent="0.2">
      <c r="B5" s="1579" t="s">
        <v>293</v>
      </c>
      <c r="C5" s="1580"/>
      <c r="D5" s="1580"/>
      <c r="E5" s="1580"/>
      <c r="F5" s="1580"/>
      <c r="G5" s="1581"/>
      <c r="H5" s="1598" t="s">
        <v>316</v>
      </c>
      <c r="I5" s="1599"/>
      <c r="J5" s="1599"/>
      <c r="K5" s="1599"/>
      <c r="L5" s="1599"/>
      <c r="M5" s="1599"/>
      <c r="N5" s="1600"/>
      <c r="O5" s="1601"/>
      <c r="P5" s="1602"/>
      <c r="Q5" s="1603"/>
      <c r="R5" s="1604"/>
      <c r="S5" s="498"/>
      <c r="T5" s="496"/>
      <c r="U5" s="496"/>
      <c r="V5" s="496"/>
      <c r="W5" s="496"/>
      <c r="X5" s="496"/>
      <c r="Y5" s="496"/>
      <c r="Z5" s="496"/>
      <c r="AA5" s="496"/>
      <c r="AB5" s="496"/>
      <c r="AC5" s="496"/>
      <c r="AD5" s="496"/>
      <c r="AE5" s="496"/>
      <c r="AF5" s="496"/>
      <c r="AG5" s="496"/>
      <c r="AH5" s="496"/>
      <c r="AI5" s="497"/>
      <c r="AJ5" s="496"/>
      <c r="AK5" s="496"/>
      <c r="AL5" s="496"/>
      <c r="AM5" s="496"/>
      <c r="AN5" s="496"/>
      <c r="AO5" s="496"/>
      <c r="AP5" s="496"/>
      <c r="AQ5" s="487"/>
      <c r="AR5" s="487"/>
      <c r="AS5" s="401"/>
      <c r="AT5" s="495" t="s">
        <v>151</v>
      </c>
      <c r="AU5" s="494" t="b">
        <v>0</v>
      </c>
      <c r="AV5" s="401">
        <v>0</v>
      </c>
      <c r="AW5" s="401" t="b">
        <f>IF(ISERR(OR(AW9:AW40)),"UNK",IF(AND(graded_aca_events&gt;=1,input_test),FALSE,OR(AW9:AW40)))</f>
        <v>0</v>
      </c>
      <c r="AX5" s="401" t="b">
        <f>IF(ISERR(OR(AX9:AX40)),"UNK",IF(AND(graded_aca_events&gt;=1,input_test),FALSE,OR(AX9:AX40)))</f>
        <v>1</v>
      </c>
      <c r="AY5" s="401" t="b">
        <f>IF(ISERR(OR(AY9:AY40)),"UNK",OR(AY9:AY40))</f>
        <v>0</v>
      </c>
      <c r="AZ5" s="401" t="b">
        <f>IF(ISERR(OR(AZ9:AZ40)),"UNK",OR(AZ9:AZ40))</f>
        <v>0</v>
      </c>
      <c r="BA5" s="401" t="b">
        <f>IF(ISERR(OR(BA9:BA40)),"UNK",OR(BA9:BA40))</f>
        <v>0</v>
      </c>
      <c r="BB5" s="401" t="b">
        <f>IF(ISERR(OR(BB9:BB40)),"UNK",OR(BB9:BB40))</f>
        <v>0</v>
      </c>
      <c r="BC5" s="493" t="b">
        <f>OR(BC9:BC40)</f>
        <v>0</v>
      </c>
      <c r="BD5" s="493" t="b">
        <f>OR(BD9:BD40)</f>
        <v>0</v>
      </c>
      <c r="BE5" s="493" t="b">
        <f>OR(BE9:BE40)</f>
        <v>0</v>
      </c>
      <c r="BF5" s="493"/>
      <c r="BG5" s="401"/>
      <c r="BH5" s="1558" t="s">
        <v>152</v>
      </c>
      <c r="BI5" s="1558"/>
      <c r="BJ5" s="1558"/>
      <c r="BK5" s="1558"/>
      <c r="BL5" s="1559" t="s">
        <v>153</v>
      </c>
      <c r="BM5" s="1559"/>
      <c r="BN5" s="1559"/>
      <c r="BO5" s="372"/>
      <c r="BP5" s="1668"/>
      <c r="BQ5" s="1668"/>
      <c r="BR5" s="1668"/>
      <c r="BS5" s="1668"/>
      <c r="BT5" s="1668"/>
      <c r="BU5" s="1668"/>
    </row>
    <row r="6" spans="2:73" s="406" customFormat="1" ht="7.5" customHeight="1" x14ac:dyDescent="0.25">
      <c r="B6" s="1560" t="s">
        <v>154</v>
      </c>
      <c r="C6" s="1561"/>
      <c r="D6" s="1561"/>
      <c r="E6" s="1562"/>
      <c r="F6" s="1563" t="s">
        <v>155</v>
      </c>
      <c r="G6" s="1562"/>
      <c r="H6" s="1563" t="s">
        <v>156</v>
      </c>
      <c r="I6" s="1561"/>
      <c r="J6" s="1561"/>
      <c r="K6" s="1561"/>
      <c r="L6" s="1562"/>
      <c r="M6" s="1564" t="s">
        <v>157</v>
      </c>
      <c r="N6" s="1565"/>
      <c r="O6" s="1595" t="s">
        <v>158</v>
      </c>
      <c r="P6" s="1596"/>
      <c r="Q6" s="1563" t="str">
        <f>IF(AU42=0,"GRADE","GRADE (inc. bonus)")</f>
        <v>GRADE</v>
      </c>
      <c r="R6" s="1597"/>
      <c r="T6" s="407"/>
      <c r="U6" s="407"/>
      <c r="V6" s="407"/>
      <c r="W6" s="407"/>
      <c r="X6" s="407"/>
      <c r="Y6" s="407"/>
      <c r="Z6" s="407"/>
      <c r="AA6" s="407"/>
      <c r="AB6" s="407"/>
      <c r="AC6" s="407"/>
      <c r="AD6" s="407"/>
      <c r="AE6" s="407"/>
      <c r="AF6" s="407"/>
      <c r="AG6" s="407"/>
      <c r="AH6" s="407"/>
      <c r="AI6" s="492"/>
      <c r="AJ6" s="407"/>
      <c r="AK6" s="407"/>
      <c r="AL6" s="407"/>
      <c r="AM6" s="407"/>
      <c r="AN6" s="407"/>
      <c r="AO6" s="407"/>
      <c r="AP6" s="407"/>
      <c r="AQ6" s="407"/>
      <c r="AR6" s="407"/>
      <c r="AS6" s="407"/>
      <c r="AT6" s="407"/>
      <c r="AU6" s="407"/>
      <c r="AV6" s="407"/>
      <c r="AW6" s="407"/>
      <c r="AX6" s="407"/>
      <c r="AY6" s="407"/>
      <c r="AZ6" s="407"/>
      <c r="BA6" s="407"/>
      <c r="BB6" s="407"/>
      <c r="BC6" s="407"/>
      <c r="BD6" s="407"/>
      <c r="BE6" s="407"/>
      <c r="BF6" s="407"/>
      <c r="BG6" s="407"/>
      <c r="BH6" s="1558"/>
      <c r="BI6" s="1558"/>
      <c r="BJ6" s="1558"/>
      <c r="BK6" s="1558"/>
      <c r="BL6" s="1559"/>
      <c r="BM6" s="1559"/>
      <c r="BN6" s="1559"/>
      <c r="BO6" s="491"/>
    </row>
    <row r="7" spans="2:73" s="416" customFormat="1" ht="15.75" customHeight="1" thickBot="1" x14ac:dyDescent="0.25">
      <c r="B7" s="1566"/>
      <c r="C7" s="1567"/>
      <c r="D7" s="1567"/>
      <c r="E7" s="1568"/>
      <c r="F7" s="1569" t="s">
        <v>270</v>
      </c>
      <c r="G7" s="1570"/>
      <c r="H7" s="1571"/>
      <c r="I7" s="1572"/>
      <c r="J7" s="1572"/>
      <c r="K7" s="1572"/>
      <c r="L7" s="1573"/>
      <c r="M7" s="1574"/>
      <c r="N7" s="1575"/>
      <c r="O7" s="1585"/>
      <c r="P7" s="1586"/>
      <c r="Q7" s="1587" t="str">
        <f>IF((graded_aca_events+graded_amn_events)&lt;1,"---",IF(ISERROR(AR47),"",IF(F42&lt;&gt;"COMPLETE","INCOMPLETE",AR47)))</f>
        <v>---</v>
      </c>
      <c r="R7" s="1588"/>
      <c r="S7" s="371"/>
      <c r="T7" s="401"/>
      <c r="U7" s="401">
        <v>2</v>
      </c>
      <c r="V7" s="401">
        <v>3</v>
      </c>
      <c r="W7" s="401">
        <v>6</v>
      </c>
      <c r="X7" s="401">
        <v>7</v>
      </c>
      <c r="Y7" s="401">
        <v>11</v>
      </c>
      <c r="Z7" s="401">
        <v>8</v>
      </c>
      <c r="AA7" s="490">
        <v>9</v>
      </c>
      <c r="AB7" s="490">
        <v>10</v>
      </c>
      <c r="AC7" s="490">
        <v>5</v>
      </c>
      <c r="AD7" s="490">
        <v>4</v>
      </c>
      <c r="AE7" s="490">
        <v>12</v>
      </c>
      <c r="AF7" s="490">
        <v>13</v>
      </c>
      <c r="AG7" s="490"/>
      <c r="AH7" s="490"/>
      <c r="AI7" s="489"/>
      <c r="AJ7" s="488"/>
      <c r="AK7" s="488"/>
      <c r="AL7" s="488"/>
      <c r="AM7" s="488" t="b">
        <f>IF(COUNT(AM9:AM40)&gt;0,TRUE,FALSE)</f>
        <v>0</v>
      </c>
      <c r="AN7" s="488" t="b">
        <f>IF(COUNT(AN9:AN40)&gt;0,TRUE,FALSE)</f>
        <v>0</v>
      </c>
      <c r="AO7" s="401"/>
      <c r="AP7" s="401"/>
      <c r="AQ7" s="487"/>
      <c r="AR7" s="487"/>
      <c r="AS7" s="401"/>
      <c r="AT7" s="486">
        <v>0.2</v>
      </c>
      <c r="AU7" s="401"/>
      <c r="AV7" s="485">
        <f>0.01*input_maxb</f>
        <v>0</v>
      </c>
      <c r="AW7" s="483" t="s">
        <v>159</v>
      </c>
      <c r="AX7" s="484"/>
      <c r="AY7" s="483" t="s">
        <v>160</v>
      </c>
      <c r="AZ7" s="484"/>
      <c r="BA7" s="482" t="s">
        <v>161</v>
      </c>
      <c r="BB7" s="482"/>
      <c r="BC7" s="483" t="s">
        <v>162</v>
      </c>
      <c r="BD7" s="482"/>
      <c r="BE7" s="481"/>
      <c r="BF7" s="480"/>
      <c r="BG7" s="401" t="s">
        <v>163</v>
      </c>
      <c r="BH7" s="1558"/>
      <c r="BI7" s="1558"/>
      <c r="BJ7" s="1558"/>
      <c r="BK7" s="1558"/>
      <c r="BL7" s="1559"/>
      <c r="BM7" s="1559"/>
      <c r="BN7" s="1559"/>
      <c r="BO7" s="372"/>
    </row>
    <row r="8" spans="2:73" ht="27" customHeight="1" thickBot="1" x14ac:dyDescent="0.3">
      <c r="B8" s="1582" t="s">
        <v>164</v>
      </c>
      <c r="C8" s="1583"/>
      <c r="D8" s="1583"/>
      <c r="E8" s="1583"/>
      <c r="F8" s="1584"/>
      <c r="G8" s="479" t="s">
        <v>165</v>
      </c>
      <c r="H8" s="478" t="s">
        <v>166</v>
      </c>
      <c r="I8" s="477" t="s">
        <v>167</v>
      </c>
      <c r="J8" s="476" t="s">
        <v>168</v>
      </c>
      <c r="K8" s="475" t="s">
        <v>169</v>
      </c>
      <c r="L8" s="1605" t="s">
        <v>170</v>
      </c>
      <c r="M8" s="1583"/>
      <c r="N8" s="1583"/>
      <c r="O8" s="1583"/>
      <c r="P8" s="1583"/>
      <c r="Q8" s="1583"/>
      <c r="R8" s="1606"/>
      <c r="S8" s="376"/>
      <c r="T8" s="385" t="s">
        <v>171</v>
      </c>
      <c r="U8" s="385"/>
      <c r="V8" s="385" t="s">
        <v>172</v>
      </c>
      <c r="W8" s="385" t="s">
        <v>173</v>
      </c>
      <c r="X8" s="385" t="s">
        <v>174</v>
      </c>
      <c r="Y8" s="385" t="s">
        <v>175</v>
      </c>
      <c r="Z8" s="385" t="s">
        <v>176</v>
      </c>
      <c r="AA8" s="385" t="s">
        <v>177</v>
      </c>
      <c r="AB8" s="385" t="s">
        <v>178</v>
      </c>
      <c r="AC8" s="385" t="s">
        <v>179</v>
      </c>
      <c r="AD8" s="385" t="s">
        <v>180</v>
      </c>
      <c r="AE8" s="385" t="s">
        <v>181</v>
      </c>
      <c r="AF8" s="385" t="s">
        <v>182</v>
      </c>
      <c r="AG8" s="385" t="s">
        <v>183</v>
      </c>
      <c r="AH8" s="385" t="s">
        <v>184</v>
      </c>
      <c r="AI8" s="474" t="s">
        <v>185</v>
      </c>
      <c r="AJ8" s="472" t="s">
        <v>186</v>
      </c>
      <c r="AK8" s="473" t="s">
        <v>187</v>
      </c>
      <c r="AL8" s="473" t="s">
        <v>188</v>
      </c>
      <c r="AM8" s="473" t="s">
        <v>189</v>
      </c>
      <c r="AN8" s="473" t="s">
        <v>190</v>
      </c>
      <c r="AO8" s="472" t="s">
        <v>191</v>
      </c>
      <c r="AP8" s="472" t="s">
        <v>192</v>
      </c>
      <c r="AQ8" s="470" t="s">
        <v>193</v>
      </c>
      <c r="AR8" s="471" t="s">
        <v>1</v>
      </c>
      <c r="AS8" s="470" t="s">
        <v>194</v>
      </c>
      <c r="AT8" s="471" t="s">
        <v>1</v>
      </c>
      <c r="AU8" s="470" t="s">
        <v>195</v>
      </c>
      <c r="AV8" s="469" t="s">
        <v>196</v>
      </c>
      <c r="AW8" s="468" t="s">
        <v>197</v>
      </c>
      <c r="AX8" s="467" t="s">
        <v>198</v>
      </c>
      <c r="AY8" s="468" t="s">
        <v>199</v>
      </c>
      <c r="AZ8" s="467" t="s">
        <v>200</v>
      </c>
      <c r="BA8" s="466" t="s">
        <v>201</v>
      </c>
      <c r="BB8" s="466" t="s">
        <v>202</v>
      </c>
      <c r="BC8" s="465" t="s">
        <v>203</v>
      </c>
      <c r="BD8" s="464" t="s">
        <v>204</v>
      </c>
      <c r="BE8" s="463" t="s">
        <v>205</v>
      </c>
      <c r="BF8" s="462" t="s">
        <v>206</v>
      </c>
      <c r="BG8" s="373"/>
      <c r="BH8" s="373" t="s">
        <v>207</v>
      </c>
      <c r="BI8" s="373" t="s">
        <v>208</v>
      </c>
      <c r="BJ8" s="385" t="s">
        <v>209</v>
      </c>
      <c r="BK8" s="373" t="s">
        <v>210</v>
      </c>
      <c r="BL8" s="373" t="s">
        <v>207</v>
      </c>
      <c r="BM8" s="373" t="s">
        <v>208</v>
      </c>
      <c r="BN8" s="373" t="s">
        <v>210</v>
      </c>
    </row>
    <row r="9" spans="2:73" ht="12.95" customHeight="1" x14ac:dyDescent="0.25">
      <c r="B9" s="461" t="str">
        <f>IF(ISNA(Z9),"",IF(OR(Z9=1,Z9=2),"",1))</f>
        <v/>
      </c>
      <c r="C9" s="1607" t="str">
        <f t="shared" ref="C9:C40" si="0">IF(ISNA(Z9),"",CONCATENATE($U9,IF(ISNUMBER(AI9),TEXT(ROUND($AI9,3)," (0.0%)"),""),IF(AU9&gt;0," Bonus","")))</f>
        <v>Structure &amp; Logic (30.0%)</v>
      </c>
      <c r="D9" s="1607"/>
      <c r="E9" s="1607"/>
      <c r="F9" s="1608"/>
      <c r="G9" s="437" t="str">
        <f t="shared" ref="G9:G40" si="1">BH9</f>
        <v/>
      </c>
      <c r="H9" s="431" t="str">
        <f t="shared" ref="H9:H40" si="2">BJ9</f>
        <v/>
      </c>
      <c r="I9" s="460" t="str">
        <f t="shared" ref="I9:I40" si="3">BK9</f>
        <v/>
      </c>
      <c r="J9" s="459"/>
      <c r="K9" s="458"/>
      <c r="L9" s="1609"/>
      <c r="M9" s="1610"/>
      <c r="N9" s="1610"/>
      <c r="O9" s="1610"/>
      <c r="P9" s="1610"/>
      <c r="Q9" s="1610"/>
      <c r="R9" s="1611"/>
      <c r="T9" s="374">
        <v>1</v>
      </c>
      <c r="U9" s="374" t="s">
        <v>646</v>
      </c>
      <c r="V9" s="421" t="s">
        <v>212</v>
      </c>
      <c r="W9" s="421" t="s">
        <v>212</v>
      </c>
      <c r="X9" s="421" t="s">
        <v>212</v>
      </c>
      <c r="Y9" s="421" t="s">
        <v>212</v>
      </c>
      <c r="Z9" s="421">
        <v>2</v>
      </c>
      <c r="AA9" s="421">
        <v>1</v>
      </c>
      <c r="AB9" s="421">
        <v>1</v>
      </c>
      <c r="AC9" s="421" t="s">
        <v>212</v>
      </c>
      <c r="AD9" s="421" t="s">
        <v>212</v>
      </c>
      <c r="AE9" s="421" t="s">
        <v>212</v>
      </c>
      <c r="AF9" s="421" t="s">
        <v>212</v>
      </c>
      <c r="AG9" s="421" t="str">
        <f t="shared" ref="AG9:AG40" si="4">IF(CrewSoloQual="Yes",$AC9,$AD9)</f>
        <v/>
      </c>
      <c r="AH9" s="421" t="str">
        <f t="shared" ref="AH9:AH40" si="5">IF(ISNUMBER(AC9),IF(CrewSoloQual="Yes",$AC9-1,$AD9-1),"")</f>
        <v/>
      </c>
      <c r="AI9" s="427">
        <f>IF(NOT(OR(Z9=1,Z9=2)),IF(AQ9&gt;0,$AR$45*AQ9/SUMIF($AQ$9:$AQ$40,"&gt;0"),IF(AU9&gt;0,$AV$45*AU9/SUMIF($AU$9:$AU$40,"&gt;0"),IF(AS9&gt;0,$AT$45*AS9/SUMIF($AS$9:$AS$40,"&gt;0"),""))),IF(SUMIF(AJ10:$AJ$40,"=" &amp; AJ9,AI10:$AI$40)=0,"",SUMIF(AJ10:$AJ$40,"=" &amp; AJ9,AI10:$AI$40)))</f>
        <v>0.29999997965999931</v>
      </c>
      <c r="AJ9" s="426">
        <f>0</f>
        <v>0</v>
      </c>
      <c r="AK9" s="421" t="str">
        <f t="shared" ref="AK9:AK40" si="6">BI9</f>
        <v/>
      </c>
      <c r="AL9" s="421" t="str">
        <f t="shared" ref="AL9:AL40" si="7">IF(ISBLANK(K9),"",K9)</f>
        <v/>
      </c>
      <c r="AM9" s="421" t="str">
        <f t="shared" ref="AM9:AM40" si="8">IF(ISNUMBER(AK9),IF(ISNUMBER(AL9),1,""),"")</f>
        <v/>
      </c>
      <c r="AN9" s="421" t="str">
        <f t="shared" ref="AN9:AN40" si="9">IF(ISNUMBER(AH9),IF(AND(AB9=0,ISNUMBER(AC9),ISNUMBER(AL9)),1,""),"")</f>
        <v/>
      </c>
      <c r="AO9" s="421" t="str">
        <f t="shared" ref="AO9:AO40" si="10">IF(AB9=0,IF(CrewSoloQual="No",BI9,BK9),"")</f>
        <v/>
      </c>
      <c r="AP9" s="421" t="str">
        <f t="shared" ref="AP9:AP40" si="11">IF(ISNA(Z9),"",IF(AND(ISNUMBER(B9),G9&gt;=1,H9&lt;&gt;"NG"),IF(K9&lt;BK9,TRUE,FALSE),IF(AND(G9&gt;=1,J9="NA"),TRUE,IF(AND(AM9=1,G9=0,AL9&lt;BI9),TRUE,""))))</f>
        <v/>
      </c>
      <c r="AQ9" s="425">
        <f t="shared" ref="AQ9:AQ40" si="12">IF(ISNA(Z9),0,IF(OR(J9="NA",W9="",AB9=0),0,W9))</f>
        <v>0</v>
      </c>
      <c r="AR9" s="423" t="str">
        <f t="shared" ref="AR9:AR40" si="13">IF(ISNA(Z9),"",IF(AND(NOT(OR(Z9=1,Z9=2,AK9="NG",AB9=0)),IF(ISNUMBER(AL9),AL9&gt;=0,FALSE)),VLOOKUP((10*AD9+AC9),$AQ$51:$AV$59,2+AL9,FALSE),IF(AND(input_test=TRUE,ISNUMBER(AD9),V9&lt;&gt;0),VLOOKUP((10*AD9+AC9),$AQ$51:$AV$59,2,FALSE),"")))</f>
        <v/>
      </c>
      <c r="AS9" s="424">
        <f t="shared" ref="AS9:AS40" si="14">IF(ISNA(Z9),0,IF(OR(J9="NA",X9="",AB9=1),0,X9))</f>
        <v>0</v>
      </c>
      <c r="AT9" s="423" t="str">
        <f t="shared" ref="AT9:AT40" si="15">IF(ISNA(Z9),"",IF(AND(NOT(OR(Z9=1,Z9=2,AK9="NG",AB9=1)),IF(ISNUMBER(AL9),AL9&gt;=0,FALSE)),VLOOKUP((10*AH9+AG9),$AQ$51:$AV$59,2+AL9,FALSE),IF(AND(input_test=TRUE,ISNUMBER(AD9),V9&lt;&gt;0),VLOOKUP((10*AH9+AG9),$AQ$51:$AV$59,2,FALSE),"")))</f>
        <v/>
      </c>
      <c r="AU9" s="420">
        <f t="shared" ref="AU9:AU40" si="16">IF(ISNA(Z9),0,IF(OR(J9="NA",Y9=""),0,Y9))</f>
        <v>0</v>
      </c>
      <c r="AV9" s="422" t="str">
        <f t="shared" ref="AV9:AV40" si="17">AR9</f>
        <v/>
      </c>
      <c r="AW9" s="420" t="b">
        <f t="shared" ref="AW9:AW40" si="18">IF(ISNA(Z9),FALSE,IF(OR(AB9=1,G9=0,Z9=1,Z9=2),FALSE,IF(OR(J9="NA",J9&gt;=G9),FALSE,TRUE)))</f>
        <v>0</v>
      </c>
      <c r="AX9" s="419" t="b">
        <f t="shared" ref="AX9:AX40" si="19">IF(ISNA(Z9),FALSE,IF(OR(AB9=0,G9=0,Z9=1,Z9=2,J9="NA"),FALSE,IF(AK9="NG",IF(NOT(ISBLANK(K9)),FALSE,TRUE),IF(J9&gt;=G9,FALSE,TRUE))))</f>
        <v>0</v>
      </c>
      <c r="AY9" s="420" t="b">
        <f t="shared" ref="AY9:AY40" si="20">IF(ISNA(Z9),FALSE,IF(OR(AB9=1,G9&lt;1,Z9=1,Z9=2,AE9=0,ISBLANK(K9)),FALSE,IF(OR(J9="NA",K9&gt;=BI9),FALSE,TRUE)))</f>
        <v>0</v>
      </c>
      <c r="AZ9" s="419" t="b">
        <f t="shared" ref="AZ9:AZ40" si="21">IF(ISNA(Z9),FALSE,IF(OR(AB9=0,G9=0,Z9=1,Z9=2,AE9=0,BI9="NG",K9="",ISBLANK(K9)),FALSE,IF(OR(J9="NA",K9&gt;=AK9),FALSE,TRUE)))</f>
        <v>0</v>
      </c>
      <c r="BA9" s="421" t="b">
        <f t="shared" ref="BA9:BA40" si="22">IF(ISNA(Z9),FALSE,IF(OR(AB9=1,G9&lt;1,Z9=1,Z9=2,AE9=0),FALSE,IF(J9="NA",TRUE,FALSE)))</f>
        <v>0</v>
      </c>
      <c r="BB9" s="421" t="b">
        <f t="shared" ref="BB9:BB40" si="23">IF(ISNA(Z9),FALSE,IF(OR(AB9=0,G9=0,Z9=1,Z9=2),FALSE,IF(J9="NA",TRUE,FALSE)))</f>
        <v>0</v>
      </c>
      <c r="BC9" s="420" t="b">
        <f t="shared" ref="BC9:BC40" si="24">IF(OR(ISNA($Z9),ISNUMBER($Z9),NOT(ISNUMBER($J9)),K9="D"),FALSE,IF(AND(NOT(ISNUMBER($K9)),J9&gt;0),TRUE,FALSE))</f>
        <v>0</v>
      </c>
      <c r="BD9" s="393" t="b">
        <f t="shared" ref="BD9:BD40" si="25">IF(OR(ISNA($Z9),ISNUMBER($Z9),NOT(ISNUMBER(K9))),FALSE,OR(NOT(ISNUMBER(J9)),J9=0,AND(J9=0,K9&lt;&gt;0)))</f>
        <v>0</v>
      </c>
      <c r="BE9" s="419" t="b">
        <f t="shared" ref="BE9:BE40" si="26">IF(OR(ISNA($Z9),K9&lt;&gt;"D"),FALSE,IF(OR(AND(H9="NG",J9=0),AND(H9&lt;&gt;"NG",NOT(OR(J9="NA",J9=0)))),TRUE,FALSE))</f>
        <v>0</v>
      </c>
      <c r="BF9" s="418" t="b">
        <f t="shared" ref="BF9:BF40" si="27">IF(OR(ISNA($Z9),H9&lt;&gt;"NG"),FALSE,IF(AND(J9="NA",K9&lt;&gt;""),TRUE,FALSE))</f>
        <v>0</v>
      </c>
      <c r="BG9" s="417" t="b">
        <f t="shared" ref="BG9:BG40" si="28">IF(ISNA($Z9),"NA",IF(OR(AZ9,AY9,AX9,AW9,AP9,BA9,BB9),TRUE,FALSE))</f>
        <v>0</v>
      </c>
      <c r="BH9" s="435" t="str">
        <f t="shared" ref="BH9:BH40" si="29">IF(ISNA($Z9),"",IF(OR($Z9=1,$Z9=2),"",$V9))</f>
        <v/>
      </c>
      <c r="BI9" s="417" t="str">
        <f t="shared" ref="BI9:BI40" si="30">IF(ISNA($Z9),"",IF(OR($Z9=1,$Z9=2,$G9=""),"",IF(AB9=0,AH9,$AD9)))</f>
        <v/>
      </c>
      <c r="BJ9" s="417" t="str">
        <f t="shared" ref="BJ9:BJ40" si="31">IF(ISNA(AE9),"",IF(OR(Z9=1,Z9=2),"",IF(OR(AE9=0,AD9="NG"),TEXT(BI9,"0"),CONCATENATE(TEXT(BI9,"0"),"*"))))</f>
        <v/>
      </c>
      <c r="BK9" s="417" t="str">
        <f t="shared" ref="BK9:BK40" si="32">IF(ISNA($Z9),"",IF(OR($Z9=1,$Z9=2,$G9=""),"",IF(AB9=0,AG9,$AC9)))</f>
        <v/>
      </c>
      <c r="BL9" s="435" t="str">
        <f t="shared" ref="BL9:BL40" si="33">IF(ISBLANK(BH9),"",IF(BH9=0,"",BH9))</f>
        <v/>
      </c>
      <c r="BM9" s="417" t="str">
        <f t="shared" ref="BM9:BM40" si="34">IF($BH9=0,"",IF($BI9="NG","D",$BI9))</f>
        <v/>
      </c>
      <c r="BN9" s="417" t="str">
        <f t="shared" ref="BN9:BN40" si="35">IF(ISNA(U9),"",IF($BH9=0,"",IF($BI9="NG","D",BK9)))</f>
        <v/>
      </c>
      <c r="BO9" s="457" t="s">
        <v>213</v>
      </c>
      <c r="BP9" s="434"/>
    </row>
    <row r="10" spans="2:73" s="416" customFormat="1" ht="12.95" customHeight="1" x14ac:dyDescent="0.25">
      <c r="B10" s="433">
        <f>IF(ISNA(Z10),"",IF(OR(Z10=1,Z10=2),"    ",MAX($B$9:B9)+1))</f>
        <v>1</v>
      </c>
      <c r="C10" s="1618" t="str">
        <f t="shared" si="0"/>
        <v xml:space="preserve">      - Executive Summary (8.0%)</v>
      </c>
      <c r="D10" s="1618"/>
      <c r="E10" s="1618"/>
      <c r="F10" s="1619"/>
      <c r="G10" s="437">
        <f t="shared" si="1"/>
        <v>1</v>
      </c>
      <c r="H10" s="431" t="str">
        <f t="shared" si="2"/>
        <v>2*</v>
      </c>
      <c r="I10" s="436">
        <f t="shared" si="3"/>
        <v>3</v>
      </c>
      <c r="J10" s="456"/>
      <c r="K10" s="448"/>
      <c r="L10" s="1612"/>
      <c r="M10" s="1613"/>
      <c r="N10" s="1613"/>
      <c r="O10" s="1613"/>
      <c r="P10" s="1613"/>
      <c r="Q10" s="1613"/>
      <c r="R10" s="1614"/>
      <c r="T10" s="401">
        <v>2</v>
      </c>
      <c r="U10" s="374" t="s">
        <v>290</v>
      </c>
      <c r="V10" s="421">
        <v>1</v>
      </c>
      <c r="W10" s="421">
        <v>2.6666660000000002</v>
      </c>
      <c r="X10" s="421" t="s">
        <v>212</v>
      </c>
      <c r="Y10" s="421" t="s">
        <v>212</v>
      </c>
      <c r="Z10" s="393" t="s">
        <v>212</v>
      </c>
      <c r="AA10" s="393">
        <v>2</v>
      </c>
      <c r="AB10" s="393">
        <v>1</v>
      </c>
      <c r="AC10" s="421">
        <v>3</v>
      </c>
      <c r="AD10" s="421">
        <v>2</v>
      </c>
      <c r="AE10" s="421">
        <v>1</v>
      </c>
      <c r="AF10" s="421" t="b">
        <v>1</v>
      </c>
      <c r="AG10" s="421">
        <f t="shared" si="4"/>
        <v>2</v>
      </c>
      <c r="AH10" s="421">
        <f t="shared" si="5"/>
        <v>1</v>
      </c>
      <c r="AI10" s="427">
        <f>IF(NOT(OR(Z10=1,Z10=2)),IF(AQ10&gt;0,$AR$45*AQ10/SUMIF($AQ$9:$AQ$40,"&gt;0"),IF(AU10&gt;0,$AV$45*AU10/SUMIF($AU$9:$AU$40,"&gt;0"),IF(AS10&gt;0,$AT$45*AS10/SUMIF($AS$9:$AS$40,"&gt;0"),""))),IF(SUMIF(AJ11:$AJ$40,"=" &amp; AJ10,AI11:$AI$40)=0,"",SUMIF(AJ11:$AJ$40,"=" &amp; AJ10,AI11:$AI$40)))</f>
        <v>7.9999982575999426E-2</v>
      </c>
      <c r="AJ10" s="426">
        <f t="shared" ref="AJ10:AJ40" si="36">IF(OR(Z10=1,Z10=2,AA10&lt;AA9),AJ9+1,AJ9)</f>
        <v>0</v>
      </c>
      <c r="AK10" s="421">
        <f t="shared" si="6"/>
        <v>2</v>
      </c>
      <c r="AL10" s="393" t="str">
        <f t="shared" si="7"/>
        <v/>
      </c>
      <c r="AM10" s="393" t="str">
        <f t="shared" si="8"/>
        <v/>
      </c>
      <c r="AN10" s="393" t="str">
        <f t="shared" si="9"/>
        <v/>
      </c>
      <c r="AO10" s="393" t="str">
        <f t="shared" si="10"/>
        <v/>
      </c>
      <c r="AP10" s="421" t="b">
        <f t="shared" si="11"/>
        <v>1</v>
      </c>
      <c r="AQ10" s="425">
        <f t="shared" si="12"/>
        <v>2.6666660000000002</v>
      </c>
      <c r="AR10" s="423" t="str">
        <f t="shared" si="13"/>
        <v/>
      </c>
      <c r="AS10" s="424">
        <f t="shared" si="14"/>
        <v>0</v>
      </c>
      <c r="AT10" s="423" t="str">
        <f t="shared" si="15"/>
        <v/>
      </c>
      <c r="AU10" s="420">
        <f t="shared" si="16"/>
        <v>0</v>
      </c>
      <c r="AV10" s="422" t="str">
        <f t="shared" si="17"/>
        <v/>
      </c>
      <c r="AW10" s="420" t="b">
        <f t="shared" si="18"/>
        <v>0</v>
      </c>
      <c r="AX10" s="419" t="b">
        <f t="shared" si="19"/>
        <v>1</v>
      </c>
      <c r="AY10" s="420" t="b">
        <f t="shared" si="20"/>
        <v>0</v>
      </c>
      <c r="AZ10" s="419" t="b">
        <f t="shared" si="21"/>
        <v>0</v>
      </c>
      <c r="BA10" s="421" t="b">
        <f t="shared" si="22"/>
        <v>0</v>
      </c>
      <c r="BB10" s="421" t="b">
        <f t="shared" si="23"/>
        <v>0</v>
      </c>
      <c r="BC10" s="420" t="b">
        <f t="shared" si="24"/>
        <v>0</v>
      </c>
      <c r="BD10" s="393" t="b">
        <f t="shared" si="25"/>
        <v>0</v>
      </c>
      <c r="BE10" s="419" t="b">
        <f t="shared" si="26"/>
        <v>0</v>
      </c>
      <c r="BF10" s="418" t="b">
        <f t="shared" si="27"/>
        <v>0</v>
      </c>
      <c r="BG10" s="417" t="b">
        <f t="shared" si="28"/>
        <v>1</v>
      </c>
      <c r="BH10" s="417">
        <f t="shared" si="29"/>
        <v>1</v>
      </c>
      <c r="BI10" s="417">
        <f t="shared" si="30"/>
        <v>2</v>
      </c>
      <c r="BJ10" s="417" t="str">
        <f t="shared" si="31"/>
        <v>2*</v>
      </c>
      <c r="BK10" s="417">
        <f t="shared" si="32"/>
        <v>3</v>
      </c>
      <c r="BL10" s="435">
        <f t="shared" si="33"/>
        <v>1</v>
      </c>
      <c r="BM10" s="417">
        <f t="shared" si="34"/>
        <v>2</v>
      </c>
      <c r="BN10" s="417">
        <f t="shared" si="35"/>
        <v>3</v>
      </c>
      <c r="BO10" s="439" t="s">
        <v>214</v>
      </c>
      <c r="BP10" s="455" t="s">
        <v>139</v>
      </c>
    </row>
    <row r="11" spans="2:73" s="416" customFormat="1" ht="12.95" customHeight="1" x14ac:dyDescent="0.25">
      <c r="B11" s="433">
        <f>IF(ISNA(Z11),"",IF(OR(Z11=1,Z11=2),"    ",MAX($B$9:B10)+1))</f>
        <v>2</v>
      </c>
      <c r="C11" s="1618" t="str">
        <f t="shared" si="0"/>
        <v xml:space="preserve">      - Report Org. &amp; Structure (10.0%)</v>
      </c>
      <c r="D11" s="1618"/>
      <c r="E11" s="1618"/>
      <c r="F11" s="1619"/>
      <c r="G11" s="437">
        <f t="shared" si="1"/>
        <v>1</v>
      </c>
      <c r="H11" s="431" t="str">
        <f t="shared" si="2"/>
        <v>2*</v>
      </c>
      <c r="I11" s="436">
        <f t="shared" si="3"/>
        <v>3</v>
      </c>
      <c r="J11" s="449"/>
      <c r="K11" s="448"/>
      <c r="L11" s="1612"/>
      <c r="M11" s="1613"/>
      <c r="N11" s="1613"/>
      <c r="O11" s="1613"/>
      <c r="P11" s="1613"/>
      <c r="Q11" s="1613"/>
      <c r="R11" s="1614"/>
      <c r="T11" s="401">
        <v>3</v>
      </c>
      <c r="U11" s="374" t="s">
        <v>645</v>
      </c>
      <c r="V11" s="421">
        <v>1</v>
      </c>
      <c r="W11" s="421">
        <v>3.3333330000000001</v>
      </c>
      <c r="X11" s="421" t="s">
        <v>212</v>
      </c>
      <c r="Y11" s="421" t="s">
        <v>212</v>
      </c>
      <c r="Z11" s="393" t="s">
        <v>212</v>
      </c>
      <c r="AA11" s="393">
        <v>2</v>
      </c>
      <c r="AB11" s="393">
        <v>1</v>
      </c>
      <c r="AC11" s="421">
        <v>3</v>
      </c>
      <c r="AD11" s="421">
        <v>2</v>
      </c>
      <c r="AE11" s="421">
        <v>1</v>
      </c>
      <c r="AF11" s="421" t="b">
        <v>1</v>
      </c>
      <c r="AG11" s="421">
        <f t="shared" si="4"/>
        <v>2</v>
      </c>
      <c r="AH11" s="421">
        <f t="shared" si="5"/>
        <v>1</v>
      </c>
      <c r="AI11" s="427">
        <f>IF(NOT(OR(Z11=1,Z11=2)),IF(AQ11&gt;0,$AR$45*AQ11/SUMIF($AQ$9:$AQ$40,"&gt;0"),IF(AU11&gt;0,$AV$45*AU11/SUMIF($AU$9:$AU$40,"&gt;0"),IF(AS11&gt;0,$AT$45*AS11/SUMIF($AS$9:$AS$40,"&gt;0"),""))),IF(SUMIF(AJ12:$AJ$40,"=" &amp; AJ11,AI12:$AI$40)=0,"",SUMIF(AJ12:$AJ$40,"=" &amp; AJ11,AI12:$AI$40)))</f>
        <v>9.9999993219999764E-2</v>
      </c>
      <c r="AJ11" s="426">
        <f t="shared" si="36"/>
        <v>0</v>
      </c>
      <c r="AK11" s="421">
        <f t="shared" si="6"/>
        <v>2</v>
      </c>
      <c r="AL11" s="393" t="str">
        <f t="shared" si="7"/>
        <v/>
      </c>
      <c r="AM11" s="393" t="str">
        <f t="shared" si="8"/>
        <v/>
      </c>
      <c r="AN11" s="393" t="str">
        <f t="shared" si="9"/>
        <v/>
      </c>
      <c r="AO11" s="393" t="str">
        <f t="shared" si="10"/>
        <v/>
      </c>
      <c r="AP11" s="421" t="b">
        <f t="shared" si="11"/>
        <v>1</v>
      </c>
      <c r="AQ11" s="425">
        <f t="shared" si="12"/>
        <v>3.3333330000000001</v>
      </c>
      <c r="AR11" s="423" t="str">
        <f t="shared" si="13"/>
        <v/>
      </c>
      <c r="AS11" s="424">
        <f t="shared" si="14"/>
        <v>0</v>
      </c>
      <c r="AT11" s="423" t="str">
        <f t="shared" si="15"/>
        <v/>
      </c>
      <c r="AU11" s="420">
        <f t="shared" si="16"/>
        <v>0</v>
      </c>
      <c r="AV11" s="422" t="str">
        <f t="shared" si="17"/>
        <v/>
      </c>
      <c r="AW11" s="420" t="b">
        <f t="shared" si="18"/>
        <v>0</v>
      </c>
      <c r="AX11" s="419" t="b">
        <f t="shared" si="19"/>
        <v>1</v>
      </c>
      <c r="AY11" s="420" t="b">
        <f t="shared" si="20"/>
        <v>0</v>
      </c>
      <c r="AZ11" s="419" t="b">
        <f t="shared" si="21"/>
        <v>0</v>
      </c>
      <c r="BA11" s="421" t="b">
        <f t="shared" si="22"/>
        <v>0</v>
      </c>
      <c r="BB11" s="421" t="b">
        <f t="shared" si="23"/>
        <v>0</v>
      </c>
      <c r="BC11" s="420" t="b">
        <f t="shared" si="24"/>
        <v>0</v>
      </c>
      <c r="BD11" s="393" t="b">
        <f t="shared" si="25"/>
        <v>0</v>
      </c>
      <c r="BE11" s="419" t="b">
        <f t="shared" si="26"/>
        <v>0</v>
      </c>
      <c r="BF11" s="418" t="b">
        <f t="shared" si="27"/>
        <v>0</v>
      </c>
      <c r="BG11" s="417" t="b">
        <f t="shared" si="28"/>
        <v>1</v>
      </c>
      <c r="BH11" s="417">
        <f t="shared" si="29"/>
        <v>1</v>
      </c>
      <c r="BI11" s="417">
        <f t="shared" si="30"/>
        <v>2</v>
      </c>
      <c r="BJ11" s="417" t="str">
        <f t="shared" si="31"/>
        <v>2*</v>
      </c>
      <c r="BK11" s="417">
        <f t="shared" si="32"/>
        <v>3</v>
      </c>
      <c r="BL11" s="435">
        <f t="shared" si="33"/>
        <v>1</v>
      </c>
      <c r="BM11" s="417">
        <f t="shared" si="34"/>
        <v>2</v>
      </c>
      <c r="BN11" s="417">
        <f t="shared" si="35"/>
        <v>3</v>
      </c>
      <c r="BO11" s="439">
        <v>0</v>
      </c>
      <c r="BP11" s="455" t="s">
        <v>287</v>
      </c>
    </row>
    <row r="12" spans="2:73" s="416" customFormat="1" ht="12.95" customHeight="1" x14ac:dyDescent="0.25">
      <c r="B12" s="433">
        <f>IF(ISNA(Z12),"",IF(OR(Z12=1,Z12=2),"    ",MAX($B$9:B11)+1))</f>
        <v>3</v>
      </c>
      <c r="C12" s="1618" t="str">
        <f t="shared" si="0"/>
        <v xml:space="preserve">      - Logical Chain of Reasoning (12.0%)</v>
      </c>
      <c r="D12" s="1618"/>
      <c r="E12" s="1618"/>
      <c r="F12" s="1619"/>
      <c r="G12" s="437">
        <f t="shared" si="1"/>
        <v>1</v>
      </c>
      <c r="H12" s="431" t="str">
        <f t="shared" si="2"/>
        <v>2*</v>
      </c>
      <c r="I12" s="436">
        <f t="shared" si="3"/>
        <v>3</v>
      </c>
      <c r="J12" s="449"/>
      <c r="K12" s="448"/>
      <c r="L12" s="1612"/>
      <c r="M12" s="1613"/>
      <c r="N12" s="1613"/>
      <c r="O12" s="1613"/>
      <c r="P12" s="1613"/>
      <c r="Q12" s="1613"/>
      <c r="R12" s="1614"/>
      <c r="T12" s="401">
        <v>4</v>
      </c>
      <c r="U12" s="374" t="s">
        <v>644</v>
      </c>
      <c r="V12" s="421">
        <v>1</v>
      </c>
      <c r="W12" s="421">
        <v>4</v>
      </c>
      <c r="X12" s="421" t="s">
        <v>212</v>
      </c>
      <c r="Y12" s="421" t="s">
        <v>212</v>
      </c>
      <c r="Z12" s="393" t="s">
        <v>212</v>
      </c>
      <c r="AA12" s="393">
        <v>2</v>
      </c>
      <c r="AB12" s="393">
        <v>1</v>
      </c>
      <c r="AC12" s="421">
        <v>3</v>
      </c>
      <c r="AD12" s="421">
        <v>2</v>
      </c>
      <c r="AE12" s="421">
        <v>1</v>
      </c>
      <c r="AF12" s="421" t="b">
        <v>1</v>
      </c>
      <c r="AG12" s="421">
        <f t="shared" si="4"/>
        <v>2</v>
      </c>
      <c r="AH12" s="421">
        <f t="shared" si="5"/>
        <v>1</v>
      </c>
      <c r="AI12" s="427">
        <f>IF(NOT(OR(Z12=1,Z12=2)),IF(AQ12&gt;0,$AR$45*AQ12/SUMIF($AQ$9:$AQ$40,"&gt;0"),IF(AU12&gt;0,$AV$45*AU12/SUMIF($AU$9:$AU$40,"&gt;0"),IF(AS12&gt;0,$AT$45*AS12/SUMIF($AS$9:$AS$40,"&gt;0"),""))),IF(SUMIF(AJ13:$AJ$40,"=" &amp; AJ12,AI13:$AI$40)=0,"",SUMIF(AJ13:$AJ$40,"=" &amp; AJ12,AI13:$AI$40)))</f>
        <v>0.1200000038640001</v>
      </c>
      <c r="AJ12" s="426">
        <f t="shared" si="36"/>
        <v>0</v>
      </c>
      <c r="AK12" s="421">
        <f t="shared" si="6"/>
        <v>2</v>
      </c>
      <c r="AL12" s="393" t="str">
        <f t="shared" si="7"/>
        <v/>
      </c>
      <c r="AM12" s="393" t="str">
        <f t="shared" si="8"/>
        <v/>
      </c>
      <c r="AN12" s="393" t="str">
        <f t="shared" si="9"/>
        <v/>
      </c>
      <c r="AO12" s="393" t="str">
        <f t="shared" si="10"/>
        <v/>
      </c>
      <c r="AP12" s="421" t="b">
        <f t="shared" si="11"/>
        <v>1</v>
      </c>
      <c r="AQ12" s="425">
        <f t="shared" si="12"/>
        <v>4</v>
      </c>
      <c r="AR12" s="423" t="str">
        <f t="shared" si="13"/>
        <v/>
      </c>
      <c r="AS12" s="424">
        <f t="shared" si="14"/>
        <v>0</v>
      </c>
      <c r="AT12" s="423" t="str">
        <f t="shared" si="15"/>
        <v/>
      </c>
      <c r="AU12" s="420">
        <f t="shared" si="16"/>
        <v>0</v>
      </c>
      <c r="AV12" s="422" t="str">
        <f t="shared" si="17"/>
        <v/>
      </c>
      <c r="AW12" s="420" t="b">
        <f t="shared" si="18"/>
        <v>0</v>
      </c>
      <c r="AX12" s="419" t="b">
        <f t="shared" si="19"/>
        <v>1</v>
      </c>
      <c r="AY12" s="420" t="b">
        <f t="shared" si="20"/>
        <v>0</v>
      </c>
      <c r="AZ12" s="419" t="b">
        <f t="shared" si="21"/>
        <v>0</v>
      </c>
      <c r="BA12" s="421" t="b">
        <f t="shared" si="22"/>
        <v>0</v>
      </c>
      <c r="BB12" s="421" t="b">
        <f t="shared" si="23"/>
        <v>0</v>
      </c>
      <c r="BC12" s="420" t="b">
        <f t="shared" si="24"/>
        <v>0</v>
      </c>
      <c r="BD12" s="393" t="b">
        <f t="shared" si="25"/>
        <v>0</v>
      </c>
      <c r="BE12" s="419" t="b">
        <f t="shared" si="26"/>
        <v>0</v>
      </c>
      <c r="BF12" s="418" t="b">
        <f t="shared" si="27"/>
        <v>0</v>
      </c>
      <c r="BG12" s="417" t="b">
        <f t="shared" si="28"/>
        <v>1</v>
      </c>
      <c r="BH12" s="417">
        <f t="shared" si="29"/>
        <v>1</v>
      </c>
      <c r="BI12" s="417">
        <f t="shared" si="30"/>
        <v>2</v>
      </c>
      <c r="BJ12" s="417" t="str">
        <f t="shared" si="31"/>
        <v>2*</v>
      </c>
      <c r="BK12" s="417">
        <f t="shared" si="32"/>
        <v>3</v>
      </c>
      <c r="BL12" s="435">
        <f t="shared" si="33"/>
        <v>1</v>
      </c>
      <c r="BM12" s="417">
        <f t="shared" si="34"/>
        <v>2</v>
      </c>
      <c r="BN12" s="417">
        <f t="shared" si="35"/>
        <v>3</v>
      </c>
      <c r="BO12" s="439">
        <v>1</v>
      </c>
      <c r="BP12" s="455" t="s">
        <v>288</v>
      </c>
    </row>
    <row r="13" spans="2:73" s="416" customFormat="1" ht="12.95" customHeight="1" x14ac:dyDescent="0.25">
      <c r="B13" s="433" t="str">
        <f>IF(ISNA(Z13),"",IF(OR(Z13=1,Z13=2),"    ",MAX($B$9:B12)+1))</f>
        <v xml:space="preserve">    </v>
      </c>
      <c r="C13" s="1618" t="str">
        <f t="shared" si="0"/>
        <v>Content &amp; Analysis (40.0%)</v>
      </c>
      <c r="D13" s="1618"/>
      <c r="E13" s="1618"/>
      <c r="F13" s="1619"/>
      <c r="G13" s="437" t="str">
        <f t="shared" si="1"/>
        <v/>
      </c>
      <c r="H13" s="431" t="str">
        <f t="shared" si="2"/>
        <v/>
      </c>
      <c r="I13" s="436" t="str">
        <f t="shared" si="3"/>
        <v/>
      </c>
      <c r="J13" s="429"/>
      <c r="K13" s="428"/>
      <c r="L13" s="1612"/>
      <c r="M13" s="1613"/>
      <c r="N13" s="1613"/>
      <c r="O13" s="1613"/>
      <c r="P13" s="1613"/>
      <c r="Q13" s="1613"/>
      <c r="R13" s="1614"/>
      <c r="T13" s="401">
        <v>5</v>
      </c>
      <c r="U13" s="374" t="s">
        <v>648</v>
      </c>
      <c r="V13" s="421" t="s">
        <v>212</v>
      </c>
      <c r="W13" s="421" t="s">
        <v>212</v>
      </c>
      <c r="X13" s="421" t="s">
        <v>212</v>
      </c>
      <c r="Y13" s="421" t="s">
        <v>212</v>
      </c>
      <c r="Z13" s="393">
        <v>2</v>
      </c>
      <c r="AA13" s="393">
        <v>1</v>
      </c>
      <c r="AB13" s="393">
        <v>1</v>
      </c>
      <c r="AC13" s="421" t="s">
        <v>212</v>
      </c>
      <c r="AD13" s="421" t="s">
        <v>212</v>
      </c>
      <c r="AE13" s="421" t="s">
        <v>212</v>
      </c>
      <c r="AF13" s="421" t="s">
        <v>212</v>
      </c>
      <c r="AG13" s="421" t="str">
        <f t="shared" si="4"/>
        <v/>
      </c>
      <c r="AH13" s="421" t="str">
        <f t="shared" si="5"/>
        <v/>
      </c>
      <c r="AI13" s="427">
        <f>IF(NOT(OR(Z13=1,Z13=2)),IF(AQ13&gt;0,$AR$45*AQ13/SUMIF($AQ$9:$AQ$40,"&gt;0"),IF(AU13&gt;0,$AV$45*AU13/SUMIF($AU$9:$AU$40,"&gt;0"),IF(AS13&gt;0,$AT$45*AS13/SUMIF($AS$9:$AS$40,"&gt;0"),""))),IF(SUMIF(AJ14:$AJ$40,"=" &amp; AJ13,AI14:$AI$40)=0,"",SUMIF(AJ14:$AJ$40,"=" &amp; AJ13,AI14:$AI$40)))</f>
        <v>0.40000001188000028</v>
      </c>
      <c r="AJ13" s="426">
        <f t="shared" si="36"/>
        <v>1</v>
      </c>
      <c r="AK13" s="421" t="str">
        <f t="shared" si="6"/>
        <v/>
      </c>
      <c r="AL13" s="393" t="str">
        <f t="shared" si="7"/>
        <v/>
      </c>
      <c r="AM13" s="393" t="str">
        <f t="shared" si="8"/>
        <v/>
      </c>
      <c r="AN13" s="393" t="str">
        <f t="shared" si="9"/>
        <v/>
      </c>
      <c r="AO13" s="393" t="str">
        <f t="shared" si="10"/>
        <v/>
      </c>
      <c r="AP13" s="421" t="str">
        <f t="shared" si="11"/>
        <v/>
      </c>
      <c r="AQ13" s="425">
        <f t="shared" si="12"/>
        <v>0</v>
      </c>
      <c r="AR13" s="423" t="str">
        <f t="shared" si="13"/>
        <v/>
      </c>
      <c r="AS13" s="424">
        <f t="shared" si="14"/>
        <v>0</v>
      </c>
      <c r="AT13" s="423" t="str">
        <f t="shared" si="15"/>
        <v/>
      </c>
      <c r="AU13" s="420">
        <f t="shared" si="16"/>
        <v>0</v>
      </c>
      <c r="AV13" s="422" t="str">
        <f t="shared" si="17"/>
        <v/>
      </c>
      <c r="AW13" s="420" t="b">
        <f t="shared" si="18"/>
        <v>0</v>
      </c>
      <c r="AX13" s="419" t="b">
        <f t="shared" si="19"/>
        <v>0</v>
      </c>
      <c r="AY13" s="420" t="b">
        <f t="shared" si="20"/>
        <v>0</v>
      </c>
      <c r="AZ13" s="419" t="b">
        <f t="shared" si="21"/>
        <v>0</v>
      </c>
      <c r="BA13" s="421" t="b">
        <f t="shared" si="22"/>
        <v>0</v>
      </c>
      <c r="BB13" s="421" t="b">
        <f t="shared" si="23"/>
        <v>0</v>
      </c>
      <c r="BC13" s="420" t="b">
        <f t="shared" si="24"/>
        <v>0</v>
      </c>
      <c r="BD13" s="393" t="b">
        <f t="shared" si="25"/>
        <v>0</v>
      </c>
      <c r="BE13" s="419" t="b">
        <f t="shared" si="26"/>
        <v>0</v>
      </c>
      <c r="BF13" s="418" t="b">
        <f t="shared" si="27"/>
        <v>0</v>
      </c>
      <c r="BG13" s="417" t="b">
        <f t="shared" si="28"/>
        <v>0</v>
      </c>
      <c r="BH13" s="417" t="str">
        <f t="shared" si="29"/>
        <v/>
      </c>
      <c r="BI13" s="417" t="str">
        <f t="shared" si="30"/>
        <v/>
      </c>
      <c r="BJ13" s="417" t="str">
        <f t="shared" si="31"/>
        <v/>
      </c>
      <c r="BK13" s="417" t="str">
        <f t="shared" si="32"/>
        <v/>
      </c>
      <c r="BL13" s="435" t="str">
        <f t="shared" si="33"/>
        <v/>
      </c>
      <c r="BM13" s="417" t="str">
        <f t="shared" si="34"/>
        <v/>
      </c>
      <c r="BN13" s="417" t="str">
        <f t="shared" si="35"/>
        <v/>
      </c>
      <c r="BO13" s="439">
        <v>2</v>
      </c>
      <c r="BP13" s="455" t="s">
        <v>218</v>
      </c>
    </row>
    <row r="14" spans="2:73" s="416" customFormat="1" ht="12.95" customHeight="1" x14ac:dyDescent="0.25">
      <c r="B14" s="433">
        <f>IF(ISNA(Z14),"",IF(OR(Z14=1,Z14=2),"    ",MAX($B$9:B13)+1))</f>
        <v>4</v>
      </c>
      <c r="C14" s="1618" t="str">
        <f t="shared" si="0"/>
        <v xml:space="preserve">      - Test Methods and Conditions (6.0%)</v>
      </c>
      <c r="D14" s="1618"/>
      <c r="E14" s="1618"/>
      <c r="F14" s="1619"/>
      <c r="G14" s="437">
        <f t="shared" si="1"/>
        <v>1</v>
      </c>
      <c r="H14" s="431" t="str">
        <f t="shared" si="2"/>
        <v>2*</v>
      </c>
      <c r="I14" s="436">
        <f t="shared" si="3"/>
        <v>3</v>
      </c>
      <c r="J14" s="449"/>
      <c r="K14" s="448"/>
      <c r="L14" s="1612"/>
      <c r="M14" s="1613"/>
      <c r="N14" s="1613"/>
      <c r="O14" s="1613"/>
      <c r="P14" s="1613"/>
      <c r="Q14" s="1613"/>
      <c r="R14" s="1614"/>
      <c r="T14" s="401">
        <v>6</v>
      </c>
      <c r="U14" s="374" t="s">
        <v>642</v>
      </c>
      <c r="V14" s="421">
        <v>1</v>
      </c>
      <c r="W14" s="421">
        <v>2</v>
      </c>
      <c r="X14" s="421" t="s">
        <v>212</v>
      </c>
      <c r="Y14" s="421" t="s">
        <v>212</v>
      </c>
      <c r="Z14" s="393" t="s">
        <v>212</v>
      </c>
      <c r="AA14" s="393">
        <v>2</v>
      </c>
      <c r="AB14" s="393">
        <v>1</v>
      </c>
      <c r="AC14" s="421">
        <v>3</v>
      </c>
      <c r="AD14" s="421">
        <v>2</v>
      </c>
      <c r="AE14" s="421">
        <v>1</v>
      </c>
      <c r="AF14" s="421" t="b">
        <v>1</v>
      </c>
      <c r="AG14" s="421">
        <f t="shared" si="4"/>
        <v>2</v>
      </c>
      <c r="AH14" s="421">
        <f t="shared" si="5"/>
        <v>1</v>
      </c>
      <c r="AI14" s="427">
        <f>IF(NOT(OR(Z14=1,Z14=2)),IF(AQ14&gt;0,$AR$45*AQ14/SUMIF($AQ$9:$AQ$40,"&gt;0"),IF(AU14&gt;0,$AV$45*AU14/SUMIF($AU$9:$AU$40,"&gt;0"),IF(AS14&gt;0,$AT$45*AS14/SUMIF($AS$9:$AS$40,"&gt;0"),""))),IF(SUMIF(AJ15:$AJ$40,"=" &amp; AJ14,AI15:$AI$40)=0,"",SUMIF(AJ15:$AJ$40,"=" &amp; AJ14,AI15:$AI$40)))</f>
        <v>6.0000001932000051E-2</v>
      </c>
      <c r="AJ14" s="426">
        <f t="shared" si="36"/>
        <v>1</v>
      </c>
      <c r="AK14" s="421">
        <f t="shared" si="6"/>
        <v>2</v>
      </c>
      <c r="AL14" s="393" t="str">
        <f t="shared" si="7"/>
        <v/>
      </c>
      <c r="AM14" s="393" t="str">
        <f t="shared" si="8"/>
        <v/>
      </c>
      <c r="AN14" s="393" t="str">
        <f t="shared" si="9"/>
        <v/>
      </c>
      <c r="AO14" s="393" t="str">
        <f t="shared" si="10"/>
        <v/>
      </c>
      <c r="AP14" s="421" t="b">
        <f t="shared" si="11"/>
        <v>1</v>
      </c>
      <c r="AQ14" s="425">
        <f t="shared" si="12"/>
        <v>2</v>
      </c>
      <c r="AR14" s="423" t="str">
        <f t="shared" si="13"/>
        <v/>
      </c>
      <c r="AS14" s="424">
        <f t="shared" si="14"/>
        <v>0</v>
      </c>
      <c r="AT14" s="423" t="str">
        <f t="shared" si="15"/>
        <v/>
      </c>
      <c r="AU14" s="420">
        <f t="shared" si="16"/>
        <v>0</v>
      </c>
      <c r="AV14" s="422" t="str">
        <f t="shared" si="17"/>
        <v/>
      </c>
      <c r="AW14" s="420" t="b">
        <f t="shared" si="18"/>
        <v>0</v>
      </c>
      <c r="AX14" s="419" t="b">
        <f t="shared" si="19"/>
        <v>1</v>
      </c>
      <c r="AY14" s="420" t="b">
        <f t="shared" si="20"/>
        <v>0</v>
      </c>
      <c r="AZ14" s="419" t="b">
        <f t="shared" si="21"/>
        <v>0</v>
      </c>
      <c r="BA14" s="421" t="b">
        <f t="shared" si="22"/>
        <v>0</v>
      </c>
      <c r="BB14" s="421" t="b">
        <f t="shared" si="23"/>
        <v>0</v>
      </c>
      <c r="BC14" s="420" t="b">
        <f t="shared" si="24"/>
        <v>0</v>
      </c>
      <c r="BD14" s="393" t="b">
        <f t="shared" si="25"/>
        <v>0</v>
      </c>
      <c r="BE14" s="419" t="b">
        <f t="shared" si="26"/>
        <v>0</v>
      </c>
      <c r="BF14" s="418" t="b">
        <f t="shared" si="27"/>
        <v>0</v>
      </c>
      <c r="BG14" s="417" t="b">
        <f t="shared" si="28"/>
        <v>1</v>
      </c>
      <c r="BH14" s="417">
        <f t="shared" si="29"/>
        <v>1</v>
      </c>
      <c r="BI14" s="417">
        <f t="shared" si="30"/>
        <v>2</v>
      </c>
      <c r="BJ14" s="417" t="str">
        <f t="shared" si="31"/>
        <v>2*</v>
      </c>
      <c r="BK14" s="417">
        <f t="shared" si="32"/>
        <v>3</v>
      </c>
      <c r="BL14" s="435">
        <f t="shared" si="33"/>
        <v>1</v>
      </c>
      <c r="BM14" s="417">
        <f t="shared" si="34"/>
        <v>2</v>
      </c>
      <c r="BN14" s="417">
        <f t="shared" si="35"/>
        <v>3</v>
      </c>
      <c r="BO14" s="439">
        <v>3</v>
      </c>
      <c r="BP14" s="455" t="s">
        <v>220</v>
      </c>
    </row>
    <row r="15" spans="2:73" s="416" customFormat="1" ht="12.95" customHeight="1" x14ac:dyDescent="0.25">
      <c r="B15" s="433">
        <f>IF(ISNA(Z15),"",IF(OR(Z15=1,Z15=2),"    ",MAX($B$9:B14)+1))</f>
        <v>5</v>
      </c>
      <c r="C15" s="1618" t="str">
        <f t="shared" si="0"/>
        <v xml:space="preserve">      - Objective Results (12.0%)</v>
      </c>
      <c r="D15" s="1618"/>
      <c r="E15" s="1618"/>
      <c r="F15" s="1619"/>
      <c r="G15" s="437">
        <f t="shared" si="1"/>
        <v>1</v>
      </c>
      <c r="H15" s="431" t="str">
        <f t="shared" si="2"/>
        <v>2*</v>
      </c>
      <c r="I15" s="436">
        <f t="shared" si="3"/>
        <v>3</v>
      </c>
      <c r="J15" s="449"/>
      <c r="K15" s="448"/>
      <c r="L15" s="1612"/>
      <c r="M15" s="1613"/>
      <c r="N15" s="1613"/>
      <c r="O15" s="1613"/>
      <c r="P15" s="1613"/>
      <c r="Q15" s="1613"/>
      <c r="R15" s="1614"/>
      <c r="T15" s="401">
        <v>7</v>
      </c>
      <c r="U15" s="374" t="s">
        <v>641</v>
      </c>
      <c r="V15" s="421">
        <v>1</v>
      </c>
      <c r="W15" s="421">
        <v>4</v>
      </c>
      <c r="X15" s="421" t="s">
        <v>212</v>
      </c>
      <c r="Y15" s="421" t="s">
        <v>212</v>
      </c>
      <c r="Z15" s="393" t="s">
        <v>212</v>
      </c>
      <c r="AA15" s="393">
        <v>2</v>
      </c>
      <c r="AB15" s="393">
        <v>1</v>
      </c>
      <c r="AC15" s="421">
        <v>3</v>
      </c>
      <c r="AD15" s="421">
        <v>2</v>
      </c>
      <c r="AE15" s="421">
        <v>1</v>
      </c>
      <c r="AF15" s="421" t="b">
        <v>1</v>
      </c>
      <c r="AG15" s="421">
        <f t="shared" si="4"/>
        <v>2</v>
      </c>
      <c r="AH15" s="421">
        <f t="shared" si="5"/>
        <v>1</v>
      </c>
      <c r="AI15" s="427">
        <f>IF(NOT(OR(Z15=1,Z15=2)),IF(AQ15&gt;0,$AR$45*AQ15/SUMIF($AQ$9:$AQ$40,"&gt;0"),IF(AU15&gt;0,$AV$45*AU15/SUMIF($AU$9:$AU$40,"&gt;0"),IF(AS15&gt;0,$AT$45*AS15/SUMIF($AS$9:$AS$40,"&gt;0"),""))),IF(SUMIF(AJ16:$AJ$40,"=" &amp; AJ15,AI16:$AI$40)=0,"",SUMIF(AJ16:$AJ$40,"=" &amp; AJ15,AI16:$AI$40)))</f>
        <v>0.1200000038640001</v>
      </c>
      <c r="AJ15" s="426">
        <f t="shared" si="36"/>
        <v>1</v>
      </c>
      <c r="AK15" s="421">
        <f t="shared" si="6"/>
        <v>2</v>
      </c>
      <c r="AL15" s="393" t="str">
        <f t="shared" si="7"/>
        <v/>
      </c>
      <c r="AM15" s="393" t="str">
        <f t="shared" si="8"/>
        <v/>
      </c>
      <c r="AN15" s="393" t="str">
        <f t="shared" si="9"/>
        <v/>
      </c>
      <c r="AO15" s="393" t="str">
        <f t="shared" si="10"/>
        <v/>
      </c>
      <c r="AP15" s="421" t="b">
        <f t="shared" si="11"/>
        <v>1</v>
      </c>
      <c r="AQ15" s="425">
        <f t="shared" si="12"/>
        <v>4</v>
      </c>
      <c r="AR15" s="423" t="str">
        <f t="shared" si="13"/>
        <v/>
      </c>
      <c r="AS15" s="424">
        <f t="shared" si="14"/>
        <v>0</v>
      </c>
      <c r="AT15" s="423" t="str">
        <f t="shared" si="15"/>
        <v/>
      </c>
      <c r="AU15" s="420">
        <f t="shared" si="16"/>
        <v>0</v>
      </c>
      <c r="AV15" s="422" t="str">
        <f t="shared" si="17"/>
        <v/>
      </c>
      <c r="AW15" s="420" t="b">
        <f t="shared" si="18"/>
        <v>0</v>
      </c>
      <c r="AX15" s="419" t="b">
        <f t="shared" si="19"/>
        <v>1</v>
      </c>
      <c r="AY15" s="420" t="b">
        <f t="shared" si="20"/>
        <v>0</v>
      </c>
      <c r="AZ15" s="419" t="b">
        <f t="shared" si="21"/>
        <v>0</v>
      </c>
      <c r="BA15" s="421" t="b">
        <f t="shared" si="22"/>
        <v>0</v>
      </c>
      <c r="BB15" s="421" t="b">
        <f t="shared" si="23"/>
        <v>0</v>
      </c>
      <c r="BC15" s="420" t="b">
        <f t="shared" si="24"/>
        <v>0</v>
      </c>
      <c r="BD15" s="393" t="b">
        <f t="shared" si="25"/>
        <v>0</v>
      </c>
      <c r="BE15" s="419" t="b">
        <f t="shared" si="26"/>
        <v>0</v>
      </c>
      <c r="BF15" s="418" t="b">
        <f t="shared" si="27"/>
        <v>0</v>
      </c>
      <c r="BG15" s="417" t="b">
        <f t="shared" si="28"/>
        <v>1</v>
      </c>
      <c r="BH15" s="417">
        <f t="shared" si="29"/>
        <v>1</v>
      </c>
      <c r="BI15" s="417">
        <f t="shared" si="30"/>
        <v>2</v>
      </c>
      <c r="BJ15" s="417" t="str">
        <f t="shared" si="31"/>
        <v>2*</v>
      </c>
      <c r="BK15" s="417">
        <f t="shared" si="32"/>
        <v>3</v>
      </c>
      <c r="BL15" s="435">
        <f t="shared" si="33"/>
        <v>1</v>
      </c>
      <c r="BM15" s="417">
        <f t="shared" si="34"/>
        <v>2</v>
      </c>
      <c r="BN15" s="417">
        <f t="shared" si="35"/>
        <v>3</v>
      </c>
      <c r="BO15" s="439">
        <v>4</v>
      </c>
      <c r="BP15" s="455" t="s">
        <v>222</v>
      </c>
    </row>
    <row r="16" spans="2:73" s="416" customFormat="1" ht="12.95" customHeight="1" x14ac:dyDescent="0.25">
      <c r="B16" s="433">
        <f>IF(ISNA(Z16),"",IF(OR(Z16=1,Z16=2),"    ",MAX($B$9:B15)+1))</f>
        <v>6</v>
      </c>
      <c r="C16" s="1618" t="str">
        <f t="shared" si="0"/>
        <v xml:space="preserve">      - Eng Analysis &amp; Oper. Impact (12.0%)</v>
      </c>
      <c r="D16" s="1618"/>
      <c r="E16" s="1618"/>
      <c r="F16" s="1619"/>
      <c r="G16" s="437">
        <f t="shared" si="1"/>
        <v>1</v>
      </c>
      <c r="H16" s="431" t="str">
        <f t="shared" si="2"/>
        <v>2*</v>
      </c>
      <c r="I16" s="436">
        <f t="shared" si="3"/>
        <v>3</v>
      </c>
      <c r="J16" s="449"/>
      <c r="K16" s="448"/>
      <c r="L16" s="1612"/>
      <c r="M16" s="1613"/>
      <c r="N16" s="1613"/>
      <c r="O16" s="1613"/>
      <c r="P16" s="1613"/>
      <c r="Q16" s="1613"/>
      <c r="R16" s="1614"/>
      <c r="T16" s="401">
        <v>8</v>
      </c>
      <c r="U16" s="374" t="s">
        <v>640</v>
      </c>
      <c r="V16" s="421">
        <v>1</v>
      </c>
      <c r="W16" s="421">
        <v>4</v>
      </c>
      <c r="X16" s="421" t="s">
        <v>212</v>
      </c>
      <c r="Y16" s="421" t="s">
        <v>212</v>
      </c>
      <c r="Z16" s="393" t="s">
        <v>212</v>
      </c>
      <c r="AA16" s="393">
        <v>2</v>
      </c>
      <c r="AB16" s="393">
        <v>1</v>
      </c>
      <c r="AC16" s="421">
        <v>3</v>
      </c>
      <c r="AD16" s="421">
        <v>2</v>
      </c>
      <c r="AE16" s="421">
        <v>1</v>
      </c>
      <c r="AF16" s="421" t="b">
        <v>1</v>
      </c>
      <c r="AG16" s="421">
        <f t="shared" si="4"/>
        <v>2</v>
      </c>
      <c r="AH16" s="421">
        <f t="shared" si="5"/>
        <v>1</v>
      </c>
      <c r="AI16" s="427">
        <f>IF(NOT(OR(Z16=1,Z16=2)),IF(AQ16&gt;0,$AR$45*AQ16/SUMIF($AQ$9:$AQ$40,"&gt;0"),IF(AU16&gt;0,$AV$45*AU16/SUMIF($AU$9:$AU$40,"&gt;0"),IF(AS16&gt;0,$AT$45*AS16/SUMIF($AS$9:$AS$40,"&gt;0"),""))),IF(SUMIF(AJ17:$AJ$40,"=" &amp; AJ16,AI17:$AI$40)=0,"",SUMIF(AJ17:$AJ$40,"=" &amp; AJ16,AI17:$AI$40)))</f>
        <v>0.1200000038640001</v>
      </c>
      <c r="AJ16" s="426">
        <f t="shared" si="36"/>
        <v>1</v>
      </c>
      <c r="AK16" s="421">
        <f t="shared" si="6"/>
        <v>2</v>
      </c>
      <c r="AL16" s="393" t="str">
        <f t="shared" si="7"/>
        <v/>
      </c>
      <c r="AM16" s="393" t="str">
        <f t="shared" si="8"/>
        <v/>
      </c>
      <c r="AN16" s="393" t="str">
        <f t="shared" si="9"/>
        <v/>
      </c>
      <c r="AO16" s="393" t="str">
        <f t="shared" si="10"/>
        <v/>
      </c>
      <c r="AP16" s="421" t="b">
        <f t="shared" si="11"/>
        <v>1</v>
      </c>
      <c r="AQ16" s="425">
        <f t="shared" si="12"/>
        <v>4</v>
      </c>
      <c r="AR16" s="423" t="str">
        <f t="shared" si="13"/>
        <v/>
      </c>
      <c r="AS16" s="424">
        <f t="shared" si="14"/>
        <v>0</v>
      </c>
      <c r="AT16" s="423" t="str">
        <f t="shared" si="15"/>
        <v/>
      </c>
      <c r="AU16" s="420">
        <f t="shared" si="16"/>
        <v>0</v>
      </c>
      <c r="AV16" s="422" t="str">
        <f t="shared" si="17"/>
        <v/>
      </c>
      <c r="AW16" s="420" t="b">
        <f t="shared" si="18"/>
        <v>0</v>
      </c>
      <c r="AX16" s="419" t="b">
        <f t="shared" si="19"/>
        <v>1</v>
      </c>
      <c r="AY16" s="420" t="b">
        <f t="shared" si="20"/>
        <v>0</v>
      </c>
      <c r="AZ16" s="419" t="b">
        <f t="shared" si="21"/>
        <v>0</v>
      </c>
      <c r="BA16" s="421" t="b">
        <f t="shared" si="22"/>
        <v>0</v>
      </c>
      <c r="BB16" s="421" t="b">
        <f t="shared" si="23"/>
        <v>0</v>
      </c>
      <c r="BC16" s="420" t="b">
        <f t="shared" si="24"/>
        <v>0</v>
      </c>
      <c r="BD16" s="393" t="b">
        <f t="shared" si="25"/>
        <v>0</v>
      </c>
      <c r="BE16" s="419" t="b">
        <f t="shared" si="26"/>
        <v>0</v>
      </c>
      <c r="BF16" s="418" t="b">
        <f t="shared" si="27"/>
        <v>0</v>
      </c>
      <c r="BG16" s="417" t="b">
        <f t="shared" si="28"/>
        <v>1</v>
      </c>
      <c r="BH16" s="417">
        <f t="shared" si="29"/>
        <v>1</v>
      </c>
      <c r="BI16" s="417">
        <f t="shared" si="30"/>
        <v>2</v>
      </c>
      <c r="BJ16" s="417" t="str">
        <f t="shared" si="31"/>
        <v>2*</v>
      </c>
      <c r="BK16" s="417">
        <f t="shared" si="32"/>
        <v>3</v>
      </c>
      <c r="BL16" s="435">
        <f t="shared" si="33"/>
        <v>1</v>
      </c>
      <c r="BM16" s="417">
        <f t="shared" si="34"/>
        <v>2</v>
      </c>
      <c r="BN16" s="417">
        <f t="shared" si="35"/>
        <v>3</v>
      </c>
      <c r="BO16" s="372"/>
    </row>
    <row r="17" spans="2:75" s="416" customFormat="1" ht="12.95" customHeight="1" x14ac:dyDescent="0.25">
      <c r="B17" s="433">
        <f>IF(ISNA(Z17),"",IF(OR(Z17=1,Z17=2),"    ",MAX($B$9:B16)+1))</f>
        <v>7</v>
      </c>
      <c r="C17" s="1618" t="str">
        <f t="shared" si="0"/>
        <v xml:space="preserve">      - Conclusions &amp; Recomm. (10.0%)</v>
      </c>
      <c r="D17" s="1618"/>
      <c r="E17" s="1618"/>
      <c r="F17" s="1619"/>
      <c r="G17" s="437">
        <f t="shared" si="1"/>
        <v>1</v>
      </c>
      <c r="H17" s="431" t="str">
        <f t="shared" si="2"/>
        <v>2*</v>
      </c>
      <c r="I17" s="436">
        <f t="shared" si="3"/>
        <v>3</v>
      </c>
      <c r="J17" s="449"/>
      <c r="K17" s="448"/>
      <c r="L17" s="1612"/>
      <c r="M17" s="1613"/>
      <c r="N17" s="1613"/>
      <c r="O17" s="1613"/>
      <c r="P17" s="1613"/>
      <c r="Q17" s="1613"/>
      <c r="R17" s="1614"/>
      <c r="T17" s="401">
        <v>9</v>
      </c>
      <c r="U17" s="374" t="s">
        <v>639</v>
      </c>
      <c r="V17" s="421">
        <v>1</v>
      </c>
      <c r="W17" s="421">
        <v>3.3333333000000001</v>
      </c>
      <c r="X17" s="421" t="s">
        <v>212</v>
      </c>
      <c r="Y17" s="421" t="s">
        <v>212</v>
      </c>
      <c r="Z17" s="393" t="s">
        <v>212</v>
      </c>
      <c r="AA17" s="393">
        <v>2</v>
      </c>
      <c r="AB17" s="393">
        <v>1</v>
      </c>
      <c r="AC17" s="421">
        <v>3</v>
      </c>
      <c r="AD17" s="421">
        <v>2</v>
      </c>
      <c r="AE17" s="421">
        <v>1</v>
      </c>
      <c r="AF17" s="421" t="b">
        <v>1</v>
      </c>
      <c r="AG17" s="421">
        <f t="shared" si="4"/>
        <v>2</v>
      </c>
      <c r="AH17" s="421">
        <f t="shared" si="5"/>
        <v>1</v>
      </c>
      <c r="AI17" s="427">
        <f>IF(NOT(OR(Z17=1,Z17=2)),IF(AQ17&gt;0,$AR$45*AQ17/SUMIF($AQ$9:$AQ$40,"&gt;0"),IF(AU17&gt;0,$AV$45*AU17/SUMIF($AU$9:$AU$40,"&gt;0"),IF(AS17&gt;0,$AT$45*AS17/SUMIF($AS$9:$AS$40,"&gt;0"),""))),IF(SUMIF(AJ18:$AJ$40,"=" &amp; AJ17,AI18:$AI$40)=0,"",SUMIF(AJ18:$AJ$40,"=" &amp; AJ17,AI18:$AI$40)))</f>
        <v>0.10000000222000005</v>
      </c>
      <c r="AJ17" s="426">
        <f t="shared" si="36"/>
        <v>1</v>
      </c>
      <c r="AK17" s="421">
        <f t="shared" si="6"/>
        <v>2</v>
      </c>
      <c r="AL17" s="393" t="str">
        <f t="shared" si="7"/>
        <v/>
      </c>
      <c r="AM17" s="393" t="str">
        <f t="shared" si="8"/>
        <v/>
      </c>
      <c r="AN17" s="393" t="str">
        <f t="shared" si="9"/>
        <v/>
      </c>
      <c r="AO17" s="393" t="str">
        <f t="shared" si="10"/>
        <v/>
      </c>
      <c r="AP17" s="421" t="b">
        <f t="shared" si="11"/>
        <v>1</v>
      </c>
      <c r="AQ17" s="425">
        <f t="shared" si="12"/>
        <v>3.3333333000000001</v>
      </c>
      <c r="AR17" s="423" t="str">
        <f t="shared" si="13"/>
        <v/>
      </c>
      <c r="AS17" s="424">
        <f t="shared" si="14"/>
        <v>0</v>
      </c>
      <c r="AT17" s="423" t="str">
        <f t="shared" si="15"/>
        <v/>
      </c>
      <c r="AU17" s="420">
        <f t="shared" si="16"/>
        <v>0</v>
      </c>
      <c r="AV17" s="422" t="str">
        <f t="shared" si="17"/>
        <v/>
      </c>
      <c r="AW17" s="420" t="b">
        <f t="shared" si="18"/>
        <v>0</v>
      </c>
      <c r="AX17" s="419" t="b">
        <f t="shared" si="19"/>
        <v>1</v>
      </c>
      <c r="AY17" s="420" t="b">
        <f t="shared" si="20"/>
        <v>0</v>
      </c>
      <c r="AZ17" s="419" t="b">
        <f t="shared" si="21"/>
        <v>0</v>
      </c>
      <c r="BA17" s="421" t="b">
        <f t="shared" si="22"/>
        <v>0</v>
      </c>
      <c r="BB17" s="421" t="b">
        <f t="shared" si="23"/>
        <v>0</v>
      </c>
      <c r="BC17" s="420" t="b">
        <f t="shared" si="24"/>
        <v>0</v>
      </c>
      <c r="BD17" s="393" t="b">
        <f t="shared" si="25"/>
        <v>0</v>
      </c>
      <c r="BE17" s="419" t="b">
        <f t="shared" si="26"/>
        <v>0</v>
      </c>
      <c r="BF17" s="418" t="b">
        <f t="shared" si="27"/>
        <v>0</v>
      </c>
      <c r="BG17" s="417" t="b">
        <f t="shared" si="28"/>
        <v>1</v>
      </c>
      <c r="BH17" s="417">
        <f t="shared" si="29"/>
        <v>1</v>
      </c>
      <c r="BI17" s="417">
        <f t="shared" si="30"/>
        <v>2</v>
      </c>
      <c r="BJ17" s="417" t="str">
        <f t="shared" si="31"/>
        <v>2*</v>
      </c>
      <c r="BK17" s="417">
        <f t="shared" si="32"/>
        <v>3</v>
      </c>
      <c r="BL17" s="435">
        <f t="shared" si="33"/>
        <v>1</v>
      </c>
      <c r="BM17" s="417">
        <f t="shared" si="34"/>
        <v>2</v>
      </c>
      <c r="BN17" s="417">
        <f t="shared" si="35"/>
        <v>3</v>
      </c>
      <c r="BO17" s="439"/>
      <c r="BP17" s="454"/>
    </row>
    <row r="18" spans="2:75" s="416" customFormat="1" ht="12.95" customHeight="1" x14ac:dyDescent="0.25">
      <c r="B18" s="433" t="str">
        <f>IF(ISNA(Z18),"",IF(OR(Z18=1,Z18=2),"    ",MAX($B$9:B17)+1))</f>
        <v xml:space="preserve">    </v>
      </c>
      <c r="C18" s="1618" t="str">
        <f t="shared" si="0"/>
        <v>Clarity &amp; Precision (Mechanics) (10.0%)</v>
      </c>
      <c r="D18" s="1618"/>
      <c r="E18" s="1618"/>
      <c r="F18" s="1619"/>
      <c r="G18" s="437" t="str">
        <f t="shared" si="1"/>
        <v/>
      </c>
      <c r="H18" s="431" t="str">
        <f t="shared" si="2"/>
        <v/>
      </c>
      <c r="I18" s="436" t="str">
        <f t="shared" si="3"/>
        <v/>
      </c>
      <c r="J18" s="429"/>
      <c r="K18" s="428"/>
      <c r="L18" s="1612"/>
      <c r="M18" s="1613"/>
      <c r="N18" s="1613"/>
      <c r="O18" s="1613"/>
      <c r="P18" s="1613"/>
      <c r="Q18" s="1613"/>
      <c r="R18" s="1614"/>
      <c r="T18" s="401">
        <v>10</v>
      </c>
      <c r="U18" s="374" t="s">
        <v>638</v>
      </c>
      <c r="V18" s="421" t="s">
        <v>212</v>
      </c>
      <c r="W18" s="421" t="s">
        <v>212</v>
      </c>
      <c r="X18" s="421" t="s">
        <v>212</v>
      </c>
      <c r="Y18" s="421" t="s">
        <v>212</v>
      </c>
      <c r="Z18" s="393">
        <v>2</v>
      </c>
      <c r="AA18" s="393">
        <v>1</v>
      </c>
      <c r="AB18" s="393">
        <v>1</v>
      </c>
      <c r="AC18" s="421" t="s">
        <v>212</v>
      </c>
      <c r="AD18" s="421" t="s">
        <v>212</v>
      </c>
      <c r="AE18" s="421" t="s">
        <v>212</v>
      </c>
      <c r="AF18" s="421" t="s">
        <v>212</v>
      </c>
      <c r="AG18" s="421" t="str">
        <f t="shared" si="4"/>
        <v/>
      </c>
      <c r="AH18" s="421" t="str">
        <f t="shared" si="5"/>
        <v/>
      </c>
      <c r="AI18" s="427">
        <f>IF(NOT(OR(Z18=1,Z18=2)),IF(AQ18&gt;0,$AR$45*AQ18/SUMIF($AQ$9:$AQ$40,"&gt;0"),IF(AU18&gt;0,$AV$45*AU18/SUMIF($AU$9:$AU$40,"&gt;0"),IF(AS18&gt;0,$AT$45*AS18/SUMIF($AS$9:$AS$40,"&gt;0"),""))),IF(SUMIF(AJ19:$AJ$40,"=" &amp; AJ18,AI19:$AI$40)=0,"",SUMIF(AJ19:$AJ$40,"=" &amp; AJ18,AI19:$AI$40)))</f>
        <v>0.10000000222000006</v>
      </c>
      <c r="AJ18" s="426">
        <f t="shared" si="36"/>
        <v>2</v>
      </c>
      <c r="AK18" s="421" t="str">
        <f t="shared" si="6"/>
        <v/>
      </c>
      <c r="AL18" s="393" t="str">
        <f t="shared" si="7"/>
        <v/>
      </c>
      <c r="AM18" s="393" t="str">
        <f t="shared" si="8"/>
        <v/>
      </c>
      <c r="AN18" s="393" t="str">
        <f t="shared" si="9"/>
        <v/>
      </c>
      <c r="AO18" s="393" t="str">
        <f t="shared" si="10"/>
        <v/>
      </c>
      <c r="AP18" s="421" t="str">
        <f t="shared" si="11"/>
        <v/>
      </c>
      <c r="AQ18" s="425">
        <f t="shared" si="12"/>
        <v>0</v>
      </c>
      <c r="AR18" s="423" t="str">
        <f t="shared" si="13"/>
        <v/>
      </c>
      <c r="AS18" s="424">
        <f t="shared" si="14"/>
        <v>0</v>
      </c>
      <c r="AT18" s="423" t="str">
        <f t="shared" si="15"/>
        <v/>
      </c>
      <c r="AU18" s="420">
        <f t="shared" si="16"/>
        <v>0</v>
      </c>
      <c r="AV18" s="422" t="str">
        <f t="shared" si="17"/>
        <v/>
      </c>
      <c r="AW18" s="420" t="b">
        <f t="shared" si="18"/>
        <v>0</v>
      </c>
      <c r="AX18" s="419" t="b">
        <f t="shared" si="19"/>
        <v>0</v>
      </c>
      <c r="AY18" s="420" t="b">
        <f t="shared" si="20"/>
        <v>0</v>
      </c>
      <c r="AZ18" s="419" t="b">
        <f t="shared" si="21"/>
        <v>0</v>
      </c>
      <c r="BA18" s="421" t="b">
        <f t="shared" si="22"/>
        <v>0</v>
      </c>
      <c r="BB18" s="421" t="b">
        <f t="shared" si="23"/>
        <v>0</v>
      </c>
      <c r="BC18" s="420" t="b">
        <f t="shared" si="24"/>
        <v>0</v>
      </c>
      <c r="BD18" s="393" t="b">
        <f t="shared" si="25"/>
        <v>0</v>
      </c>
      <c r="BE18" s="419" t="b">
        <f t="shared" si="26"/>
        <v>0</v>
      </c>
      <c r="BF18" s="418" t="b">
        <f t="shared" si="27"/>
        <v>0</v>
      </c>
      <c r="BG18" s="417" t="b">
        <f t="shared" si="28"/>
        <v>0</v>
      </c>
      <c r="BH18" s="417" t="str">
        <f t="shared" si="29"/>
        <v/>
      </c>
      <c r="BI18" s="417" t="str">
        <f t="shared" si="30"/>
        <v/>
      </c>
      <c r="BJ18" s="417" t="str">
        <f t="shared" si="31"/>
        <v/>
      </c>
      <c r="BK18" s="417" t="str">
        <f t="shared" si="32"/>
        <v/>
      </c>
      <c r="BL18" s="435" t="str">
        <f t="shared" si="33"/>
        <v/>
      </c>
      <c r="BM18" s="417" t="str">
        <f t="shared" si="34"/>
        <v/>
      </c>
      <c r="BN18" s="417" t="str">
        <f t="shared" si="35"/>
        <v/>
      </c>
      <c r="BO18" s="372"/>
    </row>
    <row r="19" spans="2:75" s="416" customFormat="1" ht="12.95" customHeight="1" x14ac:dyDescent="0.25">
      <c r="B19" s="433">
        <f>IF(ISNA(Z19),"",IF(OR(Z19=1,Z19=2),"    ",MAX($B$9:B18)+1))</f>
        <v>8</v>
      </c>
      <c r="C19" s="1618" t="str">
        <f t="shared" si="0"/>
        <v xml:space="preserve">      - Grammar &amp; Syntax (4.0%)</v>
      </c>
      <c r="D19" s="1618"/>
      <c r="E19" s="1618"/>
      <c r="F19" s="1619"/>
      <c r="G19" s="437">
        <f t="shared" si="1"/>
        <v>1</v>
      </c>
      <c r="H19" s="431" t="str">
        <f t="shared" si="2"/>
        <v>2*</v>
      </c>
      <c r="I19" s="436">
        <f t="shared" si="3"/>
        <v>3</v>
      </c>
      <c r="J19" s="449"/>
      <c r="K19" s="448"/>
      <c r="L19" s="1612"/>
      <c r="M19" s="1613"/>
      <c r="N19" s="1613"/>
      <c r="O19" s="1613"/>
      <c r="P19" s="1613"/>
      <c r="Q19" s="1613"/>
      <c r="R19" s="1614"/>
      <c r="T19" s="401">
        <v>11</v>
      </c>
      <c r="U19" s="374" t="s">
        <v>637</v>
      </c>
      <c r="V19" s="421">
        <v>1</v>
      </c>
      <c r="W19" s="421">
        <v>1.3333333000000001</v>
      </c>
      <c r="X19" s="421" t="s">
        <v>212</v>
      </c>
      <c r="Y19" s="421" t="s">
        <v>212</v>
      </c>
      <c r="Z19" s="393" t="s">
        <v>212</v>
      </c>
      <c r="AA19" s="393">
        <v>2</v>
      </c>
      <c r="AB19" s="393">
        <v>1</v>
      </c>
      <c r="AC19" s="421">
        <v>3</v>
      </c>
      <c r="AD19" s="421">
        <v>2</v>
      </c>
      <c r="AE19" s="421">
        <v>1</v>
      </c>
      <c r="AF19" s="421" t="b">
        <v>1</v>
      </c>
      <c r="AG19" s="421">
        <f t="shared" si="4"/>
        <v>2</v>
      </c>
      <c r="AH19" s="421">
        <f t="shared" si="5"/>
        <v>1</v>
      </c>
      <c r="AI19" s="427">
        <f>IF(NOT(OR(Z19=1,Z19=2)),IF(AQ19&gt;0,$AR$45*AQ19/SUMIF($AQ$9:$AQ$40,"&gt;0"),IF(AU19&gt;0,$AV$45*AU19/SUMIF($AU$9:$AU$40,"&gt;0"),IF(AS19&gt;0,$AT$45*AS19/SUMIF($AS$9:$AS$40,"&gt;0"),""))),IF(SUMIF(AJ20:$AJ$40,"=" &amp; AJ19,AI20:$AI$40)=0,"",SUMIF(AJ20:$AJ$40,"=" &amp; AJ19,AI20:$AI$40)))</f>
        <v>4.0000000288000007E-2</v>
      </c>
      <c r="AJ19" s="426">
        <f t="shared" si="36"/>
        <v>2</v>
      </c>
      <c r="AK19" s="421">
        <f t="shared" si="6"/>
        <v>2</v>
      </c>
      <c r="AL19" s="393" t="str">
        <f t="shared" si="7"/>
        <v/>
      </c>
      <c r="AM19" s="393" t="str">
        <f t="shared" si="8"/>
        <v/>
      </c>
      <c r="AN19" s="393" t="str">
        <f t="shared" si="9"/>
        <v/>
      </c>
      <c r="AO19" s="393" t="str">
        <f t="shared" si="10"/>
        <v/>
      </c>
      <c r="AP19" s="421" t="b">
        <f t="shared" si="11"/>
        <v>1</v>
      </c>
      <c r="AQ19" s="425">
        <f t="shared" si="12"/>
        <v>1.3333333000000001</v>
      </c>
      <c r="AR19" s="423" t="str">
        <f t="shared" si="13"/>
        <v/>
      </c>
      <c r="AS19" s="424">
        <f t="shared" si="14"/>
        <v>0</v>
      </c>
      <c r="AT19" s="423" t="str">
        <f t="shared" si="15"/>
        <v/>
      </c>
      <c r="AU19" s="420">
        <f t="shared" si="16"/>
        <v>0</v>
      </c>
      <c r="AV19" s="422" t="str">
        <f t="shared" si="17"/>
        <v/>
      </c>
      <c r="AW19" s="420" t="b">
        <f t="shared" si="18"/>
        <v>0</v>
      </c>
      <c r="AX19" s="419" t="b">
        <f t="shared" si="19"/>
        <v>1</v>
      </c>
      <c r="AY19" s="420" t="b">
        <f t="shared" si="20"/>
        <v>0</v>
      </c>
      <c r="AZ19" s="419" t="b">
        <f t="shared" si="21"/>
        <v>0</v>
      </c>
      <c r="BA19" s="421" t="b">
        <f t="shared" si="22"/>
        <v>0</v>
      </c>
      <c r="BB19" s="421" t="b">
        <f t="shared" si="23"/>
        <v>0</v>
      </c>
      <c r="BC19" s="420" t="b">
        <f t="shared" si="24"/>
        <v>0</v>
      </c>
      <c r="BD19" s="393" t="b">
        <f t="shared" si="25"/>
        <v>0</v>
      </c>
      <c r="BE19" s="419" t="b">
        <f t="shared" si="26"/>
        <v>0</v>
      </c>
      <c r="BF19" s="418" t="b">
        <f t="shared" si="27"/>
        <v>0</v>
      </c>
      <c r="BG19" s="417" t="b">
        <f t="shared" si="28"/>
        <v>1</v>
      </c>
      <c r="BH19" s="417">
        <f t="shared" si="29"/>
        <v>1</v>
      </c>
      <c r="BI19" s="417">
        <f t="shared" si="30"/>
        <v>2</v>
      </c>
      <c r="BJ19" s="417" t="str">
        <f t="shared" si="31"/>
        <v>2*</v>
      </c>
      <c r="BK19" s="417">
        <f t="shared" si="32"/>
        <v>3</v>
      </c>
      <c r="BL19" s="435">
        <f t="shared" si="33"/>
        <v>1</v>
      </c>
      <c r="BM19" s="417">
        <f t="shared" si="34"/>
        <v>2</v>
      </c>
      <c r="BN19" s="417">
        <f t="shared" si="35"/>
        <v>3</v>
      </c>
      <c r="BO19" s="443"/>
      <c r="BP19" s="454" t="s">
        <v>223</v>
      </c>
      <c r="BQ19" s="438"/>
      <c r="BR19" s="438"/>
      <c r="BS19" s="438"/>
      <c r="BT19" s="438"/>
      <c r="BU19" s="438"/>
    </row>
    <row r="20" spans="2:75" s="416" customFormat="1" ht="12.95" customHeight="1" x14ac:dyDescent="0.25">
      <c r="B20" s="433">
        <f>IF(ISNA(Z20),"",IF(OR(Z20=1,Z20=2),"    ",MAX($B$9:B19)+1))</f>
        <v>9</v>
      </c>
      <c r="C20" s="1618" t="str">
        <f t="shared" si="0"/>
        <v xml:space="preserve">      - Punct. Acronyms &amp; Format (3.0%)</v>
      </c>
      <c r="D20" s="1618"/>
      <c r="E20" s="1618"/>
      <c r="F20" s="1619"/>
      <c r="G20" s="437">
        <f t="shared" si="1"/>
        <v>1</v>
      </c>
      <c r="H20" s="431" t="str">
        <f t="shared" si="2"/>
        <v>2*</v>
      </c>
      <c r="I20" s="436">
        <f t="shared" si="3"/>
        <v>3</v>
      </c>
      <c r="J20" s="449"/>
      <c r="K20" s="448"/>
      <c r="L20" s="1612"/>
      <c r="M20" s="1613"/>
      <c r="N20" s="1613"/>
      <c r="O20" s="1613"/>
      <c r="P20" s="1613"/>
      <c r="Q20" s="1613"/>
      <c r="R20" s="1614"/>
      <c r="T20" s="401">
        <v>12</v>
      </c>
      <c r="U20" s="374" t="s">
        <v>636</v>
      </c>
      <c r="V20" s="421">
        <v>1</v>
      </c>
      <c r="W20" s="421">
        <v>1</v>
      </c>
      <c r="X20" s="421" t="s">
        <v>212</v>
      </c>
      <c r="Y20" s="421" t="s">
        <v>212</v>
      </c>
      <c r="Z20" s="393" t="s">
        <v>212</v>
      </c>
      <c r="AA20" s="393">
        <v>2</v>
      </c>
      <c r="AB20" s="393">
        <v>1</v>
      </c>
      <c r="AC20" s="421">
        <v>3</v>
      </c>
      <c r="AD20" s="421">
        <v>2</v>
      </c>
      <c r="AE20" s="421">
        <v>1</v>
      </c>
      <c r="AF20" s="421" t="b">
        <v>1</v>
      </c>
      <c r="AG20" s="421">
        <f t="shared" si="4"/>
        <v>2</v>
      </c>
      <c r="AH20" s="421">
        <f t="shared" si="5"/>
        <v>1</v>
      </c>
      <c r="AI20" s="427">
        <f>IF(NOT(OR(Z20=1,Z20=2)),IF(AQ20&gt;0,$AR$45*AQ20/SUMIF($AQ$9:$AQ$40,"&gt;0"),IF(AU20&gt;0,$AV$45*AU20/SUMIF($AU$9:$AU$40,"&gt;0"),IF(AS20&gt;0,$AT$45*AS20/SUMIF($AS$9:$AS$40,"&gt;0"),""))),IF(SUMIF(AJ21:$AJ$40,"=" &amp; AJ20,AI21:$AI$40)=0,"",SUMIF(AJ21:$AJ$40,"=" &amp; AJ20,AI21:$AI$40)))</f>
        <v>3.0000000966000025E-2</v>
      </c>
      <c r="AJ20" s="426">
        <f t="shared" si="36"/>
        <v>2</v>
      </c>
      <c r="AK20" s="421">
        <f t="shared" si="6"/>
        <v>2</v>
      </c>
      <c r="AL20" s="393" t="str">
        <f t="shared" si="7"/>
        <v/>
      </c>
      <c r="AM20" s="393" t="str">
        <f t="shared" si="8"/>
        <v/>
      </c>
      <c r="AN20" s="393" t="str">
        <f t="shared" si="9"/>
        <v/>
      </c>
      <c r="AO20" s="393" t="str">
        <f t="shared" si="10"/>
        <v/>
      </c>
      <c r="AP20" s="421" t="b">
        <f t="shared" si="11"/>
        <v>1</v>
      </c>
      <c r="AQ20" s="425">
        <f t="shared" si="12"/>
        <v>1</v>
      </c>
      <c r="AR20" s="423" t="str">
        <f t="shared" si="13"/>
        <v/>
      </c>
      <c r="AS20" s="424">
        <f t="shared" si="14"/>
        <v>0</v>
      </c>
      <c r="AT20" s="423" t="str">
        <f t="shared" si="15"/>
        <v/>
      </c>
      <c r="AU20" s="420">
        <f t="shared" si="16"/>
        <v>0</v>
      </c>
      <c r="AV20" s="422" t="str">
        <f t="shared" si="17"/>
        <v/>
      </c>
      <c r="AW20" s="420" t="b">
        <f t="shared" si="18"/>
        <v>0</v>
      </c>
      <c r="AX20" s="419" t="b">
        <f t="shared" si="19"/>
        <v>1</v>
      </c>
      <c r="AY20" s="420" t="b">
        <f t="shared" si="20"/>
        <v>0</v>
      </c>
      <c r="AZ20" s="419" t="b">
        <f t="shared" si="21"/>
        <v>0</v>
      </c>
      <c r="BA20" s="421" t="b">
        <f t="shared" si="22"/>
        <v>0</v>
      </c>
      <c r="BB20" s="421" t="b">
        <f t="shared" si="23"/>
        <v>0</v>
      </c>
      <c r="BC20" s="420" t="b">
        <f t="shared" si="24"/>
        <v>0</v>
      </c>
      <c r="BD20" s="393" t="b">
        <f t="shared" si="25"/>
        <v>0</v>
      </c>
      <c r="BE20" s="419" t="b">
        <f t="shared" si="26"/>
        <v>0</v>
      </c>
      <c r="BF20" s="418" t="b">
        <f t="shared" si="27"/>
        <v>0</v>
      </c>
      <c r="BG20" s="417" t="b">
        <f t="shared" si="28"/>
        <v>1</v>
      </c>
      <c r="BH20" s="417">
        <f t="shared" si="29"/>
        <v>1</v>
      </c>
      <c r="BI20" s="417">
        <f t="shared" si="30"/>
        <v>2</v>
      </c>
      <c r="BJ20" s="417" t="str">
        <f t="shared" si="31"/>
        <v>2*</v>
      </c>
      <c r="BK20" s="417">
        <f t="shared" si="32"/>
        <v>3</v>
      </c>
      <c r="BL20" s="435">
        <f t="shared" si="33"/>
        <v>1</v>
      </c>
      <c r="BM20" s="417">
        <f t="shared" si="34"/>
        <v>2</v>
      </c>
      <c r="BN20" s="417">
        <f t="shared" si="35"/>
        <v>3</v>
      </c>
      <c r="BO20" s="443"/>
      <c r="BP20" s="434"/>
      <c r="BQ20" s="1629" t="s">
        <v>224</v>
      </c>
      <c r="BR20" s="1629"/>
      <c r="BS20" s="1629"/>
      <c r="BT20" s="1629"/>
      <c r="BU20" s="1629"/>
    </row>
    <row r="21" spans="2:75" s="416" customFormat="1" ht="12.95" customHeight="1" x14ac:dyDescent="0.25">
      <c r="B21" s="433">
        <f>IF(ISNA(Z21),"",IF(OR(Z21=1,Z21=2),"    ",MAX($B$9:B20)+1))</f>
        <v>10</v>
      </c>
      <c r="C21" s="1618" t="str">
        <f t="shared" si="0"/>
        <v xml:space="preserve">      - Profess. Tone &amp; Word Choice (3.0%)</v>
      </c>
      <c r="D21" s="1618"/>
      <c r="E21" s="1618"/>
      <c r="F21" s="1619"/>
      <c r="G21" s="437">
        <f t="shared" si="1"/>
        <v>1</v>
      </c>
      <c r="H21" s="431" t="str">
        <f t="shared" si="2"/>
        <v>2*</v>
      </c>
      <c r="I21" s="436">
        <f t="shared" si="3"/>
        <v>3</v>
      </c>
      <c r="J21" s="449"/>
      <c r="K21" s="448"/>
      <c r="L21" s="1612"/>
      <c r="M21" s="1613"/>
      <c r="N21" s="1613"/>
      <c r="O21" s="1613"/>
      <c r="P21" s="1613"/>
      <c r="Q21" s="1613"/>
      <c r="R21" s="1614"/>
      <c r="T21" s="401">
        <v>13</v>
      </c>
      <c r="U21" s="374" t="s">
        <v>635</v>
      </c>
      <c r="V21" s="421">
        <v>1</v>
      </c>
      <c r="W21" s="421">
        <v>1</v>
      </c>
      <c r="X21" s="421" t="s">
        <v>212</v>
      </c>
      <c r="Y21" s="421" t="s">
        <v>212</v>
      </c>
      <c r="Z21" s="393" t="s">
        <v>212</v>
      </c>
      <c r="AA21" s="393">
        <v>2</v>
      </c>
      <c r="AB21" s="393">
        <v>1</v>
      </c>
      <c r="AC21" s="421">
        <v>3</v>
      </c>
      <c r="AD21" s="421">
        <v>2</v>
      </c>
      <c r="AE21" s="421">
        <v>1</v>
      </c>
      <c r="AF21" s="421" t="b">
        <v>1</v>
      </c>
      <c r="AG21" s="421">
        <f t="shared" si="4"/>
        <v>2</v>
      </c>
      <c r="AH21" s="421">
        <f t="shared" si="5"/>
        <v>1</v>
      </c>
      <c r="AI21" s="427">
        <f>IF(NOT(OR(Z21=1,Z21=2)),IF(AQ21&gt;0,$AR$45*AQ21/SUMIF($AQ$9:$AQ$40,"&gt;0"),IF(AU21&gt;0,$AV$45*AU21/SUMIF($AU$9:$AU$40,"&gt;0"),IF(AS21&gt;0,$AT$45*AS21/SUMIF($AS$9:$AS$40,"&gt;0"),""))),IF(SUMIF(AJ22:$AJ$40,"=" &amp; AJ21,AI22:$AI$40)=0,"",SUMIF(AJ22:$AJ$40,"=" &amp; AJ21,AI22:$AI$40)))</f>
        <v>3.0000000966000025E-2</v>
      </c>
      <c r="AJ21" s="426">
        <f t="shared" si="36"/>
        <v>2</v>
      </c>
      <c r="AK21" s="421">
        <f t="shared" si="6"/>
        <v>2</v>
      </c>
      <c r="AL21" s="393" t="str">
        <f t="shared" si="7"/>
        <v/>
      </c>
      <c r="AM21" s="393" t="str">
        <f t="shared" si="8"/>
        <v/>
      </c>
      <c r="AN21" s="393" t="str">
        <f t="shared" si="9"/>
        <v/>
      </c>
      <c r="AO21" s="393" t="str">
        <f t="shared" si="10"/>
        <v/>
      </c>
      <c r="AP21" s="421" t="b">
        <f t="shared" si="11"/>
        <v>1</v>
      </c>
      <c r="AQ21" s="425">
        <f t="shared" si="12"/>
        <v>1</v>
      </c>
      <c r="AR21" s="423" t="str">
        <f t="shared" si="13"/>
        <v/>
      </c>
      <c r="AS21" s="424">
        <f t="shared" si="14"/>
        <v>0</v>
      </c>
      <c r="AT21" s="423" t="str">
        <f t="shared" si="15"/>
        <v/>
      </c>
      <c r="AU21" s="420">
        <f t="shared" si="16"/>
        <v>0</v>
      </c>
      <c r="AV21" s="422" t="str">
        <f t="shared" si="17"/>
        <v/>
      </c>
      <c r="AW21" s="420" t="b">
        <f t="shared" si="18"/>
        <v>0</v>
      </c>
      <c r="AX21" s="419" t="b">
        <f t="shared" si="19"/>
        <v>1</v>
      </c>
      <c r="AY21" s="420" t="b">
        <f t="shared" si="20"/>
        <v>0</v>
      </c>
      <c r="AZ21" s="419" t="b">
        <f t="shared" si="21"/>
        <v>0</v>
      </c>
      <c r="BA21" s="421" t="b">
        <f t="shared" si="22"/>
        <v>0</v>
      </c>
      <c r="BB21" s="421" t="b">
        <f t="shared" si="23"/>
        <v>0</v>
      </c>
      <c r="BC21" s="420" t="b">
        <f t="shared" si="24"/>
        <v>0</v>
      </c>
      <c r="BD21" s="393" t="b">
        <f t="shared" si="25"/>
        <v>0</v>
      </c>
      <c r="BE21" s="419" t="b">
        <f t="shared" si="26"/>
        <v>0</v>
      </c>
      <c r="BF21" s="418" t="b">
        <f t="shared" si="27"/>
        <v>0</v>
      </c>
      <c r="BG21" s="417" t="b">
        <f t="shared" si="28"/>
        <v>1</v>
      </c>
      <c r="BH21" s="417">
        <f t="shared" si="29"/>
        <v>1</v>
      </c>
      <c r="BI21" s="417">
        <f t="shared" si="30"/>
        <v>2</v>
      </c>
      <c r="BJ21" s="417" t="str">
        <f t="shared" si="31"/>
        <v>2*</v>
      </c>
      <c r="BK21" s="417">
        <f t="shared" si="32"/>
        <v>3</v>
      </c>
      <c r="BL21" s="435">
        <f t="shared" si="33"/>
        <v>1</v>
      </c>
      <c r="BM21" s="417">
        <f t="shared" si="34"/>
        <v>2</v>
      </c>
      <c r="BN21" s="417">
        <f t="shared" si="35"/>
        <v>3</v>
      </c>
      <c r="BO21" s="443"/>
      <c r="BP21" s="443"/>
      <c r="BQ21" s="443">
        <v>0</v>
      </c>
      <c r="BR21" s="443">
        <v>1</v>
      </c>
      <c r="BS21" s="443">
        <v>2</v>
      </c>
      <c r="BT21" s="443">
        <v>3</v>
      </c>
      <c r="BU21" s="443">
        <v>4</v>
      </c>
    </row>
    <row r="22" spans="2:75" s="416" customFormat="1" ht="12.95" customHeight="1" x14ac:dyDescent="0.25">
      <c r="B22" s="433" t="str">
        <f>IF(ISNA(Z22),"",IF(OR(Z22=1,Z22=2),"    ",MAX($B$9:B21)+1))</f>
        <v xml:space="preserve">    </v>
      </c>
      <c r="C22" s="1618" t="str">
        <f t="shared" si="0"/>
        <v>Visual Eng &amp; Data Presentation (20.0%)</v>
      </c>
      <c r="D22" s="1618"/>
      <c r="E22" s="1618"/>
      <c r="F22" s="1619"/>
      <c r="G22" s="437" t="str">
        <f t="shared" si="1"/>
        <v/>
      </c>
      <c r="H22" s="431" t="str">
        <f t="shared" si="2"/>
        <v/>
      </c>
      <c r="I22" s="436" t="str">
        <f t="shared" si="3"/>
        <v/>
      </c>
      <c r="J22" s="429"/>
      <c r="K22" s="428"/>
      <c r="L22" s="1612"/>
      <c r="M22" s="1613"/>
      <c r="N22" s="1613"/>
      <c r="O22" s="1613"/>
      <c r="P22" s="1613"/>
      <c r="Q22" s="1613"/>
      <c r="R22" s="1614"/>
      <c r="T22" s="401">
        <v>14</v>
      </c>
      <c r="U22" s="374" t="s">
        <v>634</v>
      </c>
      <c r="V22" s="421" t="s">
        <v>212</v>
      </c>
      <c r="W22" s="421" t="s">
        <v>212</v>
      </c>
      <c r="X22" s="421" t="s">
        <v>212</v>
      </c>
      <c r="Y22" s="421" t="s">
        <v>212</v>
      </c>
      <c r="Z22" s="393">
        <v>2</v>
      </c>
      <c r="AA22" s="393">
        <v>1</v>
      </c>
      <c r="AB22" s="393">
        <v>1</v>
      </c>
      <c r="AC22" s="421" t="s">
        <v>212</v>
      </c>
      <c r="AD22" s="421" t="s">
        <v>212</v>
      </c>
      <c r="AE22" s="421" t="s">
        <v>212</v>
      </c>
      <c r="AF22" s="421" t="s">
        <v>212</v>
      </c>
      <c r="AG22" s="421" t="str">
        <f t="shared" si="4"/>
        <v/>
      </c>
      <c r="AH22" s="421" t="str">
        <f t="shared" si="5"/>
        <v/>
      </c>
      <c r="AI22" s="427">
        <f>IF(NOT(OR(Z22=1,Z22=2)),IF(AQ22&gt;0,$AR$45*AQ22/SUMIF($AQ$9:$AQ$40,"&gt;0"),IF(AU22&gt;0,$AV$45*AU22/SUMIF($AU$9:$AU$40,"&gt;0"),IF(AS22&gt;0,$AT$45*AS22/SUMIF($AS$9:$AS$40,"&gt;0"),""))),IF(SUMIF(AJ23:$AJ$40,"=" &amp; AJ22,AI23:$AI$40)=0,"",SUMIF(AJ23:$AJ$40,"=" &amp; AJ22,AI23:$AI$40)))</f>
        <v>0.20000000624000017</v>
      </c>
      <c r="AJ22" s="426">
        <f t="shared" si="36"/>
        <v>3</v>
      </c>
      <c r="AK22" s="421" t="str">
        <f t="shared" si="6"/>
        <v/>
      </c>
      <c r="AL22" s="393" t="str">
        <f t="shared" si="7"/>
        <v/>
      </c>
      <c r="AM22" s="393" t="str">
        <f t="shared" si="8"/>
        <v/>
      </c>
      <c r="AN22" s="393" t="str">
        <f t="shared" si="9"/>
        <v/>
      </c>
      <c r="AO22" s="393" t="str">
        <f t="shared" si="10"/>
        <v/>
      </c>
      <c r="AP22" s="421" t="str">
        <f t="shared" si="11"/>
        <v/>
      </c>
      <c r="AQ22" s="425">
        <f t="shared" si="12"/>
        <v>0</v>
      </c>
      <c r="AR22" s="423" t="str">
        <f t="shared" si="13"/>
        <v/>
      </c>
      <c r="AS22" s="424">
        <f t="shared" si="14"/>
        <v>0</v>
      </c>
      <c r="AT22" s="423" t="str">
        <f t="shared" si="15"/>
        <v/>
      </c>
      <c r="AU22" s="420">
        <f t="shared" si="16"/>
        <v>0</v>
      </c>
      <c r="AV22" s="422" t="str">
        <f t="shared" si="17"/>
        <v/>
      </c>
      <c r="AW22" s="420" t="b">
        <f t="shared" si="18"/>
        <v>0</v>
      </c>
      <c r="AX22" s="419" t="b">
        <f t="shared" si="19"/>
        <v>0</v>
      </c>
      <c r="AY22" s="420" t="b">
        <f t="shared" si="20"/>
        <v>0</v>
      </c>
      <c r="AZ22" s="419" t="b">
        <f t="shared" si="21"/>
        <v>0</v>
      </c>
      <c r="BA22" s="421" t="b">
        <f t="shared" si="22"/>
        <v>0</v>
      </c>
      <c r="BB22" s="421" t="b">
        <f t="shared" si="23"/>
        <v>0</v>
      </c>
      <c r="BC22" s="420" t="b">
        <f t="shared" si="24"/>
        <v>0</v>
      </c>
      <c r="BD22" s="393" t="b">
        <f t="shared" si="25"/>
        <v>0</v>
      </c>
      <c r="BE22" s="419" t="b">
        <f t="shared" si="26"/>
        <v>0</v>
      </c>
      <c r="BF22" s="418" t="b">
        <f t="shared" si="27"/>
        <v>0</v>
      </c>
      <c r="BG22" s="417" t="b">
        <f t="shared" si="28"/>
        <v>0</v>
      </c>
      <c r="BH22" s="417" t="str">
        <f t="shared" si="29"/>
        <v/>
      </c>
      <c r="BI22" s="417" t="str">
        <f t="shared" si="30"/>
        <v/>
      </c>
      <c r="BJ22" s="417" t="str">
        <f t="shared" si="31"/>
        <v/>
      </c>
      <c r="BK22" s="417" t="str">
        <f t="shared" si="32"/>
        <v/>
      </c>
      <c r="BL22" s="435" t="str">
        <f t="shared" si="33"/>
        <v/>
      </c>
      <c r="BM22" s="417" t="str">
        <f t="shared" si="34"/>
        <v/>
      </c>
      <c r="BN22" s="417" t="str">
        <f t="shared" si="35"/>
        <v/>
      </c>
      <c r="BO22" s="1630" t="s">
        <v>226</v>
      </c>
      <c r="BP22" s="443" t="s">
        <v>227</v>
      </c>
      <c r="BQ22" s="453">
        <f t="shared" ref="BQ22:BQ30" si="37">AR51</f>
        <v>0.7</v>
      </c>
      <c r="BR22" s="452">
        <f t="shared" ref="BR22:BR30" si="38">AS51</f>
        <v>0.9</v>
      </c>
      <c r="BS22" s="452">
        <f t="shared" ref="BS22:BS30" si="39">AT51</f>
        <v>0.93330000000000002</v>
      </c>
      <c r="BT22" s="452">
        <f t="shared" ref="BT22:BT30" si="40">AU51</f>
        <v>0.9667</v>
      </c>
      <c r="BU22" s="451">
        <f t="shared" ref="BU22:BU30" si="41">AV51</f>
        <v>1</v>
      </c>
      <c r="BV22" s="450"/>
      <c r="BW22" s="447"/>
    </row>
    <row r="23" spans="2:75" s="416" customFormat="1" ht="12.95" customHeight="1" x14ac:dyDescent="0.25">
      <c r="B23" s="433">
        <f>IF(ISNA(Z23),"",IF(OR(Z23=1,Z23=2),"    ",MAX($B$9:B22)+1))</f>
        <v>11</v>
      </c>
      <c r="C23" s="1618" t="str">
        <f t="shared" si="0"/>
        <v xml:space="preserve">      - Anatomy of a Valid Plot/Table (8.0%)</v>
      </c>
      <c r="D23" s="1618"/>
      <c r="E23" s="1618"/>
      <c r="F23" s="1619"/>
      <c r="G23" s="437">
        <f t="shared" si="1"/>
        <v>1</v>
      </c>
      <c r="H23" s="431" t="str">
        <f t="shared" si="2"/>
        <v>2*</v>
      </c>
      <c r="I23" s="436">
        <f t="shared" si="3"/>
        <v>3</v>
      </c>
      <c r="J23" s="449"/>
      <c r="K23" s="448"/>
      <c r="L23" s="1612"/>
      <c r="M23" s="1613"/>
      <c r="N23" s="1613"/>
      <c r="O23" s="1613"/>
      <c r="P23" s="1613"/>
      <c r="Q23" s="1613"/>
      <c r="R23" s="1614"/>
      <c r="T23" s="401">
        <v>15</v>
      </c>
      <c r="U23" s="374" t="s">
        <v>633</v>
      </c>
      <c r="V23" s="421">
        <v>1</v>
      </c>
      <c r="W23" s="421">
        <v>2.6666666600000002</v>
      </c>
      <c r="X23" s="421" t="s">
        <v>212</v>
      </c>
      <c r="Y23" s="421" t="s">
        <v>212</v>
      </c>
      <c r="Z23" s="393" t="s">
        <v>212</v>
      </c>
      <c r="AA23" s="393">
        <v>2</v>
      </c>
      <c r="AB23" s="393">
        <v>1</v>
      </c>
      <c r="AC23" s="421">
        <v>3</v>
      </c>
      <c r="AD23" s="421">
        <v>2</v>
      </c>
      <c r="AE23" s="421">
        <v>1</v>
      </c>
      <c r="AF23" s="421" t="b">
        <v>1</v>
      </c>
      <c r="AG23" s="421">
        <f t="shared" si="4"/>
        <v>2</v>
      </c>
      <c r="AH23" s="421">
        <f t="shared" si="5"/>
        <v>1</v>
      </c>
      <c r="AI23" s="427">
        <f>IF(NOT(OR(Z23=1,Z23=2)),IF(AQ23&gt;0,$AR$45*AQ23/SUMIF($AQ$9:$AQ$40,"&gt;0"),IF(AU23&gt;0,$AV$45*AU23/SUMIF($AU$9:$AU$40,"&gt;0"),IF(AS23&gt;0,$AT$45*AS23/SUMIF($AS$9:$AS$40,"&gt;0"),""))),IF(SUMIF(AJ24:$AJ$40,"=" &amp; AJ23,AI24:$AI$40)=0,"",SUMIF(AJ24:$AJ$40,"=" &amp; AJ23,AI24:$AI$40)))</f>
        <v>8.0000002376000065E-2</v>
      </c>
      <c r="AJ23" s="426">
        <f t="shared" si="36"/>
        <v>3</v>
      </c>
      <c r="AK23" s="421">
        <f t="shared" si="6"/>
        <v>2</v>
      </c>
      <c r="AL23" s="393" t="str">
        <f t="shared" si="7"/>
        <v/>
      </c>
      <c r="AM23" s="393" t="str">
        <f t="shared" si="8"/>
        <v/>
      </c>
      <c r="AN23" s="393" t="str">
        <f t="shared" si="9"/>
        <v/>
      </c>
      <c r="AO23" s="393" t="str">
        <f t="shared" si="10"/>
        <v/>
      </c>
      <c r="AP23" s="421" t="b">
        <f t="shared" si="11"/>
        <v>1</v>
      </c>
      <c r="AQ23" s="425">
        <f t="shared" si="12"/>
        <v>2.6666666600000002</v>
      </c>
      <c r="AR23" s="423" t="str">
        <f t="shared" si="13"/>
        <v/>
      </c>
      <c r="AS23" s="424">
        <f t="shared" si="14"/>
        <v>0</v>
      </c>
      <c r="AT23" s="423" t="str">
        <f t="shared" si="15"/>
        <v/>
      </c>
      <c r="AU23" s="420">
        <f t="shared" si="16"/>
        <v>0</v>
      </c>
      <c r="AV23" s="422" t="str">
        <f t="shared" si="17"/>
        <v/>
      </c>
      <c r="AW23" s="420" t="b">
        <f t="shared" si="18"/>
        <v>0</v>
      </c>
      <c r="AX23" s="419" t="b">
        <f t="shared" si="19"/>
        <v>1</v>
      </c>
      <c r="AY23" s="420" t="b">
        <f t="shared" si="20"/>
        <v>0</v>
      </c>
      <c r="AZ23" s="419" t="b">
        <f t="shared" si="21"/>
        <v>0</v>
      </c>
      <c r="BA23" s="421" t="b">
        <f t="shared" si="22"/>
        <v>0</v>
      </c>
      <c r="BB23" s="421" t="b">
        <f t="shared" si="23"/>
        <v>0</v>
      </c>
      <c r="BC23" s="420" t="b">
        <f t="shared" si="24"/>
        <v>0</v>
      </c>
      <c r="BD23" s="393" t="b">
        <f t="shared" si="25"/>
        <v>0</v>
      </c>
      <c r="BE23" s="419" t="b">
        <f t="shared" si="26"/>
        <v>0</v>
      </c>
      <c r="BF23" s="418" t="b">
        <f t="shared" si="27"/>
        <v>0</v>
      </c>
      <c r="BG23" s="417" t="b">
        <f t="shared" si="28"/>
        <v>1</v>
      </c>
      <c r="BH23" s="417">
        <f t="shared" si="29"/>
        <v>1</v>
      </c>
      <c r="BI23" s="417">
        <f t="shared" si="30"/>
        <v>2</v>
      </c>
      <c r="BJ23" s="417" t="str">
        <f t="shared" si="31"/>
        <v>2*</v>
      </c>
      <c r="BK23" s="417">
        <f t="shared" si="32"/>
        <v>3</v>
      </c>
      <c r="BL23" s="435">
        <f t="shared" si="33"/>
        <v>1</v>
      </c>
      <c r="BM23" s="417">
        <f t="shared" si="34"/>
        <v>2</v>
      </c>
      <c r="BN23" s="417">
        <f t="shared" si="35"/>
        <v>3</v>
      </c>
      <c r="BO23" s="1630"/>
      <c r="BP23" s="443" t="s">
        <v>228</v>
      </c>
      <c r="BQ23" s="446">
        <f t="shared" si="37"/>
        <v>0.7</v>
      </c>
      <c r="BR23" s="445">
        <f t="shared" si="38"/>
        <v>0.8</v>
      </c>
      <c r="BS23" s="445">
        <f t="shared" si="39"/>
        <v>0.9</v>
      </c>
      <c r="BT23" s="445">
        <f t="shared" si="40"/>
        <v>0.95</v>
      </c>
      <c r="BU23" s="444">
        <f t="shared" si="41"/>
        <v>1</v>
      </c>
      <c r="BV23" s="447"/>
      <c r="BW23" s="403"/>
    </row>
    <row r="24" spans="2:75" s="416" customFormat="1" ht="12.95" customHeight="1" x14ac:dyDescent="0.25">
      <c r="B24" s="433">
        <f>IF(ISNA(Z24),"",IF(OR(Z24=1,Z24=2),"    ",MAX($B$9:B23)+1))</f>
        <v>12</v>
      </c>
      <c r="C24" s="1618" t="str">
        <f t="shared" si="0"/>
        <v xml:space="preserve">      - Data-Ink Ratio &amp; Clarity (6.0%)</v>
      </c>
      <c r="D24" s="1618"/>
      <c r="E24" s="1618"/>
      <c r="F24" s="1619"/>
      <c r="G24" s="437">
        <f t="shared" si="1"/>
        <v>1</v>
      </c>
      <c r="H24" s="431" t="str">
        <f t="shared" si="2"/>
        <v>2*</v>
      </c>
      <c r="I24" s="436">
        <f t="shared" si="3"/>
        <v>3</v>
      </c>
      <c r="J24" s="449"/>
      <c r="K24" s="448"/>
      <c r="L24" s="1612"/>
      <c r="M24" s="1613"/>
      <c r="N24" s="1613"/>
      <c r="O24" s="1613"/>
      <c r="P24" s="1613"/>
      <c r="Q24" s="1613"/>
      <c r="R24" s="1614"/>
      <c r="T24" s="401">
        <v>16</v>
      </c>
      <c r="U24" s="374" t="s">
        <v>632</v>
      </c>
      <c r="V24" s="421">
        <v>1</v>
      </c>
      <c r="W24" s="421">
        <v>2</v>
      </c>
      <c r="X24" s="421" t="s">
        <v>212</v>
      </c>
      <c r="Y24" s="421" t="s">
        <v>212</v>
      </c>
      <c r="Z24" s="393" t="s">
        <v>212</v>
      </c>
      <c r="AA24" s="393">
        <v>2</v>
      </c>
      <c r="AB24" s="393">
        <v>1</v>
      </c>
      <c r="AC24" s="421">
        <v>3</v>
      </c>
      <c r="AD24" s="421">
        <v>2</v>
      </c>
      <c r="AE24" s="421">
        <v>1</v>
      </c>
      <c r="AF24" s="421" t="b">
        <v>1</v>
      </c>
      <c r="AG24" s="421">
        <f t="shared" si="4"/>
        <v>2</v>
      </c>
      <c r="AH24" s="421">
        <f t="shared" si="5"/>
        <v>1</v>
      </c>
      <c r="AI24" s="427">
        <f>IF(NOT(OR(Z24=1,Z24=2)),IF(AQ24&gt;0,$AR$45*AQ24/SUMIF($AQ$9:$AQ$40,"&gt;0"),IF(AU24&gt;0,$AV$45*AU24/SUMIF($AU$9:$AU$40,"&gt;0"),IF(AS24&gt;0,$AT$45*AS24/SUMIF($AS$9:$AS$40,"&gt;0"),""))),IF(SUMIF(AJ25:$AJ$40,"=" &amp; AJ24,AI25:$AI$40)=0,"",SUMIF(AJ25:$AJ$40,"=" &amp; AJ24,AI25:$AI$40)))</f>
        <v>6.0000001932000051E-2</v>
      </c>
      <c r="AJ24" s="426">
        <f t="shared" si="36"/>
        <v>3</v>
      </c>
      <c r="AK24" s="421">
        <f t="shared" si="6"/>
        <v>2</v>
      </c>
      <c r="AL24" s="393" t="str">
        <f t="shared" si="7"/>
        <v/>
      </c>
      <c r="AM24" s="393" t="str">
        <f t="shared" si="8"/>
        <v/>
      </c>
      <c r="AN24" s="393" t="str">
        <f t="shared" si="9"/>
        <v/>
      </c>
      <c r="AO24" s="393" t="str">
        <f t="shared" si="10"/>
        <v/>
      </c>
      <c r="AP24" s="421" t="b">
        <f t="shared" si="11"/>
        <v>1</v>
      </c>
      <c r="AQ24" s="425">
        <f t="shared" si="12"/>
        <v>2</v>
      </c>
      <c r="AR24" s="423" t="str">
        <f t="shared" si="13"/>
        <v/>
      </c>
      <c r="AS24" s="424">
        <f t="shared" si="14"/>
        <v>0</v>
      </c>
      <c r="AT24" s="423" t="str">
        <f t="shared" si="15"/>
        <v/>
      </c>
      <c r="AU24" s="420">
        <f t="shared" si="16"/>
        <v>0</v>
      </c>
      <c r="AV24" s="422" t="str">
        <f t="shared" si="17"/>
        <v/>
      </c>
      <c r="AW24" s="420" t="b">
        <f t="shared" si="18"/>
        <v>0</v>
      </c>
      <c r="AX24" s="419" t="b">
        <f t="shared" si="19"/>
        <v>1</v>
      </c>
      <c r="AY24" s="420" t="b">
        <f t="shared" si="20"/>
        <v>0</v>
      </c>
      <c r="AZ24" s="419" t="b">
        <f t="shared" si="21"/>
        <v>0</v>
      </c>
      <c r="BA24" s="421" t="b">
        <f t="shared" si="22"/>
        <v>0</v>
      </c>
      <c r="BB24" s="421" t="b">
        <f t="shared" si="23"/>
        <v>0</v>
      </c>
      <c r="BC24" s="420" t="b">
        <f t="shared" si="24"/>
        <v>0</v>
      </c>
      <c r="BD24" s="393" t="b">
        <f t="shared" si="25"/>
        <v>0</v>
      </c>
      <c r="BE24" s="419" t="b">
        <f t="shared" si="26"/>
        <v>0</v>
      </c>
      <c r="BF24" s="418" t="b">
        <f t="shared" si="27"/>
        <v>0</v>
      </c>
      <c r="BG24" s="417" t="b">
        <f t="shared" si="28"/>
        <v>1</v>
      </c>
      <c r="BH24" s="417">
        <f t="shared" si="29"/>
        <v>1</v>
      </c>
      <c r="BI24" s="417">
        <f t="shared" si="30"/>
        <v>2</v>
      </c>
      <c r="BJ24" s="417" t="str">
        <f t="shared" si="31"/>
        <v>2*</v>
      </c>
      <c r="BK24" s="417">
        <f t="shared" si="32"/>
        <v>3</v>
      </c>
      <c r="BL24" s="435">
        <f t="shared" si="33"/>
        <v>1</v>
      </c>
      <c r="BM24" s="417">
        <f t="shared" si="34"/>
        <v>2</v>
      </c>
      <c r="BN24" s="417">
        <f t="shared" si="35"/>
        <v>3</v>
      </c>
      <c r="BO24" s="1630"/>
      <c r="BP24" s="443" t="s">
        <v>229</v>
      </c>
      <c r="BQ24" s="446">
        <f t="shared" si="37"/>
        <v>0.7</v>
      </c>
      <c r="BR24" s="445">
        <f t="shared" si="38"/>
        <v>0.76670000000000005</v>
      </c>
      <c r="BS24" s="445">
        <f t="shared" si="39"/>
        <v>0.83330000000000004</v>
      </c>
      <c r="BT24" s="445">
        <f t="shared" si="40"/>
        <v>0.9</v>
      </c>
      <c r="BU24" s="444">
        <f t="shared" si="41"/>
        <v>1</v>
      </c>
      <c r="BV24" s="447"/>
      <c r="BW24" s="403"/>
    </row>
    <row r="25" spans="2:75" s="416" customFormat="1" ht="12.95" customHeight="1" x14ac:dyDescent="0.25">
      <c r="B25" s="433">
        <f>IF(ISNA(Z25),"",IF(OR(Z25=1,Z25=2),"    ",MAX($B$9:B24)+1))</f>
        <v>13</v>
      </c>
      <c r="C25" s="1618" t="str">
        <f t="shared" si="0"/>
        <v xml:space="preserve">      - Data Honesty &amp; Context (6.0%)</v>
      </c>
      <c r="D25" s="1618"/>
      <c r="E25" s="1618"/>
      <c r="F25" s="1619"/>
      <c r="G25" s="437">
        <f t="shared" si="1"/>
        <v>1</v>
      </c>
      <c r="H25" s="431" t="str">
        <f t="shared" si="2"/>
        <v>2*</v>
      </c>
      <c r="I25" s="436">
        <f t="shared" si="3"/>
        <v>3</v>
      </c>
      <c r="J25" s="449"/>
      <c r="K25" s="448"/>
      <c r="L25" s="1612"/>
      <c r="M25" s="1613"/>
      <c r="N25" s="1613"/>
      <c r="O25" s="1613"/>
      <c r="P25" s="1613"/>
      <c r="Q25" s="1613"/>
      <c r="R25" s="1614"/>
      <c r="T25" s="401">
        <v>17</v>
      </c>
      <c r="U25" s="374" t="s">
        <v>631</v>
      </c>
      <c r="V25" s="421">
        <v>1</v>
      </c>
      <c r="W25" s="421">
        <v>2</v>
      </c>
      <c r="X25" s="421" t="s">
        <v>212</v>
      </c>
      <c r="Y25" s="421" t="s">
        <v>212</v>
      </c>
      <c r="Z25" s="393" t="s">
        <v>212</v>
      </c>
      <c r="AA25" s="393">
        <v>2</v>
      </c>
      <c r="AB25" s="393">
        <v>1</v>
      </c>
      <c r="AC25" s="421">
        <v>3</v>
      </c>
      <c r="AD25" s="421">
        <v>2</v>
      </c>
      <c r="AE25" s="421">
        <v>1</v>
      </c>
      <c r="AF25" s="421" t="b">
        <v>1</v>
      </c>
      <c r="AG25" s="421">
        <f t="shared" si="4"/>
        <v>2</v>
      </c>
      <c r="AH25" s="421">
        <f t="shared" si="5"/>
        <v>1</v>
      </c>
      <c r="AI25" s="427">
        <f>IF(NOT(OR(Z25=1,Z25=2)),IF(AQ25&gt;0,$AR$45*AQ25/SUMIF($AQ$9:$AQ$40,"&gt;0"),IF(AU25&gt;0,$AV$45*AU25/SUMIF($AU$9:$AU$40,"&gt;0"),IF(AS25&gt;0,$AT$45*AS25/SUMIF($AS$9:$AS$40,"&gt;0"),""))),IF(SUMIF(AJ26:$AJ$40,"=" &amp; AJ25,AI26:$AI$40)=0,"",SUMIF(AJ26:$AJ$40,"=" &amp; AJ25,AI26:$AI$40)))</f>
        <v>6.0000001932000051E-2</v>
      </c>
      <c r="AJ25" s="426">
        <f t="shared" si="36"/>
        <v>3</v>
      </c>
      <c r="AK25" s="421">
        <f t="shared" si="6"/>
        <v>2</v>
      </c>
      <c r="AL25" s="393" t="str">
        <f t="shared" si="7"/>
        <v/>
      </c>
      <c r="AM25" s="393" t="str">
        <f t="shared" si="8"/>
        <v/>
      </c>
      <c r="AN25" s="393" t="str">
        <f t="shared" si="9"/>
        <v/>
      </c>
      <c r="AO25" s="393" t="str">
        <f t="shared" si="10"/>
        <v/>
      </c>
      <c r="AP25" s="421" t="b">
        <f t="shared" si="11"/>
        <v>1</v>
      </c>
      <c r="AQ25" s="425">
        <f t="shared" si="12"/>
        <v>2</v>
      </c>
      <c r="AR25" s="423" t="str">
        <f t="shared" si="13"/>
        <v/>
      </c>
      <c r="AS25" s="424">
        <f t="shared" si="14"/>
        <v>0</v>
      </c>
      <c r="AT25" s="423" t="str">
        <f t="shared" si="15"/>
        <v/>
      </c>
      <c r="AU25" s="420">
        <f t="shared" si="16"/>
        <v>0</v>
      </c>
      <c r="AV25" s="422" t="str">
        <f t="shared" si="17"/>
        <v/>
      </c>
      <c r="AW25" s="420" t="b">
        <f t="shared" si="18"/>
        <v>0</v>
      </c>
      <c r="AX25" s="419" t="b">
        <f t="shared" si="19"/>
        <v>1</v>
      </c>
      <c r="AY25" s="420" t="b">
        <f t="shared" si="20"/>
        <v>0</v>
      </c>
      <c r="AZ25" s="419" t="b">
        <f t="shared" si="21"/>
        <v>0</v>
      </c>
      <c r="BA25" s="421" t="b">
        <f t="shared" si="22"/>
        <v>0</v>
      </c>
      <c r="BB25" s="421" t="b">
        <f t="shared" si="23"/>
        <v>0</v>
      </c>
      <c r="BC25" s="420" t="b">
        <f t="shared" si="24"/>
        <v>0</v>
      </c>
      <c r="BD25" s="393" t="b">
        <f t="shared" si="25"/>
        <v>0</v>
      </c>
      <c r="BE25" s="419" t="b">
        <f t="shared" si="26"/>
        <v>0</v>
      </c>
      <c r="BF25" s="418" t="b">
        <f t="shared" si="27"/>
        <v>0</v>
      </c>
      <c r="BG25" s="417" t="b">
        <f t="shared" si="28"/>
        <v>1</v>
      </c>
      <c r="BH25" s="417">
        <f t="shared" si="29"/>
        <v>1</v>
      </c>
      <c r="BI25" s="417">
        <f t="shared" si="30"/>
        <v>2</v>
      </c>
      <c r="BJ25" s="417" t="str">
        <f t="shared" si="31"/>
        <v>2*</v>
      </c>
      <c r="BK25" s="417">
        <f t="shared" si="32"/>
        <v>3</v>
      </c>
      <c r="BL25" s="435">
        <f t="shared" si="33"/>
        <v>1</v>
      </c>
      <c r="BM25" s="417">
        <f t="shared" si="34"/>
        <v>2</v>
      </c>
      <c r="BN25" s="417">
        <f t="shared" si="35"/>
        <v>3</v>
      </c>
      <c r="BO25" s="1630"/>
      <c r="BP25" s="443" t="s">
        <v>230</v>
      </c>
      <c r="BQ25" s="446">
        <f t="shared" si="37"/>
        <v>0.6</v>
      </c>
      <c r="BR25" s="445">
        <f t="shared" si="38"/>
        <v>0.9</v>
      </c>
      <c r="BS25" s="445">
        <f t="shared" si="39"/>
        <v>0.93330000000000002</v>
      </c>
      <c r="BT25" s="445">
        <f t="shared" si="40"/>
        <v>0.9667</v>
      </c>
      <c r="BU25" s="444">
        <f t="shared" si="41"/>
        <v>1</v>
      </c>
      <c r="BV25" s="447"/>
      <c r="BW25" s="403"/>
    </row>
    <row r="26" spans="2:75" s="416" customFormat="1" ht="12.95" customHeight="1" x14ac:dyDescent="0.25">
      <c r="B26" s="433" t="str">
        <f>IF(ISNA(Z26),"",IF(OR(Z26=1,Z26=2),"    ",MAX($B$9:B25)+1))</f>
        <v/>
      </c>
      <c r="C26" s="1618" t="str">
        <f t="shared" si="0"/>
        <v/>
      </c>
      <c r="D26" s="1618"/>
      <c r="E26" s="1618"/>
      <c r="F26" s="1619"/>
      <c r="G26" s="437" t="str">
        <f t="shared" si="1"/>
        <v/>
      </c>
      <c r="H26" s="431" t="str">
        <f t="shared" si="2"/>
        <v/>
      </c>
      <c r="I26" s="436" t="str">
        <f t="shared" si="3"/>
        <v/>
      </c>
      <c r="J26" s="429"/>
      <c r="K26" s="428"/>
      <c r="L26" s="1612"/>
      <c r="M26" s="1613"/>
      <c r="N26" s="1613"/>
      <c r="O26" s="1613"/>
      <c r="P26" s="1613"/>
      <c r="Q26" s="1613"/>
      <c r="R26" s="1614"/>
      <c r="T26" s="401">
        <v>18</v>
      </c>
      <c r="U26" s="374" t="e">
        <v>#N/A</v>
      </c>
      <c r="V26" s="421" t="e">
        <v>#N/A</v>
      </c>
      <c r="W26" s="421" t="e">
        <v>#N/A</v>
      </c>
      <c r="X26" s="421" t="e">
        <v>#N/A</v>
      </c>
      <c r="Y26" s="421" t="e">
        <v>#N/A</v>
      </c>
      <c r="Z26" s="393" t="e">
        <v>#N/A</v>
      </c>
      <c r="AA26" s="393" t="e">
        <v>#N/A</v>
      </c>
      <c r="AB26" s="393" t="e">
        <v>#N/A</v>
      </c>
      <c r="AC26" s="421" t="e">
        <v>#N/A</v>
      </c>
      <c r="AD26" s="421" t="e">
        <v>#N/A</v>
      </c>
      <c r="AE26" s="421" t="e">
        <v>#N/A</v>
      </c>
      <c r="AF26" s="421" t="e">
        <v>#N/A</v>
      </c>
      <c r="AG26" s="421" t="e">
        <f t="shared" si="4"/>
        <v>#N/A</v>
      </c>
      <c r="AH26" s="421" t="str">
        <f t="shared" si="5"/>
        <v/>
      </c>
      <c r="AI26" s="427" t="e">
        <f>IF(NOT(OR(Z26=1,Z26=2)),IF(AQ26&gt;0,$AR$45*AQ26/SUMIF($AQ$9:$AQ$40,"&gt;0"),IF(AU26&gt;0,$AV$45*AU26/SUMIF($AU$9:$AU$40,"&gt;0"),IF(AS26&gt;0,$AT$45*AS26/SUMIF($AS$9:$AS$40,"&gt;0"),""))),IF(SUMIF(AJ27:$AJ$40,"=" &amp; AJ26,AI27:$AI$40)=0,"",SUMIF(AJ27:$AJ$40,"=" &amp; AJ26,AI27:$AI$40)))</f>
        <v>#N/A</v>
      </c>
      <c r="AJ26" s="426" t="e">
        <f t="shared" si="36"/>
        <v>#N/A</v>
      </c>
      <c r="AK26" s="421" t="str">
        <f t="shared" si="6"/>
        <v/>
      </c>
      <c r="AL26" s="393" t="str">
        <f t="shared" si="7"/>
        <v/>
      </c>
      <c r="AM26" s="393" t="str">
        <f t="shared" si="8"/>
        <v/>
      </c>
      <c r="AN26" s="393" t="str">
        <f t="shared" si="9"/>
        <v/>
      </c>
      <c r="AO26" s="393" t="e">
        <f t="shared" si="10"/>
        <v>#N/A</v>
      </c>
      <c r="AP26" s="421" t="str">
        <f t="shared" si="11"/>
        <v/>
      </c>
      <c r="AQ26" s="425">
        <f t="shared" si="12"/>
        <v>0</v>
      </c>
      <c r="AR26" s="423" t="str">
        <f t="shared" si="13"/>
        <v/>
      </c>
      <c r="AS26" s="424">
        <f t="shared" si="14"/>
        <v>0</v>
      </c>
      <c r="AT26" s="423" t="str">
        <f t="shared" si="15"/>
        <v/>
      </c>
      <c r="AU26" s="420">
        <f t="shared" si="16"/>
        <v>0</v>
      </c>
      <c r="AV26" s="422" t="str">
        <f t="shared" si="17"/>
        <v/>
      </c>
      <c r="AW26" s="420" t="b">
        <f t="shared" si="18"/>
        <v>0</v>
      </c>
      <c r="AX26" s="419" t="b">
        <f t="shared" si="19"/>
        <v>0</v>
      </c>
      <c r="AY26" s="420" t="b">
        <f t="shared" si="20"/>
        <v>0</v>
      </c>
      <c r="AZ26" s="419" t="b">
        <f t="shared" si="21"/>
        <v>0</v>
      </c>
      <c r="BA26" s="421" t="b">
        <f t="shared" si="22"/>
        <v>0</v>
      </c>
      <c r="BB26" s="421" t="b">
        <f t="shared" si="23"/>
        <v>0</v>
      </c>
      <c r="BC26" s="420" t="b">
        <f t="shared" si="24"/>
        <v>0</v>
      </c>
      <c r="BD26" s="393" t="b">
        <f t="shared" si="25"/>
        <v>0</v>
      </c>
      <c r="BE26" s="419" t="b">
        <f t="shared" si="26"/>
        <v>0</v>
      </c>
      <c r="BF26" s="418" t="b">
        <f t="shared" si="27"/>
        <v>0</v>
      </c>
      <c r="BG26" s="417" t="str">
        <f t="shared" si="28"/>
        <v>NA</v>
      </c>
      <c r="BH26" s="417" t="str">
        <f t="shared" si="29"/>
        <v/>
      </c>
      <c r="BI26" s="417" t="str">
        <f t="shared" si="30"/>
        <v/>
      </c>
      <c r="BJ26" s="417" t="str">
        <f t="shared" si="31"/>
        <v/>
      </c>
      <c r="BK26" s="417" t="str">
        <f t="shared" si="32"/>
        <v/>
      </c>
      <c r="BL26" s="435" t="str">
        <f t="shared" si="33"/>
        <v/>
      </c>
      <c r="BM26" s="417" t="str">
        <f t="shared" si="34"/>
        <v/>
      </c>
      <c r="BN26" s="417" t="str">
        <f t="shared" si="35"/>
        <v/>
      </c>
      <c r="BO26" s="1630"/>
      <c r="BP26" s="443" t="s">
        <v>231</v>
      </c>
      <c r="BQ26" s="446">
        <f t="shared" si="37"/>
        <v>0.6</v>
      </c>
      <c r="BR26" s="445">
        <f t="shared" si="38"/>
        <v>0.7</v>
      </c>
      <c r="BS26" s="445">
        <f t="shared" si="39"/>
        <v>0.9</v>
      </c>
      <c r="BT26" s="445">
        <f t="shared" si="40"/>
        <v>0.95</v>
      </c>
      <c r="BU26" s="444">
        <f t="shared" si="41"/>
        <v>1</v>
      </c>
      <c r="BV26" s="447"/>
      <c r="BW26" s="403"/>
    </row>
    <row r="27" spans="2:75" s="416" customFormat="1" ht="12.95" customHeight="1" x14ac:dyDescent="0.25">
      <c r="B27" s="433" t="str">
        <f>IF(ISNA(Z27),"",IF(OR(Z27=1,Z27=2),"    ",MAX($B$9:B26)+1))</f>
        <v/>
      </c>
      <c r="C27" s="1618" t="str">
        <f t="shared" si="0"/>
        <v/>
      </c>
      <c r="D27" s="1618"/>
      <c r="E27" s="1618"/>
      <c r="F27" s="1619"/>
      <c r="G27" s="437" t="str">
        <f t="shared" si="1"/>
        <v/>
      </c>
      <c r="H27" s="431" t="str">
        <f t="shared" si="2"/>
        <v/>
      </c>
      <c r="I27" s="436" t="str">
        <f t="shared" si="3"/>
        <v/>
      </c>
      <c r="J27" s="429"/>
      <c r="K27" s="428"/>
      <c r="L27" s="1612"/>
      <c r="M27" s="1613"/>
      <c r="N27" s="1613"/>
      <c r="O27" s="1613"/>
      <c r="P27" s="1613"/>
      <c r="Q27" s="1613"/>
      <c r="R27" s="1614"/>
      <c r="T27" s="401">
        <v>19</v>
      </c>
      <c r="U27" s="374" t="e">
        <v>#N/A</v>
      </c>
      <c r="V27" s="421" t="e">
        <v>#N/A</v>
      </c>
      <c r="W27" s="421" t="e">
        <v>#N/A</v>
      </c>
      <c r="X27" s="421" t="e">
        <v>#N/A</v>
      </c>
      <c r="Y27" s="421" t="e">
        <v>#N/A</v>
      </c>
      <c r="Z27" s="393" t="e">
        <v>#N/A</v>
      </c>
      <c r="AA27" s="393" t="e">
        <v>#N/A</v>
      </c>
      <c r="AB27" s="393" t="e">
        <v>#N/A</v>
      </c>
      <c r="AC27" s="421" t="e">
        <v>#N/A</v>
      </c>
      <c r="AD27" s="421" t="e">
        <v>#N/A</v>
      </c>
      <c r="AE27" s="421" t="e">
        <v>#N/A</v>
      </c>
      <c r="AF27" s="421" t="e">
        <v>#N/A</v>
      </c>
      <c r="AG27" s="421" t="e">
        <f t="shared" si="4"/>
        <v>#N/A</v>
      </c>
      <c r="AH27" s="421" t="str">
        <f t="shared" si="5"/>
        <v/>
      </c>
      <c r="AI27" s="427" t="e">
        <f>IF(NOT(OR(Z27=1,Z27=2)),IF(AQ27&gt;0,$AR$45*AQ27/SUMIF($AQ$9:$AQ$40,"&gt;0"),IF(AU27&gt;0,$AV$45*AU27/SUMIF($AU$9:$AU$40,"&gt;0"),IF(AS27&gt;0,$AT$45*AS27/SUMIF($AS$9:$AS$40,"&gt;0"),""))),IF(SUMIF(AJ28:$AJ$40,"=" &amp; AJ27,AI28:$AI$40)=0,"",SUMIF(AJ28:$AJ$40,"=" &amp; AJ27,AI28:$AI$40)))</f>
        <v>#N/A</v>
      </c>
      <c r="AJ27" s="426" t="e">
        <f t="shared" si="36"/>
        <v>#N/A</v>
      </c>
      <c r="AK27" s="421" t="str">
        <f t="shared" si="6"/>
        <v/>
      </c>
      <c r="AL27" s="393" t="str">
        <f t="shared" si="7"/>
        <v/>
      </c>
      <c r="AM27" s="393" t="str">
        <f t="shared" si="8"/>
        <v/>
      </c>
      <c r="AN27" s="393" t="str">
        <f t="shared" si="9"/>
        <v/>
      </c>
      <c r="AO27" s="393" t="e">
        <f t="shared" si="10"/>
        <v>#N/A</v>
      </c>
      <c r="AP27" s="421" t="str">
        <f t="shared" si="11"/>
        <v/>
      </c>
      <c r="AQ27" s="425">
        <f t="shared" si="12"/>
        <v>0</v>
      </c>
      <c r="AR27" s="423" t="str">
        <f t="shared" si="13"/>
        <v/>
      </c>
      <c r="AS27" s="424">
        <f t="shared" si="14"/>
        <v>0</v>
      </c>
      <c r="AT27" s="423" t="str">
        <f t="shared" si="15"/>
        <v/>
      </c>
      <c r="AU27" s="420">
        <f t="shared" si="16"/>
        <v>0</v>
      </c>
      <c r="AV27" s="422" t="str">
        <f t="shared" si="17"/>
        <v/>
      </c>
      <c r="AW27" s="420" t="b">
        <f t="shared" si="18"/>
        <v>0</v>
      </c>
      <c r="AX27" s="419" t="b">
        <f t="shared" si="19"/>
        <v>0</v>
      </c>
      <c r="AY27" s="420" t="b">
        <f t="shared" si="20"/>
        <v>0</v>
      </c>
      <c r="AZ27" s="419" t="b">
        <f t="shared" si="21"/>
        <v>0</v>
      </c>
      <c r="BA27" s="421" t="b">
        <f t="shared" si="22"/>
        <v>0</v>
      </c>
      <c r="BB27" s="421" t="b">
        <f t="shared" si="23"/>
        <v>0</v>
      </c>
      <c r="BC27" s="420" t="b">
        <f t="shared" si="24"/>
        <v>0</v>
      </c>
      <c r="BD27" s="393" t="b">
        <f t="shared" si="25"/>
        <v>0</v>
      </c>
      <c r="BE27" s="419" t="b">
        <f t="shared" si="26"/>
        <v>0</v>
      </c>
      <c r="BF27" s="418" t="b">
        <f t="shared" si="27"/>
        <v>0</v>
      </c>
      <c r="BG27" s="417" t="str">
        <f t="shared" si="28"/>
        <v>NA</v>
      </c>
      <c r="BH27" s="417" t="str">
        <f t="shared" si="29"/>
        <v/>
      </c>
      <c r="BI27" s="417" t="str">
        <f t="shared" si="30"/>
        <v/>
      </c>
      <c r="BJ27" s="417" t="str">
        <f t="shared" si="31"/>
        <v/>
      </c>
      <c r="BK27" s="417" t="str">
        <f t="shared" si="32"/>
        <v/>
      </c>
      <c r="BL27" s="435" t="str">
        <f t="shared" si="33"/>
        <v/>
      </c>
      <c r="BM27" s="417" t="str">
        <f t="shared" si="34"/>
        <v/>
      </c>
      <c r="BN27" s="417" t="str">
        <f t="shared" si="35"/>
        <v/>
      </c>
      <c r="BO27" s="1630"/>
      <c r="BP27" s="443" t="s">
        <v>232</v>
      </c>
      <c r="BQ27" s="446">
        <f t="shared" si="37"/>
        <v>0.6</v>
      </c>
      <c r="BR27" s="445">
        <f t="shared" si="38"/>
        <v>0.7</v>
      </c>
      <c r="BS27" s="445">
        <f t="shared" si="39"/>
        <v>0.8</v>
      </c>
      <c r="BT27" s="445">
        <f t="shared" si="40"/>
        <v>0.9</v>
      </c>
      <c r="BU27" s="444">
        <f t="shared" si="41"/>
        <v>1</v>
      </c>
    </row>
    <row r="28" spans="2:75" s="416" customFormat="1" ht="12.95" customHeight="1" x14ac:dyDescent="0.25">
      <c r="B28" s="433" t="str">
        <f>IF(ISNA(Z28),"",IF(OR(Z28=1,Z28=2),"    ",MAX($B$9:B27)+1))</f>
        <v/>
      </c>
      <c r="C28" s="1618" t="str">
        <f t="shared" si="0"/>
        <v/>
      </c>
      <c r="D28" s="1618"/>
      <c r="E28" s="1618"/>
      <c r="F28" s="1619"/>
      <c r="G28" s="437" t="str">
        <f t="shared" si="1"/>
        <v/>
      </c>
      <c r="H28" s="431" t="str">
        <f t="shared" si="2"/>
        <v/>
      </c>
      <c r="I28" s="436" t="str">
        <f t="shared" si="3"/>
        <v/>
      </c>
      <c r="J28" s="429"/>
      <c r="K28" s="428"/>
      <c r="L28" s="1612"/>
      <c r="M28" s="1613"/>
      <c r="N28" s="1613"/>
      <c r="O28" s="1613"/>
      <c r="P28" s="1613"/>
      <c r="Q28" s="1613"/>
      <c r="R28" s="1614"/>
      <c r="T28" s="401">
        <v>20</v>
      </c>
      <c r="U28" s="374" t="e">
        <v>#N/A</v>
      </c>
      <c r="V28" s="421" t="e">
        <v>#N/A</v>
      </c>
      <c r="W28" s="421" t="e">
        <v>#N/A</v>
      </c>
      <c r="X28" s="421" t="e">
        <v>#N/A</v>
      </c>
      <c r="Y28" s="421" t="e">
        <v>#N/A</v>
      </c>
      <c r="Z28" s="393" t="e">
        <v>#N/A</v>
      </c>
      <c r="AA28" s="393" t="e">
        <v>#N/A</v>
      </c>
      <c r="AB28" s="393" t="e">
        <v>#N/A</v>
      </c>
      <c r="AC28" s="421" t="e">
        <v>#N/A</v>
      </c>
      <c r="AD28" s="421" t="e">
        <v>#N/A</v>
      </c>
      <c r="AE28" s="421" t="e">
        <v>#N/A</v>
      </c>
      <c r="AF28" s="421" t="e">
        <v>#N/A</v>
      </c>
      <c r="AG28" s="421" t="e">
        <f t="shared" si="4"/>
        <v>#N/A</v>
      </c>
      <c r="AH28" s="421" t="str">
        <f t="shared" si="5"/>
        <v/>
      </c>
      <c r="AI28" s="427" t="e">
        <f>IF(NOT(OR(Z28=1,Z28=2)),IF(AQ28&gt;0,$AR$45*AQ28/SUMIF($AQ$9:$AQ$40,"&gt;0"),IF(AU28&gt;0,$AV$45*AU28/SUMIF($AU$9:$AU$40,"&gt;0"),IF(AS28&gt;0,$AT$45*AS28/SUMIF($AS$9:$AS$40,"&gt;0"),""))),IF(SUMIF(AJ29:$AJ$40,"=" &amp; AJ28,AI29:$AI$40)=0,"",SUMIF(AJ29:$AJ$40,"=" &amp; AJ28,AI29:$AI$40)))</f>
        <v>#N/A</v>
      </c>
      <c r="AJ28" s="426" t="e">
        <f t="shared" si="36"/>
        <v>#N/A</v>
      </c>
      <c r="AK28" s="421" t="str">
        <f t="shared" si="6"/>
        <v/>
      </c>
      <c r="AL28" s="393" t="str">
        <f t="shared" si="7"/>
        <v/>
      </c>
      <c r="AM28" s="393" t="str">
        <f t="shared" si="8"/>
        <v/>
      </c>
      <c r="AN28" s="393" t="str">
        <f t="shared" si="9"/>
        <v/>
      </c>
      <c r="AO28" s="393" t="e">
        <f t="shared" si="10"/>
        <v>#N/A</v>
      </c>
      <c r="AP28" s="421" t="str">
        <f t="shared" si="11"/>
        <v/>
      </c>
      <c r="AQ28" s="425">
        <f t="shared" si="12"/>
        <v>0</v>
      </c>
      <c r="AR28" s="423" t="str">
        <f t="shared" si="13"/>
        <v/>
      </c>
      <c r="AS28" s="424">
        <f t="shared" si="14"/>
        <v>0</v>
      </c>
      <c r="AT28" s="423" t="str">
        <f t="shared" si="15"/>
        <v/>
      </c>
      <c r="AU28" s="420">
        <f t="shared" si="16"/>
        <v>0</v>
      </c>
      <c r="AV28" s="422" t="str">
        <f t="shared" si="17"/>
        <v/>
      </c>
      <c r="AW28" s="420" t="b">
        <f t="shared" si="18"/>
        <v>0</v>
      </c>
      <c r="AX28" s="419" t="b">
        <f t="shared" si="19"/>
        <v>0</v>
      </c>
      <c r="AY28" s="420" t="b">
        <f t="shared" si="20"/>
        <v>0</v>
      </c>
      <c r="AZ28" s="419" t="b">
        <f t="shared" si="21"/>
        <v>0</v>
      </c>
      <c r="BA28" s="421" t="b">
        <f t="shared" si="22"/>
        <v>0</v>
      </c>
      <c r="BB28" s="421" t="b">
        <f t="shared" si="23"/>
        <v>0</v>
      </c>
      <c r="BC28" s="420" t="b">
        <f t="shared" si="24"/>
        <v>0</v>
      </c>
      <c r="BD28" s="393" t="b">
        <f t="shared" si="25"/>
        <v>0</v>
      </c>
      <c r="BE28" s="419" t="b">
        <f t="shared" si="26"/>
        <v>0</v>
      </c>
      <c r="BF28" s="418" t="b">
        <f t="shared" si="27"/>
        <v>0</v>
      </c>
      <c r="BG28" s="417" t="str">
        <f t="shared" si="28"/>
        <v>NA</v>
      </c>
      <c r="BH28" s="417" t="str">
        <f t="shared" si="29"/>
        <v/>
      </c>
      <c r="BI28" s="417" t="str">
        <f t="shared" si="30"/>
        <v/>
      </c>
      <c r="BJ28" s="417" t="str">
        <f t="shared" si="31"/>
        <v/>
      </c>
      <c r="BK28" s="417" t="str">
        <f t="shared" si="32"/>
        <v/>
      </c>
      <c r="BL28" s="435" t="str">
        <f t="shared" si="33"/>
        <v/>
      </c>
      <c r="BM28" s="417" t="str">
        <f t="shared" si="34"/>
        <v/>
      </c>
      <c r="BN28" s="417" t="str">
        <f t="shared" si="35"/>
        <v/>
      </c>
      <c r="BO28" s="1630"/>
      <c r="BP28" s="443" t="s">
        <v>233</v>
      </c>
      <c r="BQ28" s="446">
        <f t="shared" si="37"/>
        <v>0.3</v>
      </c>
      <c r="BR28" s="445">
        <f t="shared" si="38"/>
        <v>0.6</v>
      </c>
      <c r="BS28" s="445">
        <f t="shared" si="39"/>
        <v>0.9</v>
      </c>
      <c r="BT28" s="445">
        <f t="shared" si="40"/>
        <v>0.95</v>
      </c>
      <c r="BU28" s="444">
        <f t="shared" si="41"/>
        <v>1</v>
      </c>
    </row>
    <row r="29" spans="2:75" s="416" customFormat="1" ht="12.95" customHeight="1" x14ac:dyDescent="0.25">
      <c r="B29" s="433" t="str">
        <f>IF(ISNA(Z29),"",IF(OR(Z29=1,Z29=2),"    ",MAX($B$9:B28)+1))</f>
        <v/>
      </c>
      <c r="C29" s="1618" t="str">
        <f t="shared" si="0"/>
        <v/>
      </c>
      <c r="D29" s="1618"/>
      <c r="E29" s="1618"/>
      <c r="F29" s="1619"/>
      <c r="G29" s="437" t="str">
        <f t="shared" si="1"/>
        <v/>
      </c>
      <c r="H29" s="431" t="str">
        <f t="shared" si="2"/>
        <v/>
      </c>
      <c r="I29" s="436" t="str">
        <f t="shared" si="3"/>
        <v/>
      </c>
      <c r="J29" s="429"/>
      <c r="K29" s="428"/>
      <c r="L29" s="1612"/>
      <c r="M29" s="1613"/>
      <c r="N29" s="1613"/>
      <c r="O29" s="1613"/>
      <c r="P29" s="1613"/>
      <c r="Q29" s="1613"/>
      <c r="R29" s="1614"/>
      <c r="T29" s="401">
        <v>21</v>
      </c>
      <c r="U29" s="374" t="e">
        <v>#N/A</v>
      </c>
      <c r="V29" s="421" t="e">
        <v>#N/A</v>
      </c>
      <c r="W29" s="421" t="e">
        <v>#N/A</v>
      </c>
      <c r="X29" s="421" t="e">
        <v>#N/A</v>
      </c>
      <c r="Y29" s="421" t="e">
        <v>#N/A</v>
      </c>
      <c r="Z29" s="393" t="e">
        <v>#N/A</v>
      </c>
      <c r="AA29" s="393" t="e">
        <v>#N/A</v>
      </c>
      <c r="AB29" s="393" t="e">
        <v>#N/A</v>
      </c>
      <c r="AC29" s="421" t="e">
        <v>#N/A</v>
      </c>
      <c r="AD29" s="421" t="e">
        <v>#N/A</v>
      </c>
      <c r="AE29" s="421" t="e">
        <v>#N/A</v>
      </c>
      <c r="AF29" s="421" t="e">
        <v>#N/A</v>
      </c>
      <c r="AG29" s="421" t="e">
        <f t="shared" si="4"/>
        <v>#N/A</v>
      </c>
      <c r="AH29" s="421" t="str">
        <f t="shared" si="5"/>
        <v/>
      </c>
      <c r="AI29" s="427" t="e">
        <f>IF(NOT(OR(Z29=1,Z29=2)),IF(AQ29&gt;0,$AR$45*AQ29/SUMIF($AQ$9:$AQ$40,"&gt;0"),IF(AU29&gt;0,$AV$45*AU29/SUMIF($AU$9:$AU$40,"&gt;0"),IF(AS29&gt;0,$AT$45*AS29/SUMIF($AS$9:$AS$40,"&gt;0"),""))),IF(SUMIF(AJ30:$AJ$40,"=" &amp; AJ29,AI30:$AI$40)=0,"",SUMIF(AJ30:$AJ$40,"=" &amp; AJ29,AI30:$AI$40)))</f>
        <v>#N/A</v>
      </c>
      <c r="AJ29" s="426" t="e">
        <f t="shared" si="36"/>
        <v>#N/A</v>
      </c>
      <c r="AK29" s="421" t="str">
        <f t="shared" si="6"/>
        <v/>
      </c>
      <c r="AL29" s="393" t="str">
        <f t="shared" si="7"/>
        <v/>
      </c>
      <c r="AM29" s="393" t="str">
        <f t="shared" si="8"/>
        <v/>
      </c>
      <c r="AN29" s="393" t="str">
        <f t="shared" si="9"/>
        <v/>
      </c>
      <c r="AO29" s="393" t="e">
        <f t="shared" si="10"/>
        <v>#N/A</v>
      </c>
      <c r="AP29" s="421" t="str">
        <f t="shared" si="11"/>
        <v/>
      </c>
      <c r="AQ29" s="425">
        <f t="shared" si="12"/>
        <v>0</v>
      </c>
      <c r="AR29" s="423" t="str">
        <f t="shared" si="13"/>
        <v/>
      </c>
      <c r="AS29" s="424">
        <f t="shared" si="14"/>
        <v>0</v>
      </c>
      <c r="AT29" s="423" t="str">
        <f t="shared" si="15"/>
        <v/>
      </c>
      <c r="AU29" s="420">
        <f t="shared" si="16"/>
        <v>0</v>
      </c>
      <c r="AV29" s="422" t="str">
        <f t="shared" si="17"/>
        <v/>
      </c>
      <c r="AW29" s="420" t="b">
        <f t="shared" si="18"/>
        <v>0</v>
      </c>
      <c r="AX29" s="419" t="b">
        <f t="shared" si="19"/>
        <v>0</v>
      </c>
      <c r="AY29" s="420" t="b">
        <f t="shared" si="20"/>
        <v>0</v>
      </c>
      <c r="AZ29" s="419" t="b">
        <f t="shared" si="21"/>
        <v>0</v>
      </c>
      <c r="BA29" s="421" t="b">
        <f t="shared" si="22"/>
        <v>0</v>
      </c>
      <c r="BB29" s="421" t="b">
        <f t="shared" si="23"/>
        <v>0</v>
      </c>
      <c r="BC29" s="420" t="b">
        <f t="shared" si="24"/>
        <v>0</v>
      </c>
      <c r="BD29" s="393" t="b">
        <f t="shared" si="25"/>
        <v>0</v>
      </c>
      <c r="BE29" s="419" t="b">
        <f t="shared" si="26"/>
        <v>0</v>
      </c>
      <c r="BF29" s="418" t="b">
        <f t="shared" si="27"/>
        <v>0</v>
      </c>
      <c r="BG29" s="417" t="str">
        <f t="shared" si="28"/>
        <v>NA</v>
      </c>
      <c r="BH29" s="417" t="str">
        <f t="shared" si="29"/>
        <v/>
      </c>
      <c r="BI29" s="417" t="str">
        <f t="shared" si="30"/>
        <v/>
      </c>
      <c r="BJ29" s="417" t="str">
        <f t="shared" si="31"/>
        <v/>
      </c>
      <c r="BK29" s="417" t="str">
        <f t="shared" si="32"/>
        <v/>
      </c>
      <c r="BL29" s="435" t="str">
        <f t="shared" si="33"/>
        <v/>
      </c>
      <c r="BM29" s="417" t="str">
        <f t="shared" si="34"/>
        <v/>
      </c>
      <c r="BN29" s="417" t="str">
        <f t="shared" si="35"/>
        <v/>
      </c>
      <c r="BO29" s="1630"/>
      <c r="BP29" s="443" t="s">
        <v>234</v>
      </c>
      <c r="BQ29" s="446">
        <f t="shared" si="37"/>
        <v>0.3</v>
      </c>
      <c r="BR29" s="445">
        <f t="shared" si="38"/>
        <v>0.6</v>
      </c>
      <c r="BS29" s="445">
        <f t="shared" si="39"/>
        <v>0.7</v>
      </c>
      <c r="BT29" s="445">
        <f t="shared" si="40"/>
        <v>0.9</v>
      </c>
      <c r="BU29" s="444">
        <f t="shared" si="41"/>
        <v>1</v>
      </c>
    </row>
    <row r="30" spans="2:75" s="416" customFormat="1" ht="12.95" customHeight="1" x14ac:dyDescent="0.25">
      <c r="B30" s="433" t="str">
        <f>IF(ISNA(Z30),"",IF(OR(Z30=1,Z30=2),"    ",MAX($B$9:B29)+1))</f>
        <v/>
      </c>
      <c r="C30" s="1618" t="str">
        <f t="shared" si="0"/>
        <v/>
      </c>
      <c r="D30" s="1618"/>
      <c r="E30" s="1618"/>
      <c r="F30" s="1619"/>
      <c r="G30" s="437" t="str">
        <f t="shared" si="1"/>
        <v/>
      </c>
      <c r="H30" s="431" t="str">
        <f t="shared" si="2"/>
        <v/>
      </c>
      <c r="I30" s="436" t="str">
        <f t="shared" si="3"/>
        <v/>
      </c>
      <c r="J30" s="429"/>
      <c r="K30" s="428"/>
      <c r="L30" s="1612"/>
      <c r="M30" s="1613"/>
      <c r="N30" s="1613"/>
      <c r="O30" s="1613"/>
      <c r="P30" s="1613"/>
      <c r="Q30" s="1613"/>
      <c r="R30" s="1614"/>
      <c r="T30" s="401">
        <v>22</v>
      </c>
      <c r="U30" s="374" t="e">
        <v>#N/A</v>
      </c>
      <c r="V30" s="421" t="e">
        <v>#N/A</v>
      </c>
      <c r="W30" s="421" t="e">
        <v>#N/A</v>
      </c>
      <c r="X30" s="421" t="e">
        <v>#N/A</v>
      </c>
      <c r="Y30" s="421" t="e">
        <v>#N/A</v>
      </c>
      <c r="Z30" s="393" t="e">
        <v>#N/A</v>
      </c>
      <c r="AA30" s="393" t="e">
        <v>#N/A</v>
      </c>
      <c r="AB30" s="393" t="e">
        <v>#N/A</v>
      </c>
      <c r="AC30" s="421" t="e">
        <v>#N/A</v>
      </c>
      <c r="AD30" s="421" t="e">
        <v>#N/A</v>
      </c>
      <c r="AE30" s="421" t="e">
        <v>#N/A</v>
      </c>
      <c r="AF30" s="421" t="e">
        <v>#N/A</v>
      </c>
      <c r="AG30" s="421" t="e">
        <f t="shared" si="4"/>
        <v>#N/A</v>
      </c>
      <c r="AH30" s="421" t="str">
        <f t="shared" si="5"/>
        <v/>
      </c>
      <c r="AI30" s="427" t="e">
        <f>IF(NOT(OR(Z30=1,Z30=2)),IF(AQ30&gt;0,$AR$45*AQ30/SUMIF($AQ$9:$AQ$40,"&gt;0"),IF(AU30&gt;0,$AV$45*AU30/SUMIF($AU$9:$AU$40,"&gt;0"),IF(AS30&gt;0,$AT$45*AS30/SUMIF($AS$9:$AS$40,"&gt;0"),""))),IF(SUMIF(AJ31:$AJ$40,"=" &amp; AJ30,AI31:$AI$40)=0,"",SUMIF(AJ31:$AJ$40,"=" &amp; AJ30,AI31:$AI$40)))</f>
        <v>#N/A</v>
      </c>
      <c r="AJ30" s="426" t="e">
        <f t="shared" si="36"/>
        <v>#N/A</v>
      </c>
      <c r="AK30" s="421" t="str">
        <f t="shared" si="6"/>
        <v/>
      </c>
      <c r="AL30" s="393" t="str">
        <f t="shared" si="7"/>
        <v/>
      </c>
      <c r="AM30" s="393" t="str">
        <f t="shared" si="8"/>
        <v/>
      </c>
      <c r="AN30" s="393" t="str">
        <f t="shared" si="9"/>
        <v/>
      </c>
      <c r="AO30" s="393" t="e">
        <f t="shared" si="10"/>
        <v>#N/A</v>
      </c>
      <c r="AP30" s="421" t="str">
        <f t="shared" si="11"/>
        <v/>
      </c>
      <c r="AQ30" s="425">
        <f t="shared" si="12"/>
        <v>0</v>
      </c>
      <c r="AR30" s="423" t="str">
        <f t="shared" si="13"/>
        <v/>
      </c>
      <c r="AS30" s="424">
        <f t="shared" si="14"/>
        <v>0</v>
      </c>
      <c r="AT30" s="423" t="str">
        <f t="shared" si="15"/>
        <v/>
      </c>
      <c r="AU30" s="420">
        <f t="shared" si="16"/>
        <v>0</v>
      </c>
      <c r="AV30" s="422" t="str">
        <f t="shared" si="17"/>
        <v/>
      </c>
      <c r="AW30" s="420" t="b">
        <f t="shared" si="18"/>
        <v>0</v>
      </c>
      <c r="AX30" s="419" t="b">
        <f t="shared" si="19"/>
        <v>0</v>
      </c>
      <c r="AY30" s="420" t="b">
        <f t="shared" si="20"/>
        <v>0</v>
      </c>
      <c r="AZ30" s="419" t="b">
        <f t="shared" si="21"/>
        <v>0</v>
      </c>
      <c r="BA30" s="421" t="b">
        <f t="shared" si="22"/>
        <v>0</v>
      </c>
      <c r="BB30" s="421" t="b">
        <f t="shared" si="23"/>
        <v>0</v>
      </c>
      <c r="BC30" s="420" t="b">
        <f t="shared" si="24"/>
        <v>0</v>
      </c>
      <c r="BD30" s="393" t="b">
        <f t="shared" si="25"/>
        <v>0</v>
      </c>
      <c r="BE30" s="419" t="b">
        <f t="shared" si="26"/>
        <v>0</v>
      </c>
      <c r="BF30" s="418" t="b">
        <f t="shared" si="27"/>
        <v>0</v>
      </c>
      <c r="BG30" s="417" t="str">
        <f t="shared" si="28"/>
        <v>NA</v>
      </c>
      <c r="BH30" s="417" t="str">
        <f t="shared" si="29"/>
        <v/>
      </c>
      <c r="BI30" s="417" t="str">
        <f t="shared" si="30"/>
        <v/>
      </c>
      <c r="BJ30" s="417" t="str">
        <f t="shared" si="31"/>
        <v/>
      </c>
      <c r="BK30" s="417" t="str">
        <f t="shared" si="32"/>
        <v/>
      </c>
      <c r="BL30" s="435" t="str">
        <f t="shared" si="33"/>
        <v/>
      </c>
      <c r="BM30" s="417" t="str">
        <f t="shared" si="34"/>
        <v/>
      </c>
      <c r="BN30" s="417" t="str">
        <f t="shared" si="35"/>
        <v/>
      </c>
      <c r="BO30" s="1630"/>
      <c r="BP30" s="443" t="s">
        <v>235</v>
      </c>
      <c r="BQ30" s="442">
        <f t="shared" si="37"/>
        <v>0</v>
      </c>
      <c r="BR30" s="441">
        <f t="shared" si="38"/>
        <v>0.3</v>
      </c>
      <c r="BS30" s="441">
        <f t="shared" si="39"/>
        <v>0.6</v>
      </c>
      <c r="BT30" s="441">
        <f t="shared" si="40"/>
        <v>0.9</v>
      </c>
      <c r="BU30" s="440">
        <f t="shared" si="41"/>
        <v>1</v>
      </c>
    </row>
    <row r="31" spans="2:75" s="416" customFormat="1" ht="12.95" customHeight="1" x14ac:dyDescent="0.25">
      <c r="B31" s="433" t="str">
        <f>IF(ISNA(Z31),"",IF(OR(Z31=1,Z31=2),"    ",MAX($B$9:B30)+1))</f>
        <v/>
      </c>
      <c r="C31" s="1618" t="str">
        <f t="shared" si="0"/>
        <v/>
      </c>
      <c r="D31" s="1618"/>
      <c r="E31" s="1618"/>
      <c r="F31" s="1619"/>
      <c r="G31" s="437" t="str">
        <f t="shared" si="1"/>
        <v/>
      </c>
      <c r="H31" s="431" t="str">
        <f t="shared" si="2"/>
        <v/>
      </c>
      <c r="I31" s="436" t="str">
        <f t="shared" si="3"/>
        <v/>
      </c>
      <c r="J31" s="429"/>
      <c r="K31" s="428"/>
      <c r="L31" s="1612"/>
      <c r="M31" s="1613"/>
      <c r="N31" s="1613"/>
      <c r="O31" s="1613"/>
      <c r="P31" s="1613"/>
      <c r="Q31" s="1613"/>
      <c r="R31" s="1614"/>
      <c r="T31" s="401">
        <v>23</v>
      </c>
      <c r="U31" s="374" t="e">
        <v>#N/A</v>
      </c>
      <c r="V31" s="421" t="e">
        <v>#N/A</v>
      </c>
      <c r="W31" s="421" t="e">
        <v>#N/A</v>
      </c>
      <c r="X31" s="421" t="e">
        <v>#N/A</v>
      </c>
      <c r="Y31" s="421" t="e">
        <v>#N/A</v>
      </c>
      <c r="Z31" s="393" t="e">
        <v>#N/A</v>
      </c>
      <c r="AA31" s="393" t="e">
        <v>#N/A</v>
      </c>
      <c r="AB31" s="393" t="e">
        <v>#N/A</v>
      </c>
      <c r="AC31" s="421" t="e">
        <v>#N/A</v>
      </c>
      <c r="AD31" s="421" t="e">
        <v>#N/A</v>
      </c>
      <c r="AE31" s="421" t="e">
        <v>#N/A</v>
      </c>
      <c r="AF31" s="421" t="e">
        <v>#N/A</v>
      </c>
      <c r="AG31" s="421" t="e">
        <f t="shared" si="4"/>
        <v>#N/A</v>
      </c>
      <c r="AH31" s="421" t="str">
        <f t="shared" si="5"/>
        <v/>
      </c>
      <c r="AI31" s="427" t="e">
        <f>IF(NOT(OR(Z31=1,Z31=2)),IF(AQ31&gt;0,$AR$45*AQ31/SUMIF($AQ$9:$AQ$40,"&gt;0"),IF(AU31&gt;0,$AV$45*AU31/SUMIF($AU$9:$AU$40,"&gt;0"),IF(AS31&gt;0,$AT$45*AS31/SUMIF($AS$9:$AS$40,"&gt;0"),""))),IF(SUMIF(AJ32:$AJ$40,"=" &amp; AJ31,AI32:$AI$40)=0,"",SUMIF(AJ32:$AJ$40,"=" &amp; AJ31,AI32:$AI$40)))</f>
        <v>#N/A</v>
      </c>
      <c r="AJ31" s="426" t="e">
        <f t="shared" si="36"/>
        <v>#N/A</v>
      </c>
      <c r="AK31" s="421" t="str">
        <f t="shared" si="6"/>
        <v/>
      </c>
      <c r="AL31" s="393" t="str">
        <f t="shared" si="7"/>
        <v/>
      </c>
      <c r="AM31" s="393" t="str">
        <f t="shared" si="8"/>
        <v/>
      </c>
      <c r="AN31" s="393" t="str">
        <f t="shared" si="9"/>
        <v/>
      </c>
      <c r="AO31" s="393" t="e">
        <f t="shared" si="10"/>
        <v>#N/A</v>
      </c>
      <c r="AP31" s="421" t="str">
        <f t="shared" si="11"/>
        <v/>
      </c>
      <c r="AQ31" s="425">
        <f t="shared" si="12"/>
        <v>0</v>
      </c>
      <c r="AR31" s="423" t="str">
        <f t="shared" si="13"/>
        <v/>
      </c>
      <c r="AS31" s="424">
        <f t="shared" si="14"/>
        <v>0</v>
      </c>
      <c r="AT31" s="423" t="str">
        <f t="shared" si="15"/>
        <v/>
      </c>
      <c r="AU31" s="420">
        <f t="shared" si="16"/>
        <v>0</v>
      </c>
      <c r="AV31" s="422" t="str">
        <f t="shared" si="17"/>
        <v/>
      </c>
      <c r="AW31" s="420" t="b">
        <f t="shared" si="18"/>
        <v>0</v>
      </c>
      <c r="AX31" s="419" t="b">
        <f t="shared" si="19"/>
        <v>0</v>
      </c>
      <c r="AY31" s="420" t="b">
        <f t="shared" si="20"/>
        <v>0</v>
      </c>
      <c r="AZ31" s="419" t="b">
        <f t="shared" si="21"/>
        <v>0</v>
      </c>
      <c r="BA31" s="421" t="b">
        <f t="shared" si="22"/>
        <v>0</v>
      </c>
      <c r="BB31" s="421" t="b">
        <f t="shared" si="23"/>
        <v>0</v>
      </c>
      <c r="BC31" s="420" t="b">
        <f t="shared" si="24"/>
        <v>0</v>
      </c>
      <c r="BD31" s="393" t="b">
        <f t="shared" si="25"/>
        <v>0</v>
      </c>
      <c r="BE31" s="419" t="b">
        <f t="shared" si="26"/>
        <v>0</v>
      </c>
      <c r="BF31" s="418" t="b">
        <f t="shared" si="27"/>
        <v>0</v>
      </c>
      <c r="BG31" s="417" t="str">
        <f t="shared" si="28"/>
        <v>NA</v>
      </c>
      <c r="BH31" s="417" t="str">
        <f t="shared" si="29"/>
        <v/>
      </c>
      <c r="BI31" s="417" t="str">
        <f t="shared" si="30"/>
        <v/>
      </c>
      <c r="BJ31" s="417" t="str">
        <f t="shared" si="31"/>
        <v/>
      </c>
      <c r="BK31" s="417" t="str">
        <f t="shared" si="32"/>
        <v/>
      </c>
      <c r="BL31" s="435" t="str">
        <f t="shared" si="33"/>
        <v/>
      </c>
      <c r="BM31" s="417" t="str">
        <f t="shared" si="34"/>
        <v/>
      </c>
      <c r="BN31" s="417" t="str">
        <f t="shared" si="35"/>
        <v/>
      </c>
      <c r="BO31" s="372"/>
    </row>
    <row r="32" spans="2:75" s="416" customFormat="1" ht="12.95" customHeight="1" x14ac:dyDescent="0.25">
      <c r="B32" s="433" t="str">
        <f>IF(ISNA(Z32),"",IF(OR(Z32=1,Z32=2),"    ",MAX($B$9:B31)+1))</f>
        <v/>
      </c>
      <c r="C32" s="1618" t="str">
        <f t="shared" si="0"/>
        <v/>
      </c>
      <c r="D32" s="1618"/>
      <c r="E32" s="1618"/>
      <c r="F32" s="1619"/>
      <c r="G32" s="437" t="str">
        <f t="shared" si="1"/>
        <v/>
      </c>
      <c r="H32" s="431" t="str">
        <f t="shared" si="2"/>
        <v/>
      </c>
      <c r="I32" s="436" t="str">
        <f t="shared" si="3"/>
        <v/>
      </c>
      <c r="J32" s="429"/>
      <c r="K32" s="428"/>
      <c r="L32" s="1612"/>
      <c r="M32" s="1613"/>
      <c r="N32" s="1613"/>
      <c r="O32" s="1613"/>
      <c r="P32" s="1613"/>
      <c r="Q32" s="1613"/>
      <c r="R32" s="1614"/>
      <c r="T32" s="401">
        <v>24</v>
      </c>
      <c r="U32" s="374" t="e">
        <v>#N/A</v>
      </c>
      <c r="V32" s="421" t="e">
        <v>#N/A</v>
      </c>
      <c r="W32" s="421" t="e">
        <v>#N/A</v>
      </c>
      <c r="X32" s="421" t="e">
        <v>#N/A</v>
      </c>
      <c r="Y32" s="421" t="e">
        <v>#N/A</v>
      </c>
      <c r="Z32" s="393" t="e">
        <v>#N/A</v>
      </c>
      <c r="AA32" s="393" t="e">
        <v>#N/A</v>
      </c>
      <c r="AB32" s="393" t="e">
        <v>#N/A</v>
      </c>
      <c r="AC32" s="421" t="e">
        <v>#N/A</v>
      </c>
      <c r="AD32" s="421" t="e">
        <v>#N/A</v>
      </c>
      <c r="AE32" s="421" t="e">
        <v>#N/A</v>
      </c>
      <c r="AF32" s="421" t="e">
        <v>#N/A</v>
      </c>
      <c r="AG32" s="421" t="e">
        <f t="shared" si="4"/>
        <v>#N/A</v>
      </c>
      <c r="AH32" s="421" t="str">
        <f t="shared" si="5"/>
        <v/>
      </c>
      <c r="AI32" s="427" t="e">
        <f>IF(NOT(OR(Z32=1,Z32=2)),IF(AQ32&gt;0,$AR$45*AQ32/SUMIF($AQ$9:$AQ$40,"&gt;0"),IF(AU32&gt;0,$AV$45*AU32/SUMIF($AU$9:$AU$40,"&gt;0"),IF(AS32&gt;0,$AT$45*AS32/SUMIF($AS$9:$AS$40,"&gt;0"),""))),IF(SUMIF(AJ33:$AJ$40,"=" &amp; AJ32,AI33:$AI$40)=0,"",SUMIF(AJ33:$AJ$40,"=" &amp; AJ32,AI33:$AI$40)))</f>
        <v>#N/A</v>
      </c>
      <c r="AJ32" s="426" t="e">
        <f t="shared" si="36"/>
        <v>#N/A</v>
      </c>
      <c r="AK32" s="421" t="str">
        <f t="shared" si="6"/>
        <v/>
      </c>
      <c r="AL32" s="393" t="str">
        <f t="shared" si="7"/>
        <v/>
      </c>
      <c r="AM32" s="393" t="str">
        <f t="shared" si="8"/>
        <v/>
      </c>
      <c r="AN32" s="393" t="str">
        <f t="shared" si="9"/>
        <v/>
      </c>
      <c r="AO32" s="393" t="e">
        <f t="shared" si="10"/>
        <v>#N/A</v>
      </c>
      <c r="AP32" s="421" t="str">
        <f t="shared" si="11"/>
        <v/>
      </c>
      <c r="AQ32" s="425">
        <f t="shared" si="12"/>
        <v>0</v>
      </c>
      <c r="AR32" s="423" t="str">
        <f t="shared" si="13"/>
        <v/>
      </c>
      <c r="AS32" s="424">
        <f t="shared" si="14"/>
        <v>0</v>
      </c>
      <c r="AT32" s="423" t="str">
        <f t="shared" si="15"/>
        <v/>
      </c>
      <c r="AU32" s="420">
        <f t="shared" si="16"/>
        <v>0</v>
      </c>
      <c r="AV32" s="422" t="str">
        <f t="shared" si="17"/>
        <v/>
      </c>
      <c r="AW32" s="420" t="b">
        <f t="shared" si="18"/>
        <v>0</v>
      </c>
      <c r="AX32" s="419" t="b">
        <f t="shared" si="19"/>
        <v>0</v>
      </c>
      <c r="AY32" s="420" t="b">
        <f t="shared" si="20"/>
        <v>0</v>
      </c>
      <c r="AZ32" s="419" t="b">
        <f t="shared" si="21"/>
        <v>0</v>
      </c>
      <c r="BA32" s="421" t="b">
        <f t="shared" si="22"/>
        <v>0</v>
      </c>
      <c r="BB32" s="421" t="b">
        <f t="shared" si="23"/>
        <v>0</v>
      </c>
      <c r="BC32" s="420" t="b">
        <f t="shared" si="24"/>
        <v>0</v>
      </c>
      <c r="BD32" s="393" t="b">
        <f t="shared" si="25"/>
        <v>0</v>
      </c>
      <c r="BE32" s="419" t="b">
        <f t="shared" si="26"/>
        <v>0</v>
      </c>
      <c r="BF32" s="418" t="b">
        <f t="shared" si="27"/>
        <v>0</v>
      </c>
      <c r="BG32" s="417" t="str">
        <f t="shared" si="28"/>
        <v>NA</v>
      </c>
      <c r="BH32" s="417" t="str">
        <f t="shared" si="29"/>
        <v/>
      </c>
      <c r="BI32" s="417" t="str">
        <f t="shared" si="30"/>
        <v/>
      </c>
      <c r="BJ32" s="417" t="str">
        <f t="shared" si="31"/>
        <v/>
      </c>
      <c r="BK32" s="417" t="str">
        <f t="shared" si="32"/>
        <v/>
      </c>
      <c r="BL32" s="435" t="str">
        <f t="shared" si="33"/>
        <v/>
      </c>
      <c r="BM32" s="417" t="str">
        <f t="shared" si="34"/>
        <v/>
      </c>
      <c r="BN32" s="417" t="str">
        <f t="shared" si="35"/>
        <v/>
      </c>
      <c r="BO32" s="439" t="s">
        <v>236</v>
      </c>
      <c r="BP32" s="438" t="s">
        <v>237</v>
      </c>
    </row>
    <row r="33" spans="2:73 1271:1271" s="416" customFormat="1" ht="12.95" customHeight="1" x14ac:dyDescent="0.25">
      <c r="B33" s="433" t="str">
        <f>IF(ISNA(Z33),"",IF(OR(Z33=1,Z33=2),"    ",MAX($B$9:B32)+1))</f>
        <v/>
      </c>
      <c r="C33" s="1618" t="str">
        <f t="shared" si="0"/>
        <v/>
      </c>
      <c r="D33" s="1618"/>
      <c r="E33" s="1618"/>
      <c r="F33" s="1619"/>
      <c r="G33" s="437" t="str">
        <f t="shared" si="1"/>
        <v/>
      </c>
      <c r="H33" s="431" t="str">
        <f t="shared" si="2"/>
        <v/>
      </c>
      <c r="I33" s="436" t="str">
        <f t="shared" si="3"/>
        <v/>
      </c>
      <c r="J33" s="429"/>
      <c r="K33" s="428"/>
      <c r="L33" s="1612"/>
      <c r="M33" s="1613"/>
      <c r="N33" s="1613"/>
      <c r="O33" s="1613"/>
      <c r="P33" s="1613"/>
      <c r="Q33" s="1613"/>
      <c r="R33" s="1614"/>
      <c r="T33" s="401">
        <v>25</v>
      </c>
      <c r="U33" s="374" t="e">
        <v>#N/A</v>
      </c>
      <c r="V33" s="421" t="e">
        <v>#N/A</v>
      </c>
      <c r="W33" s="421" t="e">
        <v>#N/A</v>
      </c>
      <c r="X33" s="421" t="e">
        <v>#N/A</v>
      </c>
      <c r="Y33" s="421" t="e">
        <v>#N/A</v>
      </c>
      <c r="Z33" s="393" t="e">
        <v>#N/A</v>
      </c>
      <c r="AA33" s="393" t="e">
        <v>#N/A</v>
      </c>
      <c r="AB33" s="393" t="e">
        <v>#N/A</v>
      </c>
      <c r="AC33" s="421" t="e">
        <v>#N/A</v>
      </c>
      <c r="AD33" s="421" t="e">
        <v>#N/A</v>
      </c>
      <c r="AE33" s="421" t="e">
        <v>#N/A</v>
      </c>
      <c r="AF33" s="421" t="e">
        <v>#N/A</v>
      </c>
      <c r="AG33" s="421" t="e">
        <f t="shared" si="4"/>
        <v>#N/A</v>
      </c>
      <c r="AH33" s="421" t="str">
        <f t="shared" si="5"/>
        <v/>
      </c>
      <c r="AI33" s="427" t="e">
        <f>IF(NOT(OR(Z33=1,Z33=2)),IF(AQ33&gt;0,$AR$45*AQ33/SUMIF($AQ$9:$AQ$40,"&gt;0"),IF(AU33&gt;0,$AV$45*AU33/SUMIF($AU$9:$AU$40,"&gt;0"),IF(AS33&gt;0,$AT$45*AS33/SUMIF($AS$9:$AS$40,"&gt;0"),""))),IF(SUMIF(AJ34:$AJ$40,"=" &amp; AJ33,AI34:$AI$40)=0,"",SUMIF(AJ34:$AJ$40,"=" &amp; AJ33,AI34:$AI$40)))</f>
        <v>#N/A</v>
      </c>
      <c r="AJ33" s="426" t="e">
        <f t="shared" si="36"/>
        <v>#N/A</v>
      </c>
      <c r="AK33" s="421" t="str">
        <f t="shared" si="6"/>
        <v/>
      </c>
      <c r="AL33" s="393" t="str">
        <f t="shared" si="7"/>
        <v/>
      </c>
      <c r="AM33" s="393" t="str">
        <f t="shared" si="8"/>
        <v/>
      </c>
      <c r="AN33" s="393" t="str">
        <f t="shared" si="9"/>
        <v/>
      </c>
      <c r="AO33" s="393" t="e">
        <f t="shared" si="10"/>
        <v>#N/A</v>
      </c>
      <c r="AP33" s="421" t="str">
        <f t="shared" si="11"/>
        <v/>
      </c>
      <c r="AQ33" s="425">
        <f t="shared" si="12"/>
        <v>0</v>
      </c>
      <c r="AR33" s="423" t="str">
        <f t="shared" si="13"/>
        <v/>
      </c>
      <c r="AS33" s="424">
        <f t="shared" si="14"/>
        <v>0</v>
      </c>
      <c r="AT33" s="423" t="str">
        <f t="shared" si="15"/>
        <v/>
      </c>
      <c r="AU33" s="420">
        <f t="shared" si="16"/>
        <v>0</v>
      </c>
      <c r="AV33" s="422" t="str">
        <f t="shared" si="17"/>
        <v/>
      </c>
      <c r="AW33" s="420" t="b">
        <f t="shared" si="18"/>
        <v>0</v>
      </c>
      <c r="AX33" s="419" t="b">
        <f t="shared" si="19"/>
        <v>0</v>
      </c>
      <c r="AY33" s="420" t="b">
        <f t="shared" si="20"/>
        <v>0</v>
      </c>
      <c r="AZ33" s="419" t="b">
        <f t="shared" si="21"/>
        <v>0</v>
      </c>
      <c r="BA33" s="421" t="b">
        <f t="shared" si="22"/>
        <v>0</v>
      </c>
      <c r="BB33" s="421" t="b">
        <f t="shared" si="23"/>
        <v>0</v>
      </c>
      <c r="BC33" s="420" t="b">
        <f t="shared" si="24"/>
        <v>0</v>
      </c>
      <c r="BD33" s="393" t="b">
        <f t="shared" si="25"/>
        <v>0</v>
      </c>
      <c r="BE33" s="419" t="b">
        <f t="shared" si="26"/>
        <v>0</v>
      </c>
      <c r="BF33" s="418" t="b">
        <f t="shared" si="27"/>
        <v>0</v>
      </c>
      <c r="BG33" s="417" t="str">
        <f t="shared" si="28"/>
        <v>NA</v>
      </c>
      <c r="BH33" s="417" t="str">
        <f t="shared" si="29"/>
        <v/>
      </c>
      <c r="BI33" s="417" t="str">
        <f t="shared" si="30"/>
        <v/>
      </c>
      <c r="BJ33" s="417" t="str">
        <f t="shared" si="31"/>
        <v/>
      </c>
      <c r="BK33" s="417" t="str">
        <f t="shared" si="32"/>
        <v/>
      </c>
      <c r="BL33" s="435" t="str">
        <f t="shared" si="33"/>
        <v/>
      </c>
      <c r="BM33" s="417" t="str">
        <f t="shared" si="34"/>
        <v/>
      </c>
      <c r="BN33" s="417" t="str">
        <f t="shared" si="35"/>
        <v/>
      </c>
      <c r="BO33" s="439" t="s">
        <v>238</v>
      </c>
      <c r="BP33" s="438" t="s">
        <v>239</v>
      </c>
    </row>
    <row r="34" spans="2:73 1271:1271" s="416" customFormat="1" ht="12.95" customHeight="1" x14ac:dyDescent="0.25">
      <c r="B34" s="433" t="str">
        <f>IF(ISNA(Z34),"",IF(OR(Z34=1,Z34=2),"    ",MAX($B$9:B33)+1))</f>
        <v/>
      </c>
      <c r="C34" s="1618" t="str">
        <f t="shared" si="0"/>
        <v/>
      </c>
      <c r="D34" s="1618"/>
      <c r="E34" s="1618"/>
      <c r="F34" s="1619"/>
      <c r="G34" s="437" t="str">
        <f t="shared" si="1"/>
        <v/>
      </c>
      <c r="H34" s="431" t="str">
        <f t="shared" si="2"/>
        <v/>
      </c>
      <c r="I34" s="436" t="str">
        <f t="shared" si="3"/>
        <v/>
      </c>
      <c r="J34" s="429"/>
      <c r="K34" s="428"/>
      <c r="L34" s="1612"/>
      <c r="M34" s="1613"/>
      <c r="N34" s="1613"/>
      <c r="O34" s="1613"/>
      <c r="P34" s="1613"/>
      <c r="Q34" s="1613"/>
      <c r="R34" s="1614"/>
      <c r="T34" s="401">
        <v>26</v>
      </c>
      <c r="U34" s="374" t="e">
        <v>#N/A</v>
      </c>
      <c r="V34" s="421" t="e">
        <v>#N/A</v>
      </c>
      <c r="W34" s="421" t="e">
        <v>#N/A</v>
      </c>
      <c r="X34" s="421" t="e">
        <v>#N/A</v>
      </c>
      <c r="Y34" s="421" t="e">
        <v>#N/A</v>
      </c>
      <c r="Z34" s="393" t="e">
        <v>#N/A</v>
      </c>
      <c r="AA34" s="393" t="e">
        <v>#N/A</v>
      </c>
      <c r="AB34" s="393" t="e">
        <v>#N/A</v>
      </c>
      <c r="AC34" s="421" t="e">
        <v>#N/A</v>
      </c>
      <c r="AD34" s="421" t="e">
        <v>#N/A</v>
      </c>
      <c r="AE34" s="421" t="e">
        <v>#N/A</v>
      </c>
      <c r="AF34" s="421" t="e">
        <v>#N/A</v>
      </c>
      <c r="AG34" s="421" t="e">
        <f t="shared" si="4"/>
        <v>#N/A</v>
      </c>
      <c r="AH34" s="421" t="str">
        <f t="shared" si="5"/>
        <v/>
      </c>
      <c r="AI34" s="427" t="e">
        <f>IF(NOT(OR(Z34=1,Z34=2)),IF(AQ34&gt;0,$AR$45*AQ34/SUMIF($AQ$9:$AQ$40,"&gt;0"),IF(AU34&gt;0,$AV$45*AU34/SUMIF($AU$9:$AU$40,"&gt;0"),IF(AS34&gt;0,$AT$45*AS34/SUMIF($AS$9:$AS$40,"&gt;0"),""))),IF(SUMIF(AJ35:$AJ$40,"=" &amp; AJ34,AI35:$AI$40)=0,"",SUMIF(AJ35:$AJ$40,"=" &amp; AJ34,AI35:$AI$40)))</f>
        <v>#N/A</v>
      </c>
      <c r="AJ34" s="426" t="e">
        <f t="shared" si="36"/>
        <v>#N/A</v>
      </c>
      <c r="AK34" s="421" t="str">
        <f t="shared" si="6"/>
        <v/>
      </c>
      <c r="AL34" s="393" t="str">
        <f t="shared" si="7"/>
        <v/>
      </c>
      <c r="AM34" s="393" t="str">
        <f t="shared" si="8"/>
        <v/>
      </c>
      <c r="AN34" s="393" t="str">
        <f t="shared" si="9"/>
        <v/>
      </c>
      <c r="AO34" s="393" t="e">
        <f t="shared" si="10"/>
        <v>#N/A</v>
      </c>
      <c r="AP34" s="421" t="str">
        <f t="shared" si="11"/>
        <v/>
      </c>
      <c r="AQ34" s="425">
        <f t="shared" si="12"/>
        <v>0</v>
      </c>
      <c r="AR34" s="423" t="str">
        <f t="shared" si="13"/>
        <v/>
      </c>
      <c r="AS34" s="424">
        <f t="shared" si="14"/>
        <v>0</v>
      </c>
      <c r="AT34" s="423" t="str">
        <f t="shared" si="15"/>
        <v/>
      </c>
      <c r="AU34" s="420">
        <f t="shared" si="16"/>
        <v>0</v>
      </c>
      <c r="AV34" s="422" t="str">
        <f t="shared" si="17"/>
        <v/>
      </c>
      <c r="AW34" s="420" t="b">
        <f t="shared" si="18"/>
        <v>0</v>
      </c>
      <c r="AX34" s="419" t="b">
        <f t="shared" si="19"/>
        <v>0</v>
      </c>
      <c r="AY34" s="420" t="b">
        <f t="shared" si="20"/>
        <v>0</v>
      </c>
      <c r="AZ34" s="419" t="b">
        <f t="shared" si="21"/>
        <v>0</v>
      </c>
      <c r="BA34" s="421" t="b">
        <f t="shared" si="22"/>
        <v>0</v>
      </c>
      <c r="BB34" s="421" t="b">
        <f t="shared" si="23"/>
        <v>0</v>
      </c>
      <c r="BC34" s="420" t="b">
        <f t="shared" si="24"/>
        <v>0</v>
      </c>
      <c r="BD34" s="393" t="b">
        <f t="shared" si="25"/>
        <v>0</v>
      </c>
      <c r="BE34" s="419" t="b">
        <f t="shared" si="26"/>
        <v>0</v>
      </c>
      <c r="BF34" s="418" t="b">
        <f t="shared" si="27"/>
        <v>0</v>
      </c>
      <c r="BG34" s="417" t="str">
        <f t="shared" si="28"/>
        <v>NA</v>
      </c>
      <c r="BH34" s="417" t="str">
        <f t="shared" si="29"/>
        <v/>
      </c>
      <c r="BI34" s="417" t="str">
        <f t="shared" si="30"/>
        <v/>
      </c>
      <c r="BJ34" s="417" t="str">
        <f t="shared" si="31"/>
        <v/>
      </c>
      <c r="BK34" s="417" t="str">
        <f t="shared" si="32"/>
        <v/>
      </c>
      <c r="BL34" s="435" t="str">
        <f t="shared" si="33"/>
        <v/>
      </c>
      <c r="BM34" s="417" t="str">
        <f t="shared" si="34"/>
        <v/>
      </c>
      <c r="BN34" s="417" t="str">
        <f t="shared" si="35"/>
        <v/>
      </c>
      <c r="BO34" s="434" t="s">
        <v>240</v>
      </c>
      <c r="BP34" s="438"/>
      <c r="BQ34" s="438"/>
      <c r="BR34" s="438"/>
      <c r="BS34" s="438"/>
      <c r="BT34" s="438"/>
      <c r="BU34" s="438"/>
    </row>
    <row r="35" spans="2:73 1271:1271" s="416" customFormat="1" ht="12.95" customHeight="1" x14ac:dyDescent="0.25">
      <c r="B35" s="433" t="str">
        <f>IF(ISNA(Z35),"",IF(OR(Z35=1,Z35=2),"    ",MAX($B$9:B34)+1))</f>
        <v/>
      </c>
      <c r="C35" s="1618" t="str">
        <f t="shared" si="0"/>
        <v/>
      </c>
      <c r="D35" s="1618"/>
      <c r="E35" s="1618"/>
      <c r="F35" s="1619"/>
      <c r="G35" s="437" t="str">
        <f t="shared" si="1"/>
        <v/>
      </c>
      <c r="H35" s="431" t="str">
        <f t="shared" si="2"/>
        <v/>
      </c>
      <c r="I35" s="436" t="str">
        <f t="shared" si="3"/>
        <v/>
      </c>
      <c r="J35" s="429"/>
      <c r="K35" s="428"/>
      <c r="L35" s="1612"/>
      <c r="M35" s="1613"/>
      <c r="N35" s="1613"/>
      <c r="O35" s="1613"/>
      <c r="P35" s="1613"/>
      <c r="Q35" s="1613"/>
      <c r="R35" s="1614"/>
      <c r="T35" s="401">
        <v>27</v>
      </c>
      <c r="U35" s="374" t="e">
        <v>#N/A</v>
      </c>
      <c r="V35" s="421" t="e">
        <v>#N/A</v>
      </c>
      <c r="W35" s="421" t="e">
        <v>#N/A</v>
      </c>
      <c r="X35" s="421" t="e">
        <v>#N/A</v>
      </c>
      <c r="Y35" s="421" t="e">
        <v>#N/A</v>
      </c>
      <c r="Z35" s="393" t="e">
        <v>#N/A</v>
      </c>
      <c r="AA35" s="393" t="e">
        <v>#N/A</v>
      </c>
      <c r="AB35" s="393" t="e">
        <v>#N/A</v>
      </c>
      <c r="AC35" s="421" t="e">
        <v>#N/A</v>
      </c>
      <c r="AD35" s="421" t="e">
        <v>#N/A</v>
      </c>
      <c r="AE35" s="421" t="e">
        <v>#N/A</v>
      </c>
      <c r="AF35" s="421" t="e">
        <v>#N/A</v>
      </c>
      <c r="AG35" s="421" t="e">
        <f t="shared" si="4"/>
        <v>#N/A</v>
      </c>
      <c r="AH35" s="421" t="str">
        <f t="shared" si="5"/>
        <v/>
      </c>
      <c r="AI35" s="427" t="e">
        <f>IF(NOT(OR(Z35=1,Z35=2)),IF(AQ35&gt;0,$AR$45*AQ35/SUMIF($AQ$9:$AQ$40,"&gt;0"),IF(AU35&gt;0,$AV$45*AU35/SUMIF($AU$9:$AU$40,"&gt;0"),IF(AS35&gt;0,$AT$45*AS35/SUMIF($AS$9:$AS$40,"&gt;0"),""))),IF(SUMIF(AJ36:$AJ$40,"=" &amp; AJ35,AI36:$AI$40)=0,"",SUMIF(AJ36:$AJ$40,"=" &amp; AJ35,AI36:$AI$40)))</f>
        <v>#N/A</v>
      </c>
      <c r="AJ35" s="426" t="e">
        <f t="shared" si="36"/>
        <v>#N/A</v>
      </c>
      <c r="AK35" s="421" t="str">
        <f t="shared" si="6"/>
        <v/>
      </c>
      <c r="AL35" s="393" t="str">
        <f t="shared" si="7"/>
        <v/>
      </c>
      <c r="AM35" s="393" t="str">
        <f t="shared" si="8"/>
        <v/>
      </c>
      <c r="AN35" s="393" t="str">
        <f t="shared" si="9"/>
        <v/>
      </c>
      <c r="AO35" s="393" t="e">
        <f t="shared" si="10"/>
        <v>#N/A</v>
      </c>
      <c r="AP35" s="421" t="str">
        <f t="shared" si="11"/>
        <v/>
      </c>
      <c r="AQ35" s="425">
        <f t="shared" si="12"/>
        <v>0</v>
      </c>
      <c r="AR35" s="423" t="str">
        <f t="shared" si="13"/>
        <v/>
      </c>
      <c r="AS35" s="424">
        <f t="shared" si="14"/>
        <v>0</v>
      </c>
      <c r="AT35" s="423" t="str">
        <f t="shared" si="15"/>
        <v/>
      </c>
      <c r="AU35" s="420">
        <f t="shared" si="16"/>
        <v>0</v>
      </c>
      <c r="AV35" s="422" t="str">
        <f t="shared" si="17"/>
        <v/>
      </c>
      <c r="AW35" s="420" t="b">
        <f t="shared" si="18"/>
        <v>0</v>
      </c>
      <c r="AX35" s="419" t="b">
        <f t="shared" si="19"/>
        <v>0</v>
      </c>
      <c r="AY35" s="420" t="b">
        <f t="shared" si="20"/>
        <v>0</v>
      </c>
      <c r="AZ35" s="419" t="b">
        <f t="shared" si="21"/>
        <v>0</v>
      </c>
      <c r="BA35" s="421" t="b">
        <f t="shared" si="22"/>
        <v>0</v>
      </c>
      <c r="BB35" s="421" t="b">
        <f t="shared" si="23"/>
        <v>0</v>
      </c>
      <c r="BC35" s="420" t="b">
        <f t="shared" si="24"/>
        <v>0</v>
      </c>
      <c r="BD35" s="393" t="b">
        <f t="shared" si="25"/>
        <v>0</v>
      </c>
      <c r="BE35" s="419" t="b">
        <f t="shared" si="26"/>
        <v>0</v>
      </c>
      <c r="BF35" s="418" t="b">
        <f t="shared" si="27"/>
        <v>0</v>
      </c>
      <c r="BG35" s="417" t="str">
        <f t="shared" si="28"/>
        <v>NA</v>
      </c>
      <c r="BH35" s="417" t="str">
        <f t="shared" si="29"/>
        <v/>
      </c>
      <c r="BI35" s="417" t="str">
        <f t="shared" si="30"/>
        <v/>
      </c>
      <c r="BJ35" s="417" t="str">
        <f t="shared" si="31"/>
        <v/>
      </c>
      <c r="BK35" s="417" t="str">
        <f t="shared" si="32"/>
        <v/>
      </c>
      <c r="BL35" s="435" t="str">
        <f t="shared" si="33"/>
        <v/>
      </c>
      <c r="BM35" s="417" t="str">
        <f t="shared" si="34"/>
        <v/>
      </c>
      <c r="BN35" s="417" t="str">
        <f t="shared" si="35"/>
        <v/>
      </c>
      <c r="BO35" s="1620"/>
      <c r="BP35" s="1621"/>
      <c r="BQ35" s="1621"/>
      <c r="BR35" s="1621"/>
      <c r="BS35" s="1621"/>
      <c r="BT35" s="1621"/>
      <c r="BU35" s="1622"/>
    </row>
    <row r="36" spans="2:73 1271:1271" s="416" customFormat="1" ht="12.95" customHeight="1" x14ac:dyDescent="0.25">
      <c r="B36" s="433" t="str">
        <f>IF(ISNA(Z36),"",IF(OR(Z36=1,Z36=2),"    ",MAX($B$9:B35)+1))</f>
        <v/>
      </c>
      <c r="C36" s="1618" t="str">
        <f t="shared" si="0"/>
        <v/>
      </c>
      <c r="D36" s="1618"/>
      <c r="E36" s="1618"/>
      <c r="F36" s="1619"/>
      <c r="G36" s="437" t="str">
        <f t="shared" si="1"/>
        <v/>
      </c>
      <c r="H36" s="431" t="str">
        <f t="shared" si="2"/>
        <v/>
      </c>
      <c r="I36" s="436" t="str">
        <f t="shared" si="3"/>
        <v/>
      </c>
      <c r="J36" s="429"/>
      <c r="K36" s="428"/>
      <c r="L36" s="1612"/>
      <c r="M36" s="1613"/>
      <c r="N36" s="1613"/>
      <c r="O36" s="1613"/>
      <c r="P36" s="1613"/>
      <c r="Q36" s="1613"/>
      <c r="R36" s="1614"/>
      <c r="T36" s="401">
        <v>28</v>
      </c>
      <c r="U36" s="374" t="e">
        <v>#N/A</v>
      </c>
      <c r="V36" s="421" t="e">
        <v>#N/A</v>
      </c>
      <c r="W36" s="421" t="e">
        <v>#N/A</v>
      </c>
      <c r="X36" s="421" t="e">
        <v>#N/A</v>
      </c>
      <c r="Y36" s="421" t="e">
        <v>#N/A</v>
      </c>
      <c r="Z36" s="393" t="e">
        <v>#N/A</v>
      </c>
      <c r="AA36" s="393" t="e">
        <v>#N/A</v>
      </c>
      <c r="AB36" s="393" t="e">
        <v>#N/A</v>
      </c>
      <c r="AC36" s="421" t="e">
        <v>#N/A</v>
      </c>
      <c r="AD36" s="421" t="e">
        <v>#N/A</v>
      </c>
      <c r="AE36" s="421" t="e">
        <v>#N/A</v>
      </c>
      <c r="AF36" s="421" t="e">
        <v>#N/A</v>
      </c>
      <c r="AG36" s="421" t="e">
        <f t="shared" si="4"/>
        <v>#N/A</v>
      </c>
      <c r="AH36" s="421" t="str">
        <f t="shared" si="5"/>
        <v/>
      </c>
      <c r="AI36" s="427" t="e">
        <f>IF(NOT(OR(Z36=1,Z36=2)),IF(AQ36&gt;0,$AR$45*AQ36/SUMIF($AQ$9:$AQ$40,"&gt;0"),IF(AU36&gt;0,$AV$45*AU36/SUMIF($AU$9:$AU$40,"&gt;0"),IF(AS36&gt;0,$AT$45*AS36/SUMIF($AS$9:$AS$40,"&gt;0"),""))),IF(SUMIF(AJ37:$AJ$40,"=" &amp; AJ36,AI37:$AI$40)=0,"",SUMIF(AJ37:$AJ$40,"=" &amp; AJ36,AI37:$AI$40)))</f>
        <v>#N/A</v>
      </c>
      <c r="AJ36" s="426" t="e">
        <f t="shared" si="36"/>
        <v>#N/A</v>
      </c>
      <c r="AK36" s="421" t="str">
        <f t="shared" si="6"/>
        <v/>
      </c>
      <c r="AL36" s="393" t="str">
        <f t="shared" si="7"/>
        <v/>
      </c>
      <c r="AM36" s="393" t="str">
        <f t="shared" si="8"/>
        <v/>
      </c>
      <c r="AN36" s="393" t="str">
        <f t="shared" si="9"/>
        <v/>
      </c>
      <c r="AO36" s="393" t="e">
        <f t="shared" si="10"/>
        <v>#N/A</v>
      </c>
      <c r="AP36" s="421" t="str">
        <f t="shared" si="11"/>
        <v/>
      </c>
      <c r="AQ36" s="425">
        <f t="shared" si="12"/>
        <v>0</v>
      </c>
      <c r="AR36" s="423" t="str">
        <f t="shared" si="13"/>
        <v/>
      </c>
      <c r="AS36" s="424">
        <f t="shared" si="14"/>
        <v>0</v>
      </c>
      <c r="AT36" s="423" t="str">
        <f t="shared" si="15"/>
        <v/>
      </c>
      <c r="AU36" s="420">
        <f t="shared" si="16"/>
        <v>0</v>
      </c>
      <c r="AV36" s="422" t="str">
        <f t="shared" si="17"/>
        <v/>
      </c>
      <c r="AW36" s="420" t="b">
        <f t="shared" si="18"/>
        <v>0</v>
      </c>
      <c r="AX36" s="419" t="b">
        <f t="shared" si="19"/>
        <v>0</v>
      </c>
      <c r="AY36" s="420" t="b">
        <f t="shared" si="20"/>
        <v>0</v>
      </c>
      <c r="AZ36" s="419" t="b">
        <f t="shared" si="21"/>
        <v>0</v>
      </c>
      <c r="BA36" s="421" t="b">
        <f t="shared" si="22"/>
        <v>0</v>
      </c>
      <c r="BB36" s="421" t="b">
        <f t="shared" si="23"/>
        <v>0</v>
      </c>
      <c r="BC36" s="420" t="b">
        <f t="shared" si="24"/>
        <v>0</v>
      </c>
      <c r="BD36" s="393" t="b">
        <f t="shared" si="25"/>
        <v>0</v>
      </c>
      <c r="BE36" s="419" t="b">
        <f t="shared" si="26"/>
        <v>0</v>
      </c>
      <c r="BF36" s="418" t="b">
        <f t="shared" si="27"/>
        <v>0</v>
      </c>
      <c r="BG36" s="417" t="str">
        <f t="shared" si="28"/>
        <v>NA</v>
      </c>
      <c r="BH36" s="417" t="str">
        <f t="shared" si="29"/>
        <v/>
      </c>
      <c r="BI36" s="417" t="str">
        <f t="shared" si="30"/>
        <v/>
      </c>
      <c r="BJ36" s="417" t="str">
        <f t="shared" si="31"/>
        <v/>
      </c>
      <c r="BK36" s="417" t="str">
        <f t="shared" si="32"/>
        <v/>
      </c>
      <c r="BL36" s="435" t="str">
        <f t="shared" si="33"/>
        <v/>
      </c>
      <c r="BM36" s="417" t="str">
        <f t="shared" si="34"/>
        <v/>
      </c>
      <c r="BN36" s="417" t="str">
        <f t="shared" si="35"/>
        <v/>
      </c>
      <c r="BO36" s="1623"/>
      <c r="BP36" s="1624"/>
      <c r="BQ36" s="1624"/>
      <c r="BR36" s="1624"/>
      <c r="BS36" s="1624"/>
      <c r="BT36" s="1624"/>
      <c r="BU36" s="1625"/>
    </row>
    <row r="37" spans="2:73 1271:1271" s="416" customFormat="1" ht="12.95" customHeight="1" x14ac:dyDescent="0.25">
      <c r="B37" s="433" t="str">
        <f>IF(ISNA(Z37),"",IF(OR(Z37=1,Z37=2),"    ",MAX($B$9:B36)+1))</f>
        <v/>
      </c>
      <c r="C37" s="1618" t="str">
        <f t="shared" si="0"/>
        <v/>
      </c>
      <c r="D37" s="1618"/>
      <c r="E37" s="1618"/>
      <c r="F37" s="1619"/>
      <c r="G37" s="437" t="str">
        <f t="shared" si="1"/>
        <v/>
      </c>
      <c r="H37" s="431" t="str">
        <f t="shared" si="2"/>
        <v/>
      </c>
      <c r="I37" s="436" t="str">
        <f t="shared" si="3"/>
        <v/>
      </c>
      <c r="J37" s="429"/>
      <c r="K37" s="428"/>
      <c r="L37" s="1612"/>
      <c r="M37" s="1613"/>
      <c r="N37" s="1613"/>
      <c r="O37" s="1613"/>
      <c r="P37" s="1613"/>
      <c r="Q37" s="1613"/>
      <c r="R37" s="1614"/>
      <c r="T37" s="401">
        <v>29</v>
      </c>
      <c r="U37" s="374" t="e">
        <v>#N/A</v>
      </c>
      <c r="V37" s="421" t="e">
        <v>#N/A</v>
      </c>
      <c r="W37" s="421" t="e">
        <v>#N/A</v>
      </c>
      <c r="X37" s="421" t="e">
        <v>#N/A</v>
      </c>
      <c r="Y37" s="421" t="e">
        <v>#N/A</v>
      </c>
      <c r="Z37" s="393" t="e">
        <v>#N/A</v>
      </c>
      <c r="AA37" s="393" t="e">
        <v>#N/A</v>
      </c>
      <c r="AB37" s="393" t="e">
        <v>#N/A</v>
      </c>
      <c r="AC37" s="421" t="e">
        <v>#N/A</v>
      </c>
      <c r="AD37" s="421" t="e">
        <v>#N/A</v>
      </c>
      <c r="AE37" s="421" t="e">
        <v>#N/A</v>
      </c>
      <c r="AF37" s="421" t="e">
        <v>#N/A</v>
      </c>
      <c r="AG37" s="421" t="e">
        <f t="shared" si="4"/>
        <v>#N/A</v>
      </c>
      <c r="AH37" s="421" t="str">
        <f t="shared" si="5"/>
        <v/>
      </c>
      <c r="AI37" s="427" t="e">
        <f>IF(NOT(OR(Z37=1,Z37=2)),IF(AQ37&gt;0,$AR$45*AQ37/SUMIF($AQ$9:$AQ$40,"&gt;0"),IF(AU37&gt;0,$AV$45*AU37/SUMIF($AU$9:$AU$40,"&gt;0"),IF(AS37&gt;0,$AT$45*AS37/SUMIF($AS$9:$AS$40,"&gt;0"),""))),IF(SUMIF(AJ38:$AJ$40,"=" &amp; AJ37,AI38:$AI$40)=0,"",SUMIF(AJ38:$AJ$40,"=" &amp; AJ37,AI38:$AI$40)))</f>
        <v>#N/A</v>
      </c>
      <c r="AJ37" s="426" t="e">
        <f t="shared" si="36"/>
        <v>#N/A</v>
      </c>
      <c r="AK37" s="421" t="str">
        <f t="shared" si="6"/>
        <v/>
      </c>
      <c r="AL37" s="393" t="str">
        <f t="shared" si="7"/>
        <v/>
      </c>
      <c r="AM37" s="393" t="str">
        <f t="shared" si="8"/>
        <v/>
      </c>
      <c r="AN37" s="393" t="str">
        <f t="shared" si="9"/>
        <v/>
      </c>
      <c r="AO37" s="393" t="e">
        <f t="shared" si="10"/>
        <v>#N/A</v>
      </c>
      <c r="AP37" s="421" t="str">
        <f t="shared" si="11"/>
        <v/>
      </c>
      <c r="AQ37" s="425">
        <f t="shared" si="12"/>
        <v>0</v>
      </c>
      <c r="AR37" s="423" t="str">
        <f t="shared" si="13"/>
        <v/>
      </c>
      <c r="AS37" s="424">
        <f t="shared" si="14"/>
        <v>0</v>
      </c>
      <c r="AT37" s="423" t="str">
        <f t="shared" si="15"/>
        <v/>
      </c>
      <c r="AU37" s="420">
        <f t="shared" si="16"/>
        <v>0</v>
      </c>
      <c r="AV37" s="422" t="str">
        <f t="shared" si="17"/>
        <v/>
      </c>
      <c r="AW37" s="420" t="b">
        <f t="shared" si="18"/>
        <v>0</v>
      </c>
      <c r="AX37" s="419" t="b">
        <f t="shared" si="19"/>
        <v>0</v>
      </c>
      <c r="AY37" s="420" t="b">
        <f t="shared" si="20"/>
        <v>0</v>
      </c>
      <c r="AZ37" s="419" t="b">
        <f t="shared" si="21"/>
        <v>0</v>
      </c>
      <c r="BA37" s="421" t="b">
        <f t="shared" si="22"/>
        <v>0</v>
      </c>
      <c r="BB37" s="421" t="b">
        <f t="shared" si="23"/>
        <v>0</v>
      </c>
      <c r="BC37" s="420" t="b">
        <f t="shared" si="24"/>
        <v>0</v>
      </c>
      <c r="BD37" s="393" t="b">
        <f t="shared" si="25"/>
        <v>0</v>
      </c>
      <c r="BE37" s="419" t="b">
        <f t="shared" si="26"/>
        <v>0</v>
      </c>
      <c r="BF37" s="418" t="b">
        <f t="shared" si="27"/>
        <v>0</v>
      </c>
      <c r="BG37" s="417" t="str">
        <f t="shared" si="28"/>
        <v>NA</v>
      </c>
      <c r="BH37" s="417" t="str">
        <f t="shared" si="29"/>
        <v/>
      </c>
      <c r="BI37" s="417" t="str">
        <f t="shared" si="30"/>
        <v/>
      </c>
      <c r="BJ37" s="417" t="str">
        <f t="shared" si="31"/>
        <v/>
      </c>
      <c r="BK37" s="417" t="str">
        <f t="shared" si="32"/>
        <v/>
      </c>
      <c r="BL37" s="435" t="str">
        <f t="shared" si="33"/>
        <v/>
      </c>
      <c r="BM37" s="417" t="str">
        <f t="shared" si="34"/>
        <v/>
      </c>
      <c r="BN37" s="417" t="str">
        <f t="shared" si="35"/>
        <v/>
      </c>
      <c r="BO37" s="1623"/>
      <c r="BP37" s="1624"/>
      <c r="BQ37" s="1624"/>
      <c r="BR37" s="1624"/>
      <c r="BS37" s="1624"/>
      <c r="BT37" s="1624"/>
      <c r="BU37" s="1625"/>
    </row>
    <row r="38" spans="2:73 1271:1271" s="416" customFormat="1" ht="12.95" customHeight="1" x14ac:dyDescent="0.25">
      <c r="B38" s="433" t="str">
        <f>IF(ISNA(Z38),"",IF(OR(Z38=1,Z38=2),"    ",MAX($B$9:B37)+1))</f>
        <v/>
      </c>
      <c r="C38" s="1618" t="str">
        <f t="shared" si="0"/>
        <v/>
      </c>
      <c r="D38" s="1618"/>
      <c r="E38" s="1618"/>
      <c r="F38" s="1619"/>
      <c r="G38" s="437" t="str">
        <f t="shared" si="1"/>
        <v/>
      </c>
      <c r="H38" s="431" t="str">
        <f t="shared" si="2"/>
        <v/>
      </c>
      <c r="I38" s="436" t="str">
        <f t="shared" si="3"/>
        <v/>
      </c>
      <c r="J38" s="429"/>
      <c r="K38" s="428"/>
      <c r="L38" s="1612"/>
      <c r="M38" s="1613"/>
      <c r="N38" s="1613"/>
      <c r="O38" s="1613"/>
      <c r="P38" s="1613"/>
      <c r="Q38" s="1613"/>
      <c r="R38" s="1614"/>
      <c r="T38" s="401">
        <v>30</v>
      </c>
      <c r="U38" s="374" t="e">
        <v>#N/A</v>
      </c>
      <c r="V38" s="421" t="e">
        <v>#N/A</v>
      </c>
      <c r="W38" s="421" t="e">
        <v>#N/A</v>
      </c>
      <c r="X38" s="421" t="e">
        <v>#N/A</v>
      </c>
      <c r="Y38" s="421" t="e">
        <v>#N/A</v>
      </c>
      <c r="Z38" s="393" t="e">
        <v>#N/A</v>
      </c>
      <c r="AA38" s="393" t="e">
        <v>#N/A</v>
      </c>
      <c r="AB38" s="393" t="e">
        <v>#N/A</v>
      </c>
      <c r="AC38" s="421" t="e">
        <v>#N/A</v>
      </c>
      <c r="AD38" s="421" t="e">
        <v>#N/A</v>
      </c>
      <c r="AE38" s="421" t="e">
        <v>#N/A</v>
      </c>
      <c r="AF38" s="421" t="e">
        <v>#N/A</v>
      </c>
      <c r="AG38" s="421" t="e">
        <f t="shared" si="4"/>
        <v>#N/A</v>
      </c>
      <c r="AH38" s="421" t="str">
        <f t="shared" si="5"/>
        <v/>
      </c>
      <c r="AI38" s="427" t="e">
        <f>IF(NOT(OR(Z38=1,Z38=2)),IF(AQ38&gt;0,$AR$45*AQ38/SUMIF($AQ$9:$AQ$40,"&gt;0"),IF(AU38&gt;0,$AV$45*AU38/SUMIF($AU$9:$AU$40,"&gt;0"),IF(AS38&gt;0,$AT$45*AS38/SUMIF($AS$9:$AS$40,"&gt;0"),""))),IF(SUMIF(AJ39:$AJ$40,"=" &amp; AJ38,AI39:$AI$40)=0,"",SUMIF(AJ39:$AJ$40,"=" &amp; AJ38,AI39:$AI$40)))</f>
        <v>#N/A</v>
      </c>
      <c r="AJ38" s="426" t="e">
        <f t="shared" si="36"/>
        <v>#N/A</v>
      </c>
      <c r="AK38" s="421" t="str">
        <f t="shared" si="6"/>
        <v/>
      </c>
      <c r="AL38" s="393" t="str">
        <f t="shared" si="7"/>
        <v/>
      </c>
      <c r="AM38" s="393" t="str">
        <f t="shared" si="8"/>
        <v/>
      </c>
      <c r="AN38" s="393" t="str">
        <f t="shared" si="9"/>
        <v/>
      </c>
      <c r="AO38" s="393" t="e">
        <f t="shared" si="10"/>
        <v>#N/A</v>
      </c>
      <c r="AP38" s="421" t="str">
        <f t="shared" si="11"/>
        <v/>
      </c>
      <c r="AQ38" s="425">
        <f t="shared" si="12"/>
        <v>0</v>
      </c>
      <c r="AR38" s="423" t="str">
        <f t="shared" si="13"/>
        <v/>
      </c>
      <c r="AS38" s="424">
        <f t="shared" si="14"/>
        <v>0</v>
      </c>
      <c r="AT38" s="423" t="str">
        <f t="shared" si="15"/>
        <v/>
      </c>
      <c r="AU38" s="420">
        <f t="shared" si="16"/>
        <v>0</v>
      </c>
      <c r="AV38" s="422" t="str">
        <f t="shared" si="17"/>
        <v/>
      </c>
      <c r="AW38" s="420" t="b">
        <f t="shared" si="18"/>
        <v>0</v>
      </c>
      <c r="AX38" s="419" t="b">
        <f t="shared" si="19"/>
        <v>0</v>
      </c>
      <c r="AY38" s="420" t="b">
        <f t="shared" si="20"/>
        <v>0</v>
      </c>
      <c r="AZ38" s="419" t="b">
        <f t="shared" si="21"/>
        <v>0</v>
      </c>
      <c r="BA38" s="421" t="b">
        <f t="shared" si="22"/>
        <v>0</v>
      </c>
      <c r="BB38" s="421" t="b">
        <f t="shared" si="23"/>
        <v>0</v>
      </c>
      <c r="BC38" s="420" t="b">
        <f t="shared" si="24"/>
        <v>0</v>
      </c>
      <c r="BD38" s="393" t="b">
        <f t="shared" si="25"/>
        <v>0</v>
      </c>
      <c r="BE38" s="419" t="b">
        <f t="shared" si="26"/>
        <v>0</v>
      </c>
      <c r="BF38" s="418" t="b">
        <f t="shared" si="27"/>
        <v>0</v>
      </c>
      <c r="BG38" s="417" t="str">
        <f t="shared" si="28"/>
        <v>NA</v>
      </c>
      <c r="BH38" s="417" t="str">
        <f t="shared" si="29"/>
        <v/>
      </c>
      <c r="BI38" s="417" t="str">
        <f t="shared" si="30"/>
        <v/>
      </c>
      <c r="BJ38" s="417" t="str">
        <f t="shared" si="31"/>
        <v/>
      </c>
      <c r="BK38" s="417" t="str">
        <f t="shared" si="32"/>
        <v/>
      </c>
      <c r="BL38" s="435" t="str">
        <f t="shared" si="33"/>
        <v/>
      </c>
      <c r="BM38" s="417" t="str">
        <f t="shared" si="34"/>
        <v/>
      </c>
      <c r="BN38" s="417" t="str">
        <f t="shared" si="35"/>
        <v/>
      </c>
      <c r="BO38" s="1626"/>
      <c r="BP38" s="1627"/>
      <c r="BQ38" s="1627"/>
      <c r="BR38" s="1627"/>
      <c r="BS38" s="1627"/>
      <c r="BT38" s="1627"/>
      <c r="BU38" s="1628"/>
    </row>
    <row r="39" spans="2:73 1271:1271" s="416" customFormat="1" ht="12.95" customHeight="1" x14ac:dyDescent="0.25">
      <c r="B39" s="433" t="str">
        <f>IF(ISNA(Z39),"",IF(OR(Z39=1,Z39=2),"    ",MAX($B$9:B38)+1))</f>
        <v/>
      </c>
      <c r="C39" s="1618" t="str">
        <f t="shared" si="0"/>
        <v/>
      </c>
      <c r="D39" s="1618"/>
      <c r="E39" s="1618"/>
      <c r="F39" s="1619"/>
      <c r="G39" s="437" t="str">
        <f t="shared" si="1"/>
        <v/>
      </c>
      <c r="H39" s="431" t="str">
        <f t="shared" si="2"/>
        <v/>
      </c>
      <c r="I39" s="436" t="str">
        <f t="shared" si="3"/>
        <v/>
      </c>
      <c r="J39" s="429"/>
      <c r="K39" s="428"/>
      <c r="L39" s="1612"/>
      <c r="M39" s="1613"/>
      <c r="N39" s="1613"/>
      <c r="O39" s="1613"/>
      <c r="P39" s="1613"/>
      <c r="Q39" s="1613"/>
      <c r="R39" s="1614"/>
      <c r="T39" s="401">
        <v>31</v>
      </c>
      <c r="U39" s="374" t="e">
        <v>#N/A</v>
      </c>
      <c r="V39" s="421" t="e">
        <v>#N/A</v>
      </c>
      <c r="W39" s="421" t="e">
        <v>#N/A</v>
      </c>
      <c r="X39" s="421" t="e">
        <v>#N/A</v>
      </c>
      <c r="Y39" s="421" t="e">
        <v>#N/A</v>
      </c>
      <c r="Z39" s="393" t="e">
        <v>#N/A</v>
      </c>
      <c r="AA39" s="393" t="e">
        <v>#N/A</v>
      </c>
      <c r="AB39" s="393" t="e">
        <v>#N/A</v>
      </c>
      <c r="AC39" s="421" t="e">
        <v>#N/A</v>
      </c>
      <c r="AD39" s="421" t="e">
        <v>#N/A</v>
      </c>
      <c r="AE39" s="421" t="e">
        <v>#N/A</v>
      </c>
      <c r="AF39" s="421" t="e">
        <v>#N/A</v>
      </c>
      <c r="AG39" s="421" t="e">
        <f t="shared" si="4"/>
        <v>#N/A</v>
      </c>
      <c r="AH39" s="421" t="str">
        <f t="shared" si="5"/>
        <v/>
      </c>
      <c r="AI39" s="427" t="e">
        <f>IF(NOT(OR(Z39=1,Z39=2)),IF(AQ39&gt;0,$AR$45*AQ39/SUMIF($AQ$9:$AQ$40,"&gt;0"),IF(AU39&gt;0,$AV$45*AU39/SUMIF($AU$9:$AU$40,"&gt;0"),IF(AS39&gt;0,$AT$45*AS39/SUMIF($AS$9:$AS$40,"&gt;0"),""))),IF(SUMIF(AJ40:$AJ$40,"=" &amp; AJ39,AI40:$AI$40)=0,"",SUMIF(AJ40:$AJ$40,"=" &amp; AJ39,AI40:$AI$40)))</f>
        <v>#N/A</v>
      </c>
      <c r="AJ39" s="426" t="e">
        <f t="shared" si="36"/>
        <v>#N/A</v>
      </c>
      <c r="AK39" s="421" t="str">
        <f t="shared" si="6"/>
        <v/>
      </c>
      <c r="AL39" s="393" t="str">
        <f t="shared" si="7"/>
        <v/>
      </c>
      <c r="AM39" s="393" t="str">
        <f t="shared" si="8"/>
        <v/>
      </c>
      <c r="AN39" s="393" t="str">
        <f t="shared" si="9"/>
        <v/>
      </c>
      <c r="AO39" s="393" t="e">
        <f t="shared" si="10"/>
        <v>#N/A</v>
      </c>
      <c r="AP39" s="421" t="str">
        <f t="shared" si="11"/>
        <v/>
      </c>
      <c r="AQ39" s="425">
        <f t="shared" si="12"/>
        <v>0</v>
      </c>
      <c r="AR39" s="423" t="str">
        <f t="shared" si="13"/>
        <v/>
      </c>
      <c r="AS39" s="424">
        <f t="shared" si="14"/>
        <v>0</v>
      </c>
      <c r="AT39" s="423" t="str">
        <f t="shared" si="15"/>
        <v/>
      </c>
      <c r="AU39" s="420">
        <f t="shared" si="16"/>
        <v>0</v>
      </c>
      <c r="AV39" s="422" t="str">
        <f t="shared" si="17"/>
        <v/>
      </c>
      <c r="AW39" s="420" t="b">
        <f t="shared" si="18"/>
        <v>0</v>
      </c>
      <c r="AX39" s="419" t="b">
        <f t="shared" si="19"/>
        <v>0</v>
      </c>
      <c r="AY39" s="420" t="b">
        <f t="shared" si="20"/>
        <v>0</v>
      </c>
      <c r="AZ39" s="419" t="b">
        <f t="shared" si="21"/>
        <v>0</v>
      </c>
      <c r="BA39" s="421" t="b">
        <f t="shared" si="22"/>
        <v>0</v>
      </c>
      <c r="BB39" s="421" t="b">
        <f t="shared" si="23"/>
        <v>0</v>
      </c>
      <c r="BC39" s="420" t="b">
        <f t="shared" si="24"/>
        <v>0</v>
      </c>
      <c r="BD39" s="393" t="b">
        <f t="shared" si="25"/>
        <v>0</v>
      </c>
      <c r="BE39" s="419" t="b">
        <f t="shared" si="26"/>
        <v>0</v>
      </c>
      <c r="BF39" s="418" t="b">
        <f t="shared" si="27"/>
        <v>0</v>
      </c>
      <c r="BG39" s="417" t="str">
        <f t="shared" si="28"/>
        <v>NA</v>
      </c>
      <c r="BH39" s="417" t="str">
        <f t="shared" si="29"/>
        <v/>
      </c>
      <c r="BI39" s="417" t="str">
        <f t="shared" si="30"/>
        <v/>
      </c>
      <c r="BJ39" s="417" t="str">
        <f t="shared" si="31"/>
        <v/>
      </c>
      <c r="BK39" s="417" t="str">
        <f t="shared" si="32"/>
        <v/>
      </c>
      <c r="BL39" s="435" t="str">
        <f t="shared" si="33"/>
        <v/>
      </c>
      <c r="BM39" s="417" t="str">
        <f t="shared" si="34"/>
        <v/>
      </c>
      <c r="BN39" s="417" t="str">
        <f t="shared" si="35"/>
        <v/>
      </c>
      <c r="BO39" s="434" t="s">
        <v>241</v>
      </c>
      <c r="BP39" s="434"/>
      <c r="BQ39" s="434"/>
      <c r="BR39" s="434"/>
      <c r="BS39" s="434"/>
      <c r="BT39" s="434"/>
      <c r="BU39" s="434"/>
    </row>
    <row r="40" spans="2:73 1271:1271" s="416" customFormat="1" ht="12.95" customHeight="1" thickBot="1" x14ac:dyDescent="0.3">
      <c r="B40" s="433" t="str">
        <f>IF(ISNA(Z40),"",IF(OR(Z40=1,Z40=2),"    ",MAX($B$9:B39)+1))</f>
        <v/>
      </c>
      <c r="C40" s="1618" t="str">
        <f t="shared" si="0"/>
        <v/>
      </c>
      <c r="D40" s="1618"/>
      <c r="E40" s="1618"/>
      <c r="F40" s="1619"/>
      <c r="G40" s="432" t="str">
        <f t="shared" si="1"/>
        <v/>
      </c>
      <c r="H40" s="431" t="str">
        <f t="shared" si="2"/>
        <v/>
      </c>
      <c r="I40" s="430" t="str">
        <f t="shared" si="3"/>
        <v/>
      </c>
      <c r="J40" s="500"/>
      <c r="K40" s="499"/>
      <c r="L40" s="1615"/>
      <c r="M40" s="1616"/>
      <c r="N40" s="1616"/>
      <c r="O40" s="1616"/>
      <c r="P40" s="1616"/>
      <c r="Q40" s="1616"/>
      <c r="R40" s="1617"/>
      <c r="T40" s="401">
        <v>32</v>
      </c>
      <c r="U40" s="374" t="e">
        <v>#N/A</v>
      </c>
      <c r="V40" s="421" t="e">
        <v>#N/A</v>
      </c>
      <c r="W40" s="421" t="e">
        <v>#N/A</v>
      </c>
      <c r="X40" s="421" t="e">
        <v>#N/A</v>
      </c>
      <c r="Y40" s="421" t="e">
        <v>#N/A</v>
      </c>
      <c r="Z40" s="393" t="e">
        <v>#N/A</v>
      </c>
      <c r="AA40" s="393" t="e">
        <v>#N/A</v>
      </c>
      <c r="AB40" s="393" t="e">
        <v>#N/A</v>
      </c>
      <c r="AC40" s="421" t="e">
        <v>#N/A</v>
      </c>
      <c r="AD40" s="421" t="e">
        <v>#N/A</v>
      </c>
      <c r="AE40" s="421" t="e">
        <v>#N/A</v>
      </c>
      <c r="AF40" s="421" t="e">
        <v>#N/A</v>
      </c>
      <c r="AG40" s="421" t="e">
        <f t="shared" si="4"/>
        <v>#N/A</v>
      </c>
      <c r="AH40" s="421" t="str">
        <f t="shared" si="5"/>
        <v/>
      </c>
      <c r="AI40" s="427" t="e">
        <f>IF(NOT(OR(Z40=1,Z40=2)),IF(AQ40&gt;0,$AR$45*AQ40/SUMIF($AQ$9:$AQ$40,"&gt;0"),IF(AU40&gt;0,$AV$45*AU40/SUMIF($AU$9:$AU$40,"&gt;0"),IF(AS40&gt;0,$AT$45*AS40/SUMIF($AS$9:$AS$40,"&gt;0"),""))),IF(SUMIF(AJ$40:$AJ41,"=" &amp; AJ40,AI$40:$AI41)=0,"",SUMIF(AJ$40:$AJ41,"=" &amp; AJ40,AI$40:$AI41)))</f>
        <v>#N/A</v>
      </c>
      <c r="AJ40" s="426" t="e">
        <f t="shared" si="36"/>
        <v>#N/A</v>
      </c>
      <c r="AK40" s="421" t="str">
        <f t="shared" si="6"/>
        <v/>
      </c>
      <c r="AL40" s="393" t="str">
        <f t="shared" si="7"/>
        <v/>
      </c>
      <c r="AM40" s="393" t="str">
        <f t="shared" si="8"/>
        <v/>
      </c>
      <c r="AN40" s="393" t="str">
        <f t="shared" si="9"/>
        <v/>
      </c>
      <c r="AO40" s="393" t="e">
        <f t="shared" si="10"/>
        <v>#N/A</v>
      </c>
      <c r="AP40" s="421" t="str">
        <f t="shared" si="11"/>
        <v/>
      </c>
      <c r="AQ40" s="425">
        <f t="shared" si="12"/>
        <v>0</v>
      </c>
      <c r="AR40" s="423" t="str">
        <f t="shared" si="13"/>
        <v/>
      </c>
      <c r="AS40" s="424">
        <f t="shared" si="14"/>
        <v>0</v>
      </c>
      <c r="AT40" s="423" t="str">
        <f t="shared" si="15"/>
        <v/>
      </c>
      <c r="AU40" s="420">
        <f t="shared" si="16"/>
        <v>0</v>
      </c>
      <c r="AV40" s="422" t="str">
        <f t="shared" si="17"/>
        <v/>
      </c>
      <c r="AW40" s="420" t="b">
        <f t="shared" si="18"/>
        <v>0</v>
      </c>
      <c r="AX40" s="419" t="b">
        <f t="shared" si="19"/>
        <v>0</v>
      </c>
      <c r="AY40" s="420" t="b">
        <f t="shared" si="20"/>
        <v>0</v>
      </c>
      <c r="AZ40" s="419" t="b">
        <f t="shared" si="21"/>
        <v>0</v>
      </c>
      <c r="BA40" s="421" t="b">
        <f t="shared" si="22"/>
        <v>0</v>
      </c>
      <c r="BB40" s="421" t="b">
        <f t="shared" si="23"/>
        <v>0</v>
      </c>
      <c r="BC40" s="420" t="b">
        <f t="shared" si="24"/>
        <v>0</v>
      </c>
      <c r="BD40" s="393" t="b">
        <f t="shared" si="25"/>
        <v>0</v>
      </c>
      <c r="BE40" s="419" t="b">
        <f t="shared" si="26"/>
        <v>0</v>
      </c>
      <c r="BF40" s="418" t="b">
        <f t="shared" si="27"/>
        <v>0</v>
      </c>
      <c r="BG40" s="417" t="str">
        <f t="shared" si="28"/>
        <v>NA</v>
      </c>
      <c r="BH40" s="417" t="str">
        <f t="shared" si="29"/>
        <v/>
      </c>
      <c r="BI40" s="417" t="str">
        <f t="shared" si="30"/>
        <v/>
      </c>
      <c r="BJ40" s="417" t="str">
        <f t="shared" si="31"/>
        <v/>
      </c>
      <c r="BK40" s="417" t="str">
        <f t="shared" si="32"/>
        <v/>
      </c>
      <c r="BL40" s="417" t="str">
        <f t="shared" si="33"/>
        <v/>
      </c>
      <c r="BM40" s="417" t="str">
        <f t="shared" si="34"/>
        <v/>
      </c>
      <c r="BN40" s="417" t="str">
        <f t="shared" si="35"/>
        <v/>
      </c>
      <c r="BO40" s="1620"/>
      <c r="BP40" s="1621"/>
      <c r="BQ40" s="1621"/>
      <c r="BR40" s="1621"/>
      <c r="BS40" s="1621"/>
      <c r="BT40" s="1621"/>
      <c r="BU40" s="1622"/>
    </row>
    <row r="41" spans="2:73 1271:1271" s="406" customFormat="1" ht="8.25" customHeight="1" x14ac:dyDescent="0.25">
      <c r="B41" s="1639" t="s">
        <v>242</v>
      </c>
      <c r="C41" s="1640"/>
      <c r="D41" s="1641"/>
      <c r="E41" s="415" t="s">
        <v>243</v>
      </c>
      <c r="F41" s="1642" t="s">
        <v>244</v>
      </c>
      <c r="G41" s="1643"/>
      <c r="H41" s="1643" t="s">
        <v>245</v>
      </c>
      <c r="I41" s="1643"/>
      <c r="J41" s="1647" t="s">
        <v>246</v>
      </c>
      <c r="K41" s="1648"/>
      <c r="L41" s="414" t="s">
        <v>247</v>
      </c>
      <c r="M41" s="1631" t="s">
        <v>248</v>
      </c>
      <c r="N41" s="1631"/>
      <c r="O41" s="1632" t="str">
        <f>IF(U45,"DO REVIEW","DO REV N/A")</f>
        <v>DO REV N/A</v>
      </c>
      <c r="P41" s="1633"/>
      <c r="Q41" s="413" t="str">
        <f>IF(U46,"ED REVIEW","ED REV N/A")</f>
        <v>ED REVIEW</v>
      </c>
      <c r="R41" s="412"/>
      <c r="S41" s="411">
        <v>0</v>
      </c>
      <c r="AI41" s="410"/>
      <c r="AJ41" s="407"/>
      <c r="AK41" s="407"/>
      <c r="AL41" s="407"/>
      <c r="AM41" s="407"/>
      <c r="AN41" s="407"/>
      <c r="AO41" s="373"/>
      <c r="AP41" s="407"/>
      <c r="AQ41" s="409"/>
      <c r="AR41" s="407"/>
      <c r="AS41" s="409"/>
      <c r="AT41" s="407"/>
      <c r="AU41" s="409"/>
      <c r="AV41" s="408"/>
      <c r="AW41" s="407"/>
      <c r="AX41" s="407"/>
      <c r="AY41" s="407"/>
      <c r="AZ41" s="407"/>
      <c r="BA41" s="407"/>
      <c r="BB41" s="407"/>
      <c r="BC41" s="407"/>
      <c r="BD41" s="407"/>
      <c r="BE41" s="407"/>
      <c r="BF41" s="407"/>
      <c r="BG41" s="407"/>
      <c r="BH41" s="373"/>
      <c r="BI41" s="373"/>
      <c r="BJ41" s="373"/>
      <c r="BK41" s="373"/>
      <c r="BL41" s="373"/>
      <c r="BM41" s="373"/>
      <c r="BN41" s="373"/>
      <c r="BO41" s="1623"/>
      <c r="BP41" s="1624"/>
      <c r="BQ41" s="1624"/>
      <c r="BR41" s="1624"/>
      <c r="BS41" s="1624"/>
      <c r="BT41" s="1624"/>
      <c r="BU41" s="1625"/>
    </row>
    <row r="42" spans="2:73 1271:1271" ht="18.75" customHeight="1" thickBot="1" x14ac:dyDescent="0.3">
      <c r="B42" s="1634" t="str">
        <f>IF(ISERROR(AR47),"",TEXT(AR46,"0.0%"))</f>
        <v>0.0%</v>
      </c>
      <c r="C42" s="1635"/>
      <c r="D42" s="1636"/>
      <c r="E42" s="405" t="str">
        <f>IF(AU42=0,"N/A",CONCATENATE(TEXT(AV46,"0.0%")," of ",TEXT(AV45,"0.0%")))</f>
        <v>N/A</v>
      </c>
      <c r="F42" s="1637" t="str">
        <f>IF((graded_aca_events+graded_amn_events)&lt;1,"---",IF(AND(AW5,AX5),"INCOMPLETE",IF(AND(NOT(AW5),AX5),"ACA INC",IF(AND(AW5,NOT(AX5)),"AMN INC","COMPLETE"))))</f>
        <v>---</v>
      </c>
      <c r="G42" s="1637"/>
      <c r="H42" s="1637" t="str">
        <f>IF(AU5,IF(OR(AY5="UNK",NOT(AN7)),"---",IF(AY5,"UNSAT",IF(AVERAGEIFS(AT9:AT40,AS9:AS40,"&gt;0")&lt;0.9,"MARG","SAT"))),"N/A")</f>
        <v>N/A</v>
      </c>
      <c r="I42" s="1637"/>
      <c r="J42" s="1649" t="str">
        <f>IF(OR(AZ5="UNK",NOT(AM7)),"---",IF(OR(AZ5,AR46&lt;0.7),"FAIL","PASS"))</f>
        <v>---</v>
      </c>
      <c r="K42" s="1650"/>
      <c r="L42" s="404"/>
      <c r="M42" s="1651"/>
      <c r="N42" s="1651"/>
      <c r="O42" s="1644" t="s">
        <v>139</v>
      </c>
      <c r="P42" s="1644"/>
      <c r="Q42" s="1644" t="s">
        <v>139</v>
      </c>
      <c r="R42" s="1645"/>
      <c r="S42" s="403"/>
      <c r="T42" s="401" t="s">
        <v>249</v>
      </c>
      <c r="U42" s="393" t="s">
        <v>250</v>
      </c>
      <c r="V42" s="396"/>
      <c r="W42" s="396"/>
      <c r="X42" s="396"/>
      <c r="Y42" s="396"/>
      <c r="Z42" s="396"/>
      <c r="AA42" s="396"/>
      <c r="AB42" s="396"/>
      <c r="AC42" s="396"/>
      <c r="AD42" s="396"/>
      <c r="AE42" s="396"/>
      <c r="AF42" s="396"/>
      <c r="AG42" s="396"/>
      <c r="AH42" s="396"/>
      <c r="AI42" s="402"/>
      <c r="AJ42" s="378"/>
      <c r="AK42" s="396"/>
      <c r="AL42" s="396"/>
      <c r="AM42" s="396">
        <f>SUM(AM9:AM40)</f>
        <v>0</v>
      </c>
      <c r="AN42" s="396">
        <f>SUM(AN9:AN40)</f>
        <v>0</v>
      </c>
      <c r="AO42" s="401"/>
      <c r="AP42" s="378"/>
      <c r="AQ42" s="400">
        <f>SUMIF(AQ9:AQ40,"&gt;0")</f>
        <v>33.333332260000006</v>
      </c>
      <c r="AR42" s="395">
        <f>IF(AQ42=0,0,SUMPRODUCT($AQ$9:$AQ$40,AR9:AR40)/SUM($AQ$9:$AQ$40))</f>
        <v>0</v>
      </c>
      <c r="AS42" s="399">
        <f>SUMIF(AS9:AS40,"&gt;0")</f>
        <v>0</v>
      </c>
      <c r="AT42" s="395">
        <f>IF(AS42=0,0,SUMPRODUCT($AS$9:$AS$40,AT9:AT40)/SUM($AS$9:$AS$40))</f>
        <v>0</v>
      </c>
      <c r="AU42" s="399">
        <f>SUM(AU10:AU40)</f>
        <v>0</v>
      </c>
      <c r="AV42" s="395">
        <f>IF(AU42=0,0,SUMPRODUCT($AU$9:$AU$40,AV9:AV40)/SUM($AU$9:$AU$40))</f>
        <v>0</v>
      </c>
      <c r="AW42" s="398"/>
      <c r="AX42" s="398"/>
      <c r="AY42" s="398"/>
      <c r="AZ42" s="398"/>
      <c r="BA42" s="398"/>
      <c r="BB42" s="398"/>
      <c r="BC42" s="374" t="s">
        <v>251</v>
      </c>
      <c r="BD42" s="374" t="s">
        <v>252</v>
      </c>
      <c r="BE42" s="374" t="s">
        <v>253</v>
      </c>
      <c r="BF42" s="374"/>
      <c r="BG42" s="373"/>
      <c r="BO42" s="1623"/>
      <c r="BP42" s="1624"/>
      <c r="BQ42" s="1624"/>
      <c r="BR42" s="1624"/>
      <c r="BS42" s="1624"/>
      <c r="BT42" s="1624"/>
      <c r="BU42" s="1625"/>
      <c r="AVW42" s="397"/>
    </row>
    <row r="43" spans="2:73 1271:1271" ht="7.5" customHeight="1" thickTop="1" x14ac:dyDescent="0.25">
      <c r="L43" s="1646" t="s">
        <v>630</v>
      </c>
      <c r="M43" s="1646"/>
      <c r="N43" s="1646"/>
      <c r="O43" s="1646"/>
      <c r="P43" s="1646"/>
      <c r="Q43" s="1646"/>
      <c r="R43" s="1646"/>
      <c r="AP43" s="396"/>
      <c r="AQ43" s="378"/>
      <c r="AR43" s="378"/>
      <c r="AT43" s="395"/>
      <c r="AU43" s="395"/>
      <c r="AV43" s="395"/>
      <c r="AW43" s="378"/>
      <c r="AX43" s="395"/>
      <c r="BE43" s="374"/>
      <c r="BF43" s="374"/>
      <c r="BO43" s="1626"/>
      <c r="BP43" s="1627"/>
      <c r="BQ43" s="1627"/>
      <c r="BR43" s="1627"/>
      <c r="BS43" s="1627"/>
      <c r="BT43" s="1627"/>
      <c r="BU43" s="1628"/>
    </row>
    <row r="44" spans="2:73 1271:1271" ht="30.75" customHeight="1" x14ac:dyDescent="0.25">
      <c r="T44" s="394" t="s">
        <v>254</v>
      </c>
      <c r="U44" s="393" t="b">
        <v>0</v>
      </c>
      <c r="AI44" s="375">
        <f ca="1">SUMIF(AJ9:$AJ$40,"=" &amp; AJ9,AI10:$AI$40)</f>
        <v>0.69999999153999959</v>
      </c>
      <c r="AK44" s="373"/>
      <c r="AL44" s="373"/>
      <c r="AM44" s="373"/>
      <c r="AN44" s="373"/>
      <c r="AO44" s="392"/>
      <c r="AQ44" s="373"/>
      <c r="AR44" s="373"/>
      <c r="AS44" s="385" t="s">
        <v>255</v>
      </c>
      <c r="AT44" s="387">
        <f>SUMIF(X9:X40,"&gt;0")/SUMIF(W9:W40,"&gt;0")</f>
        <v>0</v>
      </c>
      <c r="AU44" s="385" t="s">
        <v>256</v>
      </c>
      <c r="AV44" s="391">
        <f>SUMIF(AU9:AU40,"&gt;0")/SUMIF(AQ9:AQ40,"&gt;0")</f>
        <v>0</v>
      </c>
      <c r="AW44" s="390"/>
      <c r="AY44" s="373"/>
      <c r="AZ44" s="373"/>
      <c r="BE44" s="374" t="b">
        <f>AND(ISBLANK($K31),J31&gt;0)</f>
        <v>0</v>
      </c>
      <c r="BF44" s="374"/>
      <c r="BH44" s="374"/>
      <c r="BO44" s="373"/>
      <c r="BP44" s="373"/>
      <c r="BQ44" s="372"/>
    </row>
    <row r="45" spans="2:73 1271:1271" ht="30.75" customHeight="1" x14ac:dyDescent="0.25">
      <c r="J45" s="389"/>
      <c r="T45" s="381" t="s">
        <v>257</v>
      </c>
      <c r="U45" s="374" t="b">
        <f>IF(AND(Flight?,OR(AW5,AY5,BA5,AZ5,AR46&lt;0.7,H42="MARG")),TRUE,FALSE)</f>
        <v>0</v>
      </c>
      <c r="AK45" s="373"/>
      <c r="AL45" s="373"/>
      <c r="AM45" s="373"/>
      <c r="AN45" s="373"/>
      <c r="AO45" s="380"/>
      <c r="AP45" s="373"/>
      <c r="AQ45" s="385" t="s">
        <v>258</v>
      </c>
      <c r="AR45" s="388">
        <f>1-AT45</f>
        <v>1</v>
      </c>
      <c r="AS45" s="385" t="s">
        <v>259</v>
      </c>
      <c r="AT45" s="387">
        <f>MIN(AT44,AT7)</f>
        <v>0</v>
      </c>
      <c r="AU45" s="385" t="s">
        <v>260</v>
      </c>
      <c r="AV45" s="382">
        <f>MIN(AV44,AV7)</f>
        <v>0</v>
      </c>
      <c r="AZ45" s="373"/>
      <c r="BE45" s="374"/>
      <c r="BF45" s="374"/>
      <c r="BH45" s="374"/>
      <c r="BO45" s="373"/>
      <c r="BP45" s="373"/>
      <c r="BQ45" s="372"/>
    </row>
    <row r="46" spans="2:73 1271:1271" ht="26.25" x14ac:dyDescent="0.25">
      <c r="T46" s="381" t="s">
        <v>261</v>
      </c>
      <c r="U46" s="374" t="b">
        <f>IF(OR(AX5,AY5,AZ5,BB5,AR46&lt;0.7),TRUE,FALSE)</f>
        <v>1</v>
      </c>
      <c r="AK46" s="373"/>
      <c r="AL46" s="373"/>
      <c r="AM46" s="373"/>
      <c r="AN46" s="373"/>
      <c r="AO46" s="384"/>
      <c r="AP46" s="373"/>
      <c r="AQ46" s="385" t="s">
        <v>262</v>
      </c>
      <c r="AR46" s="375">
        <f>AR42*(1-AT45)+(AT42*AT45)</f>
        <v>0</v>
      </c>
      <c r="AU46" s="373" t="s">
        <v>196</v>
      </c>
      <c r="AV46" s="382">
        <f>AV42*AV45</f>
        <v>0</v>
      </c>
      <c r="AY46" s="373"/>
      <c r="AZ46" s="373"/>
      <c r="BE46" s="374"/>
      <c r="BF46" s="374"/>
      <c r="BH46" s="374"/>
      <c r="BO46" s="373"/>
      <c r="BP46" s="373"/>
      <c r="BQ46" s="372"/>
    </row>
    <row r="47" spans="2:73 1271:1271" ht="26.25" x14ac:dyDescent="0.25">
      <c r="T47" s="381" t="s">
        <v>263</v>
      </c>
      <c r="U47" s="374" t="b">
        <v>0</v>
      </c>
      <c r="AK47" s="373"/>
      <c r="AL47" s="373"/>
      <c r="AM47" s="373"/>
      <c r="AN47" s="373"/>
      <c r="AO47" s="384"/>
      <c r="AP47" s="373"/>
      <c r="AQ47" s="385" t="s">
        <v>264</v>
      </c>
      <c r="AR47" s="382">
        <f>MIN(1,IF(NOT(OR(AY5,AZ5)),AR46+AV46,MIN(0.69,AR46+AV46)))</f>
        <v>0</v>
      </c>
      <c r="AY47" s="373"/>
      <c r="BE47" s="374"/>
      <c r="BF47" s="374"/>
      <c r="BI47" s="374"/>
      <c r="BO47" s="373"/>
      <c r="BP47" s="373"/>
      <c r="BQ47" s="372"/>
    </row>
    <row r="48" spans="2:73 1271:1271" x14ac:dyDescent="0.25">
      <c r="T48" s="381" t="s">
        <v>265</v>
      </c>
      <c r="U48" s="374" t="b">
        <f>IF(NOT(Flight?),TRUE,NOT(OR(ISBLANK(comments),ISBLANK(hdr_class),ISBLANK(hdr_date),ISBLANK(hdr_stud),ISBLANK(hdr_instr),ISBLANK(hdr_acft),ISBLANK(hdr_time),F42="---")))</f>
        <v>1</v>
      </c>
      <c r="AK48" s="373"/>
      <c r="AL48" s="373"/>
      <c r="AM48" s="373"/>
      <c r="AN48" s="373"/>
      <c r="AO48" s="384"/>
      <c r="AP48" s="373"/>
      <c r="AQ48" s="373"/>
      <c r="AR48" s="383"/>
      <c r="AS48" s="382"/>
      <c r="AU48" s="373"/>
      <c r="AV48" s="373"/>
      <c r="AW48" s="373"/>
    </row>
    <row r="49" spans="20:56" x14ac:dyDescent="0.25">
      <c r="T49" s="381" t="s">
        <v>266</v>
      </c>
      <c r="U49" s="374" t="b">
        <f>IF(Flight?,TRUE,NOT(OR(ISBLANK(comments),ISBLANK(hdr_class),ISBLANK(hdr_date),ISBLANK(hdr_stud),ISBLANK(hdr_instr),F42="---")))</f>
        <v>0</v>
      </c>
      <c r="AK49" s="373"/>
      <c r="AL49" s="373"/>
      <c r="AM49" s="373"/>
      <c r="AN49" s="373"/>
      <c r="AO49" s="380"/>
      <c r="AP49" s="378" t="s">
        <v>267</v>
      </c>
      <c r="AQ49" s="378"/>
      <c r="AR49" s="378"/>
      <c r="AS49" s="378"/>
      <c r="AT49" s="378"/>
      <c r="AU49" s="373"/>
      <c r="AV49" s="373"/>
      <c r="AW49" s="373"/>
    </row>
    <row r="50" spans="20:56" x14ac:dyDescent="0.25">
      <c r="T50" s="381" t="s">
        <v>268</v>
      </c>
      <c r="U50" s="374" t="b">
        <f>AND(U48:U49)</f>
        <v>0</v>
      </c>
      <c r="AK50" s="373"/>
      <c r="AL50" s="373"/>
      <c r="AM50" s="373"/>
      <c r="AN50" s="373"/>
      <c r="AO50" s="380"/>
      <c r="AP50" s="378"/>
      <c r="AQ50" s="378"/>
      <c r="AR50" s="378">
        <v>0</v>
      </c>
      <c r="AS50" s="378">
        <v>1</v>
      </c>
      <c r="AT50" s="378">
        <v>2</v>
      </c>
      <c r="AU50" s="378">
        <v>3</v>
      </c>
      <c r="AV50" s="378">
        <v>4</v>
      </c>
      <c r="AW50" s="373"/>
    </row>
    <row r="51" spans="20:56" x14ac:dyDescent="0.25">
      <c r="AK51" s="373"/>
      <c r="AL51" s="373"/>
      <c r="AM51" s="373"/>
      <c r="AN51" s="373"/>
      <c r="AO51" s="380"/>
      <c r="AP51" s="378" t="s">
        <v>227</v>
      </c>
      <c r="AQ51" s="378">
        <v>1</v>
      </c>
      <c r="AR51" s="377">
        <v>0.7</v>
      </c>
      <c r="AS51" s="377">
        <v>0.9</v>
      </c>
      <c r="AT51" s="377">
        <v>0.93330000000000002</v>
      </c>
      <c r="AU51" s="377">
        <v>0.9667</v>
      </c>
      <c r="AV51" s="377">
        <v>1</v>
      </c>
      <c r="AW51" s="373"/>
    </row>
    <row r="52" spans="20:56" x14ac:dyDescent="0.25">
      <c r="AK52" s="373"/>
      <c r="AL52" s="373"/>
      <c r="AM52" s="373"/>
      <c r="AN52" s="373"/>
      <c r="AO52" s="380"/>
      <c r="AP52" s="378" t="s">
        <v>228</v>
      </c>
      <c r="AQ52" s="378">
        <v>2</v>
      </c>
      <c r="AR52" s="377">
        <v>0.7</v>
      </c>
      <c r="AS52" s="377">
        <v>0.8</v>
      </c>
      <c r="AT52" s="377">
        <v>0.9</v>
      </c>
      <c r="AU52" s="377">
        <v>0.95</v>
      </c>
      <c r="AV52" s="377">
        <v>1</v>
      </c>
      <c r="AW52" s="373"/>
    </row>
    <row r="53" spans="20:56" x14ac:dyDescent="0.25">
      <c r="AK53" s="373"/>
      <c r="AL53" s="373"/>
      <c r="AM53" s="373"/>
      <c r="AN53" s="373"/>
      <c r="AO53" s="380"/>
      <c r="AP53" s="378" t="s">
        <v>229</v>
      </c>
      <c r="AQ53" s="378">
        <v>3</v>
      </c>
      <c r="AR53" s="377">
        <v>0.7</v>
      </c>
      <c r="AS53" s="377">
        <v>0.76670000000000005</v>
      </c>
      <c r="AT53" s="377">
        <v>0.83330000000000004</v>
      </c>
      <c r="AU53" s="377">
        <v>0.9</v>
      </c>
      <c r="AV53" s="377">
        <v>1</v>
      </c>
      <c r="AW53" s="373"/>
    </row>
    <row r="54" spans="20:56" x14ac:dyDescent="0.25">
      <c r="AP54" s="379" t="s">
        <v>230</v>
      </c>
      <c r="AQ54" s="378">
        <v>11</v>
      </c>
      <c r="AR54" s="377">
        <v>0.6</v>
      </c>
      <c r="AS54" s="377">
        <v>0.9</v>
      </c>
      <c r="AT54" s="377">
        <v>0.93330000000000002</v>
      </c>
      <c r="AU54" s="377">
        <v>0.9667</v>
      </c>
      <c r="AV54" s="377">
        <v>1</v>
      </c>
      <c r="AW54" s="373"/>
    </row>
    <row r="55" spans="20:56" x14ac:dyDescent="0.25">
      <c r="AP55" s="379" t="s">
        <v>231</v>
      </c>
      <c r="AQ55" s="378">
        <v>12</v>
      </c>
      <c r="AR55" s="377">
        <v>0.6</v>
      </c>
      <c r="AS55" s="377">
        <v>0.7</v>
      </c>
      <c r="AT55" s="377">
        <v>0.9</v>
      </c>
      <c r="AU55" s="377">
        <v>0.95</v>
      </c>
      <c r="AV55" s="377">
        <v>1</v>
      </c>
      <c r="AW55" s="373"/>
    </row>
    <row r="56" spans="20:56" x14ac:dyDescent="0.25">
      <c r="AP56" s="379" t="s">
        <v>232</v>
      </c>
      <c r="AQ56" s="378">
        <v>13</v>
      </c>
      <c r="AR56" s="377">
        <v>0.6</v>
      </c>
      <c r="AS56" s="377">
        <v>0.7</v>
      </c>
      <c r="AT56" s="377">
        <v>0.8</v>
      </c>
      <c r="AU56" s="377">
        <v>0.9</v>
      </c>
      <c r="AV56" s="377">
        <v>1</v>
      </c>
      <c r="AW56" s="373"/>
    </row>
    <row r="57" spans="20:56" x14ac:dyDescent="0.25">
      <c r="AP57" s="379" t="s">
        <v>233</v>
      </c>
      <c r="AQ57" s="378">
        <v>22</v>
      </c>
      <c r="AR57" s="377">
        <v>0.3</v>
      </c>
      <c r="AS57" s="377">
        <v>0.6</v>
      </c>
      <c r="AT57" s="377">
        <v>0.9</v>
      </c>
      <c r="AU57" s="377">
        <v>0.95</v>
      </c>
      <c r="AV57" s="377">
        <v>1</v>
      </c>
      <c r="AW57" s="373"/>
    </row>
    <row r="58" spans="20:56" x14ac:dyDescent="0.25">
      <c r="AP58" s="379" t="s">
        <v>234</v>
      </c>
      <c r="AQ58" s="378">
        <v>23</v>
      </c>
      <c r="AR58" s="377">
        <v>0.3</v>
      </c>
      <c r="AS58" s="377">
        <v>0.6</v>
      </c>
      <c r="AT58" s="377">
        <v>0.7</v>
      </c>
      <c r="AU58" s="377">
        <v>0.9</v>
      </c>
      <c r="AV58" s="377">
        <v>1</v>
      </c>
      <c r="AW58" s="373"/>
    </row>
    <row r="59" spans="20:56" x14ac:dyDescent="0.25">
      <c r="AP59" s="379" t="s">
        <v>235</v>
      </c>
      <c r="AQ59" s="378">
        <v>33</v>
      </c>
      <c r="AR59" s="377">
        <v>0</v>
      </c>
      <c r="AS59" s="377">
        <v>0.3</v>
      </c>
      <c r="AT59" s="377">
        <v>0.6</v>
      </c>
      <c r="AU59" s="377">
        <v>0.9</v>
      </c>
      <c r="AV59" s="377">
        <v>1</v>
      </c>
      <c r="AW59" s="83"/>
      <c r="AX59" s="84"/>
      <c r="BC59" s="84"/>
      <c r="BD59" s="84"/>
    </row>
    <row r="60" spans="20:56" x14ac:dyDescent="0.25">
      <c r="AP60" s="373"/>
      <c r="AQ60" s="373"/>
      <c r="AR60" s="373"/>
      <c r="AS60" s="373"/>
      <c r="AT60" s="373"/>
      <c r="AU60" s="373"/>
      <c r="AV60" s="373"/>
      <c r="AW60" s="84"/>
      <c r="AX60" s="84"/>
      <c r="BC60" s="84"/>
      <c r="BD60" s="84"/>
    </row>
    <row r="61" spans="20:56" x14ac:dyDescent="0.25">
      <c r="AP61" s="84"/>
      <c r="AQ61" s="83"/>
      <c r="AR61" s="84"/>
      <c r="AS61" s="84"/>
      <c r="AT61" s="84"/>
      <c r="AU61" s="84"/>
      <c r="AV61" s="84"/>
      <c r="AW61" s="83"/>
      <c r="AX61" s="83"/>
      <c r="BC61" s="84"/>
      <c r="BD61" s="84"/>
    </row>
    <row r="62" spans="20:56" x14ac:dyDescent="0.25">
      <c r="AP62" s="101"/>
      <c r="AQ62" s="83"/>
      <c r="AR62" s="84"/>
      <c r="AS62" s="84"/>
      <c r="AT62" s="84"/>
      <c r="AU62" s="84"/>
      <c r="AV62" s="84"/>
      <c r="AW62" s="83"/>
      <c r="AX62" s="83"/>
      <c r="BC62" s="84"/>
      <c r="BD62" s="84"/>
    </row>
    <row r="63" spans="20:56" x14ac:dyDescent="0.25">
      <c r="AP63" s="83"/>
      <c r="AQ63" s="83"/>
      <c r="AR63" s="84"/>
      <c r="AS63" s="84"/>
      <c r="AT63" s="84"/>
      <c r="AU63" s="84"/>
      <c r="AV63" s="84"/>
      <c r="AW63" s="83"/>
      <c r="AX63" s="83"/>
      <c r="BC63" s="84"/>
      <c r="BD63" s="84"/>
    </row>
    <row r="64" spans="20:56" x14ac:dyDescent="0.25">
      <c r="AP64" s="83"/>
      <c r="AQ64" s="83"/>
      <c r="AR64" s="84"/>
      <c r="AS64" s="84"/>
      <c r="AT64" s="84"/>
      <c r="AU64" s="84"/>
      <c r="AV64" s="84"/>
      <c r="AW64" s="83"/>
      <c r="AX64" s="84"/>
      <c r="BC64" s="84"/>
      <c r="BD64" s="84"/>
    </row>
    <row r="65" spans="42:56" x14ac:dyDescent="0.25">
      <c r="AP65" s="83"/>
      <c r="AQ65" s="83"/>
      <c r="AR65" s="84"/>
      <c r="AS65" s="84"/>
      <c r="AT65" s="84"/>
      <c r="AU65" s="84"/>
      <c r="AV65" s="84"/>
      <c r="AW65" s="83"/>
      <c r="AX65" s="84"/>
      <c r="BC65" s="84"/>
      <c r="BD65" s="84"/>
    </row>
    <row r="66" spans="42:56" x14ac:dyDescent="0.25">
      <c r="AP66" s="83"/>
      <c r="AQ66" s="83"/>
      <c r="AR66" s="84"/>
      <c r="AS66" s="84"/>
      <c r="AT66" s="84"/>
      <c r="AU66" s="84"/>
      <c r="AV66" s="84"/>
    </row>
    <row r="67" spans="42:56" x14ac:dyDescent="0.25">
      <c r="AP67" s="83"/>
      <c r="AQ67" s="83"/>
      <c r="AR67" s="84"/>
      <c r="AS67" s="84"/>
      <c r="AT67" s="84"/>
      <c r="AU67" s="84"/>
      <c r="AV67" s="84"/>
    </row>
  </sheetData>
  <mergeCells count="76">
    <mergeCell ref="BP4:BU5"/>
    <mergeCell ref="C39:F39"/>
    <mergeCell ref="C40:F40"/>
    <mergeCell ref="BO40:BU43"/>
    <mergeCell ref="B41:D41"/>
    <mergeCell ref="F41:G41"/>
    <mergeCell ref="H41:I41"/>
    <mergeCell ref="Q42:R42"/>
    <mergeCell ref="L43:R43"/>
    <mergeCell ref="J41:K41"/>
    <mergeCell ref="J42:K42"/>
    <mergeCell ref="M42:N42"/>
    <mergeCell ref="C35:F35"/>
    <mergeCell ref="C21:F21"/>
    <mergeCell ref="C22:F22"/>
    <mergeCell ref="O42:P42"/>
    <mergeCell ref="M41:N41"/>
    <mergeCell ref="O41:P41"/>
    <mergeCell ref="B42:D42"/>
    <mergeCell ref="F42:G42"/>
    <mergeCell ref="H42:I42"/>
    <mergeCell ref="BO35:BU38"/>
    <mergeCell ref="C36:F36"/>
    <mergeCell ref="C37:F37"/>
    <mergeCell ref="C38:F38"/>
    <mergeCell ref="BQ20:BU20"/>
    <mergeCell ref="C31:F31"/>
    <mergeCell ref="C32:F32"/>
    <mergeCell ref="C33:F33"/>
    <mergeCell ref="C34:F34"/>
    <mergeCell ref="BO22:BO30"/>
    <mergeCell ref="C23:F23"/>
    <mergeCell ref="C24:F24"/>
    <mergeCell ref="C25:F25"/>
    <mergeCell ref="C26:F26"/>
    <mergeCell ref="C27:F27"/>
    <mergeCell ref="C28:F28"/>
    <mergeCell ref="C9:F9"/>
    <mergeCell ref="L9:R40"/>
    <mergeCell ref="C10:F10"/>
    <mergeCell ref="C11:F11"/>
    <mergeCell ref="C12:F12"/>
    <mergeCell ref="C13:F13"/>
    <mergeCell ref="C14:F14"/>
    <mergeCell ref="C15:F15"/>
    <mergeCell ref="C30:F30"/>
    <mergeCell ref="C17:F17"/>
    <mergeCell ref="C18:F18"/>
    <mergeCell ref="C19:F19"/>
    <mergeCell ref="C20:F20"/>
    <mergeCell ref="C16:F16"/>
    <mergeCell ref="C29:F29"/>
    <mergeCell ref="B4:G4"/>
    <mergeCell ref="B5:G5"/>
    <mergeCell ref="B8:F8"/>
    <mergeCell ref="O7:P7"/>
    <mergeCell ref="Q7:R7"/>
    <mergeCell ref="H4:N4"/>
    <mergeCell ref="O4:P4"/>
    <mergeCell ref="Q4:R4"/>
    <mergeCell ref="O6:P6"/>
    <mergeCell ref="Q6:R6"/>
    <mergeCell ref="H5:N5"/>
    <mergeCell ref="O5:P5"/>
    <mergeCell ref="Q5:R5"/>
    <mergeCell ref="L8:R8"/>
    <mergeCell ref="BH5:BK7"/>
    <mergeCell ref="BL5:BN7"/>
    <mergeCell ref="B6:E6"/>
    <mergeCell ref="F6:G6"/>
    <mergeCell ref="H6:L6"/>
    <mergeCell ref="M6:N6"/>
    <mergeCell ref="B7:E7"/>
    <mergeCell ref="F7:G7"/>
    <mergeCell ref="H7:L7"/>
    <mergeCell ref="M7:N7"/>
  </mergeCells>
  <conditionalFormatting sqref="B9:F40">
    <cfRule type="expression" dxfId="28" priority="9" stopIfTrue="1">
      <formula>IF($Z9=1,TRUE,FALSE)</formula>
    </cfRule>
    <cfRule type="expression" dxfId="27" priority="10">
      <formula>IF($Z9=2,TRUE,FALSE)</formula>
    </cfRule>
  </conditionalFormatting>
  <conditionalFormatting sqref="C9:F40">
    <cfRule type="expression" dxfId="26" priority="2" stopIfTrue="1">
      <formula>IF($AF9=FALSE,TRUE,FALSE)</formula>
    </cfRule>
  </conditionalFormatting>
  <conditionalFormatting sqref="F6:G7 M6:P7">
    <cfRule type="expression" dxfId="25" priority="5" stopIfTrue="1">
      <formula>NOT($AU$5)</formula>
    </cfRule>
  </conditionalFormatting>
  <conditionalFormatting sqref="F7:G7">
    <cfRule type="cellIs" dxfId="24" priority="4" operator="equal">
      <formula>""</formula>
    </cfRule>
  </conditionalFormatting>
  <conditionalFormatting sqref="G9:K40">
    <cfRule type="expression" dxfId="23" priority="7" stopIfTrue="1">
      <formula>IF($Z9=1,TRUE,FALSE)</formula>
    </cfRule>
    <cfRule type="expression" dxfId="22" priority="8" stopIfTrue="1">
      <formula>IF($Z9=2,TRUE,FALSE)</formula>
    </cfRule>
  </conditionalFormatting>
  <conditionalFormatting sqref="H9:H40">
    <cfRule type="expression" dxfId="21" priority="11" stopIfTrue="1">
      <formula>IF($AB9=0,TRUE,FALSE)</formula>
    </cfRule>
  </conditionalFormatting>
  <conditionalFormatting sqref="H41:I42">
    <cfRule type="expression" dxfId="20" priority="3" stopIfTrue="1">
      <formula>IF($H$42="N/A",TRUE,FALSE)</formula>
    </cfRule>
  </conditionalFormatting>
  <conditionalFormatting sqref="H7:P7 O5:R5 B7 L9">
    <cfRule type="containsBlanks" dxfId="19" priority="6">
      <formula>LEN(TRIM(B5))=0</formula>
    </cfRule>
  </conditionalFormatting>
  <conditionalFormatting sqref="J9:J40">
    <cfRule type="expression" dxfId="18" priority="15">
      <formula>IF($Z9=1,FALSE,OR($BE9,$BD9))</formula>
    </cfRule>
  </conditionalFormatting>
  <conditionalFormatting sqref="J9:K40 C9:F40">
    <cfRule type="expression" dxfId="17" priority="14">
      <formula>IF($Z9=1,FALSE,OR($AW9,$AX9,$AY9,$AZ9))</formula>
    </cfRule>
  </conditionalFormatting>
  <conditionalFormatting sqref="J9:K40">
    <cfRule type="expression" dxfId="16" priority="12" stopIfTrue="1">
      <formula>IF(ISNA($Z9),TRUE,FALSE)</formula>
    </cfRule>
  </conditionalFormatting>
  <conditionalFormatting sqref="K9:K40">
    <cfRule type="expression" dxfId="15" priority="13">
      <formula>IF(OR($Z9=1,$Z9=2),FALSE,OR($BC9,$BE9,$BF9))</formula>
    </cfRule>
  </conditionalFormatting>
  <conditionalFormatting sqref="L42">
    <cfRule type="expression" dxfId="14" priority="1">
      <formula>NOT($U$50)</formula>
    </cfRule>
  </conditionalFormatting>
  <dataValidations count="6">
    <dataValidation type="list" allowBlank="1" showInputMessage="1" showErrorMessage="1" sqref="F7:G7" xr:uid="{C81E008F-3350-4973-8A21-86C50378954C}">
      <formula1>"No,Yes"</formula1>
    </dataValidation>
    <dataValidation type="list" allowBlank="1" showInputMessage="1" showErrorMessage="1" sqref="J9:J40" xr:uid="{771AF5F4-56DA-4F2D-B129-215DD2201C26}">
      <formula1>"NA,0,1,2,3,4,5,6,7,8,9,10,11,12,13,14,15"</formula1>
    </dataValidation>
    <dataValidation type="list" allowBlank="1" showInputMessage="1" showErrorMessage="1" sqref="K9:K40" xr:uid="{E45AB24F-B99F-4A57-972B-F597434C1DAC}">
      <formula1>"D,0,1,2,3,4"</formula1>
    </dataValidation>
    <dataValidation showInputMessage="1" showErrorMessage="1" sqref="O42:R42" xr:uid="{697717DF-67E0-4D52-8EF2-19C2AB903ED5}"/>
    <dataValidation type="decimal" allowBlank="1" showInputMessage="1" showErrorMessage="1" sqref="O7:P7" xr:uid="{5B4F9172-40FE-42B9-A2F6-3FE6E5FEA7CD}">
      <formula1>0</formula1>
      <formula2>10</formula2>
    </dataValidation>
    <dataValidation type="date" allowBlank="1" showInputMessage="1" showErrorMessage="1" sqref="Q5:R5" xr:uid="{1A020227-C504-45DF-B355-5E81CEC6EF50}">
      <formula1>41151</formula1>
      <formula2>77433</formula2>
    </dataValidation>
  </dataValidations>
  <hyperlinks>
    <hyperlink ref="BP4" location="PF!A1" display="PF phase Summary Page" xr:uid="{2A81CC30-6127-4B81-8958-637121043C3A}"/>
    <hyperlink ref="BP4:BU5" location="TF!A1" display="TF Summary Page" xr:uid="{16C99AF1-80DF-420E-A7C3-74EBE7E7F4E0}"/>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968FF-E03D-40DD-8D18-D118242EF8B7}">
  <sheetPr codeName="Sheet40">
    <tabColor rgb="FFFFFF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103" customWidth="1"/>
    <col min="2" max="2" width="3.5703125" style="103" customWidth="1"/>
    <col min="3" max="3" width="5.5703125" style="103" customWidth="1"/>
    <col min="4" max="4" width="9.140625" style="103" customWidth="1"/>
    <col min="5" max="5" width="14" style="103" customWidth="1"/>
    <col min="6" max="6" width="7.85546875" style="103" customWidth="1"/>
    <col min="7" max="11" width="5.140625" style="103" customWidth="1"/>
    <col min="12" max="12" width="21.5703125" style="103" customWidth="1"/>
    <col min="13" max="13" width="6.5703125" style="103" customWidth="1"/>
    <col min="14" max="14" width="12.5703125" style="103" customWidth="1"/>
    <col min="15" max="15" width="7.85546875" style="103" customWidth="1"/>
    <col min="16" max="16" width="2.7109375" style="103" customWidth="1"/>
    <col min="17" max="17" width="4.85546875" style="103" customWidth="1"/>
    <col min="18" max="18" width="7.28515625" style="103" customWidth="1"/>
    <col min="19" max="19" width="1.7109375" style="103" customWidth="1"/>
    <col min="20" max="20" width="19.140625" style="110" hidden="1" customWidth="1"/>
    <col min="21" max="21" width="31.140625" style="110" hidden="1" customWidth="1"/>
    <col min="22" max="22" width="5.140625" style="110" hidden="1" customWidth="1"/>
    <col min="23" max="24" width="6.28515625" style="110" hidden="1" customWidth="1"/>
    <col min="25" max="25" width="8.42578125" style="110" hidden="1" customWidth="1"/>
    <col min="26" max="26" width="7.85546875" style="110" hidden="1" customWidth="1"/>
    <col min="27" max="27" width="10.7109375" style="110" hidden="1" customWidth="1"/>
    <col min="28" max="28" width="8" style="110" hidden="1" customWidth="1"/>
    <col min="29" max="31" width="5.140625" style="110" hidden="1" customWidth="1"/>
    <col min="32" max="34" width="5.85546875" style="110" hidden="1" customWidth="1"/>
    <col min="35" max="35" width="8.5703125" style="111" hidden="1" customWidth="1"/>
    <col min="36" max="36" width="7" style="110" hidden="1" customWidth="1"/>
    <col min="37" max="38" width="5.28515625" style="110" hidden="1" customWidth="1"/>
    <col min="39" max="40" width="7" style="110" hidden="1" customWidth="1"/>
    <col min="41" max="41" width="5.140625" style="110" hidden="1" customWidth="1"/>
    <col min="42" max="42" width="11.28515625" style="110" hidden="1" customWidth="1"/>
    <col min="43" max="43" width="6.42578125" style="110" hidden="1" customWidth="1"/>
    <col min="44" max="44" width="8.28515625" style="110" hidden="1" customWidth="1"/>
    <col min="45" max="45" width="8.85546875" style="110" hidden="1" customWidth="1"/>
    <col min="46" max="46" width="10.7109375" style="110" hidden="1" customWidth="1"/>
    <col min="47" max="47" width="8.85546875" style="110" hidden="1" customWidth="1"/>
    <col min="48" max="48" width="6.28515625" style="110" hidden="1" customWidth="1"/>
    <col min="49" max="49" width="10" style="110" hidden="1" customWidth="1"/>
    <col min="50" max="50" width="7.5703125" style="110" hidden="1" customWidth="1"/>
    <col min="51" max="51" width="7" style="110" hidden="1" customWidth="1"/>
    <col min="52" max="52" width="8.140625" style="110" hidden="1" customWidth="1"/>
    <col min="53" max="53" width="12.5703125" style="110" hidden="1" customWidth="1"/>
    <col min="54" max="54" width="7.7109375" style="110" hidden="1" customWidth="1"/>
    <col min="55" max="55" width="12.7109375" style="110" hidden="1" customWidth="1"/>
    <col min="56" max="56" width="7" style="110" hidden="1" customWidth="1"/>
    <col min="57" max="57" width="15.5703125" style="110" hidden="1" customWidth="1"/>
    <col min="58" max="58" width="9.140625" style="110" hidden="1" customWidth="1"/>
    <col min="59" max="59" width="10" style="110" hidden="1" customWidth="1"/>
    <col min="60" max="60" width="5.28515625" style="110" hidden="1" customWidth="1"/>
    <col min="61" max="61" width="4" style="110" hidden="1" customWidth="1"/>
    <col min="62" max="62" width="4.7109375" style="110" hidden="1" customWidth="1"/>
    <col min="63" max="63" width="5.5703125" style="110" hidden="1" customWidth="1"/>
    <col min="64" max="64" width="5.28515625" style="110" hidden="1" customWidth="1"/>
    <col min="65" max="65" width="4" style="110" hidden="1" customWidth="1"/>
    <col min="66" max="66" width="5.5703125" style="110" hidden="1" customWidth="1"/>
    <col min="67" max="67" width="5.140625" style="106" customWidth="1"/>
    <col min="68" max="73" width="5.140625" style="103" customWidth="1"/>
    <col min="74" max="16384" width="9.140625" style="103"/>
  </cols>
  <sheetData>
    <row r="1" spans="2:73" s="107" customFormat="1" ht="12" hidden="1" x14ac:dyDescent="0.2">
      <c r="T1" s="108"/>
      <c r="U1" s="108"/>
      <c r="V1" s="108"/>
      <c r="W1" s="108"/>
      <c r="X1" s="108"/>
      <c r="Y1" s="108"/>
      <c r="Z1" s="108"/>
      <c r="AA1" s="108"/>
      <c r="AB1" s="108"/>
      <c r="AC1" s="108"/>
      <c r="AD1" s="108"/>
      <c r="AE1" s="108"/>
      <c r="AF1" s="108"/>
      <c r="AG1" s="108"/>
      <c r="AH1" s="108"/>
      <c r="AI1" s="109"/>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row>
    <row r="2" spans="2:73" ht="13.5" thickBot="1" x14ac:dyDescent="0.25"/>
    <row r="3" spans="2:73" ht="13.5" customHeight="1" thickTop="1" x14ac:dyDescent="0.2">
      <c r="B3" s="1421" t="s">
        <v>141</v>
      </c>
      <c r="C3" s="1422"/>
      <c r="D3" s="1422"/>
      <c r="E3" s="1422"/>
      <c r="F3" s="1422"/>
      <c r="G3" s="1423"/>
      <c r="H3" s="1424" t="s">
        <v>303</v>
      </c>
      <c r="I3" s="1425"/>
      <c r="J3" s="1425"/>
      <c r="K3" s="1425"/>
      <c r="L3" s="1425"/>
      <c r="M3" s="1425"/>
      <c r="N3" s="1426"/>
      <c r="O3" s="1427" t="s">
        <v>142</v>
      </c>
      <c r="P3" s="1428"/>
      <c r="Q3" s="1427" t="s">
        <v>143</v>
      </c>
      <c r="R3" s="1429"/>
      <c r="S3" s="112"/>
      <c r="T3" s="113"/>
      <c r="U3" s="113"/>
      <c r="V3" s="113"/>
      <c r="W3" s="113"/>
      <c r="X3" s="113"/>
      <c r="Y3" s="113"/>
      <c r="Z3" s="113"/>
      <c r="AA3" s="113"/>
      <c r="AB3" s="113"/>
      <c r="AC3" s="113"/>
      <c r="AD3" s="113"/>
      <c r="AE3" s="113"/>
      <c r="AF3" s="113"/>
      <c r="AG3" s="113"/>
      <c r="AH3" s="113"/>
      <c r="AI3" s="114"/>
      <c r="AJ3" s="113"/>
      <c r="AK3" s="113"/>
      <c r="AL3" s="113"/>
      <c r="AM3" s="113"/>
      <c r="AN3" s="113"/>
      <c r="AO3" s="113"/>
      <c r="AP3" s="113"/>
      <c r="AQ3" s="108"/>
      <c r="AR3" s="108"/>
      <c r="AW3" s="110" t="s">
        <v>144</v>
      </c>
      <c r="AX3" s="110" t="s">
        <v>145</v>
      </c>
      <c r="AY3" s="110" t="s">
        <v>146</v>
      </c>
      <c r="AZ3" s="110" t="s">
        <v>147</v>
      </c>
      <c r="BA3" s="110" t="s">
        <v>148</v>
      </c>
      <c r="BB3" s="110" t="s">
        <v>149</v>
      </c>
      <c r="BP3" s="1652" t="s">
        <v>313</v>
      </c>
      <c r="BQ3" s="1652"/>
      <c r="BR3" s="1652"/>
      <c r="BS3" s="1652"/>
      <c r="BT3" s="1652"/>
      <c r="BU3" s="1652"/>
    </row>
    <row r="4" spans="2:73" s="105" customFormat="1" ht="15.75" customHeight="1" x14ac:dyDescent="0.2">
      <c r="B4" s="1431" t="s">
        <v>293</v>
      </c>
      <c r="C4" s="1432"/>
      <c r="D4" s="1432"/>
      <c r="E4" s="1432"/>
      <c r="F4" s="1432"/>
      <c r="G4" s="1433"/>
      <c r="H4" s="1434" t="s">
        <v>316</v>
      </c>
      <c r="I4" s="1435"/>
      <c r="J4" s="1435"/>
      <c r="K4" s="1435"/>
      <c r="L4" s="1435"/>
      <c r="M4" s="1435"/>
      <c r="N4" s="1436"/>
      <c r="O4" s="1437"/>
      <c r="P4" s="1438"/>
      <c r="Q4" s="1439"/>
      <c r="R4" s="1440"/>
      <c r="S4" s="115"/>
      <c r="T4" s="116"/>
      <c r="U4" s="116"/>
      <c r="V4" s="116"/>
      <c r="W4" s="116"/>
      <c r="X4" s="116"/>
      <c r="Y4" s="116"/>
      <c r="Z4" s="116"/>
      <c r="AA4" s="116"/>
      <c r="AB4" s="116"/>
      <c r="AC4" s="116"/>
      <c r="AD4" s="116"/>
      <c r="AE4" s="116"/>
      <c r="AF4" s="116"/>
      <c r="AG4" s="116"/>
      <c r="AH4" s="116"/>
      <c r="AI4" s="117"/>
      <c r="AJ4" s="116"/>
      <c r="AK4" s="116"/>
      <c r="AL4" s="116"/>
      <c r="AM4" s="116"/>
      <c r="AN4" s="116"/>
      <c r="AO4" s="116"/>
      <c r="AP4" s="116"/>
      <c r="AQ4" s="118"/>
      <c r="AR4" s="118"/>
      <c r="AS4" s="119"/>
      <c r="AT4" s="120" t="s">
        <v>151</v>
      </c>
      <c r="AU4" s="121" t="b">
        <v>0</v>
      </c>
      <c r="AV4" s="119">
        <v>0</v>
      </c>
      <c r="AW4" s="119" t="b">
        <f>IF(ISERR(OR(AW8:AW39)),"UNK",IF(AND(graded_aca_events&gt;=1,input_test),FALSE,OR(AW8:AW39)))</f>
        <v>0</v>
      </c>
      <c r="AX4" s="119" t="b">
        <f>IF(ISERR(OR(AX8:AX39)),"UNK",IF(AND(graded_aca_events&gt;=1,input_test),FALSE,OR(AX8:AX39)))</f>
        <v>1</v>
      </c>
      <c r="AY4" s="119" t="b">
        <f>IF(ISERR(OR(AY8:AY39)),"UNK",OR(AY8:AY39))</f>
        <v>0</v>
      </c>
      <c r="AZ4" s="119" t="b">
        <f>IF(ISERR(OR(AZ8:AZ39)),"UNK",OR(AZ8:AZ39))</f>
        <v>0</v>
      </c>
      <c r="BA4" s="119" t="b">
        <f>IF(ISERR(OR(BA8:BA39)),"UNK",OR(BA8:BA39))</f>
        <v>0</v>
      </c>
      <c r="BB4" s="119" t="b">
        <f>IF(ISERR(OR(BB8:BB39)),"UNK",OR(BB8:BB39))</f>
        <v>0</v>
      </c>
      <c r="BC4" s="122" t="b">
        <f>OR(BC8:BC39)</f>
        <v>0</v>
      </c>
      <c r="BD4" s="122" t="b">
        <f>OR(BD8:BD39)</f>
        <v>0</v>
      </c>
      <c r="BE4" s="122" t="b">
        <f>OR(BE8:BE39)</f>
        <v>0</v>
      </c>
      <c r="BF4" s="122"/>
      <c r="BG4" s="119"/>
      <c r="BH4" s="1441" t="s">
        <v>152</v>
      </c>
      <c r="BI4" s="1441"/>
      <c r="BJ4" s="1441"/>
      <c r="BK4" s="1441"/>
      <c r="BL4" s="1393" t="s">
        <v>153</v>
      </c>
      <c r="BM4" s="1393"/>
      <c r="BN4" s="1393"/>
      <c r="BO4" s="106"/>
      <c r="BP4" s="1652"/>
      <c r="BQ4" s="1652"/>
      <c r="BR4" s="1652"/>
      <c r="BS4" s="1652"/>
      <c r="BT4" s="1652"/>
      <c r="BU4" s="1652"/>
    </row>
    <row r="5" spans="2:73" s="112" customFormat="1" ht="7.5" customHeight="1" x14ac:dyDescent="0.25">
      <c r="B5" s="1394" t="s">
        <v>154</v>
      </c>
      <c r="C5" s="1395"/>
      <c r="D5" s="1395"/>
      <c r="E5" s="1396"/>
      <c r="F5" s="1397" t="s">
        <v>155</v>
      </c>
      <c r="G5" s="1396"/>
      <c r="H5" s="1397" t="s">
        <v>156</v>
      </c>
      <c r="I5" s="1395"/>
      <c r="J5" s="1395"/>
      <c r="K5" s="1395"/>
      <c r="L5" s="1396"/>
      <c r="M5" s="1398" t="s">
        <v>157</v>
      </c>
      <c r="N5" s="1399"/>
      <c r="O5" s="1400" t="s">
        <v>158</v>
      </c>
      <c r="P5" s="1401"/>
      <c r="Q5" s="1397" t="str">
        <f>IF(AU41=0,"GRADE","GRADE (inc. bonus)")</f>
        <v>GRADE</v>
      </c>
      <c r="R5" s="1402"/>
      <c r="T5" s="113"/>
      <c r="U5" s="113"/>
      <c r="V5" s="113"/>
      <c r="W5" s="113"/>
      <c r="X5" s="113"/>
      <c r="Y5" s="113"/>
      <c r="Z5" s="113"/>
      <c r="AA5" s="113"/>
      <c r="AB5" s="113"/>
      <c r="AC5" s="113"/>
      <c r="AD5" s="113"/>
      <c r="AE5" s="113"/>
      <c r="AF5" s="113"/>
      <c r="AG5" s="113"/>
      <c r="AH5" s="113"/>
      <c r="AI5" s="114"/>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441"/>
      <c r="BI5" s="1441"/>
      <c r="BJ5" s="1441"/>
      <c r="BK5" s="1441"/>
      <c r="BL5" s="1393"/>
      <c r="BM5" s="1393"/>
      <c r="BN5" s="1393"/>
      <c r="BO5" s="123"/>
    </row>
    <row r="6" spans="2:73" s="105" customFormat="1" ht="15.75" customHeight="1" thickBot="1" x14ac:dyDescent="0.25">
      <c r="B6" s="1403"/>
      <c r="C6" s="1404"/>
      <c r="D6" s="1404"/>
      <c r="E6" s="1405"/>
      <c r="F6" s="1552" t="s">
        <v>270</v>
      </c>
      <c r="G6" s="1553"/>
      <c r="H6" s="1408"/>
      <c r="I6" s="1409"/>
      <c r="J6" s="1409"/>
      <c r="K6" s="1409"/>
      <c r="L6" s="1407"/>
      <c r="M6" s="1554"/>
      <c r="N6" s="1555"/>
      <c r="O6" s="1556"/>
      <c r="P6" s="1557"/>
      <c r="Q6" s="1414" t="str">
        <f>IF((graded_aca_events+graded_amn_events)&lt;1,"0",IF(ISERROR(AR46),"",IF(F41&lt;&gt;"COMPLETE","INCOMPLETE",AR46)))</f>
        <v>0</v>
      </c>
      <c r="R6" s="1415"/>
      <c r="S6" s="103"/>
      <c r="T6" s="119"/>
      <c r="U6" s="119">
        <v>2</v>
      </c>
      <c r="V6" s="119">
        <v>3</v>
      </c>
      <c r="W6" s="119">
        <v>6</v>
      </c>
      <c r="X6" s="119">
        <v>7</v>
      </c>
      <c r="Y6" s="119">
        <v>11</v>
      </c>
      <c r="Z6" s="119">
        <v>8</v>
      </c>
      <c r="AA6" s="119">
        <v>9</v>
      </c>
      <c r="AB6" s="119">
        <v>10</v>
      </c>
      <c r="AC6" s="119">
        <v>5</v>
      </c>
      <c r="AD6" s="119">
        <v>4</v>
      </c>
      <c r="AE6" s="119">
        <v>12</v>
      </c>
      <c r="AF6" s="119">
        <v>13</v>
      </c>
      <c r="AG6" s="119"/>
      <c r="AH6" s="119"/>
      <c r="AI6" s="124"/>
      <c r="AJ6" s="125"/>
      <c r="AK6" s="125"/>
      <c r="AL6" s="125"/>
      <c r="AM6" s="125" t="b">
        <f>IF(COUNT(AM8:AM39)&gt;0,TRUE,FALSE)</f>
        <v>0</v>
      </c>
      <c r="AN6" s="125" t="b">
        <f>IF(COUNT(AN8:AN39)&gt;0,TRUE,FALSE)</f>
        <v>0</v>
      </c>
      <c r="AO6" s="119"/>
      <c r="AP6" s="119"/>
      <c r="AQ6" s="118"/>
      <c r="AR6" s="118"/>
      <c r="AS6" s="119"/>
      <c r="AT6" s="85">
        <v>0.2</v>
      </c>
      <c r="AU6" s="119"/>
      <c r="AV6" s="126">
        <f>0.01*input_maxb</f>
        <v>0</v>
      </c>
      <c r="AW6" s="127" t="s">
        <v>159</v>
      </c>
      <c r="AX6" s="128"/>
      <c r="AY6" s="127" t="s">
        <v>160</v>
      </c>
      <c r="AZ6" s="128"/>
      <c r="BA6" s="129" t="s">
        <v>161</v>
      </c>
      <c r="BB6" s="129"/>
      <c r="BC6" s="127" t="s">
        <v>162</v>
      </c>
      <c r="BD6" s="129"/>
      <c r="BE6" s="130"/>
      <c r="BF6" s="131"/>
      <c r="BG6" s="119" t="s">
        <v>163</v>
      </c>
      <c r="BH6" s="1441"/>
      <c r="BI6" s="1441"/>
      <c r="BJ6" s="1441"/>
      <c r="BK6" s="1441"/>
      <c r="BL6" s="1393"/>
      <c r="BM6" s="1393"/>
      <c r="BN6" s="1393"/>
      <c r="BO6" s="106"/>
    </row>
    <row r="7" spans="2:73" ht="27" customHeight="1" thickBot="1" x14ac:dyDescent="0.25">
      <c r="B7" s="1416" t="s">
        <v>164</v>
      </c>
      <c r="C7" s="1417"/>
      <c r="D7" s="1417"/>
      <c r="E7" s="1417"/>
      <c r="F7" s="1418"/>
      <c r="G7" s="132" t="s">
        <v>165</v>
      </c>
      <c r="H7" s="133" t="s">
        <v>166</v>
      </c>
      <c r="I7" s="134" t="s">
        <v>167</v>
      </c>
      <c r="J7" s="135" t="s">
        <v>168</v>
      </c>
      <c r="K7" s="136" t="s">
        <v>169</v>
      </c>
      <c r="L7" s="1419" t="s">
        <v>170</v>
      </c>
      <c r="M7" s="1417"/>
      <c r="N7" s="1417"/>
      <c r="O7" s="1417"/>
      <c r="P7" s="1417"/>
      <c r="Q7" s="1417"/>
      <c r="R7" s="1420"/>
      <c r="T7" s="137" t="s">
        <v>171</v>
      </c>
      <c r="U7" s="137"/>
      <c r="V7" s="137" t="s">
        <v>172</v>
      </c>
      <c r="W7" s="137" t="s">
        <v>173</v>
      </c>
      <c r="X7" s="137" t="s">
        <v>174</v>
      </c>
      <c r="Y7" s="137" t="s">
        <v>175</v>
      </c>
      <c r="Z7" s="137" t="s">
        <v>176</v>
      </c>
      <c r="AA7" s="137" t="s">
        <v>177</v>
      </c>
      <c r="AB7" s="137" t="s">
        <v>178</v>
      </c>
      <c r="AC7" s="137" t="s">
        <v>179</v>
      </c>
      <c r="AD7" s="137" t="s">
        <v>180</v>
      </c>
      <c r="AE7" s="137" t="s">
        <v>181</v>
      </c>
      <c r="AF7" s="137" t="s">
        <v>182</v>
      </c>
      <c r="AG7" s="137" t="s">
        <v>183</v>
      </c>
      <c r="AH7" s="137" t="s">
        <v>184</v>
      </c>
      <c r="AI7" s="138" t="s">
        <v>185</v>
      </c>
      <c r="AJ7" s="139" t="s">
        <v>186</v>
      </c>
      <c r="AK7" s="140" t="s">
        <v>187</v>
      </c>
      <c r="AL7" s="140" t="s">
        <v>188</v>
      </c>
      <c r="AM7" s="140" t="s">
        <v>189</v>
      </c>
      <c r="AN7" s="140" t="s">
        <v>190</v>
      </c>
      <c r="AO7" s="139" t="s">
        <v>191</v>
      </c>
      <c r="AP7" s="139" t="s">
        <v>192</v>
      </c>
      <c r="AQ7" s="141" t="s">
        <v>193</v>
      </c>
      <c r="AR7" s="142" t="s">
        <v>1</v>
      </c>
      <c r="AS7" s="141" t="s">
        <v>194</v>
      </c>
      <c r="AT7" s="142" t="s">
        <v>1</v>
      </c>
      <c r="AU7" s="141" t="s">
        <v>195</v>
      </c>
      <c r="AV7" s="143" t="s">
        <v>196</v>
      </c>
      <c r="AW7" s="144" t="s">
        <v>197</v>
      </c>
      <c r="AX7" s="145" t="s">
        <v>198</v>
      </c>
      <c r="AY7" s="144" t="s">
        <v>199</v>
      </c>
      <c r="AZ7" s="145" t="s">
        <v>200</v>
      </c>
      <c r="BA7" s="146" t="s">
        <v>201</v>
      </c>
      <c r="BB7" s="146" t="s">
        <v>202</v>
      </c>
      <c r="BC7" s="147" t="s">
        <v>203</v>
      </c>
      <c r="BD7" s="148" t="s">
        <v>204</v>
      </c>
      <c r="BE7" s="149" t="s">
        <v>205</v>
      </c>
      <c r="BF7" s="150" t="s">
        <v>206</v>
      </c>
      <c r="BH7" s="110" t="s">
        <v>207</v>
      </c>
      <c r="BI7" s="110" t="s">
        <v>208</v>
      </c>
      <c r="BJ7" s="137" t="s">
        <v>209</v>
      </c>
      <c r="BK7" s="110" t="s">
        <v>210</v>
      </c>
      <c r="BL7" s="110" t="s">
        <v>207</v>
      </c>
      <c r="BM7" s="110" t="s">
        <v>208</v>
      </c>
      <c r="BN7" s="110" t="s">
        <v>210</v>
      </c>
    </row>
    <row r="8" spans="2:73" ht="12.95" customHeight="1" x14ac:dyDescent="0.2">
      <c r="B8" s="151" t="str">
        <f>IF(ISNA(Z8),"",IF(OR(Z8=1,Z8=2),"",1))</f>
        <v/>
      </c>
      <c r="C8" s="1391" t="str">
        <f t="shared" ref="C8:C36" si="0">IF(ISNA(Z8),"",CONCATENATE($U8,IF(ISNUMBER(AI8),TEXT(ROUND($AI8,3)," (0.0%)"),""),IF(AU8&gt;0," Bonus","")))</f>
        <v>Introduction (20.0%)</v>
      </c>
      <c r="D8" s="1391"/>
      <c r="E8" s="1391"/>
      <c r="F8" s="1392"/>
      <c r="G8" s="152" t="str">
        <f t="shared" ref="G8:G39" si="1">BH8</f>
        <v/>
      </c>
      <c r="H8" s="153" t="str">
        <f t="shared" ref="H8:I39" si="2">BJ8</f>
        <v/>
      </c>
      <c r="I8" s="154" t="str">
        <f t="shared" si="2"/>
        <v/>
      </c>
      <c r="J8" s="155"/>
      <c r="K8" s="156"/>
      <c r="L8" s="1072"/>
      <c r="M8" s="1073"/>
      <c r="N8" s="1073"/>
      <c r="O8" s="1073"/>
      <c r="P8" s="1073"/>
      <c r="Q8" s="1073"/>
      <c r="R8" s="1074"/>
      <c r="T8" s="110">
        <v>1</v>
      </c>
      <c r="U8" s="110" t="s">
        <v>286</v>
      </c>
      <c r="V8" s="206" t="s">
        <v>212</v>
      </c>
      <c r="W8" s="206" t="s">
        <v>212</v>
      </c>
      <c r="X8" s="206" t="s">
        <v>212</v>
      </c>
      <c r="Y8" s="206" t="s">
        <v>212</v>
      </c>
      <c r="Z8" s="206">
        <v>2</v>
      </c>
      <c r="AA8" s="206">
        <v>1</v>
      </c>
      <c r="AB8" s="206">
        <v>1</v>
      </c>
      <c r="AC8" s="206" t="s">
        <v>212</v>
      </c>
      <c r="AD8" s="206" t="s">
        <v>212</v>
      </c>
      <c r="AE8" s="206" t="s">
        <v>212</v>
      </c>
      <c r="AF8" s="206" t="s">
        <v>212</v>
      </c>
      <c r="AG8" s="206" t="str">
        <f t="shared" ref="AG8:AG39" si="3">IF(CrewSoloQual="Yes",$AC8,$AD8)</f>
        <v/>
      </c>
      <c r="AH8" s="206" t="str">
        <f t="shared" ref="AH8:AH39" si="4">IF(ISNUMBER(AC8),IF(CrewSoloQual="Yes",$AC8-1,$AD8-1),"")</f>
        <v/>
      </c>
      <c r="AI8" s="86">
        <f>IF(NOT(OR(Z8=1,Z8=2)),IF(AQ8&gt;0,$AR$44*AQ8/SUMIF($AQ$8:$AQ$39,"&gt;0"),IF(AU8&gt;0,$AV$44*AU8/SUMIF($AU$8:$AU$39,"&gt;0"),IF(AS8&gt;0,$AT$44*AS8/SUMIF($AS$8:$AS$39,"&gt;0"),""))),IF(SUMIF(AJ9:$AJ$39,"=" &amp; AJ8,AI9:$AI$39)=0,"",SUMIF(AJ9:$AJ$39,"=" &amp; AJ8,AI9:$AI$39)))</f>
        <v>0.2</v>
      </c>
      <c r="AJ8" s="87">
        <f>0</f>
        <v>0</v>
      </c>
      <c r="AK8" s="206" t="str">
        <f>BI8</f>
        <v/>
      </c>
      <c r="AL8" s="206" t="str">
        <f>IF(ISBLANK(K8),"",K8)</f>
        <v/>
      </c>
      <c r="AM8" s="206" t="str">
        <f>IF(ISNUMBER(AK8),IF(ISNUMBER(AL8),1,""),"")</f>
        <v/>
      </c>
      <c r="AN8" s="206" t="str">
        <f t="shared" ref="AN8:AN36" si="5">IF(ISNUMBER(AH8),IF(AND(AB8=0,ISNUMBER(AC8),ISNUMBER(AL8)),1,""),"")</f>
        <v/>
      </c>
      <c r="AO8" s="206" t="str">
        <f t="shared" ref="AO8:AO39" si="6">IF(AB8=0,IF(CrewSoloQual="No",BI8,BK8),"")</f>
        <v/>
      </c>
      <c r="AP8" s="206" t="str">
        <f t="shared" ref="AP8:AP39" si="7">IF(ISNA(Z8),"",IF(AND(ISNUMBER(B8),G8&gt;=1,H8&lt;&gt;"NG"),IF(K8&lt;BK8,TRUE,FALSE),IF(AND(G8&gt;=1,J8="NA"),TRUE,IF(AND(AM8=1,G8=0,AL8&lt;BI8),TRUE,""))))</f>
        <v/>
      </c>
      <c r="AQ8" s="157">
        <f>IF(ISNA(Z8),0,IF(OR(J8="NA",W8="",AB8=0),0,W8))</f>
        <v>0</v>
      </c>
      <c r="AR8" s="88" t="str">
        <f t="shared" ref="AR8:AR39" si="8">IF(ISNA(Z8),"",IF(AND(NOT(OR(Z8=1,Z8=2,AK8="NG",AB8=0)),IF(ISNUMBER(AL8),AL8&gt;=0,FALSE)),VLOOKUP((10*AD8+AC8),$AQ$50:$AV$58,2+AL8,FALSE),IF(AND(input_test=TRUE,ISNUMBER(AD8),V8&lt;&gt;0),VLOOKUP((10*AD8+AC8),$AQ$50:$AV$58,2,FALSE),"")))</f>
        <v/>
      </c>
      <c r="AS8" s="89">
        <f>IF(ISNA(Z8),0,IF(OR(J8="NA",X8="",AB8=1),0,X8))</f>
        <v>0</v>
      </c>
      <c r="AT8" s="88" t="str">
        <f t="shared" ref="AT8:AT39" si="9">IF(ISNA(Z8),"",IF(AND(NOT(OR(Z8=1,Z8=2,AK8="NG",AB8=1)),IF(ISNUMBER(AL8),AL8&gt;=0,FALSE)),VLOOKUP((10*AH8+AG8),$AQ$50:$AV$58,2+AL8,FALSE),IF(AND(input_test=TRUE,ISNUMBER(AD8),V8&lt;&gt;0),VLOOKUP((10*AH8+AG8),$AQ$50:$AV$58,2,FALSE),"")))</f>
        <v/>
      </c>
      <c r="AU8" s="158">
        <f t="shared" ref="AU8:AU39" si="10">IF(ISNA(Z8),0,IF(OR(J8="NA",Y8=""),0,Y8))</f>
        <v>0</v>
      </c>
      <c r="AV8" s="90" t="str">
        <f t="shared" ref="AV8:AV39" si="11">AR8</f>
        <v/>
      </c>
      <c r="AW8" s="158" t="b">
        <f t="shared" ref="AW8:AW39" si="12">IF(ISNA(Z8),FALSE,IF(OR(AB8=1,G8=0,Z8=1,Z8=2),FALSE,IF(OR(J8="NA",J8&gt;=G8),FALSE,TRUE)))</f>
        <v>0</v>
      </c>
      <c r="AX8" s="159" t="b">
        <f t="shared" ref="AX8:AX39" si="13">IF(ISNA(Z8),FALSE,IF(OR(AB8=0,G8=0,Z8=1,Z8=2,J8="NA"),FALSE,IF(AK8="NG",IF(NOT(ISBLANK(K8)),FALSE,TRUE),IF(J8&gt;=G8,FALSE,TRUE))))</f>
        <v>0</v>
      </c>
      <c r="AY8" s="158" t="b">
        <f t="shared" ref="AY8:AY39" si="14">IF(ISNA(Z8),FALSE,IF(OR(AB8=1,G8&lt;1,Z8=1,Z8=2,AE8=0,ISBLANK(K8)),FALSE,IF(OR(J8="NA",K8&gt;=BI8),FALSE,TRUE)))</f>
        <v>0</v>
      </c>
      <c r="AZ8" s="159" t="b">
        <f t="shared" ref="AZ8:AZ39" si="15">IF(ISNA(Z8),FALSE,IF(OR(AB8=0,G8=0,Z8=1,Z8=2,AE8=0,BI8="NG",K8="",ISBLANK(K8)),FALSE,IF(OR(J8="NA",K8&gt;=AK8),FALSE,TRUE)))</f>
        <v>0</v>
      </c>
      <c r="BA8" s="206" t="b">
        <f t="shared" ref="BA8:BA39" si="16">IF(ISNA(Z8),FALSE,IF(OR(AB8=1,G8&lt;1,Z8=1,Z8=2,AE8=0),FALSE,IF(J8="NA",TRUE,FALSE)))</f>
        <v>0</v>
      </c>
      <c r="BB8" s="206" t="b">
        <f t="shared" ref="BB8:BB39" si="17">IF(ISNA(Z8),FALSE,IF(OR(AB8=0,G8=0,Z8=1,Z8=2),FALSE,IF(J8="NA",TRUE,FALSE)))</f>
        <v>0</v>
      </c>
      <c r="BC8" s="158" t="b">
        <f t="shared" ref="BC8:BC39" si="18">IF(OR(ISNA($Z8),ISNUMBER($Z8),NOT(ISNUMBER($J8)),K8="D"),FALSE,IF(AND(NOT(ISNUMBER($K8)),J8&gt;0),TRUE,FALSE))</f>
        <v>0</v>
      </c>
      <c r="BD8" s="160" t="b">
        <f>IF(OR(ISNA($Z8),ISNUMBER($Z8),NOT(ISNUMBER(K8))),FALSE,OR(NOT(ISNUMBER(J8)),J8=0,AND(J8=0,K8&lt;&gt;0)))</f>
        <v>0</v>
      </c>
      <c r="BE8" s="159" t="b">
        <f t="shared" ref="BE8:BE21" si="19">IF(OR(ISNA($Z8),K8&lt;&gt;"D"),FALSE,IF(OR(AND(H8="NG",J8=0),AND(H8&lt;&gt;"NG",NOT(OR(J8="NA",J8=0)))),TRUE,FALSE))</f>
        <v>0</v>
      </c>
      <c r="BF8" s="161" t="b">
        <f t="shared" ref="BF8:BF30" si="20">IF(OR(ISNA($Z8),H8&lt;&gt;"NG"),FALSE,IF(AND(J8="NA",K8&lt;&gt;""),TRUE,FALSE))</f>
        <v>0</v>
      </c>
      <c r="BG8" s="206" t="b">
        <f t="shared" ref="BG8:BG21" si="21">IF(ISNA($Z8),"NA",IF(OR(AZ8,AY8,AX8,AW8,AP8,BA8,BB8),TRUE,FALSE))</f>
        <v>0</v>
      </c>
      <c r="BH8" s="162" t="str">
        <f>IF(ISNA($Z8),"",IF(OR($Z8=1,$Z8=2),"",$V8))</f>
        <v/>
      </c>
      <c r="BI8" s="206" t="str">
        <f t="shared" ref="BI8:BI39" si="22">IF(ISNA($Z8),"",IF(OR($Z8=1,$Z8=2,$G8=""),"",IF(AB8=0,AH8,$AD8)))</f>
        <v/>
      </c>
      <c r="BJ8" s="206" t="str">
        <f t="shared" ref="BJ8:BJ39" si="23">IF(ISNA(AE8),"",IF(OR(Z8=1,Z8=2),"",IF(OR(AE8=0,AD8="NG"),TEXT(BI8,"0"),CONCATENATE(TEXT(BI8,"0"),"*"))))</f>
        <v/>
      </c>
      <c r="BK8" s="206" t="str">
        <f t="shared" ref="BK8:BK39" si="24">IF(ISNA($Z8),"",IF(OR($Z8=1,$Z8=2,$G8=""),"",IF(AB8=0,AG8,$AC8)))</f>
        <v/>
      </c>
      <c r="BL8" s="162" t="str">
        <f>IF(ISBLANK(BH8),"",IF(BH8=0,"",BH8))</f>
        <v/>
      </c>
      <c r="BM8" s="206" t="str">
        <f t="shared" ref="BM8:BM39" si="25">IF($BH8=0,"",IF($BI8="NG","D",$BI8))</f>
        <v/>
      </c>
      <c r="BN8" s="206" t="str">
        <f t="shared" ref="BN8:BN39" si="26">IF(ISNA(U8),"",IF($BH8=0,"",IF($BI8="NG","D",BK8)))</f>
        <v/>
      </c>
      <c r="BO8" s="163" t="s">
        <v>213</v>
      </c>
      <c r="BP8" s="164"/>
    </row>
    <row r="9" spans="2:73" s="105" customFormat="1" ht="12.95" customHeight="1" x14ac:dyDescent="0.2">
      <c r="B9" s="165">
        <f>IF(ISNA(Z9),"",IF(OR(Z9=1,Z9=2),"    ",MAX($B$8:B8)+1))</f>
        <v>1</v>
      </c>
      <c r="C9" s="1375" t="str">
        <f t="shared" si="0"/>
        <v xml:space="preserve">      - Test Item Description (10.0%)</v>
      </c>
      <c r="D9" s="1375"/>
      <c r="E9" s="1375"/>
      <c r="F9" s="1376"/>
      <c r="G9" s="152">
        <f t="shared" si="1"/>
        <v>1</v>
      </c>
      <c r="H9" s="153" t="str">
        <f t="shared" si="2"/>
        <v>2</v>
      </c>
      <c r="I9" s="166">
        <f t="shared" si="2"/>
        <v>3</v>
      </c>
      <c r="J9" s="167"/>
      <c r="K9" s="168"/>
      <c r="L9" s="1075"/>
      <c r="M9" s="1076"/>
      <c r="N9" s="1076"/>
      <c r="O9" s="1076"/>
      <c r="P9" s="1076"/>
      <c r="Q9" s="1076"/>
      <c r="R9" s="1077"/>
      <c r="T9" s="119">
        <v>2</v>
      </c>
      <c r="U9" s="110" t="s">
        <v>294</v>
      </c>
      <c r="V9" s="206">
        <v>1</v>
      </c>
      <c r="W9" s="206">
        <v>1</v>
      </c>
      <c r="X9" s="206" t="s">
        <v>212</v>
      </c>
      <c r="Y9" s="206" t="s">
        <v>212</v>
      </c>
      <c r="Z9" s="160" t="s">
        <v>212</v>
      </c>
      <c r="AA9" s="160">
        <v>2</v>
      </c>
      <c r="AB9" s="160">
        <v>1</v>
      </c>
      <c r="AC9" s="206">
        <v>3</v>
      </c>
      <c r="AD9" s="206">
        <v>2</v>
      </c>
      <c r="AE9" s="206">
        <v>0</v>
      </c>
      <c r="AF9" s="206" t="b">
        <v>1</v>
      </c>
      <c r="AG9" s="206">
        <f t="shared" si="3"/>
        <v>2</v>
      </c>
      <c r="AH9" s="206">
        <f t="shared" si="4"/>
        <v>1</v>
      </c>
      <c r="AI9" s="86">
        <f>IF(NOT(OR(Z9=1,Z9=2)),IF(AQ9&gt;0,$AR$44*AQ9/SUMIF($AQ$8:$AQ$39,"&gt;0"),IF(AU9&gt;0,$AV$44*AU9/SUMIF($AU$8:$AU$39,"&gt;0"),IF(AS9&gt;0,$AT$44*AS9/SUMIF($AS$8:$AS$39,"&gt;0"),""))),IF(SUMIF(AJ10:$AJ$39,"=" &amp; AJ9,AI10:$AI$39)=0,"",SUMIF(AJ10:$AJ$39,"=" &amp; AJ9,AI10:$AI$39)))</f>
        <v>0.1</v>
      </c>
      <c r="AJ9" s="87">
        <f>IF(OR(Z9=1,Z9=2,AA9&lt;AA8),AJ8+1,AJ8)</f>
        <v>0</v>
      </c>
      <c r="AK9" s="206">
        <f t="shared" ref="AK9:AK39" si="27">BI9</f>
        <v>2</v>
      </c>
      <c r="AL9" s="160" t="str">
        <f t="shared" ref="AL9:AL39" si="28">IF(ISBLANK(K9),"",K9)</f>
        <v/>
      </c>
      <c r="AM9" s="160" t="str">
        <f>IF(ISNUMBER(AK9),IF(ISNUMBER(AL9),1,""),"")</f>
        <v/>
      </c>
      <c r="AN9" s="160" t="str">
        <f t="shared" si="5"/>
        <v/>
      </c>
      <c r="AO9" s="160" t="str">
        <f t="shared" si="6"/>
        <v/>
      </c>
      <c r="AP9" s="206" t="b">
        <f>IF(ISNA(Z9),"",IF(AND(ISNUMBER(B9),G9&gt;=1,H9&lt;&gt;"NG"),IF(K9&lt;BK9,TRUE,FALSE),IF(AND(G9&gt;=1,J9="NA"),TRUE,IF(AND(AM9=1,G9=0,AL9&lt;BI9),TRUE,""))))</f>
        <v>1</v>
      </c>
      <c r="AQ9" s="157">
        <f t="shared" ref="AQ9:AQ39" si="29">IF(ISNA(Z9),0,IF(OR(J9="NA",W9="",AB9=0),0,W9))</f>
        <v>1</v>
      </c>
      <c r="AR9" s="88" t="str">
        <f>IF(ISNA(Z9),"",IF(AND(NOT(OR(Z9=1,Z9=2,AK9="NG",AB9=0)),IF(ISNUMBER(AL9),AL9&gt;=0,FALSE)),VLOOKUP((10*AD9+AC9),$AQ$50:$AV$58,2+AL9,FALSE),IF(AND(input_test=TRUE,ISNUMBER(AD9),V9&lt;&gt;0),VLOOKUP((10*AD9+AC9),$AQ$50:$AV$58,2,FALSE),"")))</f>
        <v/>
      </c>
      <c r="AS9" s="89">
        <f t="shared" ref="AS9:AS39" si="30">IF(ISNA(Z9),0,IF(OR(J9="NA",X9="",AB9=1),0,X9))</f>
        <v>0</v>
      </c>
      <c r="AT9" s="88" t="str">
        <f>IF(ISNA(Z9),"",IF(AND(NOT(OR(Z9=1,Z9=2,AK9="NG",AB9=1)),IF(ISNUMBER(AL9),AL9&gt;=0,FALSE)),VLOOKUP((10*AH9+AG9),$AQ$50:$AV$58,2+AL9,FALSE),IF(AND(input_test=TRUE,ISNUMBER(AD9),V9&lt;&gt;0),VLOOKUP((10*AH9+AG9),$AQ$50:$AV$58,2,FALSE),"")))</f>
        <v/>
      </c>
      <c r="AU9" s="158">
        <f t="shared" si="10"/>
        <v>0</v>
      </c>
      <c r="AV9" s="90" t="str">
        <f t="shared" si="11"/>
        <v/>
      </c>
      <c r="AW9" s="158" t="b">
        <f t="shared" si="12"/>
        <v>0</v>
      </c>
      <c r="AX9" s="159" t="b">
        <f t="shared" si="13"/>
        <v>1</v>
      </c>
      <c r="AY9" s="158" t="b">
        <f t="shared" si="14"/>
        <v>0</v>
      </c>
      <c r="AZ9" s="159" t="b">
        <f t="shared" si="15"/>
        <v>0</v>
      </c>
      <c r="BA9" s="206" t="b">
        <f t="shared" si="16"/>
        <v>0</v>
      </c>
      <c r="BB9" s="206" t="b">
        <f t="shared" si="17"/>
        <v>0</v>
      </c>
      <c r="BC9" s="158" t="b">
        <f t="shared" si="18"/>
        <v>0</v>
      </c>
      <c r="BD9" s="160" t="b">
        <f t="shared" ref="BD9:BD39" si="31">IF(OR(ISNA($Z9),ISNUMBER($Z9),NOT(ISNUMBER(K9))),FALSE,OR(NOT(ISNUMBER(J9)),J9=0,AND(J9=0,K9&lt;&gt;0)))</f>
        <v>0</v>
      </c>
      <c r="BE9" s="159" t="b">
        <f t="shared" si="19"/>
        <v>0</v>
      </c>
      <c r="BF9" s="161" t="b">
        <f t="shared" si="20"/>
        <v>0</v>
      </c>
      <c r="BG9" s="206" t="b">
        <f t="shared" si="21"/>
        <v>1</v>
      </c>
      <c r="BH9" s="206">
        <f t="shared" ref="BH9:BH39" si="32">IF(ISNA($Z9),"",IF(OR($Z9=1,$Z9=2),"",$V9))</f>
        <v>1</v>
      </c>
      <c r="BI9" s="206">
        <f t="shared" si="22"/>
        <v>2</v>
      </c>
      <c r="BJ9" s="206" t="str">
        <f t="shared" si="23"/>
        <v>2</v>
      </c>
      <c r="BK9" s="206">
        <f t="shared" si="24"/>
        <v>3</v>
      </c>
      <c r="BL9" s="162">
        <f t="shared" ref="BL9:BL39" si="33">IF(ISBLANK(BH9),"",IF(BH9=0,"",BH9))</f>
        <v>1</v>
      </c>
      <c r="BM9" s="206">
        <f t="shared" si="25"/>
        <v>2</v>
      </c>
      <c r="BN9" s="206">
        <f t="shared" si="26"/>
        <v>3</v>
      </c>
      <c r="BO9" s="169" t="s">
        <v>214</v>
      </c>
      <c r="BP9" s="170" t="s">
        <v>139</v>
      </c>
    </row>
    <row r="10" spans="2:73" s="105" customFormat="1" ht="12.95" customHeight="1" x14ac:dyDescent="0.2">
      <c r="B10" s="165">
        <f>IF(ISNA(Z10),"",IF(OR(Z10=1,Z10=2),"    ",MAX($B$8:B9)+1))</f>
        <v>2</v>
      </c>
      <c r="C10" s="1375" t="str">
        <f t="shared" si="0"/>
        <v xml:space="preserve">      - Evaluation Scenario &amp; Reqs (10.0%)</v>
      </c>
      <c r="D10" s="1375"/>
      <c r="E10" s="1375"/>
      <c r="F10" s="1376"/>
      <c r="G10" s="152">
        <f t="shared" si="1"/>
        <v>1</v>
      </c>
      <c r="H10" s="153" t="str">
        <f t="shared" si="2"/>
        <v>2</v>
      </c>
      <c r="I10" s="166">
        <f t="shared" si="2"/>
        <v>3</v>
      </c>
      <c r="J10" s="171"/>
      <c r="K10" s="168"/>
      <c r="L10" s="1075"/>
      <c r="M10" s="1076"/>
      <c r="N10" s="1076"/>
      <c r="O10" s="1076"/>
      <c r="P10" s="1076"/>
      <c r="Q10" s="1076"/>
      <c r="R10" s="1077"/>
      <c r="T10" s="119">
        <v>3</v>
      </c>
      <c r="U10" s="110" t="s">
        <v>304</v>
      </c>
      <c r="V10" s="206">
        <v>1</v>
      </c>
      <c r="W10" s="206">
        <v>1</v>
      </c>
      <c r="X10" s="206" t="s">
        <v>212</v>
      </c>
      <c r="Y10" s="206" t="s">
        <v>212</v>
      </c>
      <c r="Z10" s="160" t="s">
        <v>212</v>
      </c>
      <c r="AA10" s="160">
        <v>2</v>
      </c>
      <c r="AB10" s="160">
        <v>1</v>
      </c>
      <c r="AC10" s="206">
        <v>3</v>
      </c>
      <c r="AD10" s="206">
        <v>2</v>
      </c>
      <c r="AE10" s="206">
        <v>0</v>
      </c>
      <c r="AF10" s="206" t="b">
        <v>1</v>
      </c>
      <c r="AG10" s="206">
        <f t="shared" si="3"/>
        <v>2</v>
      </c>
      <c r="AH10" s="206">
        <f t="shared" si="4"/>
        <v>1</v>
      </c>
      <c r="AI10" s="86">
        <f>IF(NOT(OR(Z10=1,Z10=2)),IF(AQ10&gt;0,$AR$44*AQ10/SUMIF($AQ$8:$AQ$39,"&gt;0"),IF(AU10&gt;0,$AV$44*AU10/SUMIF($AU$8:$AU$39,"&gt;0"),IF(AS10&gt;0,$AT$44*AS10/SUMIF($AS$8:$AS$39,"&gt;0"),""))),IF(SUMIF(AJ11:$AJ$39,"=" &amp; AJ10,AI11:$AI$39)=0,"",SUMIF(AJ11:$AJ$39,"=" &amp; AJ10,AI11:$AI$39)))</f>
        <v>0.1</v>
      </c>
      <c r="AJ10" s="87">
        <f t="shared" ref="AJ10:AJ39" si="34">IF(OR(Z10=1,Z10=2,AA10&lt;AA9),AJ9+1,AJ9)</f>
        <v>0</v>
      </c>
      <c r="AK10" s="206">
        <f t="shared" si="27"/>
        <v>2</v>
      </c>
      <c r="AL10" s="160" t="str">
        <f t="shared" si="28"/>
        <v/>
      </c>
      <c r="AM10" s="160" t="str">
        <f t="shared" ref="AM10:AM39" si="35">IF(ISNUMBER(AK10),IF(ISNUMBER(AL10),1,""),"")</f>
        <v/>
      </c>
      <c r="AN10" s="160" t="str">
        <f t="shared" si="5"/>
        <v/>
      </c>
      <c r="AO10" s="160" t="str">
        <f t="shared" si="6"/>
        <v/>
      </c>
      <c r="AP10" s="206" t="b">
        <f t="shared" si="7"/>
        <v>1</v>
      </c>
      <c r="AQ10" s="157">
        <f t="shared" si="29"/>
        <v>1</v>
      </c>
      <c r="AR10" s="88" t="str">
        <f t="shared" si="8"/>
        <v/>
      </c>
      <c r="AS10" s="89">
        <f t="shared" si="30"/>
        <v>0</v>
      </c>
      <c r="AT10" s="88" t="str">
        <f t="shared" si="9"/>
        <v/>
      </c>
      <c r="AU10" s="158">
        <f t="shared" si="10"/>
        <v>0</v>
      </c>
      <c r="AV10" s="90" t="str">
        <f t="shared" si="11"/>
        <v/>
      </c>
      <c r="AW10" s="158" t="b">
        <f t="shared" si="12"/>
        <v>0</v>
      </c>
      <c r="AX10" s="159" t="b">
        <f t="shared" si="13"/>
        <v>1</v>
      </c>
      <c r="AY10" s="158" t="b">
        <f t="shared" si="14"/>
        <v>0</v>
      </c>
      <c r="AZ10" s="159" t="b">
        <f t="shared" si="15"/>
        <v>0</v>
      </c>
      <c r="BA10" s="206" t="b">
        <f t="shared" si="16"/>
        <v>0</v>
      </c>
      <c r="BB10" s="206" t="b">
        <f t="shared" si="17"/>
        <v>0</v>
      </c>
      <c r="BC10" s="158" t="b">
        <f t="shared" si="18"/>
        <v>0</v>
      </c>
      <c r="BD10" s="160" t="b">
        <f t="shared" si="31"/>
        <v>0</v>
      </c>
      <c r="BE10" s="159" t="b">
        <f t="shared" si="19"/>
        <v>0</v>
      </c>
      <c r="BF10" s="161" t="b">
        <f t="shared" si="20"/>
        <v>0</v>
      </c>
      <c r="BG10" s="206" t="b">
        <f t="shared" si="21"/>
        <v>1</v>
      </c>
      <c r="BH10" s="206">
        <f t="shared" si="32"/>
        <v>1</v>
      </c>
      <c r="BI10" s="206">
        <f t="shared" si="22"/>
        <v>2</v>
      </c>
      <c r="BJ10" s="206" t="str">
        <f t="shared" si="23"/>
        <v>2</v>
      </c>
      <c r="BK10" s="206">
        <f t="shared" si="24"/>
        <v>3</v>
      </c>
      <c r="BL10" s="162">
        <f t="shared" si="33"/>
        <v>1</v>
      </c>
      <c r="BM10" s="206">
        <f t="shared" si="25"/>
        <v>2</v>
      </c>
      <c r="BN10" s="206">
        <f t="shared" si="26"/>
        <v>3</v>
      </c>
      <c r="BO10" s="169">
        <v>0</v>
      </c>
      <c r="BP10" s="170" t="s">
        <v>287</v>
      </c>
    </row>
    <row r="11" spans="2:73" s="105" customFormat="1" ht="12.95" customHeight="1" x14ac:dyDescent="0.2">
      <c r="B11" s="165" t="str">
        <f>IF(ISNA(Z11),"",IF(OR(Z11=1,Z11=2),"    ",MAX($B$8:B10)+1))</f>
        <v xml:space="preserve">    </v>
      </c>
      <c r="C11" s="1375" t="str">
        <f t="shared" si="0"/>
        <v>Test Planning (50.0%)</v>
      </c>
      <c r="D11" s="1375"/>
      <c r="E11" s="1375"/>
      <c r="F11" s="1376"/>
      <c r="G11" s="152" t="str">
        <f t="shared" si="1"/>
        <v/>
      </c>
      <c r="H11" s="153" t="str">
        <f t="shared" si="2"/>
        <v/>
      </c>
      <c r="I11" s="166" t="str">
        <f t="shared" si="2"/>
        <v/>
      </c>
      <c r="J11" s="172"/>
      <c r="K11" s="173"/>
      <c r="L11" s="1075"/>
      <c r="M11" s="1076"/>
      <c r="N11" s="1076"/>
      <c r="O11" s="1076"/>
      <c r="P11" s="1076"/>
      <c r="Q11" s="1076"/>
      <c r="R11" s="1077"/>
      <c r="T11" s="119">
        <v>4</v>
      </c>
      <c r="U11" s="110" t="s">
        <v>305</v>
      </c>
      <c r="V11" s="206" t="s">
        <v>212</v>
      </c>
      <c r="W11" s="206" t="s">
        <v>212</v>
      </c>
      <c r="X11" s="206" t="s">
        <v>212</v>
      </c>
      <c r="Y11" s="206" t="s">
        <v>212</v>
      </c>
      <c r="Z11" s="160">
        <v>2</v>
      </c>
      <c r="AA11" s="160">
        <v>1</v>
      </c>
      <c r="AB11" s="160">
        <v>1</v>
      </c>
      <c r="AC11" s="206" t="s">
        <v>212</v>
      </c>
      <c r="AD11" s="206" t="s">
        <v>212</v>
      </c>
      <c r="AE11" s="206" t="s">
        <v>212</v>
      </c>
      <c r="AF11" s="206" t="s">
        <v>212</v>
      </c>
      <c r="AG11" s="206" t="str">
        <f t="shared" si="3"/>
        <v/>
      </c>
      <c r="AH11" s="206" t="str">
        <f t="shared" si="4"/>
        <v/>
      </c>
      <c r="AI11" s="86">
        <f>IF(NOT(OR(Z11=1,Z11=2)),IF(AQ11&gt;0,$AR$44*AQ11/SUMIF($AQ$8:$AQ$39,"&gt;0"),IF(AU11&gt;0,$AV$44*AU11/SUMIF($AU$8:$AU$39,"&gt;0"),IF(AS11&gt;0,$AT$44*AS11/SUMIF($AS$8:$AS$39,"&gt;0"),""))),IF(SUMIF(AJ12:$AJ$39,"=" &amp; AJ11,AI12:$AI$39)=0,"",SUMIF(AJ12:$AJ$39,"=" &amp; AJ11,AI12:$AI$39)))</f>
        <v>0.5</v>
      </c>
      <c r="AJ11" s="87">
        <f t="shared" si="34"/>
        <v>1</v>
      </c>
      <c r="AK11" s="206" t="str">
        <f t="shared" si="27"/>
        <v/>
      </c>
      <c r="AL11" s="160" t="str">
        <f t="shared" si="28"/>
        <v/>
      </c>
      <c r="AM11" s="160" t="str">
        <f t="shared" si="35"/>
        <v/>
      </c>
      <c r="AN11" s="160" t="str">
        <f t="shared" si="5"/>
        <v/>
      </c>
      <c r="AO11" s="160" t="str">
        <f t="shared" si="6"/>
        <v/>
      </c>
      <c r="AP11" s="206" t="str">
        <f t="shared" si="7"/>
        <v/>
      </c>
      <c r="AQ11" s="157">
        <f t="shared" si="29"/>
        <v>0</v>
      </c>
      <c r="AR11" s="88" t="str">
        <f t="shared" si="8"/>
        <v/>
      </c>
      <c r="AS11" s="89">
        <f t="shared" si="30"/>
        <v>0</v>
      </c>
      <c r="AT11" s="88" t="str">
        <f t="shared" si="9"/>
        <v/>
      </c>
      <c r="AU11" s="158">
        <f t="shared" si="10"/>
        <v>0</v>
      </c>
      <c r="AV11" s="90" t="str">
        <f t="shared" si="11"/>
        <v/>
      </c>
      <c r="AW11" s="158" t="b">
        <f t="shared" si="12"/>
        <v>0</v>
      </c>
      <c r="AX11" s="159" t="b">
        <f t="shared" si="13"/>
        <v>0</v>
      </c>
      <c r="AY11" s="158" t="b">
        <f t="shared" si="14"/>
        <v>0</v>
      </c>
      <c r="AZ11" s="159" t="b">
        <f t="shared" si="15"/>
        <v>0</v>
      </c>
      <c r="BA11" s="206" t="b">
        <f t="shared" si="16"/>
        <v>0</v>
      </c>
      <c r="BB11" s="206" t="b">
        <f t="shared" si="17"/>
        <v>0</v>
      </c>
      <c r="BC11" s="158" t="b">
        <f t="shared" si="18"/>
        <v>0</v>
      </c>
      <c r="BD11" s="160" t="b">
        <f t="shared" si="31"/>
        <v>0</v>
      </c>
      <c r="BE11" s="159" t="b">
        <f t="shared" si="19"/>
        <v>0</v>
      </c>
      <c r="BF11" s="161" t="b">
        <f t="shared" si="20"/>
        <v>0</v>
      </c>
      <c r="BG11" s="206" t="b">
        <f t="shared" si="21"/>
        <v>0</v>
      </c>
      <c r="BH11" s="206" t="str">
        <f t="shared" si="32"/>
        <v/>
      </c>
      <c r="BI11" s="206" t="str">
        <f t="shared" si="22"/>
        <v/>
      </c>
      <c r="BJ11" s="206" t="str">
        <f t="shared" si="23"/>
        <v/>
      </c>
      <c r="BK11" s="206" t="str">
        <f t="shared" si="24"/>
        <v/>
      </c>
      <c r="BL11" s="162" t="str">
        <f t="shared" si="33"/>
        <v/>
      </c>
      <c r="BM11" s="206" t="str">
        <f t="shared" si="25"/>
        <v/>
      </c>
      <c r="BN11" s="206" t="str">
        <f t="shared" si="26"/>
        <v/>
      </c>
      <c r="BO11" s="169">
        <v>1</v>
      </c>
      <c r="BP11" s="170" t="s">
        <v>288</v>
      </c>
    </row>
    <row r="12" spans="2:73" s="105" customFormat="1" ht="12.95" customHeight="1" x14ac:dyDescent="0.2">
      <c r="B12" s="165">
        <f>IF(ISNA(Z12),"",IF(OR(Z12=1,Z12=2),"    ",MAX($B$8:B11)+1))</f>
        <v>3</v>
      </c>
      <c r="C12" s="1375" t="str">
        <f t="shared" si="0"/>
        <v xml:space="preserve">      - Specific Test Objectives (10.0%)</v>
      </c>
      <c r="D12" s="1375"/>
      <c r="E12" s="1375"/>
      <c r="F12" s="1376"/>
      <c r="G12" s="152">
        <f t="shared" si="1"/>
        <v>1</v>
      </c>
      <c r="H12" s="153" t="str">
        <f t="shared" si="2"/>
        <v>2*</v>
      </c>
      <c r="I12" s="166">
        <f t="shared" si="2"/>
        <v>3</v>
      </c>
      <c r="J12" s="171"/>
      <c r="K12" s="168"/>
      <c r="L12" s="1075"/>
      <c r="M12" s="1076"/>
      <c r="N12" s="1076"/>
      <c r="O12" s="1076"/>
      <c r="P12" s="1076"/>
      <c r="Q12" s="1076"/>
      <c r="R12" s="1077"/>
      <c r="T12" s="119">
        <v>5</v>
      </c>
      <c r="U12" s="110" t="s">
        <v>306</v>
      </c>
      <c r="V12" s="206">
        <v>1</v>
      </c>
      <c r="W12" s="206">
        <v>1</v>
      </c>
      <c r="X12" s="206" t="s">
        <v>212</v>
      </c>
      <c r="Y12" s="206" t="s">
        <v>212</v>
      </c>
      <c r="Z12" s="160" t="s">
        <v>212</v>
      </c>
      <c r="AA12" s="160">
        <v>2</v>
      </c>
      <c r="AB12" s="160">
        <v>1</v>
      </c>
      <c r="AC12" s="206">
        <v>3</v>
      </c>
      <c r="AD12" s="206">
        <v>2</v>
      </c>
      <c r="AE12" s="206">
        <v>1</v>
      </c>
      <c r="AF12" s="206" t="b">
        <v>1</v>
      </c>
      <c r="AG12" s="206">
        <f t="shared" si="3"/>
        <v>2</v>
      </c>
      <c r="AH12" s="206">
        <f t="shared" si="4"/>
        <v>1</v>
      </c>
      <c r="AI12" s="86">
        <f>IF(NOT(OR(Z12=1,Z12=2)),IF(AQ12&gt;0,$AR$44*AQ12/SUMIF($AQ$8:$AQ$39,"&gt;0"),IF(AU12&gt;0,$AV$44*AU12/SUMIF($AU$8:$AU$39,"&gt;0"),IF(AS12&gt;0,$AT$44*AS12/SUMIF($AS$8:$AS$39,"&gt;0"),""))),IF(SUMIF(AJ13:$AJ$39,"=" &amp; AJ12,AI13:$AI$39)=0,"",SUMIF(AJ13:$AJ$39,"=" &amp; AJ12,AI13:$AI$39)))</f>
        <v>0.1</v>
      </c>
      <c r="AJ12" s="87">
        <f t="shared" si="34"/>
        <v>1</v>
      </c>
      <c r="AK12" s="206">
        <f t="shared" si="27"/>
        <v>2</v>
      </c>
      <c r="AL12" s="160" t="str">
        <f t="shared" si="28"/>
        <v/>
      </c>
      <c r="AM12" s="160" t="str">
        <f t="shared" si="35"/>
        <v/>
      </c>
      <c r="AN12" s="160" t="str">
        <f t="shared" si="5"/>
        <v/>
      </c>
      <c r="AO12" s="160" t="str">
        <f t="shared" si="6"/>
        <v/>
      </c>
      <c r="AP12" s="206" t="b">
        <f t="shared" si="7"/>
        <v>1</v>
      </c>
      <c r="AQ12" s="157">
        <f t="shared" si="29"/>
        <v>1</v>
      </c>
      <c r="AR12" s="88" t="str">
        <f t="shared" si="8"/>
        <v/>
      </c>
      <c r="AS12" s="89">
        <f t="shared" si="30"/>
        <v>0</v>
      </c>
      <c r="AT12" s="88" t="str">
        <f t="shared" si="9"/>
        <v/>
      </c>
      <c r="AU12" s="158">
        <f t="shared" si="10"/>
        <v>0</v>
      </c>
      <c r="AV12" s="90" t="str">
        <f t="shared" si="11"/>
        <v/>
      </c>
      <c r="AW12" s="158" t="b">
        <f t="shared" si="12"/>
        <v>0</v>
      </c>
      <c r="AX12" s="159" t="b">
        <f t="shared" si="13"/>
        <v>1</v>
      </c>
      <c r="AY12" s="158" t="b">
        <f t="shared" si="14"/>
        <v>0</v>
      </c>
      <c r="AZ12" s="159" t="b">
        <f t="shared" si="15"/>
        <v>0</v>
      </c>
      <c r="BA12" s="206" t="b">
        <f t="shared" si="16"/>
        <v>0</v>
      </c>
      <c r="BB12" s="206" t="b">
        <f t="shared" si="17"/>
        <v>0</v>
      </c>
      <c r="BC12" s="158" t="b">
        <f t="shared" si="18"/>
        <v>0</v>
      </c>
      <c r="BD12" s="160" t="b">
        <f t="shared" si="31"/>
        <v>0</v>
      </c>
      <c r="BE12" s="159" t="b">
        <f t="shared" si="19"/>
        <v>0</v>
      </c>
      <c r="BF12" s="161" t="b">
        <f t="shared" si="20"/>
        <v>0</v>
      </c>
      <c r="BG12" s="206" t="b">
        <f t="shared" si="21"/>
        <v>1</v>
      </c>
      <c r="BH12" s="206">
        <f t="shared" si="32"/>
        <v>1</v>
      </c>
      <c r="BI12" s="206">
        <f t="shared" si="22"/>
        <v>2</v>
      </c>
      <c r="BJ12" s="206" t="str">
        <f t="shared" si="23"/>
        <v>2*</v>
      </c>
      <c r="BK12" s="206">
        <f t="shared" si="24"/>
        <v>3</v>
      </c>
      <c r="BL12" s="162">
        <f t="shared" si="33"/>
        <v>1</v>
      </c>
      <c r="BM12" s="206">
        <f t="shared" si="25"/>
        <v>2</v>
      </c>
      <c r="BN12" s="206">
        <f t="shared" si="26"/>
        <v>3</v>
      </c>
      <c r="BO12" s="169">
        <v>2</v>
      </c>
      <c r="BP12" s="170" t="s">
        <v>218</v>
      </c>
    </row>
    <row r="13" spans="2:73" s="105" customFormat="1" ht="12.95" customHeight="1" x14ac:dyDescent="0.2">
      <c r="B13" s="165">
        <f>IF(ISNA(Z13),"",IF(OR(Z13=1,Z13=2),"    ",MAX($B$8:B12)+1))</f>
        <v>4</v>
      </c>
      <c r="C13" s="1375" t="str">
        <f t="shared" si="0"/>
        <v xml:space="preserve">      - Evaluation Elements (10.0%)</v>
      </c>
      <c r="D13" s="1375"/>
      <c r="E13" s="1375"/>
      <c r="F13" s="1376"/>
      <c r="G13" s="152">
        <f t="shared" si="1"/>
        <v>1</v>
      </c>
      <c r="H13" s="153" t="str">
        <f t="shared" si="2"/>
        <v>2</v>
      </c>
      <c r="I13" s="166">
        <f t="shared" si="2"/>
        <v>3</v>
      </c>
      <c r="J13" s="171"/>
      <c r="K13" s="168"/>
      <c r="L13" s="1075"/>
      <c r="M13" s="1076"/>
      <c r="N13" s="1076"/>
      <c r="O13" s="1076"/>
      <c r="P13" s="1076"/>
      <c r="Q13" s="1076"/>
      <c r="R13" s="1077"/>
      <c r="T13" s="119">
        <v>6</v>
      </c>
      <c r="U13" s="110" t="s">
        <v>307</v>
      </c>
      <c r="V13" s="206">
        <v>1</v>
      </c>
      <c r="W13" s="206">
        <v>1</v>
      </c>
      <c r="X13" s="206" t="s">
        <v>212</v>
      </c>
      <c r="Y13" s="206" t="s">
        <v>212</v>
      </c>
      <c r="Z13" s="160" t="s">
        <v>212</v>
      </c>
      <c r="AA13" s="160">
        <v>2</v>
      </c>
      <c r="AB13" s="160">
        <v>1</v>
      </c>
      <c r="AC13" s="206">
        <v>3</v>
      </c>
      <c r="AD13" s="206">
        <v>2</v>
      </c>
      <c r="AE13" s="206">
        <v>0</v>
      </c>
      <c r="AF13" s="206" t="b">
        <v>1</v>
      </c>
      <c r="AG13" s="206">
        <f t="shared" si="3"/>
        <v>2</v>
      </c>
      <c r="AH13" s="206">
        <f t="shared" si="4"/>
        <v>1</v>
      </c>
      <c r="AI13" s="86">
        <f>IF(NOT(OR(Z13=1,Z13=2)),IF(AQ13&gt;0,$AR$44*AQ13/SUMIF($AQ$8:$AQ$39,"&gt;0"),IF(AU13&gt;0,$AV$44*AU13/SUMIF($AU$8:$AU$39,"&gt;0"),IF(AS13&gt;0,$AT$44*AS13/SUMIF($AS$8:$AS$39,"&gt;0"),""))),IF(SUMIF(AJ14:$AJ$39,"=" &amp; AJ13,AI14:$AI$39)=0,"",SUMIF(AJ14:$AJ$39,"=" &amp; AJ13,AI14:$AI$39)))</f>
        <v>0.1</v>
      </c>
      <c r="AJ13" s="87">
        <f t="shared" si="34"/>
        <v>1</v>
      </c>
      <c r="AK13" s="206">
        <f t="shared" si="27"/>
        <v>2</v>
      </c>
      <c r="AL13" s="160" t="str">
        <f t="shared" si="28"/>
        <v/>
      </c>
      <c r="AM13" s="160" t="str">
        <f t="shared" si="35"/>
        <v/>
      </c>
      <c r="AN13" s="160" t="str">
        <f t="shared" si="5"/>
        <v/>
      </c>
      <c r="AO13" s="160" t="str">
        <f t="shared" si="6"/>
        <v/>
      </c>
      <c r="AP13" s="206" t="b">
        <f t="shared" si="7"/>
        <v>1</v>
      </c>
      <c r="AQ13" s="157">
        <f t="shared" si="29"/>
        <v>1</v>
      </c>
      <c r="AR13" s="88" t="str">
        <f t="shared" si="8"/>
        <v/>
      </c>
      <c r="AS13" s="89">
        <f t="shared" si="30"/>
        <v>0</v>
      </c>
      <c r="AT13" s="88" t="str">
        <f t="shared" si="9"/>
        <v/>
      </c>
      <c r="AU13" s="158">
        <f t="shared" si="10"/>
        <v>0</v>
      </c>
      <c r="AV13" s="90" t="str">
        <f t="shared" si="11"/>
        <v/>
      </c>
      <c r="AW13" s="158" t="b">
        <f t="shared" si="12"/>
        <v>0</v>
      </c>
      <c r="AX13" s="159" t="b">
        <f t="shared" si="13"/>
        <v>1</v>
      </c>
      <c r="AY13" s="158" t="b">
        <f t="shared" si="14"/>
        <v>0</v>
      </c>
      <c r="AZ13" s="159" t="b">
        <f t="shared" si="15"/>
        <v>0</v>
      </c>
      <c r="BA13" s="206" t="b">
        <f t="shared" si="16"/>
        <v>0</v>
      </c>
      <c r="BB13" s="206" t="b">
        <f t="shared" si="17"/>
        <v>0</v>
      </c>
      <c r="BC13" s="158" t="b">
        <f t="shared" si="18"/>
        <v>0</v>
      </c>
      <c r="BD13" s="160" t="b">
        <f t="shared" si="31"/>
        <v>0</v>
      </c>
      <c r="BE13" s="159" t="b">
        <f t="shared" si="19"/>
        <v>0</v>
      </c>
      <c r="BF13" s="161" t="b">
        <f t="shared" si="20"/>
        <v>0</v>
      </c>
      <c r="BG13" s="206" t="b">
        <f t="shared" si="21"/>
        <v>1</v>
      </c>
      <c r="BH13" s="206">
        <f t="shared" si="32"/>
        <v>1</v>
      </c>
      <c r="BI13" s="206">
        <f t="shared" si="22"/>
        <v>2</v>
      </c>
      <c r="BJ13" s="206" t="str">
        <f t="shared" si="23"/>
        <v>2</v>
      </c>
      <c r="BK13" s="206">
        <f t="shared" si="24"/>
        <v>3</v>
      </c>
      <c r="BL13" s="162">
        <f t="shared" si="33"/>
        <v>1</v>
      </c>
      <c r="BM13" s="206">
        <f t="shared" si="25"/>
        <v>2</v>
      </c>
      <c r="BN13" s="206">
        <f t="shared" si="26"/>
        <v>3</v>
      </c>
      <c r="BO13" s="169">
        <v>3</v>
      </c>
      <c r="BP13" s="170" t="s">
        <v>220</v>
      </c>
    </row>
    <row r="14" spans="2:73" s="105" customFormat="1" ht="12.95" customHeight="1" x14ac:dyDescent="0.2">
      <c r="B14" s="165">
        <f>IF(ISNA(Z14),"",IF(OR(Z14=1,Z14=2),"    ",MAX($B$8:B13)+1))</f>
        <v>5</v>
      </c>
      <c r="C14" s="1375" t="str">
        <f t="shared" si="0"/>
        <v xml:space="preserve">      - Description (10.0%)</v>
      </c>
      <c r="D14" s="1375"/>
      <c r="E14" s="1375"/>
      <c r="F14" s="1376"/>
      <c r="G14" s="152">
        <f t="shared" si="1"/>
        <v>1</v>
      </c>
      <c r="H14" s="153" t="str">
        <f t="shared" si="2"/>
        <v>2</v>
      </c>
      <c r="I14" s="166">
        <f t="shared" si="2"/>
        <v>3</v>
      </c>
      <c r="J14" s="171"/>
      <c r="K14" s="168"/>
      <c r="L14" s="1075"/>
      <c r="M14" s="1076"/>
      <c r="N14" s="1076"/>
      <c r="O14" s="1076"/>
      <c r="P14" s="1076"/>
      <c r="Q14" s="1076"/>
      <c r="R14" s="1077"/>
      <c r="T14" s="119">
        <v>7</v>
      </c>
      <c r="U14" s="110" t="s">
        <v>308</v>
      </c>
      <c r="V14" s="206">
        <v>1</v>
      </c>
      <c r="W14" s="206">
        <v>1</v>
      </c>
      <c r="X14" s="206" t="s">
        <v>212</v>
      </c>
      <c r="Y14" s="206" t="s">
        <v>212</v>
      </c>
      <c r="Z14" s="160" t="s">
        <v>212</v>
      </c>
      <c r="AA14" s="160">
        <v>2</v>
      </c>
      <c r="AB14" s="160">
        <v>1</v>
      </c>
      <c r="AC14" s="206">
        <v>3</v>
      </c>
      <c r="AD14" s="206">
        <v>2</v>
      </c>
      <c r="AE14" s="206">
        <v>0</v>
      </c>
      <c r="AF14" s="206" t="b">
        <v>1</v>
      </c>
      <c r="AG14" s="206">
        <f t="shared" si="3"/>
        <v>2</v>
      </c>
      <c r="AH14" s="206">
        <f t="shared" si="4"/>
        <v>1</v>
      </c>
      <c r="AI14" s="86">
        <f>IF(NOT(OR(Z14=1,Z14=2)),IF(AQ14&gt;0,$AR$44*AQ14/SUMIF($AQ$8:$AQ$39,"&gt;0"),IF(AU14&gt;0,$AV$44*AU14/SUMIF($AU$8:$AU$39,"&gt;0"),IF(AS14&gt;0,$AT$44*AS14/SUMIF($AS$8:$AS$39,"&gt;0"),""))),IF(SUMIF(AJ15:$AJ$39,"=" &amp; AJ14,AI15:$AI$39)=0,"",SUMIF(AJ15:$AJ$39,"=" &amp; AJ14,AI15:$AI$39)))</f>
        <v>0.1</v>
      </c>
      <c r="AJ14" s="87">
        <f t="shared" si="34"/>
        <v>1</v>
      </c>
      <c r="AK14" s="206">
        <f t="shared" si="27"/>
        <v>2</v>
      </c>
      <c r="AL14" s="160" t="str">
        <f t="shared" si="28"/>
        <v/>
      </c>
      <c r="AM14" s="160" t="str">
        <f t="shared" si="35"/>
        <v/>
      </c>
      <c r="AN14" s="160" t="str">
        <f t="shared" si="5"/>
        <v/>
      </c>
      <c r="AO14" s="160" t="str">
        <f t="shared" si="6"/>
        <v/>
      </c>
      <c r="AP14" s="206" t="b">
        <f t="shared" si="7"/>
        <v>1</v>
      </c>
      <c r="AQ14" s="157">
        <f t="shared" si="29"/>
        <v>1</v>
      </c>
      <c r="AR14" s="88" t="str">
        <f t="shared" si="8"/>
        <v/>
      </c>
      <c r="AS14" s="89">
        <f t="shared" si="30"/>
        <v>0</v>
      </c>
      <c r="AT14" s="88" t="str">
        <f t="shared" si="9"/>
        <v/>
      </c>
      <c r="AU14" s="158">
        <f t="shared" si="10"/>
        <v>0</v>
      </c>
      <c r="AV14" s="90" t="str">
        <f t="shared" si="11"/>
        <v/>
      </c>
      <c r="AW14" s="158" t="b">
        <f t="shared" si="12"/>
        <v>0</v>
      </c>
      <c r="AX14" s="159" t="b">
        <f t="shared" si="13"/>
        <v>1</v>
      </c>
      <c r="AY14" s="158" t="b">
        <f t="shared" si="14"/>
        <v>0</v>
      </c>
      <c r="AZ14" s="159" t="b">
        <f t="shared" si="15"/>
        <v>0</v>
      </c>
      <c r="BA14" s="206" t="b">
        <f t="shared" si="16"/>
        <v>0</v>
      </c>
      <c r="BB14" s="206" t="b">
        <f t="shared" si="17"/>
        <v>0</v>
      </c>
      <c r="BC14" s="158" t="b">
        <f t="shared" si="18"/>
        <v>0</v>
      </c>
      <c r="BD14" s="160" t="b">
        <f t="shared" si="31"/>
        <v>0</v>
      </c>
      <c r="BE14" s="159" t="b">
        <f t="shared" si="19"/>
        <v>0</v>
      </c>
      <c r="BF14" s="161" t="b">
        <f t="shared" si="20"/>
        <v>0</v>
      </c>
      <c r="BG14" s="206" t="b">
        <f t="shared" si="21"/>
        <v>1</v>
      </c>
      <c r="BH14" s="206">
        <f t="shared" si="32"/>
        <v>1</v>
      </c>
      <c r="BI14" s="206">
        <f t="shared" si="22"/>
        <v>2</v>
      </c>
      <c r="BJ14" s="206" t="str">
        <f t="shared" si="23"/>
        <v>2</v>
      </c>
      <c r="BK14" s="206">
        <f t="shared" si="24"/>
        <v>3</v>
      </c>
      <c r="BL14" s="162">
        <f t="shared" si="33"/>
        <v>1</v>
      </c>
      <c r="BM14" s="206">
        <f t="shared" si="25"/>
        <v>2</v>
      </c>
      <c r="BN14" s="206">
        <f t="shared" si="26"/>
        <v>3</v>
      </c>
      <c r="BO14" s="169">
        <v>4</v>
      </c>
      <c r="BP14" s="170" t="s">
        <v>222</v>
      </c>
    </row>
    <row r="15" spans="2:73" s="105" customFormat="1" ht="12.95" customHeight="1" x14ac:dyDescent="0.2">
      <c r="B15" s="165">
        <f>IF(ISNA(Z15),"",IF(OR(Z15=1,Z15=2),"    ",MAX($B$8:B14)+1))</f>
        <v>6</v>
      </c>
      <c r="C15" s="1375" t="str">
        <f t="shared" si="0"/>
        <v xml:space="preserve">      - Test Methodology (10.0%)</v>
      </c>
      <c r="D15" s="1375"/>
      <c r="E15" s="1375"/>
      <c r="F15" s="1376"/>
      <c r="G15" s="152">
        <f t="shared" si="1"/>
        <v>1</v>
      </c>
      <c r="H15" s="153" t="str">
        <f t="shared" si="2"/>
        <v>2</v>
      </c>
      <c r="I15" s="166">
        <f t="shared" si="2"/>
        <v>3</v>
      </c>
      <c r="J15" s="171"/>
      <c r="K15" s="168"/>
      <c r="L15" s="1075"/>
      <c r="M15" s="1076"/>
      <c r="N15" s="1076"/>
      <c r="O15" s="1076"/>
      <c r="P15" s="1076"/>
      <c r="Q15" s="1076"/>
      <c r="R15" s="1077"/>
      <c r="T15" s="119">
        <v>8</v>
      </c>
      <c r="U15" s="110" t="s">
        <v>309</v>
      </c>
      <c r="V15" s="206">
        <v>1</v>
      </c>
      <c r="W15" s="206">
        <v>1</v>
      </c>
      <c r="X15" s="206" t="s">
        <v>212</v>
      </c>
      <c r="Y15" s="206" t="s">
        <v>212</v>
      </c>
      <c r="Z15" s="160" t="s">
        <v>212</v>
      </c>
      <c r="AA15" s="160">
        <v>2</v>
      </c>
      <c r="AB15" s="160">
        <v>1</v>
      </c>
      <c r="AC15" s="206">
        <v>3</v>
      </c>
      <c r="AD15" s="206">
        <v>2</v>
      </c>
      <c r="AE15" s="206">
        <v>0</v>
      </c>
      <c r="AF15" s="206" t="b">
        <v>1</v>
      </c>
      <c r="AG15" s="206">
        <f t="shared" si="3"/>
        <v>2</v>
      </c>
      <c r="AH15" s="206">
        <f t="shared" si="4"/>
        <v>1</v>
      </c>
      <c r="AI15" s="86">
        <f>IF(NOT(OR(Z15=1,Z15=2)),IF(AQ15&gt;0,$AR$44*AQ15/SUMIF($AQ$8:$AQ$39,"&gt;0"),IF(AU15&gt;0,$AV$44*AU15/SUMIF($AU$8:$AU$39,"&gt;0"),IF(AS15&gt;0,$AT$44*AS15/SUMIF($AS$8:$AS$39,"&gt;0"),""))),IF(SUMIF(AJ16:$AJ$39,"=" &amp; AJ15,AI16:$AI$39)=0,"",SUMIF(AJ16:$AJ$39,"=" &amp; AJ15,AI16:$AI$39)))</f>
        <v>0.1</v>
      </c>
      <c r="AJ15" s="87">
        <f t="shared" si="34"/>
        <v>1</v>
      </c>
      <c r="AK15" s="206">
        <f t="shared" si="27"/>
        <v>2</v>
      </c>
      <c r="AL15" s="160" t="str">
        <f t="shared" si="28"/>
        <v/>
      </c>
      <c r="AM15" s="160" t="str">
        <f t="shared" si="35"/>
        <v/>
      </c>
      <c r="AN15" s="160" t="str">
        <f t="shared" si="5"/>
        <v/>
      </c>
      <c r="AO15" s="160" t="str">
        <f t="shared" si="6"/>
        <v/>
      </c>
      <c r="AP15" s="206" t="b">
        <f t="shared" si="7"/>
        <v>1</v>
      </c>
      <c r="AQ15" s="157">
        <f t="shared" si="29"/>
        <v>1</v>
      </c>
      <c r="AR15" s="88" t="str">
        <f t="shared" si="8"/>
        <v/>
      </c>
      <c r="AS15" s="89">
        <f t="shared" si="30"/>
        <v>0</v>
      </c>
      <c r="AT15" s="88" t="str">
        <f t="shared" si="9"/>
        <v/>
      </c>
      <c r="AU15" s="158">
        <f t="shared" si="10"/>
        <v>0</v>
      </c>
      <c r="AV15" s="90" t="str">
        <f t="shared" si="11"/>
        <v/>
      </c>
      <c r="AW15" s="158" t="b">
        <f t="shared" si="12"/>
        <v>0</v>
      </c>
      <c r="AX15" s="159" t="b">
        <f t="shared" si="13"/>
        <v>1</v>
      </c>
      <c r="AY15" s="158" t="b">
        <f t="shared" si="14"/>
        <v>0</v>
      </c>
      <c r="AZ15" s="159" t="b">
        <f t="shared" si="15"/>
        <v>0</v>
      </c>
      <c r="BA15" s="206" t="b">
        <f t="shared" si="16"/>
        <v>0</v>
      </c>
      <c r="BB15" s="206" t="b">
        <f t="shared" si="17"/>
        <v>0</v>
      </c>
      <c r="BC15" s="158" t="b">
        <f t="shared" si="18"/>
        <v>0</v>
      </c>
      <c r="BD15" s="160" t="b">
        <f t="shared" si="31"/>
        <v>0</v>
      </c>
      <c r="BE15" s="159" t="b">
        <f t="shared" si="19"/>
        <v>0</v>
      </c>
      <c r="BF15" s="161" t="b">
        <f t="shared" si="20"/>
        <v>0</v>
      </c>
      <c r="BG15" s="206" t="b">
        <f t="shared" si="21"/>
        <v>1</v>
      </c>
      <c r="BH15" s="206">
        <f t="shared" si="32"/>
        <v>1</v>
      </c>
      <c r="BI15" s="206">
        <f t="shared" si="22"/>
        <v>2</v>
      </c>
      <c r="BJ15" s="206" t="str">
        <f t="shared" si="23"/>
        <v>2</v>
      </c>
      <c r="BK15" s="206">
        <f t="shared" si="24"/>
        <v>3</v>
      </c>
      <c r="BL15" s="162">
        <f t="shared" si="33"/>
        <v>1</v>
      </c>
      <c r="BM15" s="206">
        <f t="shared" si="25"/>
        <v>2</v>
      </c>
      <c r="BN15" s="206">
        <f t="shared" si="26"/>
        <v>3</v>
      </c>
      <c r="BO15" s="106"/>
    </row>
    <row r="16" spans="2:73" s="105" customFormat="1" ht="12.95" customHeight="1" x14ac:dyDescent="0.2">
      <c r="B16" s="165">
        <f>IF(ISNA(Z16),"",IF(OR(Z16=1,Z16=2),"    ",MAX($B$8:B15)+1))</f>
        <v>7</v>
      </c>
      <c r="C16" s="1375" t="str">
        <f t="shared" si="0"/>
        <v xml:space="preserve">      - Evaluation Criteria (10.0%)</v>
      </c>
      <c r="D16" s="1375"/>
      <c r="E16" s="1375"/>
      <c r="F16" s="1376"/>
      <c r="G16" s="152">
        <f t="shared" si="1"/>
        <v>1</v>
      </c>
      <c r="H16" s="153" t="str">
        <f t="shared" si="2"/>
        <v>2</v>
      </c>
      <c r="I16" s="166">
        <f t="shared" si="2"/>
        <v>3</v>
      </c>
      <c r="J16" s="171"/>
      <c r="K16" s="168"/>
      <c r="L16" s="1075"/>
      <c r="M16" s="1076"/>
      <c r="N16" s="1076"/>
      <c r="O16" s="1076"/>
      <c r="P16" s="1076"/>
      <c r="Q16" s="1076"/>
      <c r="R16" s="1077"/>
      <c r="T16" s="119">
        <v>9</v>
      </c>
      <c r="U16" s="110" t="s">
        <v>310</v>
      </c>
      <c r="V16" s="206">
        <v>1</v>
      </c>
      <c r="W16" s="206">
        <v>1</v>
      </c>
      <c r="X16" s="206" t="s">
        <v>212</v>
      </c>
      <c r="Y16" s="206" t="s">
        <v>212</v>
      </c>
      <c r="Z16" s="160" t="s">
        <v>212</v>
      </c>
      <c r="AA16" s="160">
        <v>2</v>
      </c>
      <c r="AB16" s="160">
        <v>1</v>
      </c>
      <c r="AC16" s="206">
        <v>3</v>
      </c>
      <c r="AD16" s="206">
        <v>2</v>
      </c>
      <c r="AE16" s="206">
        <v>0</v>
      </c>
      <c r="AF16" s="206" t="b">
        <v>1</v>
      </c>
      <c r="AG16" s="206">
        <f t="shared" si="3"/>
        <v>2</v>
      </c>
      <c r="AH16" s="206">
        <f t="shared" si="4"/>
        <v>1</v>
      </c>
      <c r="AI16" s="86">
        <f>IF(NOT(OR(Z16=1,Z16=2)),IF(AQ16&gt;0,$AR$44*AQ16/SUMIF($AQ$8:$AQ$39,"&gt;0"),IF(AU16&gt;0,$AV$44*AU16/SUMIF($AU$8:$AU$39,"&gt;0"),IF(AS16&gt;0,$AT$44*AS16/SUMIF($AS$8:$AS$39,"&gt;0"),""))),IF(SUMIF(AJ17:$AJ$39,"=" &amp; AJ16,AI17:$AI$39)=0,"",SUMIF(AJ17:$AJ$39,"=" &amp; AJ16,AI17:$AI$39)))</f>
        <v>0.1</v>
      </c>
      <c r="AJ16" s="87">
        <f t="shared" si="34"/>
        <v>1</v>
      </c>
      <c r="AK16" s="206">
        <f t="shared" si="27"/>
        <v>2</v>
      </c>
      <c r="AL16" s="160" t="str">
        <f t="shared" si="28"/>
        <v/>
      </c>
      <c r="AM16" s="160" t="str">
        <f t="shared" si="35"/>
        <v/>
      </c>
      <c r="AN16" s="160" t="str">
        <f t="shared" si="5"/>
        <v/>
      </c>
      <c r="AO16" s="160" t="str">
        <f t="shared" si="6"/>
        <v/>
      </c>
      <c r="AP16" s="206" t="b">
        <f t="shared" si="7"/>
        <v>1</v>
      </c>
      <c r="AQ16" s="157">
        <f t="shared" si="29"/>
        <v>1</v>
      </c>
      <c r="AR16" s="88" t="str">
        <f t="shared" si="8"/>
        <v/>
      </c>
      <c r="AS16" s="89">
        <f t="shared" si="30"/>
        <v>0</v>
      </c>
      <c r="AT16" s="88" t="str">
        <f t="shared" si="9"/>
        <v/>
      </c>
      <c r="AU16" s="158">
        <f t="shared" si="10"/>
        <v>0</v>
      </c>
      <c r="AV16" s="90" t="str">
        <f t="shared" si="11"/>
        <v/>
      </c>
      <c r="AW16" s="158" t="b">
        <f t="shared" si="12"/>
        <v>0</v>
      </c>
      <c r="AX16" s="159" t="b">
        <f t="shared" si="13"/>
        <v>1</v>
      </c>
      <c r="AY16" s="158" t="b">
        <f t="shared" si="14"/>
        <v>0</v>
      </c>
      <c r="AZ16" s="159" t="b">
        <f t="shared" si="15"/>
        <v>0</v>
      </c>
      <c r="BA16" s="206" t="b">
        <f t="shared" si="16"/>
        <v>0</v>
      </c>
      <c r="BB16" s="206" t="b">
        <f t="shared" si="17"/>
        <v>0</v>
      </c>
      <c r="BC16" s="158" t="b">
        <f t="shared" si="18"/>
        <v>0</v>
      </c>
      <c r="BD16" s="160" t="b">
        <f t="shared" si="31"/>
        <v>0</v>
      </c>
      <c r="BE16" s="159" t="b">
        <f t="shared" si="19"/>
        <v>0</v>
      </c>
      <c r="BF16" s="161" t="b">
        <f t="shared" si="20"/>
        <v>0</v>
      </c>
      <c r="BG16" s="206" t="b">
        <f t="shared" si="21"/>
        <v>1</v>
      </c>
      <c r="BH16" s="206">
        <f t="shared" si="32"/>
        <v>1</v>
      </c>
      <c r="BI16" s="206">
        <f t="shared" si="22"/>
        <v>2</v>
      </c>
      <c r="BJ16" s="206" t="str">
        <f t="shared" si="23"/>
        <v>2</v>
      </c>
      <c r="BK16" s="206">
        <f t="shared" si="24"/>
        <v>3</v>
      </c>
      <c r="BL16" s="162">
        <f t="shared" si="33"/>
        <v>1</v>
      </c>
      <c r="BM16" s="206">
        <f t="shared" si="25"/>
        <v>2</v>
      </c>
      <c r="BN16" s="206">
        <f t="shared" si="26"/>
        <v>3</v>
      </c>
      <c r="BO16" s="169"/>
      <c r="BP16" s="174"/>
    </row>
    <row r="17" spans="2:73" s="105" customFormat="1" ht="12.95" customHeight="1" x14ac:dyDescent="0.2">
      <c r="B17" s="165" t="str">
        <f>IF(ISNA(Z17),"",IF(OR(Z17=1,Z17=2),"    ",MAX($B$8:B16)+1))</f>
        <v xml:space="preserve">    </v>
      </c>
      <c r="C17" s="1375" t="str">
        <f t="shared" si="0"/>
        <v>Test Cards (10.0%)</v>
      </c>
      <c r="D17" s="1375"/>
      <c r="E17" s="1375"/>
      <c r="F17" s="1376"/>
      <c r="G17" s="152" t="str">
        <f t="shared" si="1"/>
        <v/>
      </c>
      <c r="H17" s="153" t="str">
        <f t="shared" si="2"/>
        <v/>
      </c>
      <c r="I17" s="166" t="str">
        <f t="shared" si="2"/>
        <v/>
      </c>
      <c r="J17" s="172"/>
      <c r="K17" s="173"/>
      <c r="L17" s="1075"/>
      <c r="M17" s="1076"/>
      <c r="N17" s="1076"/>
      <c r="O17" s="1076"/>
      <c r="P17" s="1076"/>
      <c r="Q17" s="1076"/>
      <c r="R17" s="1077"/>
      <c r="T17" s="119">
        <v>10</v>
      </c>
      <c r="U17" s="110" t="s">
        <v>311</v>
      </c>
      <c r="V17" s="206" t="s">
        <v>212</v>
      </c>
      <c r="W17" s="206" t="s">
        <v>212</v>
      </c>
      <c r="X17" s="206" t="s">
        <v>212</v>
      </c>
      <c r="Y17" s="206" t="s">
        <v>212</v>
      </c>
      <c r="Z17" s="160">
        <v>2</v>
      </c>
      <c r="AA17" s="160">
        <v>1</v>
      </c>
      <c r="AB17" s="160">
        <v>1</v>
      </c>
      <c r="AC17" s="206" t="s">
        <v>212</v>
      </c>
      <c r="AD17" s="206" t="s">
        <v>212</v>
      </c>
      <c r="AE17" s="206" t="s">
        <v>212</v>
      </c>
      <c r="AF17" s="206" t="s">
        <v>212</v>
      </c>
      <c r="AG17" s="206" t="str">
        <f t="shared" si="3"/>
        <v/>
      </c>
      <c r="AH17" s="206" t="str">
        <f t="shared" si="4"/>
        <v/>
      </c>
      <c r="AI17" s="86">
        <f>IF(NOT(OR(Z17=1,Z17=2)),IF(AQ17&gt;0,$AR$44*AQ17/SUMIF($AQ$8:$AQ$39,"&gt;0"),IF(AU17&gt;0,$AV$44*AU17/SUMIF($AU$8:$AU$39,"&gt;0"),IF(AS17&gt;0,$AT$44*AS17/SUMIF($AS$8:$AS$39,"&gt;0"),""))),IF(SUMIF(AJ18:$AJ$39,"=" &amp; AJ17,AI18:$AI$39)=0,"",SUMIF(AJ18:$AJ$39,"=" &amp; AJ17,AI18:$AI$39)))</f>
        <v>0.1</v>
      </c>
      <c r="AJ17" s="87">
        <f t="shared" si="34"/>
        <v>2</v>
      </c>
      <c r="AK17" s="206" t="str">
        <f t="shared" si="27"/>
        <v/>
      </c>
      <c r="AL17" s="160" t="str">
        <f t="shared" si="28"/>
        <v/>
      </c>
      <c r="AM17" s="160" t="str">
        <f t="shared" si="35"/>
        <v/>
      </c>
      <c r="AN17" s="160" t="str">
        <f t="shared" si="5"/>
        <v/>
      </c>
      <c r="AO17" s="160" t="str">
        <f t="shared" si="6"/>
        <v/>
      </c>
      <c r="AP17" s="206" t="str">
        <f t="shared" si="7"/>
        <v/>
      </c>
      <c r="AQ17" s="157">
        <f t="shared" si="29"/>
        <v>0</v>
      </c>
      <c r="AR17" s="88" t="str">
        <f t="shared" si="8"/>
        <v/>
      </c>
      <c r="AS17" s="89">
        <f t="shared" si="30"/>
        <v>0</v>
      </c>
      <c r="AT17" s="88" t="str">
        <f t="shared" si="9"/>
        <v/>
      </c>
      <c r="AU17" s="158">
        <f t="shared" si="10"/>
        <v>0</v>
      </c>
      <c r="AV17" s="90" t="str">
        <f t="shared" si="11"/>
        <v/>
      </c>
      <c r="AW17" s="158" t="b">
        <f t="shared" si="12"/>
        <v>0</v>
      </c>
      <c r="AX17" s="159" t="b">
        <f t="shared" si="13"/>
        <v>0</v>
      </c>
      <c r="AY17" s="158" t="b">
        <f t="shared" si="14"/>
        <v>0</v>
      </c>
      <c r="AZ17" s="159" t="b">
        <f t="shared" si="15"/>
        <v>0</v>
      </c>
      <c r="BA17" s="206" t="b">
        <f t="shared" si="16"/>
        <v>0</v>
      </c>
      <c r="BB17" s="206" t="b">
        <f t="shared" si="17"/>
        <v>0</v>
      </c>
      <c r="BC17" s="158" t="b">
        <f t="shared" si="18"/>
        <v>0</v>
      </c>
      <c r="BD17" s="160" t="b">
        <f t="shared" si="31"/>
        <v>0</v>
      </c>
      <c r="BE17" s="159" t="b">
        <f t="shared" si="19"/>
        <v>0</v>
      </c>
      <c r="BF17" s="161" t="b">
        <f t="shared" si="20"/>
        <v>0</v>
      </c>
      <c r="BG17" s="206" t="b">
        <f t="shared" si="21"/>
        <v>0</v>
      </c>
      <c r="BH17" s="206" t="str">
        <f t="shared" si="32"/>
        <v/>
      </c>
      <c r="BI17" s="206" t="str">
        <f t="shared" si="22"/>
        <v/>
      </c>
      <c r="BJ17" s="206" t="str">
        <f t="shared" si="23"/>
        <v/>
      </c>
      <c r="BK17" s="206" t="str">
        <f t="shared" si="24"/>
        <v/>
      </c>
      <c r="BL17" s="162" t="str">
        <f t="shared" si="33"/>
        <v/>
      </c>
      <c r="BM17" s="206" t="str">
        <f t="shared" si="25"/>
        <v/>
      </c>
      <c r="BN17" s="206" t="str">
        <f t="shared" si="26"/>
        <v/>
      </c>
      <c r="BO17" s="106"/>
    </row>
    <row r="18" spans="2:73" s="105" customFormat="1" ht="12.95" customHeight="1" x14ac:dyDescent="0.2">
      <c r="B18" s="165">
        <f>IF(ISNA(Z18),"",IF(OR(Z18=1,Z18=2),"    ",MAX($B$8:B17)+1))</f>
        <v>8</v>
      </c>
      <c r="C18" s="1375" t="str">
        <f t="shared" si="0"/>
        <v xml:space="preserve">      - Test Cards (10.0%)</v>
      </c>
      <c r="D18" s="1375"/>
      <c r="E18" s="1375"/>
      <c r="F18" s="1376"/>
      <c r="G18" s="152">
        <f t="shared" si="1"/>
        <v>1</v>
      </c>
      <c r="H18" s="153" t="str">
        <f t="shared" si="2"/>
        <v>2</v>
      </c>
      <c r="I18" s="166">
        <f t="shared" si="2"/>
        <v>3</v>
      </c>
      <c r="J18" s="171"/>
      <c r="K18" s="168"/>
      <c r="L18" s="1075"/>
      <c r="M18" s="1076"/>
      <c r="N18" s="1076"/>
      <c r="O18" s="1076"/>
      <c r="P18" s="1076"/>
      <c r="Q18" s="1076"/>
      <c r="R18" s="1077"/>
      <c r="T18" s="119">
        <v>11</v>
      </c>
      <c r="U18" s="110" t="s">
        <v>312</v>
      </c>
      <c r="V18" s="206">
        <v>1</v>
      </c>
      <c r="W18" s="206">
        <v>1</v>
      </c>
      <c r="X18" s="206" t="s">
        <v>212</v>
      </c>
      <c r="Y18" s="206" t="s">
        <v>212</v>
      </c>
      <c r="Z18" s="160" t="s">
        <v>212</v>
      </c>
      <c r="AA18" s="160">
        <v>2</v>
      </c>
      <c r="AB18" s="160">
        <v>1</v>
      </c>
      <c r="AC18" s="206">
        <v>3</v>
      </c>
      <c r="AD18" s="206">
        <v>2</v>
      </c>
      <c r="AE18" s="206">
        <v>0</v>
      </c>
      <c r="AF18" s="206" t="b">
        <v>1</v>
      </c>
      <c r="AG18" s="206">
        <f t="shared" si="3"/>
        <v>2</v>
      </c>
      <c r="AH18" s="206">
        <f t="shared" si="4"/>
        <v>1</v>
      </c>
      <c r="AI18" s="86">
        <f>IF(NOT(OR(Z18=1,Z18=2)),IF(AQ18&gt;0,$AR$44*AQ18/SUMIF($AQ$8:$AQ$39,"&gt;0"),IF(AU18&gt;0,$AV$44*AU18/SUMIF($AU$8:$AU$39,"&gt;0"),IF(AS18&gt;0,$AT$44*AS18/SUMIF($AS$8:$AS$39,"&gt;0"),""))),IF(SUMIF(AJ19:$AJ$39,"=" &amp; AJ18,AI19:$AI$39)=0,"",SUMIF(AJ19:$AJ$39,"=" &amp; AJ18,AI19:$AI$39)))</f>
        <v>0.1</v>
      </c>
      <c r="AJ18" s="87">
        <f t="shared" si="34"/>
        <v>2</v>
      </c>
      <c r="AK18" s="206">
        <f t="shared" si="27"/>
        <v>2</v>
      </c>
      <c r="AL18" s="160" t="str">
        <f t="shared" si="28"/>
        <v/>
      </c>
      <c r="AM18" s="160" t="str">
        <f t="shared" si="35"/>
        <v/>
      </c>
      <c r="AN18" s="160" t="str">
        <f t="shared" si="5"/>
        <v/>
      </c>
      <c r="AO18" s="160" t="str">
        <f t="shared" si="6"/>
        <v/>
      </c>
      <c r="AP18" s="206" t="b">
        <f t="shared" si="7"/>
        <v>1</v>
      </c>
      <c r="AQ18" s="157">
        <f t="shared" si="29"/>
        <v>1</v>
      </c>
      <c r="AR18" s="88" t="str">
        <f t="shared" si="8"/>
        <v/>
      </c>
      <c r="AS18" s="89">
        <f t="shared" si="30"/>
        <v>0</v>
      </c>
      <c r="AT18" s="88" t="str">
        <f t="shared" si="9"/>
        <v/>
      </c>
      <c r="AU18" s="158">
        <f t="shared" si="10"/>
        <v>0</v>
      </c>
      <c r="AV18" s="90" t="str">
        <f t="shared" si="11"/>
        <v/>
      </c>
      <c r="AW18" s="158" t="b">
        <f t="shared" si="12"/>
        <v>0</v>
      </c>
      <c r="AX18" s="159" t="b">
        <f t="shared" si="13"/>
        <v>1</v>
      </c>
      <c r="AY18" s="158" t="b">
        <f t="shared" si="14"/>
        <v>0</v>
      </c>
      <c r="AZ18" s="159" t="b">
        <f t="shared" si="15"/>
        <v>0</v>
      </c>
      <c r="BA18" s="206" t="b">
        <f t="shared" si="16"/>
        <v>0</v>
      </c>
      <c r="BB18" s="206" t="b">
        <f t="shared" si="17"/>
        <v>0</v>
      </c>
      <c r="BC18" s="158" t="b">
        <f t="shared" si="18"/>
        <v>0</v>
      </c>
      <c r="BD18" s="160" t="b">
        <f t="shared" si="31"/>
        <v>0</v>
      </c>
      <c r="BE18" s="159" t="b">
        <f t="shared" si="19"/>
        <v>0</v>
      </c>
      <c r="BF18" s="161" t="b">
        <f t="shared" si="20"/>
        <v>0</v>
      </c>
      <c r="BG18" s="206" t="b">
        <f t="shared" si="21"/>
        <v>1</v>
      </c>
      <c r="BH18" s="206">
        <f t="shared" si="32"/>
        <v>1</v>
      </c>
      <c r="BI18" s="206">
        <f t="shared" si="22"/>
        <v>2</v>
      </c>
      <c r="BJ18" s="206" t="str">
        <f t="shared" si="23"/>
        <v>2</v>
      </c>
      <c r="BK18" s="206">
        <f t="shared" si="24"/>
        <v>3</v>
      </c>
      <c r="BL18" s="162">
        <f t="shared" si="33"/>
        <v>1</v>
      </c>
      <c r="BM18" s="206">
        <f t="shared" si="25"/>
        <v>2</v>
      </c>
      <c r="BN18" s="206">
        <f t="shared" si="26"/>
        <v>3</v>
      </c>
      <c r="BO18" s="104"/>
      <c r="BP18" s="174" t="s">
        <v>223</v>
      </c>
      <c r="BQ18" s="175"/>
      <c r="BR18" s="175"/>
      <c r="BS18" s="175"/>
      <c r="BT18" s="175"/>
      <c r="BU18" s="175"/>
    </row>
    <row r="19" spans="2:73" s="105" customFormat="1" ht="12.95" customHeight="1" x14ac:dyDescent="0.2">
      <c r="B19" s="165" t="str">
        <f>IF(ISNA(Z19),"",IF(OR(Z19=1,Z19=2),"    ",MAX($B$8:B18)+1))</f>
        <v xml:space="preserve">    </v>
      </c>
      <c r="C19" s="1375" t="str">
        <f t="shared" si="0"/>
        <v>Overall (20.0%)</v>
      </c>
      <c r="D19" s="1375"/>
      <c r="E19" s="1375"/>
      <c r="F19" s="1376"/>
      <c r="G19" s="152" t="str">
        <f t="shared" si="1"/>
        <v/>
      </c>
      <c r="H19" s="153" t="str">
        <f t="shared" si="2"/>
        <v/>
      </c>
      <c r="I19" s="166" t="str">
        <f t="shared" si="2"/>
        <v/>
      </c>
      <c r="J19" s="172"/>
      <c r="K19" s="173"/>
      <c r="L19" s="1075"/>
      <c r="M19" s="1076"/>
      <c r="N19" s="1076"/>
      <c r="O19" s="1076"/>
      <c r="P19" s="1076"/>
      <c r="Q19" s="1076"/>
      <c r="R19" s="1077"/>
      <c r="T19" s="119">
        <v>12</v>
      </c>
      <c r="U19" s="110" t="s">
        <v>289</v>
      </c>
      <c r="V19" s="206" t="s">
        <v>212</v>
      </c>
      <c r="W19" s="206" t="s">
        <v>212</v>
      </c>
      <c r="X19" s="206" t="s">
        <v>212</v>
      </c>
      <c r="Y19" s="206" t="s">
        <v>212</v>
      </c>
      <c r="Z19" s="160">
        <v>2</v>
      </c>
      <c r="AA19" s="160">
        <v>1</v>
      </c>
      <c r="AB19" s="160">
        <v>1</v>
      </c>
      <c r="AC19" s="206" t="s">
        <v>212</v>
      </c>
      <c r="AD19" s="206" t="s">
        <v>212</v>
      </c>
      <c r="AE19" s="206" t="s">
        <v>212</v>
      </c>
      <c r="AF19" s="206" t="s">
        <v>212</v>
      </c>
      <c r="AG19" s="206" t="str">
        <f t="shared" si="3"/>
        <v/>
      </c>
      <c r="AH19" s="206" t="str">
        <f t="shared" si="4"/>
        <v/>
      </c>
      <c r="AI19" s="86">
        <f>IF(NOT(OR(Z19=1,Z19=2)),IF(AQ19&gt;0,$AR$44*AQ19/SUMIF($AQ$8:$AQ$39,"&gt;0"),IF(AU19&gt;0,$AV$44*AU19/SUMIF($AU$8:$AU$39,"&gt;0"),IF(AS19&gt;0,$AT$44*AS19/SUMIF($AS$8:$AS$39,"&gt;0"),""))),IF(SUMIF(AJ20:$AJ$39,"=" &amp; AJ19,AI20:$AI$39)=0,"",SUMIF(AJ20:$AJ$39,"=" &amp; AJ19,AI20:$AI$39)))</f>
        <v>0.2</v>
      </c>
      <c r="AJ19" s="87">
        <f t="shared" si="34"/>
        <v>3</v>
      </c>
      <c r="AK19" s="206" t="str">
        <f t="shared" si="27"/>
        <v/>
      </c>
      <c r="AL19" s="160" t="str">
        <f t="shared" si="28"/>
        <v/>
      </c>
      <c r="AM19" s="160" t="str">
        <f t="shared" si="35"/>
        <v/>
      </c>
      <c r="AN19" s="160" t="str">
        <f t="shared" si="5"/>
        <v/>
      </c>
      <c r="AO19" s="160" t="str">
        <f t="shared" si="6"/>
        <v/>
      </c>
      <c r="AP19" s="206" t="str">
        <f t="shared" si="7"/>
        <v/>
      </c>
      <c r="AQ19" s="157">
        <f t="shared" si="29"/>
        <v>0</v>
      </c>
      <c r="AR19" s="88" t="str">
        <f t="shared" si="8"/>
        <v/>
      </c>
      <c r="AS19" s="89">
        <f t="shared" si="30"/>
        <v>0</v>
      </c>
      <c r="AT19" s="88" t="str">
        <f t="shared" si="9"/>
        <v/>
      </c>
      <c r="AU19" s="158">
        <f t="shared" si="10"/>
        <v>0</v>
      </c>
      <c r="AV19" s="90" t="str">
        <f t="shared" si="11"/>
        <v/>
      </c>
      <c r="AW19" s="158" t="b">
        <f t="shared" si="12"/>
        <v>0</v>
      </c>
      <c r="AX19" s="159" t="b">
        <f t="shared" si="13"/>
        <v>0</v>
      </c>
      <c r="AY19" s="158" t="b">
        <f t="shared" si="14"/>
        <v>0</v>
      </c>
      <c r="AZ19" s="159" t="b">
        <f t="shared" si="15"/>
        <v>0</v>
      </c>
      <c r="BA19" s="206" t="b">
        <f t="shared" si="16"/>
        <v>0</v>
      </c>
      <c r="BB19" s="206" t="b">
        <f t="shared" si="17"/>
        <v>0</v>
      </c>
      <c r="BC19" s="158" t="b">
        <f t="shared" si="18"/>
        <v>0</v>
      </c>
      <c r="BD19" s="160" t="b">
        <f t="shared" si="31"/>
        <v>0</v>
      </c>
      <c r="BE19" s="159" t="b">
        <f t="shared" si="19"/>
        <v>0</v>
      </c>
      <c r="BF19" s="161" t="b">
        <f t="shared" si="20"/>
        <v>0</v>
      </c>
      <c r="BG19" s="206" t="b">
        <f t="shared" si="21"/>
        <v>0</v>
      </c>
      <c r="BH19" s="206" t="str">
        <f t="shared" si="32"/>
        <v/>
      </c>
      <c r="BI19" s="206" t="str">
        <f t="shared" si="22"/>
        <v/>
      </c>
      <c r="BJ19" s="206" t="str">
        <f t="shared" si="23"/>
        <v/>
      </c>
      <c r="BK19" s="206" t="str">
        <f t="shared" si="24"/>
        <v/>
      </c>
      <c r="BL19" s="162" t="str">
        <f t="shared" si="33"/>
        <v/>
      </c>
      <c r="BM19" s="206" t="str">
        <f t="shared" si="25"/>
        <v/>
      </c>
      <c r="BN19" s="206" t="str">
        <f t="shared" si="26"/>
        <v/>
      </c>
      <c r="BO19" s="104"/>
      <c r="BP19" s="164"/>
      <c r="BQ19" s="1386" t="s">
        <v>224</v>
      </c>
      <c r="BR19" s="1386"/>
      <c r="BS19" s="1386"/>
      <c r="BT19" s="1386"/>
      <c r="BU19" s="1386"/>
    </row>
    <row r="20" spans="2:73" s="105" customFormat="1" ht="12.95" customHeight="1" x14ac:dyDescent="0.2">
      <c r="B20" s="165">
        <f>IF(ISNA(Z20),"",IF(OR(Z20=1,Z20=2),"    ",MAX($B$8:B19)+1))</f>
        <v>9</v>
      </c>
      <c r="C20" s="1375" t="str">
        <f t="shared" si="0"/>
        <v xml:space="preserve">      - Grammar (10.0%)</v>
      </c>
      <c r="D20" s="1375"/>
      <c r="E20" s="1375"/>
      <c r="F20" s="1376"/>
      <c r="G20" s="152">
        <f t="shared" si="1"/>
        <v>1</v>
      </c>
      <c r="H20" s="153" t="str">
        <f t="shared" si="2"/>
        <v>2*</v>
      </c>
      <c r="I20" s="166">
        <f t="shared" si="2"/>
        <v>3</v>
      </c>
      <c r="J20" s="171"/>
      <c r="K20" s="168"/>
      <c r="L20" s="1075"/>
      <c r="M20" s="1076"/>
      <c r="N20" s="1076"/>
      <c r="O20" s="1076"/>
      <c r="P20" s="1076"/>
      <c r="Q20" s="1076"/>
      <c r="R20" s="1077"/>
      <c r="T20" s="119">
        <v>13</v>
      </c>
      <c r="U20" s="110" t="s">
        <v>291</v>
      </c>
      <c r="V20" s="206">
        <v>1</v>
      </c>
      <c r="W20" s="206">
        <v>1</v>
      </c>
      <c r="X20" s="206" t="s">
        <v>212</v>
      </c>
      <c r="Y20" s="206" t="s">
        <v>212</v>
      </c>
      <c r="Z20" s="160" t="s">
        <v>212</v>
      </c>
      <c r="AA20" s="160">
        <v>2</v>
      </c>
      <c r="AB20" s="160">
        <v>1</v>
      </c>
      <c r="AC20" s="206">
        <v>3</v>
      </c>
      <c r="AD20" s="206">
        <v>2</v>
      </c>
      <c r="AE20" s="206">
        <v>1</v>
      </c>
      <c r="AF20" s="206" t="b">
        <v>1</v>
      </c>
      <c r="AG20" s="206">
        <f t="shared" si="3"/>
        <v>2</v>
      </c>
      <c r="AH20" s="206">
        <f t="shared" si="4"/>
        <v>1</v>
      </c>
      <c r="AI20" s="86">
        <f>IF(NOT(OR(Z20=1,Z20=2)),IF(AQ20&gt;0,$AR$44*AQ20/SUMIF($AQ$8:$AQ$39,"&gt;0"),IF(AU20&gt;0,$AV$44*AU20/SUMIF($AU$8:$AU$39,"&gt;0"),IF(AS20&gt;0,$AT$44*AS20/SUMIF($AS$8:$AS$39,"&gt;0"),""))),IF(SUMIF(AJ21:$AJ$39,"=" &amp; AJ20,AI21:$AI$39)=0,"",SUMIF(AJ21:$AJ$39,"=" &amp; AJ20,AI21:$AI$39)))</f>
        <v>0.1</v>
      </c>
      <c r="AJ20" s="87">
        <f t="shared" si="34"/>
        <v>3</v>
      </c>
      <c r="AK20" s="206">
        <f t="shared" si="27"/>
        <v>2</v>
      </c>
      <c r="AL20" s="160" t="str">
        <f t="shared" si="28"/>
        <v/>
      </c>
      <c r="AM20" s="160" t="str">
        <f t="shared" si="35"/>
        <v/>
      </c>
      <c r="AN20" s="160" t="str">
        <f t="shared" si="5"/>
        <v/>
      </c>
      <c r="AO20" s="160" t="str">
        <f t="shared" si="6"/>
        <v/>
      </c>
      <c r="AP20" s="206" t="b">
        <f t="shared" si="7"/>
        <v>1</v>
      </c>
      <c r="AQ20" s="157">
        <f t="shared" si="29"/>
        <v>1</v>
      </c>
      <c r="AR20" s="88" t="str">
        <f t="shared" si="8"/>
        <v/>
      </c>
      <c r="AS20" s="89">
        <f t="shared" si="30"/>
        <v>0</v>
      </c>
      <c r="AT20" s="88" t="str">
        <f t="shared" si="9"/>
        <v/>
      </c>
      <c r="AU20" s="158">
        <f t="shared" si="10"/>
        <v>0</v>
      </c>
      <c r="AV20" s="90" t="str">
        <f t="shared" si="11"/>
        <v/>
      </c>
      <c r="AW20" s="158" t="b">
        <f t="shared" si="12"/>
        <v>0</v>
      </c>
      <c r="AX20" s="159" t="b">
        <f t="shared" si="13"/>
        <v>1</v>
      </c>
      <c r="AY20" s="158" t="b">
        <f t="shared" si="14"/>
        <v>0</v>
      </c>
      <c r="AZ20" s="159" t="b">
        <f t="shared" si="15"/>
        <v>0</v>
      </c>
      <c r="BA20" s="206" t="b">
        <f t="shared" si="16"/>
        <v>0</v>
      </c>
      <c r="BB20" s="206" t="b">
        <f t="shared" si="17"/>
        <v>0</v>
      </c>
      <c r="BC20" s="158" t="b">
        <f t="shared" si="18"/>
        <v>0</v>
      </c>
      <c r="BD20" s="160" t="b">
        <f t="shared" si="31"/>
        <v>0</v>
      </c>
      <c r="BE20" s="159" t="b">
        <f t="shared" si="19"/>
        <v>0</v>
      </c>
      <c r="BF20" s="161" t="b">
        <f t="shared" si="20"/>
        <v>0</v>
      </c>
      <c r="BG20" s="206" t="b">
        <f t="shared" si="21"/>
        <v>1</v>
      </c>
      <c r="BH20" s="206">
        <f t="shared" si="32"/>
        <v>1</v>
      </c>
      <c r="BI20" s="206">
        <f t="shared" si="22"/>
        <v>2</v>
      </c>
      <c r="BJ20" s="206" t="str">
        <f t="shared" si="23"/>
        <v>2*</v>
      </c>
      <c r="BK20" s="206">
        <f t="shared" si="24"/>
        <v>3</v>
      </c>
      <c r="BL20" s="162">
        <f t="shared" si="33"/>
        <v>1</v>
      </c>
      <c r="BM20" s="206">
        <f t="shared" si="25"/>
        <v>2</v>
      </c>
      <c r="BN20" s="206">
        <f t="shared" si="26"/>
        <v>3</v>
      </c>
      <c r="BO20" s="104"/>
      <c r="BP20" s="104"/>
      <c r="BQ20" s="104">
        <v>0</v>
      </c>
      <c r="BR20" s="104">
        <v>1</v>
      </c>
      <c r="BS20" s="104">
        <v>2</v>
      </c>
      <c r="BT20" s="104">
        <v>3</v>
      </c>
      <c r="BU20" s="104">
        <v>4</v>
      </c>
    </row>
    <row r="21" spans="2:73" s="105" customFormat="1" ht="12.95" customHeight="1" x14ac:dyDescent="0.2">
      <c r="B21" s="165">
        <f>IF(ISNA(Z21),"",IF(OR(Z21=1,Z21=2),"    ",MAX($B$8:B20)+1))</f>
        <v>10</v>
      </c>
      <c r="C21" s="1375" t="str">
        <f t="shared" si="0"/>
        <v xml:space="preserve">      - Mechanics (10.0%)</v>
      </c>
      <c r="D21" s="1375"/>
      <c r="E21" s="1375"/>
      <c r="F21" s="1376"/>
      <c r="G21" s="152">
        <f t="shared" si="1"/>
        <v>1</v>
      </c>
      <c r="H21" s="153" t="str">
        <f t="shared" si="2"/>
        <v>2*</v>
      </c>
      <c r="I21" s="166">
        <f t="shared" si="2"/>
        <v>3</v>
      </c>
      <c r="J21" s="171"/>
      <c r="K21" s="168"/>
      <c r="L21" s="1075"/>
      <c r="M21" s="1076"/>
      <c r="N21" s="1076"/>
      <c r="O21" s="1076"/>
      <c r="P21" s="1076"/>
      <c r="Q21" s="1076"/>
      <c r="R21" s="1077"/>
      <c r="T21" s="119">
        <v>14</v>
      </c>
      <c r="U21" s="110" t="s">
        <v>292</v>
      </c>
      <c r="V21" s="206">
        <v>1</v>
      </c>
      <c r="W21" s="206">
        <v>1</v>
      </c>
      <c r="X21" s="206" t="s">
        <v>212</v>
      </c>
      <c r="Y21" s="206" t="s">
        <v>212</v>
      </c>
      <c r="Z21" s="160" t="s">
        <v>212</v>
      </c>
      <c r="AA21" s="160">
        <v>2</v>
      </c>
      <c r="AB21" s="160">
        <v>1</v>
      </c>
      <c r="AC21" s="206">
        <v>3</v>
      </c>
      <c r="AD21" s="206">
        <v>2</v>
      </c>
      <c r="AE21" s="206">
        <v>1</v>
      </c>
      <c r="AF21" s="206" t="b">
        <v>1</v>
      </c>
      <c r="AG21" s="206">
        <f t="shared" si="3"/>
        <v>2</v>
      </c>
      <c r="AH21" s="206">
        <f t="shared" si="4"/>
        <v>1</v>
      </c>
      <c r="AI21" s="86">
        <f>IF(NOT(OR(Z21=1,Z21=2)),IF(AQ21&gt;0,$AR$44*AQ21/SUMIF($AQ$8:$AQ$39,"&gt;0"),IF(AU21&gt;0,$AV$44*AU21/SUMIF($AU$8:$AU$39,"&gt;0"),IF(AS21&gt;0,$AT$44*AS21/SUMIF($AS$8:$AS$39,"&gt;0"),""))),IF(SUMIF(AJ22:$AJ$39,"=" &amp; AJ21,AI22:$AI$39)=0,"",SUMIF(AJ22:$AJ$39,"=" &amp; AJ21,AI22:$AI$39)))</f>
        <v>0.1</v>
      </c>
      <c r="AJ21" s="87">
        <f t="shared" si="34"/>
        <v>3</v>
      </c>
      <c r="AK21" s="206">
        <f t="shared" si="27"/>
        <v>2</v>
      </c>
      <c r="AL21" s="160" t="str">
        <f t="shared" si="28"/>
        <v/>
      </c>
      <c r="AM21" s="160" t="str">
        <f t="shared" si="35"/>
        <v/>
      </c>
      <c r="AN21" s="160" t="str">
        <f t="shared" si="5"/>
        <v/>
      </c>
      <c r="AO21" s="160" t="str">
        <f t="shared" si="6"/>
        <v/>
      </c>
      <c r="AP21" s="206" t="b">
        <f t="shared" si="7"/>
        <v>1</v>
      </c>
      <c r="AQ21" s="157">
        <f t="shared" si="29"/>
        <v>1</v>
      </c>
      <c r="AR21" s="88" t="str">
        <f t="shared" si="8"/>
        <v/>
      </c>
      <c r="AS21" s="89">
        <f t="shared" si="30"/>
        <v>0</v>
      </c>
      <c r="AT21" s="88" t="str">
        <f t="shared" si="9"/>
        <v/>
      </c>
      <c r="AU21" s="158">
        <f t="shared" si="10"/>
        <v>0</v>
      </c>
      <c r="AV21" s="90" t="str">
        <f t="shared" si="11"/>
        <v/>
      </c>
      <c r="AW21" s="158" t="b">
        <f t="shared" si="12"/>
        <v>0</v>
      </c>
      <c r="AX21" s="159" t="b">
        <f t="shared" si="13"/>
        <v>1</v>
      </c>
      <c r="AY21" s="158" t="b">
        <f t="shared" si="14"/>
        <v>0</v>
      </c>
      <c r="AZ21" s="159" t="b">
        <f t="shared" si="15"/>
        <v>0</v>
      </c>
      <c r="BA21" s="206" t="b">
        <f t="shared" si="16"/>
        <v>0</v>
      </c>
      <c r="BB21" s="206" t="b">
        <f t="shared" si="17"/>
        <v>0</v>
      </c>
      <c r="BC21" s="158" t="b">
        <f t="shared" si="18"/>
        <v>0</v>
      </c>
      <c r="BD21" s="160" t="b">
        <f t="shared" si="31"/>
        <v>0</v>
      </c>
      <c r="BE21" s="159" t="b">
        <f t="shared" si="19"/>
        <v>0</v>
      </c>
      <c r="BF21" s="161" t="b">
        <f t="shared" si="20"/>
        <v>0</v>
      </c>
      <c r="BG21" s="206" t="b">
        <f t="shared" si="21"/>
        <v>1</v>
      </c>
      <c r="BH21" s="206">
        <f t="shared" si="32"/>
        <v>1</v>
      </c>
      <c r="BI21" s="206">
        <f t="shared" si="22"/>
        <v>2</v>
      </c>
      <c r="BJ21" s="206" t="str">
        <f t="shared" si="23"/>
        <v>2*</v>
      </c>
      <c r="BK21" s="206">
        <f t="shared" si="24"/>
        <v>3</v>
      </c>
      <c r="BL21" s="162">
        <f t="shared" si="33"/>
        <v>1</v>
      </c>
      <c r="BM21" s="206">
        <f t="shared" si="25"/>
        <v>2</v>
      </c>
      <c r="BN21" s="206">
        <f t="shared" si="26"/>
        <v>3</v>
      </c>
      <c r="BO21" s="1387" t="s">
        <v>226</v>
      </c>
      <c r="BP21" s="104" t="s">
        <v>227</v>
      </c>
      <c r="BQ21" s="91">
        <f t="shared" ref="BQ21:BU29" si="36">AR50</f>
        <v>0.7</v>
      </c>
      <c r="BR21" s="92">
        <f t="shared" si="36"/>
        <v>0.9</v>
      </c>
      <c r="BS21" s="92">
        <f t="shared" si="36"/>
        <v>0.93330000000000002</v>
      </c>
      <c r="BT21" s="92">
        <f t="shared" si="36"/>
        <v>0.9667</v>
      </c>
      <c r="BU21" s="93">
        <f t="shared" si="36"/>
        <v>1</v>
      </c>
    </row>
    <row r="22" spans="2:73" s="105" customFormat="1" ht="12.95" customHeight="1" x14ac:dyDescent="0.2">
      <c r="B22" s="165" t="str">
        <f>IF(ISNA(Z22),"",IF(OR(Z22=1,Z22=2),"    ",MAX($B$8:B21)+1))</f>
        <v/>
      </c>
      <c r="C22" s="1375" t="str">
        <f t="shared" si="0"/>
        <v/>
      </c>
      <c r="D22" s="1375"/>
      <c r="E22" s="1375"/>
      <c r="F22" s="1376"/>
      <c r="G22" s="152" t="str">
        <f t="shared" si="1"/>
        <v/>
      </c>
      <c r="H22" s="153" t="str">
        <f t="shared" si="2"/>
        <v/>
      </c>
      <c r="I22" s="166" t="str">
        <f t="shared" si="2"/>
        <v/>
      </c>
      <c r="J22" s="172"/>
      <c r="K22" s="173"/>
      <c r="L22" s="1075"/>
      <c r="M22" s="1076"/>
      <c r="N22" s="1076"/>
      <c r="O22" s="1076"/>
      <c r="P22" s="1076"/>
      <c r="Q22" s="1076"/>
      <c r="R22" s="1077"/>
      <c r="T22" s="119">
        <v>15</v>
      </c>
      <c r="U22" s="110" t="e">
        <v>#N/A</v>
      </c>
      <c r="V22" s="206" t="e">
        <v>#N/A</v>
      </c>
      <c r="W22" s="206" t="e">
        <v>#N/A</v>
      </c>
      <c r="X22" s="206" t="e">
        <v>#N/A</v>
      </c>
      <c r="Y22" s="206" t="e">
        <v>#N/A</v>
      </c>
      <c r="Z22" s="160" t="e">
        <v>#N/A</v>
      </c>
      <c r="AA22" s="160" t="e">
        <v>#N/A</v>
      </c>
      <c r="AB22" s="160" t="e">
        <v>#N/A</v>
      </c>
      <c r="AC22" s="206" t="e">
        <v>#N/A</v>
      </c>
      <c r="AD22" s="206" t="e">
        <v>#N/A</v>
      </c>
      <c r="AE22" s="206" t="e">
        <v>#N/A</v>
      </c>
      <c r="AF22" s="206" t="e">
        <v>#N/A</v>
      </c>
      <c r="AG22" s="206" t="e">
        <f t="shared" si="3"/>
        <v>#N/A</v>
      </c>
      <c r="AH22" s="206" t="str">
        <f t="shared" si="4"/>
        <v/>
      </c>
      <c r="AI22" s="86" t="e">
        <f>IF(NOT(OR(Z22=1,Z22=2)),IF(AQ22&gt;0,$AR$44*AQ22/SUMIF($AQ$8:$AQ$39,"&gt;0"),IF(AU22&gt;0,$AV$44*AU22/SUMIF($AU$8:$AU$39,"&gt;0"),IF(AS22&gt;0,$AT$44*AS22/SUMIF($AS$8:$AS$39,"&gt;0"),""))),IF(SUMIF(AJ23:$AJ$39,"=" &amp; AJ22,AI23:$AI$39)=0,"",SUMIF(AJ23:$AJ$39,"=" &amp; AJ22,AI23:$AI$39)))</f>
        <v>#N/A</v>
      </c>
      <c r="AJ22" s="87" t="e">
        <f t="shared" si="34"/>
        <v>#N/A</v>
      </c>
      <c r="AK22" s="206" t="str">
        <f t="shared" si="27"/>
        <v/>
      </c>
      <c r="AL22" s="160" t="str">
        <f t="shared" si="28"/>
        <v/>
      </c>
      <c r="AM22" s="160" t="str">
        <f t="shared" si="35"/>
        <v/>
      </c>
      <c r="AN22" s="160" t="str">
        <f t="shared" si="5"/>
        <v/>
      </c>
      <c r="AO22" s="160" t="e">
        <f t="shared" si="6"/>
        <v>#N/A</v>
      </c>
      <c r="AP22" s="206" t="str">
        <f t="shared" si="7"/>
        <v/>
      </c>
      <c r="AQ22" s="157">
        <f t="shared" si="29"/>
        <v>0</v>
      </c>
      <c r="AR22" s="88" t="str">
        <f t="shared" si="8"/>
        <v/>
      </c>
      <c r="AS22" s="89">
        <f t="shared" si="30"/>
        <v>0</v>
      </c>
      <c r="AT22" s="88" t="str">
        <f t="shared" si="9"/>
        <v/>
      </c>
      <c r="AU22" s="158">
        <f t="shared" si="10"/>
        <v>0</v>
      </c>
      <c r="AV22" s="90" t="str">
        <f t="shared" si="11"/>
        <v/>
      </c>
      <c r="AW22" s="158" t="b">
        <f t="shared" si="12"/>
        <v>0</v>
      </c>
      <c r="AX22" s="159" t="b">
        <f t="shared" si="13"/>
        <v>0</v>
      </c>
      <c r="AY22" s="158" t="b">
        <f t="shared" si="14"/>
        <v>0</v>
      </c>
      <c r="AZ22" s="159" t="b">
        <f t="shared" si="15"/>
        <v>0</v>
      </c>
      <c r="BA22" s="206" t="b">
        <f t="shared" si="16"/>
        <v>0</v>
      </c>
      <c r="BB22" s="206" t="b">
        <f t="shared" si="17"/>
        <v>0</v>
      </c>
      <c r="BC22" s="158" t="b">
        <f t="shared" si="18"/>
        <v>0</v>
      </c>
      <c r="BD22" s="160" t="b">
        <f t="shared" si="31"/>
        <v>0</v>
      </c>
      <c r="BE22" s="159" t="b">
        <f>IF(OR(ISNA($Z22),K22&lt;&gt;"D"),FALSE,IF(OR(AND(H22="NG",J22=0),AND(H22&lt;&gt;"NG",NOT(OR(J22="NA",J22=0)))),TRUE,FALSE))</f>
        <v>0</v>
      </c>
      <c r="BF22" s="161" t="b">
        <f t="shared" si="20"/>
        <v>0</v>
      </c>
      <c r="BG22" s="206" t="str">
        <f>IF(ISNA($Z22),"NA",IF(OR(AZ22,AY22,AX22,AW22,AP22,BA22,BB22),TRUE,FALSE))</f>
        <v>NA</v>
      </c>
      <c r="BH22" s="206" t="str">
        <f t="shared" si="32"/>
        <v/>
      </c>
      <c r="BI22" s="206" t="str">
        <f t="shared" si="22"/>
        <v/>
      </c>
      <c r="BJ22" s="206" t="str">
        <f t="shared" si="23"/>
        <v/>
      </c>
      <c r="BK22" s="206" t="str">
        <f t="shared" si="24"/>
        <v/>
      </c>
      <c r="BL22" s="162" t="str">
        <f t="shared" si="33"/>
        <v/>
      </c>
      <c r="BM22" s="206" t="str">
        <f t="shared" si="25"/>
        <v/>
      </c>
      <c r="BN22" s="206" t="str">
        <f t="shared" si="26"/>
        <v/>
      </c>
      <c r="BO22" s="1387"/>
      <c r="BP22" s="104" t="s">
        <v>228</v>
      </c>
      <c r="BQ22" s="94">
        <f t="shared" si="36"/>
        <v>0.7</v>
      </c>
      <c r="BR22" s="95">
        <f t="shared" si="36"/>
        <v>0.8</v>
      </c>
      <c r="BS22" s="95">
        <f t="shared" si="36"/>
        <v>0.9</v>
      </c>
      <c r="BT22" s="95">
        <f t="shared" si="36"/>
        <v>0.95</v>
      </c>
      <c r="BU22" s="96">
        <f t="shared" si="36"/>
        <v>1</v>
      </c>
    </row>
    <row r="23" spans="2:73" s="105" customFormat="1" ht="12.95" customHeight="1" x14ac:dyDescent="0.2">
      <c r="B23" s="165" t="str">
        <f>IF(ISNA(Z23),"",IF(OR(Z23=1,Z23=2),"    ",MAX($B$8:B22)+1))</f>
        <v/>
      </c>
      <c r="C23" s="1375" t="str">
        <f t="shared" si="0"/>
        <v/>
      </c>
      <c r="D23" s="1375"/>
      <c r="E23" s="1375"/>
      <c r="F23" s="1376"/>
      <c r="G23" s="152" t="str">
        <f t="shared" si="1"/>
        <v/>
      </c>
      <c r="H23" s="153" t="str">
        <f t="shared" si="2"/>
        <v/>
      </c>
      <c r="I23" s="166" t="str">
        <f t="shared" si="2"/>
        <v/>
      </c>
      <c r="J23" s="172"/>
      <c r="K23" s="173"/>
      <c r="L23" s="1075"/>
      <c r="M23" s="1076"/>
      <c r="N23" s="1076"/>
      <c r="O23" s="1076"/>
      <c r="P23" s="1076"/>
      <c r="Q23" s="1076"/>
      <c r="R23" s="1077"/>
      <c r="T23" s="119">
        <v>16</v>
      </c>
      <c r="U23" s="110" t="e">
        <v>#N/A</v>
      </c>
      <c r="V23" s="206" t="e">
        <v>#N/A</v>
      </c>
      <c r="W23" s="206" t="e">
        <v>#N/A</v>
      </c>
      <c r="X23" s="206" t="e">
        <v>#N/A</v>
      </c>
      <c r="Y23" s="206" t="e">
        <v>#N/A</v>
      </c>
      <c r="Z23" s="160" t="e">
        <v>#N/A</v>
      </c>
      <c r="AA23" s="160" t="e">
        <v>#N/A</v>
      </c>
      <c r="AB23" s="160" t="e">
        <v>#N/A</v>
      </c>
      <c r="AC23" s="206" t="e">
        <v>#N/A</v>
      </c>
      <c r="AD23" s="206" t="e">
        <v>#N/A</v>
      </c>
      <c r="AE23" s="206" t="e">
        <v>#N/A</v>
      </c>
      <c r="AF23" s="206" t="e">
        <v>#N/A</v>
      </c>
      <c r="AG23" s="206" t="e">
        <f t="shared" si="3"/>
        <v>#N/A</v>
      </c>
      <c r="AH23" s="206" t="str">
        <f t="shared" si="4"/>
        <v/>
      </c>
      <c r="AI23" s="86" t="e">
        <f>IF(NOT(OR(Z23=1,Z23=2)),IF(AQ23&gt;0,$AR$44*AQ23/SUMIF($AQ$8:$AQ$39,"&gt;0"),IF(AU23&gt;0,$AV$44*AU23/SUMIF($AU$8:$AU$39,"&gt;0"),IF(AS23&gt;0,$AT$44*AS23/SUMIF($AS$8:$AS$39,"&gt;0"),""))),IF(SUMIF(AJ24:$AJ$39,"=" &amp; AJ23,AI24:$AI$39)=0,"",SUMIF(AJ24:$AJ$39,"=" &amp; AJ23,AI24:$AI$39)))</f>
        <v>#N/A</v>
      </c>
      <c r="AJ23" s="87" t="e">
        <f t="shared" si="34"/>
        <v>#N/A</v>
      </c>
      <c r="AK23" s="206" t="str">
        <f t="shared" si="27"/>
        <v/>
      </c>
      <c r="AL23" s="160" t="str">
        <f t="shared" si="28"/>
        <v/>
      </c>
      <c r="AM23" s="160" t="str">
        <f t="shared" si="35"/>
        <v/>
      </c>
      <c r="AN23" s="160" t="str">
        <f t="shared" si="5"/>
        <v/>
      </c>
      <c r="AO23" s="160" t="e">
        <f t="shared" si="6"/>
        <v>#N/A</v>
      </c>
      <c r="AP23" s="206" t="str">
        <f t="shared" si="7"/>
        <v/>
      </c>
      <c r="AQ23" s="157">
        <f t="shared" si="29"/>
        <v>0</v>
      </c>
      <c r="AR23" s="88" t="str">
        <f t="shared" si="8"/>
        <v/>
      </c>
      <c r="AS23" s="89">
        <f t="shared" si="30"/>
        <v>0</v>
      </c>
      <c r="AT23" s="88" t="str">
        <f t="shared" si="9"/>
        <v/>
      </c>
      <c r="AU23" s="158">
        <f t="shared" si="10"/>
        <v>0</v>
      </c>
      <c r="AV23" s="90" t="str">
        <f t="shared" si="11"/>
        <v/>
      </c>
      <c r="AW23" s="158" t="b">
        <f t="shared" si="12"/>
        <v>0</v>
      </c>
      <c r="AX23" s="159" t="b">
        <f t="shared" si="13"/>
        <v>0</v>
      </c>
      <c r="AY23" s="158" t="b">
        <f t="shared" si="14"/>
        <v>0</v>
      </c>
      <c r="AZ23" s="159" t="b">
        <f t="shared" si="15"/>
        <v>0</v>
      </c>
      <c r="BA23" s="206" t="b">
        <f t="shared" si="16"/>
        <v>0</v>
      </c>
      <c r="BB23" s="206" t="b">
        <f t="shared" si="17"/>
        <v>0</v>
      </c>
      <c r="BC23" s="158" t="b">
        <f t="shared" si="18"/>
        <v>0</v>
      </c>
      <c r="BD23" s="160" t="b">
        <f t="shared" si="31"/>
        <v>0</v>
      </c>
      <c r="BE23" s="159" t="b">
        <f t="shared" ref="BE23:BE39" si="37">IF(OR(ISNA($Z23),K23&lt;&gt;"D"),FALSE,IF(OR(AND(H23="NG",J23=0),AND(H23&lt;&gt;"NG",NOT(OR(J23="NA",J23=0)))),TRUE,FALSE))</f>
        <v>0</v>
      </c>
      <c r="BF23" s="161" t="b">
        <f t="shared" si="20"/>
        <v>0</v>
      </c>
      <c r="BG23" s="206" t="str">
        <f t="shared" ref="BG23:BG39" si="38">IF(ISNA($Z23),"NA",IF(OR(AZ23,AY23,AX23,AW23,AP23,BA23,BB23),TRUE,FALSE))</f>
        <v>NA</v>
      </c>
      <c r="BH23" s="206" t="str">
        <f t="shared" si="32"/>
        <v/>
      </c>
      <c r="BI23" s="206" t="str">
        <f t="shared" si="22"/>
        <v/>
      </c>
      <c r="BJ23" s="206" t="str">
        <f t="shared" si="23"/>
        <v/>
      </c>
      <c r="BK23" s="206" t="str">
        <f t="shared" si="24"/>
        <v/>
      </c>
      <c r="BL23" s="162" t="str">
        <f t="shared" si="33"/>
        <v/>
      </c>
      <c r="BM23" s="206" t="str">
        <f t="shared" si="25"/>
        <v/>
      </c>
      <c r="BN23" s="206" t="str">
        <f t="shared" si="26"/>
        <v/>
      </c>
      <c r="BO23" s="1387"/>
      <c r="BP23" s="104" t="s">
        <v>229</v>
      </c>
      <c r="BQ23" s="94">
        <f t="shared" si="36"/>
        <v>0.7</v>
      </c>
      <c r="BR23" s="95">
        <f t="shared" si="36"/>
        <v>0.76670000000000005</v>
      </c>
      <c r="BS23" s="95">
        <f t="shared" si="36"/>
        <v>0.83330000000000004</v>
      </c>
      <c r="BT23" s="95">
        <f t="shared" si="36"/>
        <v>0.9</v>
      </c>
      <c r="BU23" s="96">
        <f t="shared" si="36"/>
        <v>1</v>
      </c>
    </row>
    <row r="24" spans="2:73" s="105" customFormat="1" ht="12.95" customHeight="1" x14ac:dyDescent="0.2">
      <c r="B24" s="165" t="str">
        <f>IF(ISNA(Z24),"",IF(OR(Z24=1,Z24=2),"    ",MAX($B$8:B23)+1))</f>
        <v/>
      </c>
      <c r="C24" s="1375" t="str">
        <f t="shared" si="0"/>
        <v/>
      </c>
      <c r="D24" s="1375"/>
      <c r="E24" s="1375"/>
      <c r="F24" s="1376"/>
      <c r="G24" s="152" t="str">
        <f t="shared" si="1"/>
        <v/>
      </c>
      <c r="H24" s="153" t="str">
        <f t="shared" si="2"/>
        <v/>
      </c>
      <c r="I24" s="166" t="str">
        <f t="shared" si="2"/>
        <v/>
      </c>
      <c r="J24" s="172"/>
      <c r="K24" s="173"/>
      <c r="L24" s="1075"/>
      <c r="M24" s="1076"/>
      <c r="N24" s="1076"/>
      <c r="O24" s="1076"/>
      <c r="P24" s="1076"/>
      <c r="Q24" s="1076"/>
      <c r="R24" s="1077"/>
      <c r="T24" s="119">
        <v>17</v>
      </c>
      <c r="U24" s="110" t="e">
        <v>#N/A</v>
      </c>
      <c r="V24" s="206" t="e">
        <v>#N/A</v>
      </c>
      <c r="W24" s="206" t="e">
        <v>#N/A</v>
      </c>
      <c r="X24" s="206" t="e">
        <v>#N/A</v>
      </c>
      <c r="Y24" s="206" t="e">
        <v>#N/A</v>
      </c>
      <c r="Z24" s="160" t="e">
        <v>#N/A</v>
      </c>
      <c r="AA24" s="160" t="e">
        <v>#N/A</v>
      </c>
      <c r="AB24" s="160" t="e">
        <v>#N/A</v>
      </c>
      <c r="AC24" s="206" t="e">
        <v>#N/A</v>
      </c>
      <c r="AD24" s="206" t="e">
        <v>#N/A</v>
      </c>
      <c r="AE24" s="206" t="e">
        <v>#N/A</v>
      </c>
      <c r="AF24" s="206" t="e">
        <v>#N/A</v>
      </c>
      <c r="AG24" s="206" t="e">
        <f t="shared" si="3"/>
        <v>#N/A</v>
      </c>
      <c r="AH24" s="206" t="str">
        <f t="shared" si="4"/>
        <v/>
      </c>
      <c r="AI24" s="86" t="e">
        <f>IF(NOT(OR(Z24=1,Z24=2)),IF(AQ24&gt;0,$AR$44*AQ24/SUMIF($AQ$8:$AQ$39,"&gt;0"),IF(AU24&gt;0,$AV$44*AU24/SUMIF($AU$8:$AU$39,"&gt;0"),IF(AS24&gt;0,$AT$44*AS24/SUMIF($AS$8:$AS$39,"&gt;0"),""))),IF(SUMIF(AJ25:$AJ$39,"=" &amp; AJ24,AI25:$AI$39)=0,"",SUMIF(AJ25:$AJ$39,"=" &amp; AJ24,AI25:$AI$39)))</f>
        <v>#N/A</v>
      </c>
      <c r="AJ24" s="87" t="e">
        <f t="shared" si="34"/>
        <v>#N/A</v>
      </c>
      <c r="AK24" s="206" t="str">
        <f t="shared" si="27"/>
        <v/>
      </c>
      <c r="AL24" s="160" t="str">
        <f t="shared" si="28"/>
        <v/>
      </c>
      <c r="AM24" s="160" t="str">
        <f t="shared" si="35"/>
        <v/>
      </c>
      <c r="AN24" s="160" t="str">
        <f t="shared" si="5"/>
        <v/>
      </c>
      <c r="AO24" s="160" t="e">
        <f t="shared" si="6"/>
        <v>#N/A</v>
      </c>
      <c r="AP24" s="206" t="str">
        <f t="shared" si="7"/>
        <v/>
      </c>
      <c r="AQ24" s="157">
        <f t="shared" si="29"/>
        <v>0</v>
      </c>
      <c r="AR24" s="88" t="str">
        <f t="shared" si="8"/>
        <v/>
      </c>
      <c r="AS24" s="89">
        <f t="shared" si="30"/>
        <v>0</v>
      </c>
      <c r="AT24" s="88" t="str">
        <f t="shared" si="9"/>
        <v/>
      </c>
      <c r="AU24" s="158">
        <f t="shared" si="10"/>
        <v>0</v>
      </c>
      <c r="AV24" s="90" t="str">
        <f t="shared" si="11"/>
        <v/>
      </c>
      <c r="AW24" s="158" t="b">
        <f t="shared" si="12"/>
        <v>0</v>
      </c>
      <c r="AX24" s="159" t="b">
        <f t="shared" si="13"/>
        <v>0</v>
      </c>
      <c r="AY24" s="158" t="b">
        <f t="shared" si="14"/>
        <v>0</v>
      </c>
      <c r="AZ24" s="159" t="b">
        <f t="shared" si="15"/>
        <v>0</v>
      </c>
      <c r="BA24" s="206" t="b">
        <f t="shared" si="16"/>
        <v>0</v>
      </c>
      <c r="BB24" s="206" t="b">
        <f t="shared" si="17"/>
        <v>0</v>
      </c>
      <c r="BC24" s="158" t="b">
        <f t="shared" si="18"/>
        <v>0</v>
      </c>
      <c r="BD24" s="160" t="b">
        <f t="shared" si="31"/>
        <v>0</v>
      </c>
      <c r="BE24" s="159" t="b">
        <f t="shared" si="37"/>
        <v>0</v>
      </c>
      <c r="BF24" s="161" t="b">
        <f t="shared" si="20"/>
        <v>0</v>
      </c>
      <c r="BG24" s="206" t="str">
        <f t="shared" si="38"/>
        <v>NA</v>
      </c>
      <c r="BH24" s="206" t="str">
        <f t="shared" si="32"/>
        <v/>
      </c>
      <c r="BI24" s="206" t="str">
        <f t="shared" si="22"/>
        <v/>
      </c>
      <c r="BJ24" s="206" t="str">
        <f t="shared" si="23"/>
        <v/>
      </c>
      <c r="BK24" s="206" t="str">
        <f t="shared" si="24"/>
        <v/>
      </c>
      <c r="BL24" s="162" t="str">
        <f t="shared" si="33"/>
        <v/>
      </c>
      <c r="BM24" s="206" t="str">
        <f t="shared" si="25"/>
        <v/>
      </c>
      <c r="BN24" s="206" t="str">
        <f t="shared" si="26"/>
        <v/>
      </c>
      <c r="BO24" s="1387"/>
      <c r="BP24" s="104" t="s">
        <v>230</v>
      </c>
      <c r="BQ24" s="94">
        <f t="shared" si="36"/>
        <v>0.6</v>
      </c>
      <c r="BR24" s="95">
        <f t="shared" si="36"/>
        <v>0.9</v>
      </c>
      <c r="BS24" s="95">
        <f t="shared" si="36"/>
        <v>0.93330000000000002</v>
      </c>
      <c r="BT24" s="95">
        <f t="shared" si="36"/>
        <v>0.9667</v>
      </c>
      <c r="BU24" s="96">
        <f t="shared" si="36"/>
        <v>1</v>
      </c>
    </row>
    <row r="25" spans="2:73" s="105" customFormat="1" ht="12.95" customHeight="1" x14ac:dyDescent="0.2">
      <c r="B25" s="165" t="str">
        <f>IF(ISNA(Z25),"",IF(OR(Z25=1,Z25=2),"    ",MAX($B$8:B24)+1))</f>
        <v/>
      </c>
      <c r="C25" s="1375" t="str">
        <f t="shared" si="0"/>
        <v/>
      </c>
      <c r="D25" s="1375"/>
      <c r="E25" s="1375"/>
      <c r="F25" s="1376"/>
      <c r="G25" s="152" t="str">
        <f t="shared" si="1"/>
        <v/>
      </c>
      <c r="H25" s="153" t="str">
        <f t="shared" si="2"/>
        <v/>
      </c>
      <c r="I25" s="166" t="str">
        <f t="shared" si="2"/>
        <v/>
      </c>
      <c r="J25" s="172"/>
      <c r="K25" s="173"/>
      <c r="L25" s="1075"/>
      <c r="M25" s="1076"/>
      <c r="N25" s="1076"/>
      <c r="O25" s="1076"/>
      <c r="P25" s="1076"/>
      <c r="Q25" s="1076"/>
      <c r="R25" s="1077"/>
      <c r="T25" s="119">
        <v>18</v>
      </c>
      <c r="U25" s="110" t="e">
        <v>#N/A</v>
      </c>
      <c r="V25" s="206" t="e">
        <v>#N/A</v>
      </c>
      <c r="W25" s="206" t="e">
        <v>#N/A</v>
      </c>
      <c r="X25" s="206" t="e">
        <v>#N/A</v>
      </c>
      <c r="Y25" s="206" t="e">
        <v>#N/A</v>
      </c>
      <c r="Z25" s="160" t="e">
        <v>#N/A</v>
      </c>
      <c r="AA25" s="160" t="e">
        <v>#N/A</v>
      </c>
      <c r="AB25" s="160" t="e">
        <v>#N/A</v>
      </c>
      <c r="AC25" s="206" t="e">
        <v>#N/A</v>
      </c>
      <c r="AD25" s="206" t="e">
        <v>#N/A</v>
      </c>
      <c r="AE25" s="206" t="e">
        <v>#N/A</v>
      </c>
      <c r="AF25" s="206" t="e">
        <v>#N/A</v>
      </c>
      <c r="AG25" s="206" t="e">
        <f t="shared" si="3"/>
        <v>#N/A</v>
      </c>
      <c r="AH25" s="206" t="str">
        <f t="shared" si="4"/>
        <v/>
      </c>
      <c r="AI25" s="86" t="e">
        <f>IF(NOT(OR(Z25=1,Z25=2)),IF(AQ25&gt;0,$AR$44*AQ25/SUMIF($AQ$8:$AQ$39,"&gt;0"),IF(AU25&gt;0,$AV$44*AU25/SUMIF($AU$8:$AU$39,"&gt;0"),IF(AS25&gt;0,$AT$44*AS25/SUMIF($AS$8:$AS$39,"&gt;0"),""))),IF(SUMIF(AJ26:$AJ$39,"=" &amp; AJ25,AI26:$AI$39)=0,"",SUMIF(AJ26:$AJ$39,"=" &amp; AJ25,AI26:$AI$39)))</f>
        <v>#N/A</v>
      </c>
      <c r="AJ25" s="87" t="e">
        <f t="shared" si="34"/>
        <v>#N/A</v>
      </c>
      <c r="AK25" s="206" t="str">
        <f t="shared" si="27"/>
        <v/>
      </c>
      <c r="AL25" s="160" t="str">
        <f t="shared" si="28"/>
        <v/>
      </c>
      <c r="AM25" s="160" t="str">
        <f t="shared" si="35"/>
        <v/>
      </c>
      <c r="AN25" s="160" t="str">
        <f t="shared" si="5"/>
        <v/>
      </c>
      <c r="AO25" s="160" t="e">
        <f t="shared" si="6"/>
        <v>#N/A</v>
      </c>
      <c r="AP25" s="206" t="str">
        <f t="shared" si="7"/>
        <v/>
      </c>
      <c r="AQ25" s="157">
        <f t="shared" si="29"/>
        <v>0</v>
      </c>
      <c r="AR25" s="88" t="str">
        <f t="shared" si="8"/>
        <v/>
      </c>
      <c r="AS25" s="89">
        <f t="shared" si="30"/>
        <v>0</v>
      </c>
      <c r="AT25" s="88" t="str">
        <f t="shared" si="9"/>
        <v/>
      </c>
      <c r="AU25" s="158">
        <f t="shared" si="10"/>
        <v>0</v>
      </c>
      <c r="AV25" s="90" t="str">
        <f t="shared" si="11"/>
        <v/>
      </c>
      <c r="AW25" s="158" t="b">
        <f t="shared" si="12"/>
        <v>0</v>
      </c>
      <c r="AX25" s="159" t="b">
        <f t="shared" si="13"/>
        <v>0</v>
      </c>
      <c r="AY25" s="158" t="b">
        <f t="shared" si="14"/>
        <v>0</v>
      </c>
      <c r="AZ25" s="159" t="b">
        <f t="shared" si="15"/>
        <v>0</v>
      </c>
      <c r="BA25" s="206" t="b">
        <f t="shared" si="16"/>
        <v>0</v>
      </c>
      <c r="BB25" s="206" t="b">
        <f t="shared" si="17"/>
        <v>0</v>
      </c>
      <c r="BC25" s="158" t="b">
        <f t="shared" si="18"/>
        <v>0</v>
      </c>
      <c r="BD25" s="160" t="b">
        <f t="shared" si="31"/>
        <v>0</v>
      </c>
      <c r="BE25" s="159" t="b">
        <f t="shared" si="37"/>
        <v>0</v>
      </c>
      <c r="BF25" s="161" t="b">
        <f t="shared" si="20"/>
        <v>0</v>
      </c>
      <c r="BG25" s="206" t="str">
        <f t="shared" si="38"/>
        <v>NA</v>
      </c>
      <c r="BH25" s="206" t="str">
        <f t="shared" si="32"/>
        <v/>
      </c>
      <c r="BI25" s="206" t="str">
        <f t="shared" si="22"/>
        <v/>
      </c>
      <c r="BJ25" s="206" t="str">
        <f t="shared" si="23"/>
        <v/>
      </c>
      <c r="BK25" s="206" t="str">
        <f t="shared" si="24"/>
        <v/>
      </c>
      <c r="BL25" s="162" t="str">
        <f t="shared" si="33"/>
        <v/>
      </c>
      <c r="BM25" s="206" t="str">
        <f t="shared" si="25"/>
        <v/>
      </c>
      <c r="BN25" s="206" t="str">
        <f t="shared" si="26"/>
        <v/>
      </c>
      <c r="BO25" s="1387"/>
      <c r="BP25" s="104" t="s">
        <v>231</v>
      </c>
      <c r="BQ25" s="94">
        <f t="shared" si="36"/>
        <v>0.6</v>
      </c>
      <c r="BR25" s="95">
        <f t="shared" si="36"/>
        <v>0.7</v>
      </c>
      <c r="BS25" s="95">
        <f t="shared" si="36"/>
        <v>0.9</v>
      </c>
      <c r="BT25" s="95">
        <f t="shared" si="36"/>
        <v>0.95</v>
      </c>
      <c r="BU25" s="96">
        <f t="shared" si="36"/>
        <v>1</v>
      </c>
    </row>
    <row r="26" spans="2:73" s="105" customFormat="1" ht="12.95" customHeight="1" x14ac:dyDescent="0.2">
      <c r="B26" s="165" t="str">
        <f>IF(ISNA(Z26),"",IF(OR(Z26=1,Z26=2),"    ",MAX($B$8:B25)+1))</f>
        <v/>
      </c>
      <c r="C26" s="1375" t="str">
        <f t="shared" si="0"/>
        <v/>
      </c>
      <c r="D26" s="1375"/>
      <c r="E26" s="1375"/>
      <c r="F26" s="1376"/>
      <c r="G26" s="152" t="str">
        <f t="shared" si="1"/>
        <v/>
      </c>
      <c r="H26" s="153" t="str">
        <f t="shared" si="2"/>
        <v/>
      </c>
      <c r="I26" s="166" t="str">
        <f t="shared" si="2"/>
        <v/>
      </c>
      <c r="J26" s="172"/>
      <c r="K26" s="173"/>
      <c r="L26" s="1075"/>
      <c r="M26" s="1076"/>
      <c r="N26" s="1076"/>
      <c r="O26" s="1076"/>
      <c r="P26" s="1076"/>
      <c r="Q26" s="1076"/>
      <c r="R26" s="1077"/>
      <c r="T26" s="119">
        <v>19</v>
      </c>
      <c r="U26" s="110" t="e">
        <v>#N/A</v>
      </c>
      <c r="V26" s="206" t="e">
        <v>#N/A</v>
      </c>
      <c r="W26" s="206" t="e">
        <v>#N/A</v>
      </c>
      <c r="X26" s="206" t="e">
        <v>#N/A</v>
      </c>
      <c r="Y26" s="206" t="e">
        <v>#N/A</v>
      </c>
      <c r="Z26" s="160" t="e">
        <v>#N/A</v>
      </c>
      <c r="AA26" s="160" t="e">
        <v>#N/A</v>
      </c>
      <c r="AB26" s="160" t="e">
        <v>#N/A</v>
      </c>
      <c r="AC26" s="206" t="e">
        <v>#N/A</v>
      </c>
      <c r="AD26" s="206" t="e">
        <v>#N/A</v>
      </c>
      <c r="AE26" s="206" t="e">
        <v>#N/A</v>
      </c>
      <c r="AF26" s="206" t="e">
        <v>#N/A</v>
      </c>
      <c r="AG26" s="206" t="e">
        <f t="shared" si="3"/>
        <v>#N/A</v>
      </c>
      <c r="AH26" s="206" t="str">
        <f t="shared" si="4"/>
        <v/>
      </c>
      <c r="AI26" s="86" t="e">
        <f>IF(NOT(OR(Z26=1,Z26=2)),IF(AQ26&gt;0,$AR$44*AQ26/SUMIF($AQ$8:$AQ$39,"&gt;0"),IF(AU26&gt;0,$AV$44*AU26/SUMIF($AU$8:$AU$39,"&gt;0"),IF(AS26&gt;0,$AT$44*AS26/SUMIF($AS$8:$AS$39,"&gt;0"),""))),IF(SUMIF(AJ27:$AJ$39,"=" &amp; AJ26,AI27:$AI$39)=0,"",SUMIF(AJ27:$AJ$39,"=" &amp; AJ26,AI27:$AI$39)))</f>
        <v>#N/A</v>
      </c>
      <c r="AJ26" s="87" t="e">
        <f t="shared" si="34"/>
        <v>#N/A</v>
      </c>
      <c r="AK26" s="206" t="str">
        <f t="shared" si="27"/>
        <v/>
      </c>
      <c r="AL26" s="160" t="str">
        <f t="shared" si="28"/>
        <v/>
      </c>
      <c r="AM26" s="160" t="str">
        <f t="shared" si="35"/>
        <v/>
      </c>
      <c r="AN26" s="160" t="str">
        <f t="shared" si="5"/>
        <v/>
      </c>
      <c r="AO26" s="160" t="e">
        <f t="shared" si="6"/>
        <v>#N/A</v>
      </c>
      <c r="AP26" s="206" t="str">
        <f t="shared" si="7"/>
        <v/>
      </c>
      <c r="AQ26" s="157">
        <f t="shared" si="29"/>
        <v>0</v>
      </c>
      <c r="AR26" s="88" t="str">
        <f t="shared" si="8"/>
        <v/>
      </c>
      <c r="AS26" s="89">
        <f t="shared" si="30"/>
        <v>0</v>
      </c>
      <c r="AT26" s="88" t="str">
        <f t="shared" si="9"/>
        <v/>
      </c>
      <c r="AU26" s="158">
        <f t="shared" si="10"/>
        <v>0</v>
      </c>
      <c r="AV26" s="90" t="str">
        <f t="shared" si="11"/>
        <v/>
      </c>
      <c r="AW26" s="158" t="b">
        <f t="shared" si="12"/>
        <v>0</v>
      </c>
      <c r="AX26" s="159" t="b">
        <f t="shared" si="13"/>
        <v>0</v>
      </c>
      <c r="AY26" s="158" t="b">
        <f t="shared" si="14"/>
        <v>0</v>
      </c>
      <c r="AZ26" s="159" t="b">
        <f t="shared" si="15"/>
        <v>0</v>
      </c>
      <c r="BA26" s="206" t="b">
        <f t="shared" si="16"/>
        <v>0</v>
      </c>
      <c r="BB26" s="206" t="b">
        <f t="shared" si="17"/>
        <v>0</v>
      </c>
      <c r="BC26" s="158" t="b">
        <f t="shared" si="18"/>
        <v>0</v>
      </c>
      <c r="BD26" s="160" t="b">
        <f t="shared" si="31"/>
        <v>0</v>
      </c>
      <c r="BE26" s="159" t="b">
        <f t="shared" si="37"/>
        <v>0</v>
      </c>
      <c r="BF26" s="161" t="b">
        <f t="shared" si="20"/>
        <v>0</v>
      </c>
      <c r="BG26" s="206" t="str">
        <f t="shared" si="38"/>
        <v>NA</v>
      </c>
      <c r="BH26" s="206" t="str">
        <f t="shared" si="32"/>
        <v/>
      </c>
      <c r="BI26" s="206" t="str">
        <f t="shared" si="22"/>
        <v/>
      </c>
      <c r="BJ26" s="206" t="str">
        <f t="shared" si="23"/>
        <v/>
      </c>
      <c r="BK26" s="206" t="str">
        <f t="shared" si="24"/>
        <v/>
      </c>
      <c r="BL26" s="162" t="str">
        <f t="shared" si="33"/>
        <v/>
      </c>
      <c r="BM26" s="206" t="str">
        <f t="shared" si="25"/>
        <v/>
      </c>
      <c r="BN26" s="206" t="str">
        <f t="shared" si="26"/>
        <v/>
      </c>
      <c r="BO26" s="1387"/>
      <c r="BP26" s="104" t="s">
        <v>232</v>
      </c>
      <c r="BQ26" s="94">
        <f t="shared" si="36"/>
        <v>0.6</v>
      </c>
      <c r="BR26" s="95">
        <f t="shared" si="36"/>
        <v>0.7</v>
      </c>
      <c r="BS26" s="95">
        <f t="shared" si="36"/>
        <v>0.8</v>
      </c>
      <c r="BT26" s="95">
        <f t="shared" si="36"/>
        <v>0.9</v>
      </c>
      <c r="BU26" s="96">
        <f t="shared" si="36"/>
        <v>1</v>
      </c>
    </row>
    <row r="27" spans="2:73" s="105" customFormat="1" ht="12.95" customHeight="1" x14ac:dyDescent="0.2">
      <c r="B27" s="165" t="str">
        <f>IF(ISNA(Z27),"",IF(OR(Z27=1,Z27=2),"    ",MAX($B$8:B26)+1))</f>
        <v/>
      </c>
      <c r="C27" s="1375" t="str">
        <f t="shared" si="0"/>
        <v/>
      </c>
      <c r="D27" s="1375"/>
      <c r="E27" s="1375"/>
      <c r="F27" s="1376"/>
      <c r="G27" s="152" t="str">
        <f t="shared" si="1"/>
        <v/>
      </c>
      <c r="H27" s="153" t="str">
        <f t="shared" si="2"/>
        <v/>
      </c>
      <c r="I27" s="166" t="str">
        <f t="shared" si="2"/>
        <v/>
      </c>
      <c r="J27" s="172"/>
      <c r="K27" s="173"/>
      <c r="L27" s="1075"/>
      <c r="M27" s="1076"/>
      <c r="N27" s="1076"/>
      <c r="O27" s="1076"/>
      <c r="P27" s="1076"/>
      <c r="Q27" s="1076"/>
      <c r="R27" s="1077"/>
      <c r="T27" s="119">
        <v>20</v>
      </c>
      <c r="U27" s="110" t="e">
        <v>#N/A</v>
      </c>
      <c r="V27" s="206" t="e">
        <v>#N/A</v>
      </c>
      <c r="W27" s="206" t="e">
        <v>#N/A</v>
      </c>
      <c r="X27" s="206" t="e">
        <v>#N/A</v>
      </c>
      <c r="Y27" s="206" t="e">
        <v>#N/A</v>
      </c>
      <c r="Z27" s="160" t="e">
        <v>#N/A</v>
      </c>
      <c r="AA27" s="160" t="e">
        <v>#N/A</v>
      </c>
      <c r="AB27" s="160" t="e">
        <v>#N/A</v>
      </c>
      <c r="AC27" s="206" t="e">
        <v>#N/A</v>
      </c>
      <c r="AD27" s="206" t="e">
        <v>#N/A</v>
      </c>
      <c r="AE27" s="206" t="e">
        <v>#N/A</v>
      </c>
      <c r="AF27" s="206" t="e">
        <v>#N/A</v>
      </c>
      <c r="AG27" s="206" t="e">
        <f t="shared" si="3"/>
        <v>#N/A</v>
      </c>
      <c r="AH27" s="206" t="str">
        <f t="shared" si="4"/>
        <v/>
      </c>
      <c r="AI27" s="86" t="e">
        <f>IF(NOT(OR(Z27=1,Z27=2)),IF(AQ27&gt;0,$AR$44*AQ27/SUMIF($AQ$8:$AQ$39,"&gt;0"),IF(AU27&gt;0,$AV$44*AU27/SUMIF($AU$8:$AU$39,"&gt;0"),IF(AS27&gt;0,$AT$44*AS27/SUMIF($AS$8:$AS$39,"&gt;0"),""))),IF(SUMIF(AJ28:$AJ$39,"=" &amp; AJ27,AI28:$AI$39)=0,"",SUMIF(AJ28:$AJ$39,"=" &amp; AJ27,AI28:$AI$39)))</f>
        <v>#N/A</v>
      </c>
      <c r="AJ27" s="87" t="e">
        <f t="shared" si="34"/>
        <v>#N/A</v>
      </c>
      <c r="AK27" s="206" t="str">
        <f t="shared" si="27"/>
        <v/>
      </c>
      <c r="AL27" s="160" t="str">
        <f t="shared" si="28"/>
        <v/>
      </c>
      <c r="AM27" s="160" t="str">
        <f t="shared" si="35"/>
        <v/>
      </c>
      <c r="AN27" s="160" t="str">
        <f t="shared" si="5"/>
        <v/>
      </c>
      <c r="AO27" s="160" t="e">
        <f t="shared" si="6"/>
        <v>#N/A</v>
      </c>
      <c r="AP27" s="206" t="str">
        <f t="shared" si="7"/>
        <v/>
      </c>
      <c r="AQ27" s="157">
        <f t="shared" si="29"/>
        <v>0</v>
      </c>
      <c r="AR27" s="88" t="str">
        <f t="shared" si="8"/>
        <v/>
      </c>
      <c r="AS27" s="89">
        <f t="shared" si="30"/>
        <v>0</v>
      </c>
      <c r="AT27" s="88" t="str">
        <f t="shared" si="9"/>
        <v/>
      </c>
      <c r="AU27" s="158">
        <f t="shared" si="10"/>
        <v>0</v>
      </c>
      <c r="AV27" s="90" t="str">
        <f t="shared" si="11"/>
        <v/>
      </c>
      <c r="AW27" s="158" t="b">
        <f t="shared" si="12"/>
        <v>0</v>
      </c>
      <c r="AX27" s="159" t="b">
        <f t="shared" si="13"/>
        <v>0</v>
      </c>
      <c r="AY27" s="158" t="b">
        <f t="shared" si="14"/>
        <v>0</v>
      </c>
      <c r="AZ27" s="159" t="b">
        <f t="shared" si="15"/>
        <v>0</v>
      </c>
      <c r="BA27" s="206" t="b">
        <f t="shared" si="16"/>
        <v>0</v>
      </c>
      <c r="BB27" s="206" t="b">
        <f t="shared" si="17"/>
        <v>0</v>
      </c>
      <c r="BC27" s="158" t="b">
        <f t="shared" si="18"/>
        <v>0</v>
      </c>
      <c r="BD27" s="160" t="b">
        <f t="shared" si="31"/>
        <v>0</v>
      </c>
      <c r="BE27" s="159" t="b">
        <f t="shared" si="37"/>
        <v>0</v>
      </c>
      <c r="BF27" s="161" t="b">
        <f t="shared" si="20"/>
        <v>0</v>
      </c>
      <c r="BG27" s="206" t="str">
        <f t="shared" si="38"/>
        <v>NA</v>
      </c>
      <c r="BH27" s="206" t="str">
        <f t="shared" si="32"/>
        <v/>
      </c>
      <c r="BI27" s="206" t="str">
        <f t="shared" si="22"/>
        <v/>
      </c>
      <c r="BJ27" s="206" t="str">
        <f t="shared" si="23"/>
        <v/>
      </c>
      <c r="BK27" s="206" t="str">
        <f t="shared" si="24"/>
        <v/>
      </c>
      <c r="BL27" s="162" t="str">
        <f t="shared" si="33"/>
        <v/>
      </c>
      <c r="BM27" s="206" t="str">
        <f t="shared" si="25"/>
        <v/>
      </c>
      <c r="BN27" s="206" t="str">
        <f t="shared" si="26"/>
        <v/>
      </c>
      <c r="BO27" s="1387"/>
      <c r="BP27" s="104" t="s">
        <v>233</v>
      </c>
      <c r="BQ27" s="94">
        <f t="shared" si="36"/>
        <v>0.3</v>
      </c>
      <c r="BR27" s="95">
        <f t="shared" si="36"/>
        <v>0.6</v>
      </c>
      <c r="BS27" s="95">
        <f t="shared" si="36"/>
        <v>0.9</v>
      </c>
      <c r="BT27" s="95">
        <f t="shared" si="36"/>
        <v>0.95</v>
      </c>
      <c r="BU27" s="96">
        <f t="shared" si="36"/>
        <v>1</v>
      </c>
    </row>
    <row r="28" spans="2:73" s="105" customFormat="1" ht="12.95" customHeight="1" x14ac:dyDescent="0.2">
      <c r="B28" s="165" t="str">
        <f>IF(ISNA(Z28),"",IF(OR(Z28=1,Z28=2),"    ",MAX($B$8:B27)+1))</f>
        <v/>
      </c>
      <c r="C28" s="1375" t="str">
        <f t="shared" si="0"/>
        <v/>
      </c>
      <c r="D28" s="1375"/>
      <c r="E28" s="1375"/>
      <c r="F28" s="1376"/>
      <c r="G28" s="152" t="str">
        <f t="shared" si="1"/>
        <v/>
      </c>
      <c r="H28" s="153" t="str">
        <f t="shared" si="2"/>
        <v/>
      </c>
      <c r="I28" s="166" t="str">
        <f t="shared" si="2"/>
        <v/>
      </c>
      <c r="J28" s="172"/>
      <c r="K28" s="173"/>
      <c r="L28" s="1075"/>
      <c r="M28" s="1076"/>
      <c r="N28" s="1076"/>
      <c r="O28" s="1076"/>
      <c r="P28" s="1076"/>
      <c r="Q28" s="1076"/>
      <c r="R28" s="1077"/>
      <c r="T28" s="119">
        <v>21</v>
      </c>
      <c r="U28" s="110" t="e">
        <v>#N/A</v>
      </c>
      <c r="V28" s="206" t="e">
        <v>#N/A</v>
      </c>
      <c r="W28" s="206" t="e">
        <v>#N/A</v>
      </c>
      <c r="X28" s="206" t="e">
        <v>#N/A</v>
      </c>
      <c r="Y28" s="206" t="e">
        <v>#N/A</v>
      </c>
      <c r="Z28" s="160" t="e">
        <v>#N/A</v>
      </c>
      <c r="AA28" s="160" t="e">
        <v>#N/A</v>
      </c>
      <c r="AB28" s="160" t="e">
        <v>#N/A</v>
      </c>
      <c r="AC28" s="206" t="e">
        <v>#N/A</v>
      </c>
      <c r="AD28" s="206" t="e">
        <v>#N/A</v>
      </c>
      <c r="AE28" s="206" t="e">
        <v>#N/A</v>
      </c>
      <c r="AF28" s="206" t="e">
        <v>#N/A</v>
      </c>
      <c r="AG28" s="206" t="e">
        <f t="shared" si="3"/>
        <v>#N/A</v>
      </c>
      <c r="AH28" s="206" t="str">
        <f t="shared" si="4"/>
        <v/>
      </c>
      <c r="AI28" s="86" t="e">
        <f>IF(NOT(OR(Z28=1,Z28=2)),IF(AQ28&gt;0,$AR$44*AQ28/SUMIF($AQ$8:$AQ$39,"&gt;0"),IF(AU28&gt;0,$AV$44*AU28/SUMIF($AU$8:$AU$39,"&gt;0"),IF(AS28&gt;0,$AT$44*AS28/SUMIF($AS$8:$AS$39,"&gt;0"),""))),IF(SUMIF(AJ29:$AJ$39,"=" &amp; AJ28,AI29:$AI$39)=0,"",SUMIF(AJ29:$AJ$39,"=" &amp; AJ28,AI29:$AI$39)))</f>
        <v>#N/A</v>
      </c>
      <c r="AJ28" s="87" t="e">
        <f t="shared" si="34"/>
        <v>#N/A</v>
      </c>
      <c r="AK28" s="206" t="str">
        <f t="shared" si="27"/>
        <v/>
      </c>
      <c r="AL28" s="160" t="str">
        <f t="shared" si="28"/>
        <v/>
      </c>
      <c r="AM28" s="160" t="str">
        <f t="shared" si="35"/>
        <v/>
      </c>
      <c r="AN28" s="160" t="str">
        <f t="shared" si="5"/>
        <v/>
      </c>
      <c r="AO28" s="160" t="e">
        <f t="shared" si="6"/>
        <v>#N/A</v>
      </c>
      <c r="AP28" s="206" t="str">
        <f t="shared" si="7"/>
        <v/>
      </c>
      <c r="AQ28" s="157">
        <f t="shared" si="29"/>
        <v>0</v>
      </c>
      <c r="AR28" s="88" t="str">
        <f t="shared" si="8"/>
        <v/>
      </c>
      <c r="AS28" s="89">
        <f t="shared" si="30"/>
        <v>0</v>
      </c>
      <c r="AT28" s="88" t="str">
        <f t="shared" si="9"/>
        <v/>
      </c>
      <c r="AU28" s="158">
        <f t="shared" si="10"/>
        <v>0</v>
      </c>
      <c r="AV28" s="90" t="str">
        <f t="shared" si="11"/>
        <v/>
      </c>
      <c r="AW28" s="158" t="b">
        <f t="shared" si="12"/>
        <v>0</v>
      </c>
      <c r="AX28" s="159" t="b">
        <f t="shared" si="13"/>
        <v>0</v>
      </c>
      <c r="AY28" s="158" t="b">
        <f t="shared" si="14"/>
        <v>0</v>
      </c>
      <c r="AZ28" s="159" t="b">
        <f t="shared" si="15"/>
        <v>0</v>
      </c>
      <c r="BA28" s="206" t="b">
        <f t="shared" si="16"/>
        <v>0</v>
      </c>
      <c r="BB28" s="206" t="b">
        <f t="shared" si="17"/>
        <v>0</v>
      </c>
      <c r="BC28" s="158" t="b">
        <f t="shared" si="18"/>
        <v>0</v>
      </c>
      <c r="BD28" s="160" t="b">
        <f t="shared" si="31"/>
        <v>0</v>
      </c>
      <c r="BE28" s="159" t="b">
        <f t="shared" si="37"/>
        <v>0</v>
      </c>
      <c r="BF28" s="161" t="b">
        <f t="shared" si="20"/>
        <v>0</v>
      </c>
      <c r="BG28" s="206" t="str">
        <f t="shared" si="38"/>
        <v>NA</v>
      </c>
      <c r="BH28" s="206" t="str">
        <f t="shared" si="32"/>
        <v/>
      </c>
      <c r="BI28" s="206" t="str">
        <f t="shared" si="22"/>
        <v/>
      </c>
      <c r="BJ28" s="206" t="str">
        <f t="shared" si="23"/>
        <v/>
      </c>
      <c r="BK28" s="206" t="str">
        <f t="shared" si="24"/>
        <v/>
      </c>
      <c r="BL28" s="162" t="str">
        <f t="shared" si="33"/>
        <v/>
      </c>
      <c r="BM28" s="206" t="str">
        <f t="shared" si="25"/>
        <v/>
      </c>
      <c r="BN28" s="206" t="str">
        <f t="shared" si="26"/>
        <v/>
      </c>
      <c r="BO28" s="1387"/>
      <c r="BP28" s="104" t="s">
        <v>234</v>
      </c>
      <c r="BQ28" s="94">
        <f t="shared" si="36"/>
        <v>0.3</v>
      </c>
      <c r="BR28" s="95">
        <f t="shared" si="36"/>
        <v>0.6</v>
      </c>
      <c r="BS28" s="95">
        <f t="shared" si="36"/>
        <v>0.7</v>
      </c>
      <c r="BT28" s="95">
        <f t="shared" si="36"/>
        <v>0.9</v>
      </c>
      <c r="BU28" s="96">
        <f t="shared" si="36"/>
        <v>1</v>
      </c>
    </row>
    <row r="29" spans="2:73" s="105" customFormat="1" ht="12.95" customHeight="1" x14ac:dyDescent="0.2">
      <c r="B29" s="165" t="str">
        <f>IF(ISNA(Z29),"",IF(OR(Z29=1,Z29=2),"    ",MAX($B$8:B28)+1))</f>
        <v/>
      </c>
      <c r="C29" s="1375" t="str">
        <f t="shared" si="0"/>
        <v/>
      </c>
      <c r="D29" s="1375"/>
      <c r="E29" s="1375"/>
      <c r="F29" s="1376"/>
      <c r="G29" s="152" t="str">
        <f t="shared" si="1"/>
        <v/>
      </c>
      <c r="H29" s="153" t="str">
        <f t="shared" si="2"/>
        <v/>
      </c>
      <c r="I29" s="166" t="str">
        <f t="shared" si="2"/>
        <v/>
      </c>
      <c r="J29" s="172"/>
      <c r="K29" s="173"/>
      <c r="L29" s="1075"/>
      <c r="M29" s="1076"/>
      <c r="N29" s="1076"/>
      <c r="O29" s="1076"/>
      <c r="P29" s="1076"/>
      <c r="Q29" s="1076"/>
      <c r="R29" s="1077"/>
      <c r="T29" s="119">
        <v>22</v>
      </c>
      <c r="U29" s="110" t="e">
        <v>#N/A</v>
      </c>
      <c r="V29" s="206" t="e">
        <v>#N/A</v>
      </c>
      <c r="W29" s="206" t="e">
        <v>#N/A</v>
      </c>
      <c r="X29" s="206" t="e">
        <v>#N/A</v>
      </c>
      <c r="Y29" s="206" t="e">
        <v>#N/A</v>
      </c>
      <c r="Z29" s="160" t="e">
        <v>#N/A</v>
      </c>
      <c r="AA29" s="160" t="e">
        <v>#N/A</v>
      </c>
      <c r="AB29" s="160" t="e">
        <v>#N/A</v>
      </c>
      <c r="AC29" s="206" t="e">
        <v>#N/A</v>
      </c>
      <c r="AD29" s="206" t="e">
        <v>#N/A</v>
      </c>
      <c r="AE29" s="206" t="e">
        <v>#N/A</v>
      </c>
      <c r="AF29" s="206" t="e">
        <v>#N/A</v>
      </c>
      <c r="AG29" s="206" t="e">
        <f t="shared" si="3"/>
        <v>#N/A</v>
      </c>
      <c r="AH29" s="206" t="str">
        <f t="shared" si="4"/>
        <v/>
      </c>
      <c r="AI29" s="86" t="e">
        <f>IF(NOT(OR(Z29=1,Z29=2)),IF(AQ29&gt;0,$AR$44*AQ29/SUMIF($AQ$8:$AQ$39,"&gt;0"),IF(AU29&gt;0,$AV$44*AU29/SUMIF($AU$8:$AU$39,"&gt;0"),IF(AS29&gt;0,$AT$44*AS29/SUMIF($AS$8:$AS$39,"&gt;0"),""))),IF(SUMIF(AJ30:$AJ$39,"=" &amp; AJ29,AI30:$AI$39)=0,"",SUMIF(AJ30:$AJ$39,"=" &amp; AJ29,AI30:$AI$39)))</f>
        <v>#N/A</v>
      </c>
      <c r="AJ29" s="87" t="e">
        <f t="shared" si="34"/>
        <v>#N/A</v>
      </c>
      <c r="AK29" s="206" t="str">
        <f t="shared" si="27"/>
        <v/>
      </c>
      <c r="AL29" s="160" t="str">
        <f t="shared" si="28"/>
        <v/>
      </c>
      <c r="AM29" s="160" t="str">
        <f t="shared" si="35"/>
        <v/>
      </c>
      <c r="AN29" s="160" t="str">
        <f t="shared" si="5"/>
        <v/>
      </c>
      <c r="AO29" s="160" t="e">
        <f t="shared" si="6"/>
        <v>#N/A</v>
      </c>
      <c r="AP29" s="206" t="str">
        <f t="shared" si="7"/>
        <v/>
      </c>
      <c r="AQ29" s="157">
        <f t="shared" si="29"/>
        <v>0</v>
      </c>
      <c r="AR29" s="88" t="str">
        <f t="shared" si="8"/>
        <v/>
      </c>
      <c r="AS29" s="89">
        <f t="shared" si="30"/>
        <v>0</v>
      </c>
      <c r="AT29" s="88" t="str">
        <f t="shared" si="9"/>
        <v/>
      </c>
      <c r="AU29" s="158">
        <f t="shared" si="10"/>
        <v>0</v>
      </c>
      <c r="AV29" s="90" t="str">
        <f t="shared" si="11"/>
        <v/>
      </c>
      <c r="AW29" s="158" t="b">
        <f t="shared" si="12"/>
        <v>0</v>
      </c>
      <c r="AX29" s="159" t="b">
        <f t="shared" si="13"/>
        <v>0</v>
      </c>
      <c r="AY29" s="158" t="b">
        <f t="shared" si="14"/>
        <v>0</v>
      </c>
      <c r="AZ29" s="159" t="b">
        <f t="shared" si="15"/>
        <v>0</v>
      </c>
      <c r="BA29" s="206" t="b">
        <f t="shared" si="16"/>
        <v>0</v>
      </c>
      <c r="BB29" s="206" t="b">
        <f t="shared" si="17"/>
        <v>0</v>
      </c>
      <c r="BC29" s="158" t="b">
        <f t="shared" si="18"/>
        <v>0</v>
      </c>
      <c r="BD29" s="160" t="b">
        <f t="shared" si="31"/>
        <v>0</v>
      </c>
      <c r="BE29" s="159" t="b">
        <f t="shared" si="37"/>
        <v>0</v>
      </c>
      <c r="BF29" s="161" t="b">
        <f t="shared" si="20"/>
        <v>0</v>
      </c>
      <c r="BG29" s="206" t="str">
        <f t="shared" si="38"/>
        <v>NA</v>
      </c>
      <c r="BH29" s="206" t="str">
        <f t="shared" si="32"/>
        <v/>
      </c>
      <c r="BI29" s="206" t="str">
        <f t="shared" si="22"/>
        <v/>
      </c>
      <c r="BJ29" s="206" t="str">
        <f t="shared" si="23"/>
        <v/>
      </c>
      <c r="BK29" s="206" t="str">
        <f t="shared" si="24"/>
        <v/>
      </c>
      <c r="BL29" s="162" t="str">
        <f t="shared" si="33"/>
        <v/>
      </c>
      <c r="BM29" s="206" t="str">
        <f t="shared" si="25"/>
        <v/>
      </c>
      <c r="BN29" s="206" t="str">
        <f t="shared" si="26"/>
        <v/>
      </c>
      <c r="BO29" s="1387"/>
      <c r="BP29" s="104" t="s">
        <v>235</v>
      </c>
      <c r="BQ29" s="97">
        <f t="shared" si="36"/>
        <v>0</v>
      </c>
      <c r="BR29" s="98">
        <f t="shared" si="36"/>
        <v>0.3</v>
      </c>
      <c r="BS29" s="98">
        <f t="shared" si="36"/>
        <v>0.6</v>
      </c>
      <c r="BT29" s="98">
        <f t="shared" si="36"/>
        <v>0.9</v>
      </c>
      <c r="BU29" s="99">
        <f t="shared" si="36"/>
        <v>1</v>
      </c>
    </row>
    <row r="30" spans="2:73" s="105" customFormat="1" ht="12.95" customHeight="1" x14ac:dyDescent="0.2">
      <c r="B30" s="165" t="str">
        <f>IF(ISNA(Z30),"",IF(OR(Z30=1,Z30=2),"    ",MAX($B$8:B29)+1))</f>
        <v/>
      </c>
      <c r="C30" s="1375" t="str">
        <f t="shared" si="0"/>
        <v/>
      </c>
      <c r="D30" s="1375"/>
      <c r="E30" s="1375"/>
      <c r="F30" s="1376"/>
      <c r="G30" s="152" t="str">
        <f t="shared" si="1"/>
        <v/>
      </c>
      <c r="H30" s="153" t="str">
        <f t="shared" si="2"/>
        <v/>
      </c>
      <c r="I30" s="166" t="str">
        <f t="shared" si="2"/>
        <v/>
      </c>
      <c r="J30" s="172"/>
      <c r="K30" s="173"/>
      <c r="L30" s="1075"/>
      <c r="M30" s="1076"/>
      <c r="N30" s="1076"/>
      <c r="O30" s="1076"/>
      <c r="P30" s="1076"/>
      <c r="Q30" s="1076"/>
      <c r="R30" s="1077"/>
      <c r="T30" s="119">
        <v>23</v>
      </c>
      <c r="U30" s="110" t="e">
        <v>#N/A</v>
      </c>
      <c r="V30" s="206" t="e">
        <v>#N/A</v>
      </c>
      <c r="W30" s="206" t="e">
        <v>#N/A</v>
      </c>
      <c r="X30" s="206" t="e">
        <v>#N/A</v>
      </c>
      <c r="Y30" s="206" t="e">
        <v>#N/A</v>
      </c>
      <c r="Z30" s="160" t="e">
        <v>#N/A</v>
      </c>
      <c r="AA30" s="160" t="e">
        <v>#N/A</v>
      </c>
      <c r="AB30" s="160" t="e">
        <v>#N/A</v>
      </c>
      <c r="AC30" s="206" t="e">
        <v>#N/A</v>
      </c>
      <c r="AD30" s="206" t="e">
        <v>#N/A</v>
      </c>
      <c r="AE30" s="206" t="e">
        <v>#N/A</v>
      </c>
      <c r="AF30" s="206" t="e">
        <v>#N/A</v>
      </c>
      <c r="AG30" s="206" t="e">
        <f t="shared" si="3"/>
        <v>#N/A</v>
      </c>
      <c r="AH30" s="206" t="str">
        <f t="shared" si="4"/>
        <v/>
      </c>
      <c r="AI30" s="86" t="e">
        <f>IF(NOT(OR(Z30=1,Z30=2)),IF(AQ30&gt;0,$AR$44*AQ30/SUMIF($AQ$8:$AQ$39,"&gt;0"),IF(AU30&gt;0,$AV$44*AU30/SUMIF($AU$8:$AU$39,"&gt;0"),IF(AS30&gt;0,$AT$44*AS30/SUMIF($AS$8:$AS$39,"&gt;0"),""))),IF(SUMIF(AJ31:$AJ$39,"=" &amp; AJ30,AI31:$AI$39)=0,"",SUMIF(AJ31:$AJ$39,"=" &amp; AJ30,AI31:$AI$39)))</f>
        <v>#N/A</v>
      </c>
      <c r="AJ30" s="87" t="e">
        <f t="shared" si="34"/>
        <v>#N/A</v>
      </c>
      <c r="AK30" s="206" t="str">
        <f t="shared" si="27"/>
        <v/>
      </c>
      <c r="AL30" s="160" t="str">
        <f t="shared" si="28"/>
        <v/>
      </c>
      <c r="AM30" s="160" t="str">
        <f t="shared" si="35"/>
        <v/>
      </c>
      <c r="AN30" s="160" t="str">
        <f t="shared" si="5"/>
        <v/>
      </c>
      <c r="AO30" s="160" t="e">
        <f t="shared" si="6"/>
        <v>#N/A</v>
      </c>
      <c r="AP30" s="206" t="str">
        <f t="shared" si="7"/>
        <v/>
      </c>
      <c r="AQ30" s="157">
        <f t="shared" si="29"/>
        <v>0</v>
      </c>
      <c r="AR30" s="88" t="str">
        <f t="shared" si="8"/>
        <v/>
      </c>
      <c r="AS30" s="89">
        <f t="shared" si="30"/>
        <v>0</v>
      </c>
      <c r="AT30" s="88" t="str">
        <f t="shared" si="9"/>
        <v/>
      </c>
      <c r="AU30" s="158">
        <f t="shared" si="10"/>
        <v>0</v>
      </c>
      <c r="AV30" s="90" t="str">
        <f t="shared" si="11"/>
        <v/>
      </c>
      <c r="AW30" s="158" t="b">
        <f t="shared" si="12"/>
        <v>0</v>
      </c>
      <c r="AX30" s="159" t="b">
        <f t="shared" si="13"/>
        <v>0</v>
      </c>
      <c r="AY30" s="158" t="b">
        <f t="shared" si="14"/>
        <v>0</v>
      </c>
      <c r="AZ30" s="159" t="b">
        <f t="shared" si="15"/>
        <v>0</v>
      </c>
      <c r="BA30" s="206" t="b">
        <f t="shared" si="16"/>
        <v>0</v>
      </c>
      <c r="BB30" s="206" t="b">
        <f t="shared" si="17"/>
        <v>0</v>
      </c>
      <c r="BC30" s="158" t="b">
        <f t="shared" si="18"/>
        <v>0</v>
      </c>
      <c r="BD30" s="160" t="b">
        <f t="shared" si="31"/>
        <v>0</v>
      </c>
      <c r="BE30" s="159" t="b">
        <f t="shared" si="37"/>
        <v>0</v>
      </c>
      <c r="BF30" s="161" t="b">
        <f t="shared" si="20"/>
        <v>0</v>
      </c>
      <c r="BG30" s="206" t="str">
        <f t="shared" si="38"/>
        <v>NA</v>
      </c>
      <c r="BH30" s="206" t="str">
        <f t="shared" si="32"/>
        <v/>
      </c>
      <c r="BI30" s="206" t="str">
        <f t="shared" si="22"/>
        <v/>
      </c>
      <c r="BJ30" s="206" t="str">
        <f t="shared" si="23"/>
        <v/>
      </c>
      <c r="BK30" s="206" t="str">
        <f t="shared" si="24"/>
        <v/>
      </c>
      <c r="BL30" s="162" t="str">
        <f t="shared" si="33"/>
        <v/>
      </c>
      <c r="BM30" s="206" t="str">
        <f t="shared" si="25"/>
        <v/>
      </c>
      <c r="BN30" s="206" t="str">
        <f t="shared" si="26"/>
        <v/>
      </c>
      <c r="BO30" s="106"/>
    </row>
    <row r="31" spans="2:73" s="105" customFormat="1" ht="12.95" customHeight="1" x14ac:dyDescent="0.2">
      <c r="B31" s="165" t="str">
        <f>IF(ISNA(Z31),"",IF(OR(Z31=1,Z31=2),"    ",MAX($B$8:B30)+1))</f>
        <v/>
      </c>
      <c r="C31" s="1375" t="str">
        <f t="shared" si="0"/>
        <v/>
      </c>
      <c r="D31" s="1375"/>
      <c r="E31" s="1375"/>
      <c r="F31" s="1376"/>
      <c r="G31" s="152" t="str">
        <f t="shared" si="1"/>
        <v/>
      </c>
      <c r="H31" s="153" t="str">
        <f t="shared" si="2"/>
        <v/>
      </c>
      <c r="I31" s="166" t="str">
        <f t="shared" si="2"/>
        <v/>
      </c>
      <c r="J31" s="172"/>
      <c r="K31" s="173"/>
      <c r="L31" s="1075"/>
      <c r="M31" s="1076"/>
      <c r="N31" s="1076"/>
      <c r="O31" s="1076"/>
      <c r="P31" s="1076"/>
      <c r="Q31" s="1076"/>
      <c r="R31" s="1077"/>
      <c r="T31" s="119">
        <v>24</v>
      </c>
      <c r="U31" s="110" t="e">
        <v>#N/A</v>
      </c>
      <c r="V31" s="206" t="e">
        <v>#N/A</v>
      </c>
      <c r="W31" s="206" t="e">
        <v>#N/A</v>
      </c>
      <c r="X31" s="206" t="e">
        <v>#N/A</v>
      </c>
      <c r="Y31" s="206" t="e">
        <v>#N/A</v>
      </c>
      <c r="Z31" s="160" t="e">
        <v>#N/A</v>
      </c>
      <c r="AA31" s="160" t="e">
        <v>#N/A</v>
      </c>
      <c r="AB31" s="160" t="e">
        <v>#N/A</v>
      </c>
      <c r="AC31" s="206" t="e">
        <v>#N/A</v>
      </c>
      <c r="AD31" s="206" t="e">
        <v>#N/A</v>
      </c>
      <c r="AE31" s="206" t="e">
        <v>#N/A</v>
      </c>
      <c r="AF31" s="206" t="e">
        <v>#N/A</v>
      </c>
      <c r="AG31" s="206" t="e">
        <f t="shared" si="3"/>
        <v>#N/A</v>
      </c>
      <c r="AH31" s="206" t="str">
        <f t="shared" si="4"/>
        <v/>
      </c>
      <c r="AI31" s="86" t="e">
        <f>IF(NOT(OR(Z31=1,Z31=2)),IF(AQ31&gt;0,$AR$44*AQ31/SUMIF($AQ$8:$AQ$39,"&gt;0"),IF(AU31&gt;0,$AV$44*AU31/SUMIF($AU$8:$AU$39,"&gt;0"),IF(AS31&gt;0,$AT$44*AS31/SUMIF($AS$8:$AS$39,"&gt;0"),""))),IF(SUMIF(AJ32:$AJ$39,"=" &amp; AJ31,AI32:$AI$39)=0,"",SUMIF(AJ32:$AJ$39,"=" &amp; AJ31,AI32:$AI$39)))</f>
        <v>#N/A</v>
      </c>
      <c r="AJ31" s="87" t="e">
        <f t="shared" si="34"/>
        <v>#N/A</v>
      </c>
      <c r="AK31" s="206" t="str">
        <f t="shared" si="27"/>
        <v/>
      </c>
      <c r="AL31" s="160" t="str">
        <f t="shared" si="28"/>
        <v/>
      </c>
      <c r="AM31" s="160" t="str">
        <f t="shared" si="35"/>
        <v/>
      </c>
      <c r="AN31" s="160" t="str">
        <f t="shared" si="5"/>
        <v/>
      </c>
      <c r="AO31" s="160" t="e">
        <f t="shared" si="6"/>
        <v>#N/A</v>
      </c>
      <c r="AP31" s="206" t="str">
        <f t="shared" si="7"/>
        <v/>
      </c>
      <c r="AQ31" s="157">
        <f t="shared" si="29"/>
        <v>0</v>
      </c>
      <c r="AR31" s="88" t="str">
        <f t="shared" si="8"/>
        <v/>
      </c>
      <c r="AS31" s="89">
        <f t="shared" si="30"/>
        <v>0</v>
      </c>
      <c r="AT31" s="88" t="str">
        <f t="shared" si="9"/>
        <v/>
      </c>
      <c r="AU31" s="158">
        <f t="shared" si="10"/>
        <v>0</v>
      </c>
      <c r="AV31" s="90" t="str">
        <f t="shared" si="11"/>
        <v/>
      </c>
      <c r="AW31" s="158" t="b">
        <f t="shared" si="12"/>
        <v>0</v>
      </c>
      <c r="AX31" s="159" t="b">
        <f t="shared" si="13"/>
        <v>0</v>
      </c>
      <c r="AY31" s="158" t="b">
        <f t="shared" si="14"/>
        <v>0</v>
      </c>
      <c r="AZ31" s="159" t="b">
        <f t="shared" si="15"/>
        <v>0</v>
      </c>
      <c r="BA31" s="206" t="b">
        <f t="shared" si="16"/>
        <v>0</v>
      </c>
      <c r="BB31" s="206" t="b">
        <f t="shared" si="17"/>
        <v>0</v>
      </c>
      <c r="BC31" s="158" t="b">
        <f t="shared" si="18"/>
        <v>0</v>
      </c>
      <c r="BD31" s="160" t="b">
        <f>IF(OR(ISNA($Z31),ISNUMBER($Z31),NOT(ISNUMBER(K31))),FALSE,OR(NOT(ISNUMBER(J31)),J31=0,AND(J31=0,K31&lt;&gt;0)))</f>
        <v>0</v>
      </c>
      <c r="BE31" s="159" t="b">
        <f t="shared" si="37"/>
        <v>0</v>
      </c>
      <c r="BF31" s="161" t="b">
        <f>IF(OR(ISNA($Z31),H31&lt;&gt;"NG"),FALSE,IF(AND(J31="NA",K31&lt;&gt;""),TRUE,FALSE))</f>
        <v>0</v>
      </c>
      <c r="BG31" s="206" t="str">
        <f t="shared" si="38"/>
        <v>NA</v>
      </c>
      <c r="BH31" s="206" t="str">
        <f t="shared" si="32"/>
        <v/>
      </c>
      <c r="BI31" s="206" t="str">
        <f t="shared" si="22"/>
        <v/>
      </c>
      <c r="BJ31" s="206" t="str">
        <f t="shared" si="23"/>
        <v/>
      </c>
      <c r="BK31" s="206" t="str">
        <f t="shared" si="24"/>
        <v/>
      </c>
      <c r="BL31" s="162" t="str">
        <f t="shared" si="33"/>
        <v/>
      </c>
      <c r="BM31" s="206" t="str">
        <f t="shared" si="25"/>
        <v/>
      </c>
      <c r="BN31" s="206" t="str">
        <f t="shared" si="26"/>
        <v/>
      </c>
      <c r="BO31" s="169" t="s">
        <v>236</v>
      </c>
      <c r="BP31" s="175" t="s">
        <v>237</v>
      </c>
    </row>
    <row r="32" spans="2:73" s="105" customFormat="1" ht="12.95" customHeight="1" x14ac:dyDescent="0.2">
      <c r="B32" s="165" t="str">
        <f>IF(ISNA(Z32),"",IF(OR(Z32=1,Z32=2),"    ",MAX($B$8:B31)+1))</f>
        <v/>
      </c>
      <c r="C32" s="1375" t="str">
        <f t="shared" si="0"/>
        <v/>
      </c>
      <c r="D32" s="1375"/>
      <c r="E32" s="1375"/>
      <c r="F32" s="1376"/>
      <c r="G32" s="152" t="str">
        <f t="shared" si="1"/>
        <v/>
      </c>
      <c r="H32" s="153" t="str">
        <f t="shared" si="2"/>
        <v/>
      </c>
      <c r="I32" s="166" t="str">
        <f t="shared" si="2"/>
        <v/>
      </c>
      <c r="J32" s="172"/>
      <c r="K32" s="173"/>
      <c r="L32" s="1075"/>
      <c r="M32" s="1076"/>
      <c r="N32" s="1076"/>
      <c r="O32" s="1076"/>
      <c r="P32" s="1076"/>
      <c r="Q32" s="1076"/>
      <c r="R32" s="1077"/>
      <c r="T32" s="119">
        <v>25</v>
      </c>
      <c r="U32" s="110" t="e">
        <v>#N/A</v>
      </c>
      <c r="V32" s="206" t="e">
        <v>#N/A</v>
      </c>
      <c r="W32" s="206" t="e">
        <v>#N/A</v>
      </c>
      <c r="X32" s="206" t="e">
        <v>#N/A</v>
      </c>
      <c r="Y32" s="206" t="e">
        <v>#N/A</v>
      </c>
      <c r="Z32" s="160" t="e">
        <v>#N/A</v>
      </c>
      <c r="AA32" s="160" t="e">
        <v>#N/A</v>
      </c>
      <c r="AB32" s="160" t="e">
        <v>#N/A</v>
      </c>
      <c r="AC32" s="206" t="e">
        <v>#N/A</v>
      </c>
      <c r="AD32" s="206" t="e">
        <v>#N/A</v>
      </c>
      <c r="AE32" s="206" t="e">
        <v>#N/A</v>
      </c>
      <c r="AF32" s="206" t="e">
        <v>#N/A</v>
      </c>
      <c r="AG32" s="206" t="e">
        <f t="shared" si="3"/>
        <v>#N/A</v>
      </c>
      <c r="AH32" s="206" t="str">
        <f t="shared" si="4"/>
        <v/>
      </c>
      <c r="AI32" s="86" t="e">
        <f>IF(NOT(OR(Z32=1,Z32=2)),IF(AQ32&gt;0,$AR$44*AQ32/SUMIF($AQ$8:$AQ$39,"&gt;0"),IF(AU32&gt;0,$AV$44*AU32/SUMIF($AU$8:$AU$39,"&gt;0"),IF(AS32&gt;0,$AT$44*AS32/SUMIF($AS$8:$AS$39,"&gt;0"),""))),IF(SUMIF(AJ33:$AJ$39,"=" &amp; AJ32,AI33:$AI$39)=0,"",SUMIF(AJ33:$AJ$39,"=" &amp; AJ32,AI33:$AI$39)))</f>
        <v>#N/A</v>
      </c>
      <c r="AJ32" s="87" t="e">
        <f t="shared" si="34"/>
        <v>#N/A</v>
      </c>
      <c r="AK32" s="206" t="str">
        <f t="shared" si="27"/>
        <v/>
      </c>
      <c r="AL32" s="160" t="str">
        <f t="shared" si="28"/>
        <v/>
      </c>
      <c r="AM32" s="160" t="str">
        <f t="shared" si="35"/>
        <v/>
      </c>
      <c r="AN32" s="160" t="str">
        <f t="shared" si="5"/>
        <v/>
      </c>
      <c r="AO32" s="160" t="e">
        <f t="shared" si="6"/>
        <v>#N/A</v>
      </c>
      <c r="AP32" s="206" t="str">
        <f t="shared" si="7"/>
        <v/>
      </c>
      <c r="AQ32" s="157">
        <f t="shared" si="29"/>
        <v>0</v>
      </c>
      <c r="AR32" s="88" t="str">
        <f t="shared" si="8"/>
        <v/>
      </c>
      <c r="AS32" s="89">
        <f t="shared" si="30"/>
        <v>0</v>
      </c>
      <c r="AT32" s="88" t="str">
        <f t="shared" si="9"/>
        <v/>
      </c>
      <c r="AU32" s="158">
        <f t="shared" si="10"/>
        <v>0</v>
      </c>
      <c r="AV32" s="90" t="str">
        <f t="shared" si="11"/>
        <v/>
      </c>
      <c r="AW32" s="158" t="b">
        <f t="shared" si="12"/>
        <v>0</v>
      </c>
      <c r="AX32" s="159" t="b">
        <f t="shared" si="13"/>
        <v>0</v>
      </c>
      <c r="AY32" s="158" t="b">
        <f t="shared" si="14"/>
        <v>0</v>
      </c>
      <c r="AZ32" s="159" t="b">
        <f t="shared" si="15"/>
        <v>0</v>
      </c>
      <c r="BA32" s="206" t="b">
        <f t="shared" si="16"/>
        <v>0</v>
      </c>
      <c r="BB32" s="206" t="b">
        <f t="shared" si="17"/>
        <v>0</v>
      </c>
      <c r="BC32" s="158" t="b">
        <f t="shared" si="18"/>
        <v>0</v>
      </c>
      <c r="BD32" s="160" t="b">
        <f t="shared" si="31"/>
        <v>0</v>
      </c>
      <c r="BE32" s="159" t="b">
        <f t="shared" si="37"/>
        <v>0</v>
      </c>
      <c r="BF32" s="161" t="b">
        <f t="shared" ref="BF32:BF39" si="39">IF(OR(ISNA($Z32),H32&lt;&gt;"NG"),FALSE,IF(AND(J32="NA",K32&lt;&gt;""),TRUE,FALSE))</f>
        <v>0</v>
      </c>
      <c r="BG32" s="206" t="str">
        <f t="shared" si="38"/>
        <v>NA</v>
      </c>
      <c r="BH32" s="206" t="str">
        <f t="shared" si="32"/>
        <v/>
      </c>
      <c r="BI32" s="206" t="str">
        <f t="shared" si="22"/>
        <v/>
      </c>
      <c r="BJ32" s="206" t="str">
        <f t="shared" si="23"/>
        <v/>
      </c>
      <c r="BK32" s="206" t="str">
        <f t="shared" si="24"/>
        <v/>
      </c>
      <c r="BL32" s="162" t="str">
        <f t="shared" si="33"/>
        <v/>
      </c>
      <c r="BM32" s="206" t="str">
        <f t="shared" si="25"/>
        <v/>
      </c>
      <c r="BN32" s="206" t="str">
        <f t="shared" si="26"/>
        <v/>
      </c>
      <c r="BO32" s="169" t="s">
        <v>238</v>
      </c>
      <c r="BP32" s="175" t="s">
        <v>239</v>
      </c>
    </row>
    <row r="33" spans="2:73" s="105" customFormat="1" ht="12.95" customHeight="1" x14ac:dyDescent="0.2">
      <c r="B33" s="165" t="str">
        <f>IF(ISNA(Z33),"",IF(OR(Z33=1,Z33=2),"    ",MAX($B$8:B32)+1))</f>
        <v/>
      </c>
      <c r="C33" s="1375" t="str">
        <f t="shared" si="0"/>
        <v/>
      </c>
      <c r="D33" s="1375"/>
      <c r="E33" s="1375"/>
      <c r="F33" s="1376"/>
      <c r="G33" s="152" t="str">
        <f t="shared" si="1"/>
        <v/>
      </c>
      <c r="H33" s="153" t="str">
        <f t="shared" si="2"/>
        <v/>
      </c>
      <c r="I33" s="166" t="str">
        <f t="shared" si="2"/>
        <v/>
      </c>
      <c r="J33" s="172"/>
      <c r="K33" s="173"/>
      <c r="L33" s="1075"/>
      <c r="M33" s="1076"/>
      <c r="N33" s="1076"/>
      <c r="O33" s="1076"/>
      <c r="P33" s="1076"/>
      <c r="Q33" s="1076"/>
      <c r="R33" s="1077"/>
      <c r="T33" s="119">
        <v>26</v>
      </c>
      <c r="U33" s="110" t="e">
        <v>#N/A</v>
      </c>
      <c r="V33" s="206" t="e">
        <v>#N/A</v>
      </c>
      <c r="W33" s="206" t="e">
        <v>#N/A</v>
      </c>
      <c r="X33" s="206" t="e">
        <v>#N/A</v>
      </c>
      <c r="Y33" s="206" t="e">
        <v>#N/A</v>
      </c>
      <c r="Z33" s="160" t="e">
        <v>#N/A</v>
      </c>
      <c r="AA33" s="160" t="e">
        <v>#N/A</v>
      </c>
      <c r="AB33" s="160" t="e">
        <v>#N/A</v>
      </c>
      <c r="AC33" s="206" t="e">
        <v>#N/A</v>
      </c>
      <c r="AD33" s="206" t="e">
        <v>#N/A</v>
      </c>
      <c r="AE33" s="206" t="e">
        <v>#N/A</v>
      </c>
      <c r="AF33" s="206" t="e">
        <v>#N/A</v>
      </c>
      <c r="AG33" s="206" t="e">
        <f t="shared" si="3"/>
        <v>#N/A</v>
      </c>
      <c r="AH33" s="206" t="str">
        <f t="shared" si="4"/>
        <v/>
      </c>
      <c r="AI33" s="86" t="e">
        <f>IF(NOT(OR(Z33=1,Z33=2)),IF(AQ33&gt;0,$AR$44*AQ33/SUMIF($AQ$8:$AQ$39,"&gt;0"),IF(AU33&gt;0,$AV$44*AU33/SUMIF($AU$8:$AU$39,"&gt;0"),IF(AS33&gt;0,$AT$44*AS33/SUMIF($AS$8:$AS$39,"&gt;0"),""))),IF(SUMIF(AJ34:$AJ$39,"=" &amp; AJ33,AI34:$AI$39)=0,"",SUMIF(AJ34:$AJ$39,"=" &amp; AJ33,AI34:$AI$39)))</f>
        <v>#N/A</v>
      </c>
      <c r="AJ33" s="87" t="e">
        <f t="shared" si="34"/>
        <v>#N/A</v>
      </c>
      <c r="AK33" s="206" t="str">
        <f t="shared" si="27"/>
        <v/>
      </c>
      <c r="AL33" s="160" t="str">
        <f t="shared" si="28"/>
        <v/>
      </c>
      <c r="AM33" s="160" t="str">
        <f t="shared" si="35"/>
        <v/>
      </c>
      <c r="AN33" s="160" t="str">
        <f t="shared" si="5"/>
        <v/>
      </c>
      <c r="AO33" s="160" t="e">
        <f t="shared" si="6"/>
        <v>#N/A</v>
      </c>
      <c r="AP33" s="206" t="str">
        <f t="shared" si="7"/>
        <v/>
      </c>
      <c r="AQ33" s="157">
        <f t="shared" si="29"/>
        <v>0</v>
      </c>
      <c r="AR33" s="88" t="str">
        <f t="shared" si="8"/>
        <v/>
      </c>
      <c r="AS33" s="89">
        <f t="shared" si="30"/>
        <v>0</v>
      </c>
      <c r="AT33" s="88" t="str">
        <f t="shared" si="9"/>
        <v/>
      </c>
      <c r="AU33" s="158">
        <f t="shared" si="10"/>
        <v>0</v>
      </c>
      <c r="AV33" s="90" t="str">
        <f t="shared" si="11"/>
        <v/>
      </c>
      <c r="AW33" s="158" t="b">
        <f t="shared" si="12"/>
        <v>0</v>
      </c>
      <c r="AX33" s="159" t="b">
        <f t="shared" si="13"/>
        <v>0</v>
      </c>
      <c r="AY33" s="158" t="b">
        <f t="shared" si="14"/>
        <v>0</v>
      </c>
      <c r="AZ33" s="159" t="b">
        <f t="shared" si="15"/>
        <v>0</v>
      </c>
      <c r="BA33" s="206" t="b">
        <f t="shared" si="16"/>
        <v>0</v>
      </c>
      <c r="BB33" s="206" t="b">
        <f t="shared" si="17"/>
        <v>0</v>
      </c>
      <c r="BC33" s="158" t="b">
        <f t="shared" si="18"/>
        <v>0</v>
      </c>
      <c r="BD33" s="160" t="b">
        <f t="shared" si="31"/>
        <v>0</v>
      </c>
      <c r="BE33" s="159" t="b">
        <f t="shared" si="37"/>
        <v>0</v>
      </c>
      <c r="BF33" s="161" t="b">
        <f t="shared" si="39"/>
        <v>0</v>
      </c>
      <c r="BG33" s="206" t="str">
        <f t="shared" si="38"/>
        <v>NA</v>
      </c>
      <c r="BH33" s="206" t="str">
        <f t="shared" si="32"/>
        <v/>
      </c>
      <c r="BI33" s="206" t="str">
        <f t="shared" si="22"/>
        <v/>
      </c>
      <c r="BJ33" s="206" t="str">
        <f t="shared" si="23"/>
        <v/>
      </c>
      <c r="BK33" s="206" t="str">
        <f t="shared" si="24"/>
        <v/>
      </c>
      <c r="BL33" s="162" t="str">
        <f t="shared" si="33"/>
        <v/>
      </c>
      <c r="BM33" s="206" t="str">
        <f t="shared" si="25"/>
        <v/>
      </c>
      <c r="BN33" s="206" t="str">
        <f t="shared" si="26"/>
        <v/>
      </c>
      <c r="BO33" s="164" t="s">
        <v>240</v>
      </c>
      <c r="BP33" s="175"/>
      <c r="BQ33" s="175"/>
      <c r="BR33" s="175"/>
      <c r="BS33" s="175"/>
      <c r="BT33" s="175"/>
      <c r="BU33" s="175"/>
    </row>
    <row r="34" spans="2:73" s="105" customFormat="1" ht="12.95" customHeight="1" x14ac:dyDescent="0.2">
      <c r="B34" s="165" t="str">
        <f>IF(ISNA(Z34),"",IF(OR(Z34=1,Z34=2),"    ",MAX($B$8:B33)+1))</f>
        <v/>
      </c>
      <c r="C34" s="1375" t="str">
        <f t="shared" si="0"/>
        <v/>
      </c>
      <c r="D34" s="1375"/>
      <c r="E34" s="1375"/>
      <c r="F34" s="1376"/>
      <c r="G34" s="152" t="str">
        <f t="shared" si="1"/>
        <v/>
      </c>
      <c r="H34" s="153" t="str">
        <f t="shared" si="2"/>
        <v/>
      </c>
      <c r="I34" s="166" t="str">
        <f t="shared" si="2"/>
        <v/>
      </c>
      <c r="J34" s="172"/>
      <c r="K34" s="173"/>
      <c r="L34" s="1075"/>
      <c r="M34" s="1076"/>
      <c r="N34" s="1076"/>
      <c r="O34" s="1076"/>
      <c r="P34" s="1076"/>
      <c r="Q34" s="1076"/>
      <c r="R34" s="1077"/>
      <c r="T34" s="119">
        <v>27</v>
      </c>
      <c r="U34" s="110" t="e">
        <v>#N/A</v>
      </c>
      <c r="V34" s="206" t="e">
        <v>#N/A</v>
      </c>
      <c r="W34" s="206" t="e">
        <v>#N/A</v>
      </c>
      <c r="X34" s="206" t="e">
        <v>#N/A</v>
      </c>
      <c r="Y34" s="206" t="e">
        <v>#N/A</v>
      </c>
      <c r="Z34" s="160" t="e">
        <v>#N/A</v>
      </c>
      <c r="AA34" s="160" t="e">
        <v>#N/A</v>
      </c>
      <c r="AB34" s="160" t="e">
        <v>#N/A</v>
      </c>
      <c r="AC34" s="206" t="e">
        <v>#N/A</v>
      </c>
      <c r="AD34" s="206" t="e">
        <v>#N/A</v>
      </c>
      <c r="AE34" s="206" t="e">
        <v>#N/A</v>
      </c>
      <c r="AF34" s="206" t="e">
        <v>#N/A</v>
      </c>
      <c r="AG34" s="206" t="e">
        <f t="shared" si="3"/>
        <v>#N/A</v>
      </c>
      <c r="AH34" s="206" t="str">
        <f t="shared" si="4"/>
        <v/>
      </c>
      <c r="AI34" s="86" t="e">
        <f>IF(NOT(OR(Z34=1,Z34=2)),IF(AQ34&gt;0,$AR$44*AQ34/SUMIF($AQ$8:$AQ$39,"&gt;0"),IF(AU34&gt;0,$AV$44*AU34/SUMIF($AU$8:$AU$39,"&gt;0"),IF(AS34&gt;0,$AT$44*AS34/SUMIF($AS$8:$AS$39,"&gt;0"),""))),IF(SUMIF(AJ35:$AJ$39,"=" &amp; AJ34,AI35:$AI$39)=0,"",SUMIF(AJ35:$AJ$39,"=" &amp; AJ34,AI35:$AI$39)))</f>
        <v>#N/A</v>
      </c>
      <c r="AJ34" s="87" t="e">
        <f t="shared" si="34"/>
        <v>#N/A</v>
      </c>
      <c r="AK34" s="206" t="str">
        <f t="shared" si="27"/>
        <v/>
      </c>
      <c r="AL34" s="160" t="str">
        <f t="shared" si="28"/>
        <v/>
      </c>
      <c r="AM34" s="160" t="str">
        <f t="shared" si="35"/>
        <v/>
      </c>
      <c r="AN34" s="160" t="str">
        <f t="shared" si="5"/>
        <v/>
      </c>
      <c r="AO34" s="160" t="e">
        <f t="shared" si="6"/>
        <v>#N/A</v>
      </c>
      <c r="AP34" s="206" t="str">
        <f t="shared" si="7"/>
        <v/>
      </c>
      <c r="AQ34" s="157">
        <f t="shared" si="29"/>
        <v>0</v>
      </c>
      <c r="AR34" s="88" t="str">
        <f t="shared" si="8"/>
        <v/>
      </c>
      <c r="AS34" s="89">
        <f t="shared" si="30"/>
        <v>0</v>
      </c>
      <c r="AT34" s="88" t="str">
        <f t="shared" si="9"/>
        <v/>
      </c>
      <c r="AU34" s="158">
        <f t="shared" si="10"/>
        <v>0</v>
      </c>
      <c r="AV34" s="90" t="str">
        <f t="shared" si="11"/>
        <v/>
      </c>
      <c r="AW34" s="158" t="b">
        <f t="shared" si="12"/>
        <v>0</v>
      </c>
      <c r="AX34" s="159" t="b">
        <f t="shared" si="13"/>
        <v>0</v>
      </c>
      <c r="AY34" s="158" t="b">
        <f t="shared" si="14"/>
        <v>0</v>
      </c>
      <c r="AZ34" s="159" t="b">
        <f t="shared" si="15"/>
        <v>0</v>
      </c>
      <c r="BA34" s="206" t="b">
        <f t="shared" si="16"/>
        <v>0</v>
      </c>
      <c r="BB34" s="206" t="b">
        <f t="shared" si="17"/>
        <v>0</v>
      </c>
      <c r="BC34" s="158" t="b">
        <f t="shared" si="18"/>
        <v>0</v>
      </c>
      <c r="BD34" s="160" t="b">
        <f t="shared" si="31"/>
        <v>0</v>
      </c>
      <c r="BE34" s="159" t="b">
        <f t="shared" si="37"/>
        <v>0</v>
      </c>
      <c r="BF34" s="161" t="b">
        <f t="shared" si="39"/>
        <v>0</v>
      </c>
      <c r="BG34" s="206" t="str">
        <f t="shared" si="38"/>
        <v>NA</v>
      </c>
      <c r="BH34" s="206" t="str">
        <f t="shared" si="32"/>
        <v/>
      </c>
      <c r="BI34" s="206" t="str">
        <f t="shared" si="22"/>
        <v/>
      </c>
      <c r="BJ34" s="206" t="str">
        <f t="shared" si="23"/>
        <v/>
      </c>
      <c r="BK34" s="206" t="str">
        <f t="shared" si="24"/>
        <v/>
      </c>
      <c r="BL34" s="162" t="str">
        <f t="shared" si="33"/>
        <v/>
      </c>
      <c r="BM34" s="206" t="str">
        <f t="shared" si="25"/>
        <v/>
      </c>
      <c r="BN34" s="206" t="str">
        <f t="shared" si="26"/>
        <v/>
      </c>
      <c r="BO34" s="1346"/>
      <c r="BP34" s="1347"/>
      <c r="BQ34" s="1347"/>
      <c r="BR34" s="1347"/>
      <c r="BS34" s="1347"/>
      <c r="BT34" s="1347"/>
      <c r="BU34" s="1348"/>
    </row>
    <row r="35" spans="2:73" s="105" customFormat="1" ht="12.95" customHeight="1" x14ac:dyDescent="0.2">
      <c r="B35" s="165" t="str">
        <f>IF(ISNA(Z35),"",IF(OR(Z35=1,Z35=2),"    ",MAX($B$8:B34)+1))</f>
        <v/>
      </c>
      <c r="C35" s="1375" t="str">
        <f t="shared" si="0"/>
        <v/>
      </c>
      <c r="D35" s="1375"/>
      <c r="E35" s="1375"/>
      <c r="F35" s="1376"/>
      <c r="G35" s="152" t="str">
        <f t="shared" si="1"/>
        <v/>
      </c>
      <c r="H35" s="153" t="str">
        <f t="shared" si="2"/>
        <v/>
      </c>
      <c r="I35" s="166" t="str">
        <f t="shared" si="2"/>
        <v/>
      </c>
      <c r="J35" s="172"/>
      <c r="K35" s="173"/>
      <c r="L35" s="1075"/>
      <c r="M35" s="1076"/>
      <c r="N35" s="1076"/>
      <c r="O35" s="1076"/>
      <c r="P35" s="1076"/>
      <c r="Q35" s="1076"/>
      <c r="R35" s="1077"/>
      <c r="T35" s="119">
        <v>28</v>
      </c>
      <c r="U35" s="110" t="e">
        <v>#N/A</v>
      </c>
      <c r="V35" s="206" t="e">
        <v>#N/A</v>
      </c>
      <c r="W35" s="206" t="e">
        <v>#N/A</v>
      </c>
      <c r="X35" s="206" t="e">
        <v>#N/A</v>
      </c>
      <c r="Y35" s="206" t="e">
        <v>#N/A</v>
      </c>
      <c r="Z35" s="160" t="e">
        <v>#N/A</v>
      </c>
      <c r="AA35" s="160" t="e">
        <v>#N/A</v>
      </c>
      <c r="AB35" s="160" t="e">
        <v>#N/A</v>
      </c>
      <c r="AC35" s="206" t="e">
        <v>#N/A</v>
      </c>
      <c r="AD35" s="206" t="e">
        <v>#N/A</v>
      </c>
      <c r="AE35" s="206" t="e">
        <v>#N/A</v>
      </c>
      <c r="AF35" s="206" t="e">
        <v>#N/A</v>
      </c>
      <c r="AG35" s="206" t="e">
        <f t="shared" si="3"/>
        <v>#N/A</v>
      </c>
      <c r="AH35" s="206" t="str">
        <f t="shared" si="4"/>
        <v/>
      </c>
      <c r="AI35" s="86" t="e">
        <f>IF(NOT(OR(Z35=1,Z35=2)),IF(AQ35&gt;0,$AR$44*AQ35/SUMIF($AQ$8:$AQ$39,"&gt;0"),IF(AU35&gt;0,$AV$44*AU35/SUMIF($AU$8:$AU$39,"&gt;0"),IF(AS35&gt;0,$AT$44*AS35/SUMIF($AS$8:$AS$39,"&gt;0"),""))),IF(SUMIF(AJ36:$AJ$39,"=" &amp; AJ35,AI36:$AI$39)=0,"",SUMIF(AJ36:$AJ$39,"=" &amp; AJ35,AI36:$AI$39)))</f>
        <v>#N/A</v>
      </c>
      <c r="AJ35" s="87" t="e">
        <f t="shared" si="34"/>
        <v>#N/A</v>
      </c>
      <c r="AK35" s="206" t="str">
        <f t="shared" si="27"/>
        <v/>
      </c>
      <c r="AL35" s="160" t="str">
        <f t="shared" si="28"/>
        <v/>
      </c>
      <c r="AM35" s="160" t="str">
        <f t="shared" si="35"/>
        <v/>
      </c>
      <c r="AN35" s="160" t="str">
        <f t="shared" si="5"/>
        <v/>
      </c>
      <c r="AO35" s="160" t="e">
        <f t="shared" si="6"/>
        <v>#N/A</v>
      </c>
      <c r="AP35" s="206" t="str">
        <f t="shared" si="7"/>
        <v/>
      </c>
      <c r="AQ35" s="157">
        <f t="shared" si="29"/>
        <v>0</v>
      </c>
      <c r="AR35" s="88" t="str">
        <f t="shared" si="8"/>
        <v/>
      </c>
      <c r="AS35" s="89">
        <f t="shared" si="30"/>
        <v>0</v>
      </c>
      <c r="AT35" s="88" t="str">
        <f t="shared" si="9"/>
        <v/>
      </c>
      <c r="AU35" s="158">
        <f t="shared" si="10"/>
        <v>0</v>
      </c>
      <c r="AV35" s="90" t="str">
        <f t="shared" si="11"/>
        <v/>
      </c>
      <c r="AW35" s="158" t="b">
        <f t="shared" si="12"/>
        <v>0</v>
      </c>
      <c r="AX35" s="159" t="b">
        <f t="shared" si="13"/>
        <v>0</v>
      </c>
      <c r="AY35" s="158" t="b">
        <f t="shared" si="14"/>
        <v>0</v>
      </c>
      <c r="AZ35" s="159" t="b">
        <f t="shared" si="15"/>
        <v>0</v>
      </c>
      <c r="BA35" s="206" t="b">
        <f t="shared" si="16"/>
        <v>0</v>
      </c>
      <c r="BB35" s="206" t="b">
        <f t="shared" si="17"/>
        <v>0</v>
      </c>
      <c r="BC35" s="158" t="b">
        <f t="shared" si="18"/>
        <v>0</v>
      </c>
      <c r="BD35" s="160" t="b">
        <f t="shared" si="31"/>
        <v>0</v>
      </c>
      <c r="BE35" s="159" t="b">
        <f t="shared" si="37"/>
        <v>0</v>
      </c>
      <c r="BF35" s="161" t="b">
        <f t="shared" si="39"/>
        <v>0</v>
      </c>
      <c r="BG35" s="206" t="str">
        <f t="shared" si="38"/>
        <v>NA</v>
      </c>
      <c r="BH35" s="206" t="str">
        <f t="shared" si="32"/>
        <v/>
      </c>
      <c r="BI35" s="206" t="str">
        <f t="shared" si="22"/>
        <v/>
      </c>
      <c r="BJ35" s="206" t="str">
        <f t="shared" si="23"/>
        <v/>
      </c>
      <c r="BK35" s="206" t="str">
        <f t="shared" si="24"/>
        <v/>
      </c>
      <c r="BL35" s="162" t="str">
        <f t="shared" si="33"/>
        <v/>
      </c>
      <c r="BM35" s="206" t="str">
        <f t="shared" si="25"/>
        <v/>
      </c>
      <c r="BN35" s="206" t="str">
        <f t="shared" si="26"/>
        <v/>
      </c>
      <c r="BO35" s="1349"/>
      <c r="BP35" s="1350"/>
      <c r="BQ35" s="1350"/>
      <c r="BR35" s="1350"/>
      <c r="BS35" s="1350"/>
      <c r="BT35" s="1350"/>
      <c r="BU35" s="1351"/>
    </row>
    <row r="36" spans="2:73" s="105" customFormat="1" ht="12.95" customHeight="1" x14ac:dyDescent="0.2">
      <c r="B36" s="165" t="str">
        <f>IF(ISNA(Z36),"",IF(OR(Z36=1,Z36=2),"    ",MAX($B$8:B35)+1))</f>
        <v/>
      </c>
      <c r="C36" s="1375" t="str">
        <f t="shared" si="0"/>
        <v/>
      </c>
      <c r="D36" s="1375"/>
      <c r="E36" s="1375"/>
      <c r="F36" s="1376"/>
      <c r="G36" s="152" t="str">
        <f t="shared" si="1"/>
        <v/>
      </c>
      <c r="H36" s="153" t="str">
        <f t="shared" si="2"/>
        <v/>
      </c>
      <c r="I36" s="166" t="str">
        <f t="shared" si="2"/>
        <v/>
      </c>
      <c r="J36" s="172"/>
      <c r="K36" s="173"/>
      <c r="L36" s="1075"/>
      <c r="M36" s="1076"/>
      <c r="N36" s="1076"/>
      <c r="O36" s="1076"/>
      <c r="P36" s="1076"/>
      <c r="Q36" s="1076"/>
      <c r="R36" s="1077"/>
      <c r="T36" s="119">
        <v>29</v>
      </c>
      <c r="U36" s="110" t="e">
        <v>#N/A</v>
      </c>
      <c r="V36" s="206" t="e">
        <v>#N/A</v>
      </c>
      <c r="W36" s="206" t="e">
        <v>#N/A</v>
      </c>
      <c r="X36" s="206" t="e">
        <v>#N/A</v>
      </c>
      <c r="Y36" s="206" t="e">
        <v>#N/A</v>
      </c>
      <c r="Z36" s="160" t="e">
        <v>#N/A</v>
      </c>
      <c r="AA36" s="160" t="e">
        <v>#N/A</v>
      </c>
      <c r="AB36" s="160" t="e">
        <v>#N/A</v>
      </c>
      <c r="AC36" s="206" t="e">
        <v>#N/A</v>
      </c>
      <c r="AD36" s="206" t="e">
        <v>#N/A</v>
      </c>
      <c r="AE36" s="206" t="e">
        <v>#N/A</v>
      </c>
      <c r="AF36" s="206" t="e">
        <v>#N/A</v>
      </c>
      <c r="AG36" s="206" t="e">
        <f t="shared" si="3"/>
        <v>#N/A</v>
      </c>
      <c r="AH36" s="206" t="str">
        <f t="shared" si="4"/>
        <v/>
      </c>
      <c r="AI36" s="86" t="e">
        <f>IF(NOT(OR(Z36=1,Z36=2)),IF(AQ36&gt;0,$AR$44*AQ36/SUMIF($AQ$8:$AQ$39,"&gt;0"),IF(AU36&gt;0,$AV$44*AU36/SUMIF($AU$8:$AU$39,"&gt;0"),IF(AS36&gt;0,$AT$44*AS36/SUMIF($AS$8:$AS$39,"&gt;0"),""))),IF(SUMIF(AJ37:$AJ$39,"=" &amp; AJ36,AI37:$AI$39)=0,"",SUMIF(AJ37:$AJ$39,"=" &amp; AJ36,AI37:$AI$39)))</f>
        <v>#N/A</v>
      </c>
      <c r="AJ36" s="87" t="e">
        <f t="shared" si="34"/>
        <v>#N/A</v>
      </c>
      <c r="AK36" s="206" t="str">
        <f t="shared" si="27"/>
        <v/>
      </c>
      <c r="AL36" s="160" t="str">
        <f t="shared" si="28"/>
        <v/>
      </c>
      <c r="AM36" s="160" t="str">
        <f t="shared" si="35"/>
        <v/>
      </c>
      <c r="AN36" s="160" t="str">
        <f t="shared" si="5"/>
        <v/>
      </c>
      <c r="AO36" s="160" t="e">
        <f t="shared" si="6"/>
        <v>#N/A</v>
      </c>
      <c r="AP36" s="206" t="str">
        <f t="shared" si="7"/>
        <v/>
      </c>
      <c r="AQ36" s="157">
        <f t="shared" si="29"/>
        <v>0</v>
      </c>
      <c r="AR36" s="88" t="str">
        <f t="shared" si="8"/>
        <v/>
      </c>
      <c r="AS36" s="89">
        <f t="shared" si="30"/>
        <v>0</v>
      </c>
      <c r="AT36" s="88" t="str">
        <f t="shared" si="9"/>
        <v/>
      </c>
      <c r="AU36" s="158">
        <f t="shared" si="10"/>
        <v>0</v>
      </c>
      <c r="AV36" s="90" t="str">
        <f t="shared" si="11"/>
        <v/>
      </c>
      <c r="AW36" s="158" t="b">
        <f t="shared" si="12"/>
        <v>0</v>
      </c>
      <c r="AX36" s="159" t="b">
        <f t="shared" si="13"/>
        <v>0</v>
      </c>
      <c r="AY36" s="158" t="b">
        <f t="shared" si="14"/>
        <v>0</v>
      </c>
      <c r="AZ36" s="159" t="b">
        <f t="shared" si="15"/>
        <v>0</v>
      </c>
      <c r="BA36" s="206" t="b">
        <f t="shared" si="16"/>
        <v>0</v>
      </c>
      <c r="BB36" s="206" t="b">
        <f t="shared" si="17"/>
        <v>0</v>
      </c>
      <c r="BC36" s="158" t="b">
        <f t="shared" si="18"/>
        <v>0</v>
      </c>
      <c r="BD36" s="160" t="b">
        <f t="shared" si="31"/>
        <v>0</v>
      </c>
      <c r="BE36" s="159" t="b">
        <f t="shared" si="37"/>
        <v>0</v>
      </c>
      <c r="BF36" s="161" t="b">
        <f t="shared" si="39"/>
        <v>0</v>
      </c>
      <c r="BG36" s="206" t="str">
        <f t="shared" si="38"/>
        <v>NA</v>
      </c>
      <c r="BH36" s="206" t="str">
        <f t="shared" si="32"/>
        <v/>
      </c>
      <c r="BI36" s="206" t="str">
        <f t="shared" si="22"/>
        <v/>
      </c>
      <c r="BJ36" s="206" t="str">
        <f t="shared" si="23"/>
        <v/>
      </c>
      <c r="BK36" s="206" t="str">
        <f t="shared" si="24"/>
        <v/>
      </c>
      <c r="BL36" s="162" t="str">
        <f t="shared" si="33"/>
        <v/>
      </c>
      <c r="BM36" s="206" t="str">
        <f t="shared" si="25"/>
        <v/>
      </c>
      <c r="BN36" s="206" t="str">
        <f t="shared" si="26"/>
        <v/>
      </c>
      <c r="BO36" s="1349"/>
      <c r="BP36" s="1350"/>
      <c r="BQ36" s="1350"/>
      <c r="BR36" s="1350"/>
      <c r="BS36" s="1350"/>
      <c r="BT36" s="1350"/>
      <c r="BU36" s="1351"/>
    </row>
    <row r="37" spans="2:73" s="105" customFormat="1" ht="12.95" customHeight="1" x14ac:dyDescent="0.2">
      <c r="B37" s="165" t="str">
        <f>IF(ISNA(Z37),"",IF(OR(Z37=1,Z37=2),"    ",MAX($B$8:B36)+1))</f>
        <v/>
      </c>
      <c r="C37" s="1375" t="str">
        <f>IF(ISNA(Z37),"",CONCATENATE($U37,IF(ISNUMBER(AI37),TEXT(ROUND($AI37,3)," (0.0%)"),""),IF(AU37&gt;0," Bonus","")))</f>
        <v/>
      </c>
      <c r="D37" s="1375"/>
      <c r="E37" s="1375"/>
      <c r="F37" s="1376"/>
      <c r="G37" s="152" t="str">
        <f t="shared" si="1"/>
        <v/>
      </c>
      <c r="H37" s="153" t="str">
        <f t="shared" si="2"/>
        <v/>
      </c>
      <c r="I37" s="166" t="str">
        <f t="shared" si="2"/>
        <v/>
      </c>
      <c r="J37" s="172"/>
      <c r="K37" s="173"/>
      <c r="L37" s="1075"/>
      <c r="M37" s="1076"/>
      <c r="N37" s="1076"/>
      <c r="O37" s="1076"/>
      <c r="P37" s="1076"/>
      <c r="Q37" s="1076"/>
      <c r="R37" s="1077"/>
      <c r="T37" s="119">
        <v>30</v>
      </c>
      <c r="U37" s="110" t="e">
        <v>#N/A</v>
      </c>
      <c r="V37" s="206" t="e">
        <v>#N/A</v>
      </c>
      <c r="W37" s="206" t="e">
        <v>#N/A</v>
      </c>
      <c r="X37" s="206" t="e">
        <v>#N/A</v>
      </c>
      <c r="Y37" s="206" t="e">
        <v>#N/A</v>
      </c>
      <c r="Z37" s="160" t="e">
        <v>#N/A</v>
      </c>
      <c r="AA37" s="160" t="e">
        <v>#N/A</v>
      </c>
      <c r="AB37" s="160" t="e">
        <v>#N/A</v>
      </c>
      <c r="AC37" s="206" t="e">
        <v>#N/A</v>
      </c>
      <c r="AD37" s="206" t="e">
        <v>#N/A</v>
      </c>
      <c r="AE37" s="206" t="e">
        <v>#N/A</v>
      </c>
      <c r="AF37" s="206" t="e">
        <v>#N/A</v>
      </c>
      <c r="AG37" s="206" t="e">
        <f t="shared" si="3"/>
        <v>#N/A</v>
      </c>
      <c r="AH37" s="206" t="str">
        <f t="shared" si="4"/>
        <v/>
      </c>
      <c r="AI37" s="86" t="e">
        <f>IF(NOT(OR(Z37=1,Z37=2)),IF(AQ37&gt;0,$AR$44*AQ37/SUMIF($AQ$8:$AQ$39,"&gt;0"),IF(AU37&gt;0,$AV$44*AU37/SUMIF($AU$8:$AU$39,"&gt;0"),IF(AS37&gt;0,$AT$44*AS37/SUMIF($AS$8:$AS$39,"&gt;0"),""))),IF(SUMIF(AJ38:$AJ$39,"=" &amp; AJ37,AI38:$AI$39)=0,"",SUMIF(AJ38:$AJ$39,"=" &amp; AJ37,AI38:$AI$39)))</f>
        <v>#N/A</v>
      </c>
      <c r="AJ37" s="87" t="e">
        <f t="shared" si="34"/>
        <v>#N/A</v>
      </c>
      <c r="AK37" s="206" t="str">
        <f t="shared" si="27"/>
        <v/>
      </c>
      <c r="AL37" s="160" t="str">
        <f t="shared" si="28"/>
        <v/>
      </c>
      <c r="AM37" s="160" t="str">
        <f t="shared" si="35"/>
        <v/>
      </c>
      <c r="AN37" s="160" t="str">
        <f>IF(ISNUMBER(AH37),IF(AND(AB37=0,ISNUMBER(AC37),ISNUMBER(AL37)),1,""),"")</f>
        <v/>
      </c>
      <c r="AO37" s="160" t="e">
        <f t="shared" si="6"/>
        <v>#N/A</v>
      </c>
      <c r="AP37" s="206" t="str">
        <f t="shared" si="7"/>
        <v/>
      </c>
      <c r="AQ37" s="157">
        <f t="shared" si="29"/>
        <v>0</v>
      </c>
      <c r="AR37" s="88" t="str">
        <f t="shared" si="8"/>
        <v/>
      </c>
      <c r="AS37" s="89">
        <f t="shared" si="30"/>
        <v>0</v>
      </c>
      <c r="AT37" s="88" t="str">
        <f t="shared" si="9"/>
        <v/>
      </c>
      <c r="AU37" s="158">
        <f t="shared" si="10"/>
        <v>0</v>
      </c>
      <c r="AV37" s="90" t="str">
        <f t="shared" si="11"/>
        <v/>
      </c>
      <c r="AW37" s="158" t="b">
        <f t="shared" si="12"/>
        <v>0</v>
      </c>
      <c r="AX37" s="159" t="b">
        <f t="shared" si="13"/>
        <v>0</v>
      </c>
      <c r="AY37" s="158" t="b">
        <f t="shared" si="14"/>
        <v>0</v>
      </c>
      <c r="AZ37" s="159" t="b">
        <f t="shared" si="15"/>
        <v>0</v>
      </c>
      <c r="BA37" s="206" t="b">
        <f t="shared" si="16"/>
        <v>0</v>
      </c>
      <c r="BB37" s="206" t="b">
        <f t="shared" si="17"/>
        <v>0</v>
      </c>
      <c r="BC37" s="158" t="b">
        <f t="shared" si="18"/>
        <v>0</v>
      </c>
      <c r="BD37" s="160" t="b">
        <f t="shared" si="31"/>
        <v>0</v>
      </c>
      <c r="BE37" s="159" t="b">
        <f t="shared" si="37"/>
        <v>0</v>
      </c>
      <c r="BF37" s="161" t="b">
        <f t="shared" si="39"/>
        <v>0</v>
      </c>
      <c r="BG37" s="206" t="str">
        <f t="shared" si="38"/>
        <v>NA</v>
      </c>
      <c r="BH37" s="206" t="str">
        <f t="shared" si="32"/>
        <v/>
      </c>
      <c r="BI37" s="206" t="str">
        <f t="shared" si="22"/>
        <v/>
      </c>
      <c r="BJ37" s="206" t="str">
        <f t="shared" si="23"/>
        <v/>
      </c>
      <c r="BK37" s="206" t="str">
        <f t="shared" si="24"/>
        <v/>
      </c>
      <c r="BL37" s="162" t="str">
        <f t="shared" si="33"/>
        <v/>
      </c>
      <c r="BM37" s="206" t="str">
        <f t="shared" si="25"/>
        <v/>
      </c>
      <c r="BN37" s="206" t="str">
        <f t="shared" si="26"/>
        <v/>
      </c>
      <c r="BO37" s="1352"/>
      <c r="BP37" s="1353"/>
      <c r="BQ37" s="1353"/>
      <c r="BR37" s="1353"/>
      <c r="BS37" s="1353"/>
      <c r="BT37" s="1353"/>
      <c r="BU37" s="1354"/>
    </row>
    <row r="38" spans="2:73" s="105" customFormat="1" ht="12.95" customHeight="1" x14ac:dyDescent="0.2">
      <c r="B38" s="165" t="str">
        <f>IF(ISNA(Z38),"",IF(OR(Z38=1,Z38=2),"    ",MAX($B$8:B37)+1))</f>
        <v/>
      </c>
      <c r="C38" s="1375" t="str">
        <f t="shared" ref="C38:C39" si="40">IF(ISNA(Z38),"",CONCATENATE($U38,IF(ISNUMBER(AI38),TEXT(ROUND($AI38,3)," (0.0%)"),""),IF(AU38&gt;0," Bonus","")))</f>
        <v/>
      </c>
      <c r="D38" s="1375"/>
      <c r="E38" s="1375"/>
      <c r="F38" s="1376"/>
      <c r="G38" s="152" t="str">
        <f t="shared" si="1"/>
        <v/>
      </c>
      <c r="H38" s="153" t="str">
        <f t="shared" si="2"/>
        <v/>
      </c>
      <c r="I38" s="166" t="str">
        <f t="shared" si="2"/>
        <v/>
      </c>
      <c r="J38" s="172"/>
      <c r="K38" s="173"/>
      <c r="L38" s="1075"/>
      <c r="M38" s="1076"/>
      <c r="N38" s="1076"/>
      <c r="O38" s="1076"/>
      <c r="P38" s="1076"/>
      <c r="Q38" s="1076"/>
      <c r="R38" s="1077"/>
      <c r="T38" s="119">
        <v>31</v>
      </c>
      <c r="U38" s="110" t="e">
        <v>#N/A</v>
      </c>
      <c r="V38" s="206" t="e">
        <v>#N/A</v>
      </c>
      <c r="W38" s="206" t="e">
        <v>#N/A</v>
      </c>
      <c r="X38" s="206" t="e">
        <v>#N/A</v>
      </c>
      <c r="Y38" s="206" t="e">
        <v>#N/A</v>
      </c>
      <c r="Z38" s="160" t="e">
        <v>#N/A</v>
      </c>
      <c r="AA38" s="160" t="e">
        <v>#N/A</v>
      </c>
      <c r="AB38" s="160" t="e">
        <v>#N/A</v>
      </c>
      <c r="AC38" s="206" t="e">
        <v>#N/A</v>
      </c>
      <c r="AD38" s="206" t="e">
        <v>#N/A</v>
      </c>
      <c r="AE38" s="206" t="e">
        <v>#N/A</v>
      </c>
      <c r="AF38" s="206" t="e">
        <v>#N/A</v>
      </c>
      <c r="AG38" s="206" t="e">
        <f t="shared" si="3"/>
        <v>#N/A</v>
      </c>
      <c r="AH38" s="206" t="str">
        <f t="shared" si="4"/>
        <v/>
      </c>
      <c r="AI38" s="86" t="e">
        <f>IF(NOT(OR(Z38=1,Z38=2)),IF(AQ38&gt;0,$AR$44*AQ38/SUMIF($AQ$8:$AQ$39,"&gt;0"),IF(AU38&gt;0,$AV$44*AU38/SUMIF($AU$8:$AU$39,"&gt;0"),IF(AS38&gt;0,$AT$44*AS38/SUMIF($AS$8:$AS$39,"&gt;0"),""))),IF(SUMIF(AJ39:$AJ$39,"=" &amp; AJ38,AI39:$AI$39)=0,"",SUMIF(AJ39:$AJ$39,"=" &amp; AJ38,AI39:$AI$39)))</f>
        <v>#N/A</v>
      </c>
      <c r="AJ38" s="87" t="e">
        <f t="shared" si="34"/>
        <v>#N/A</v>
      </c>
      <c r="AK38" s="206" t="str">
        <f t="shared" si="27"/>
        <v/>
      </c>
      <c r="AL38" s="160" t="str">
        <f t="shared" si="28"/>
        <v/>
      </c>
      <c r="AM38" s="160" t="str">
        <f t="shared" si="35"/>
        <v/>
      </c>
      <c r="AN38" s="160" t="str">
        <f>IF(ISNUMBER(AH38),IF(AND(AB38=0,ISNUMBER(AC38),ISNUMBER(AL38)),1,""),"")</f>
        <v/>
      </c>
      <c r="AO38" s="160" t="e">
        <f t="shared" si="6"/>
        <v>#N/A</v>
      </c>
      <c r="AP38" s="206" t="str">
        <f t="shared" si="7"/>
        <v/>
      </c>
      <c r="AQ38" s="157">
        <f t="shared" si="29"/>
        <v>0</v>
      </c>
      <c r="AR38" s="88" t="str">
        <f t="shared" si="8"/>
        <v/>
      </c>
      <c r="AS38" s="89">
        <f t="shared" si="30"/>
        <v>0</v>
      </c>
      <c r="AT38" s="88" t="str">
        <f t="shared" si="9"/>
        <v/>
      </c>
      <c r="AU38" s="158">
        <f t="shared" si="10"/>
        <v>0</v>
      </c>
      <c r="AV38" s="90" t="str">
        <f t="shared" si="11"/>
        <v/>
      </c>
      <c r="AW38" s="158" t="b">
        <f t="shared" si="12"/>
        <v>0</v>
      </c>
      <c r="AX38" s="159" t="b">
        <f t="shared" si="13"/>
        <v>0</v>
      </c>
      <c r="AY38" s="158" t="b">
        <f t="shared" si="14"/>
        <v>0</v>
      </c>
      <c r="AZ38" s="159" t="b">
        <f t="shared" si="15"/>
        <v>0</v>
      </c>
      <c r="BA38" s="206" t="b">
        <f t="shared" si="16"/>
        <v>0</v>
      </c>
      <c r="BB38" s="206" t="b">
        <f t="shared" si="17"/>
        <v>0</v>
      </c>
      <c r="BC38" s="158" t="b">
        <f t="shared" si="18"/>
        <v>0</v>
      </c>
      <c r="BD38" s="160" t="b">
        <f t="shared" si="31"/>
        <v>0</v>
      </c>
      <c r="BE38" s="159" t="b">
        <f t="shared" si="37"/>
        <v>0</v>
      </c>
      <c r="BF38" s="161" t="b">
        <f t="shared" si="39"/>
        <v>0</v>
      </c>
      <c r="BG38" s="206" t="str">
        <f t="shared" si="38"/>
        <v>NA</v>
      </c>
      <c r="BH38" s="206" t="str">
        <f t="shared" si="32"/>
        <v/>
      </c>
      <c r="BI38" s="206" t="str">
        <f t="shared" si="22"/>
        <v/>
      </c>
      <c r="BJ38" s="206" t="str">
        <f t="shared" si="23"/>
        <v/>
      </c>
      <c r="BK38" s="206" t="str">
        <f t="shared" si="24"/>
        <v/>
      </c>
      <c r="BL38" s="162" t="str">
        <f t="shared" si="33"/>
        <v/>
      </c>
      <c r="BM38" s="206" t="str">
        <f t="shared" si="25"/>
        <v/>
      </c>
      <c r="BN38" s="206" t="str">
        <f t="shared" si="26"/>
        <v/>
      </c>
      <c r="BO38" s="164" t="s">
        <v>241</v>
      </c>
      <c r="BP38" s="164"/>
      <c r="BQ38" s="164"/>
      <c r="BR38" s="164"/>
      <c r="BS38" s="164"/>
      <c r="BT38" s="164"/>
      <c r="BU38" s="164"/>
    </row>
    <row r="39" spans="2:73" s="105" customFormat="1" ht="12.95" customHeight="1" thickBot="1" x14ac:dyDescent="0.25">
      <c r="B39" s="165" t="str">
        <f>IF(ISNA(Z39),"",IF(OR(Z39=1,Z39=2),"    ",MAX($B$8:B38)+1))</f>
        <v/>
      </c>
      <c r="C39" s="1375" t="str">
        <f t="shared" si="40"/>
        <v/>
      </c>
      <c r="D39" s="1375"/>
      <c r="E39" s="1375"/>
      <c r="F39" s="1376"/>
      <c r="G39" s="176" t="str">
        <f t="shared" si="1"/>
        <v/>
      </c>
      <c r="H39" s="153" t="str">
        <f t="shared" si="2"/>
        <v/>
      </c>
      <c r="I39" s="177" t="str">
        <f t="shared" si="2"/>
        <v/>
      </c>
      <c r="J39" s="178"/>
      <c r="K39" s="179"/>
      <c r="L39" s="1078"/>
      <c r="M39" s="1079"/>
      <c r="N39" s="1079"/>
      <c r="O39" s="1079"/>
      <c r="P39" s="1079"/>
      <c r="Q39" s="1079"/>
      <c r="R39" s="1080"/>
      <c r="T39" s="119">
        <v>32</v>
      </c>
      <c r="U39" s="110" t="e">
        <v>#N/A</v>
      </c>
      <c r="V39" s="206" t="e">
        <v>#N/A</v>
      </c>
      <c r="W39" s="206" t="e">
        <v>#N/A</v>
      </c>
      <c r="X39" s="206" t="e">
        <v>#N/A</v>
      </c>
      <c r="Y39" s="206" t="e">
        <v>#N/A</v>
      </c>
      <c r="Z39" s="160" t="e">
        <v>#N/A</v>
      </c>
      <c r="AA39" s="160" t="e">
        <v>#N/A</v>
      </c>
      <c r="AB39" s="160" t="e">
        <v>#N/A</v>
      </c>
      <c r="AC39" s="206" t="e">
        <v>#N/A</v>
      </c>
      <c r="AD39" s="206" t="e">
        <v>#N/A</v>
      </c>
      <c r="AE39" s="206" t="e">
        <v>#N/A</v>
      </c>
      <c r="AF39" s="206" t="e">
        <v>#N/A</v>
      </c>
      <c r="AG39" s="206" t="e">
        <f t="shared" si="3"/>
        <v>#N/A</v>
      </c>
      <c r="AH39" s="206" t="str">
        <f t="shared" si="4"/>
        <v/>
      </c>
      <c r="AI39" s="86" t="e">
        <f>IF(NOT(OR(Z39=1,Z39=2)),IF(AQ39&gt;0,$AR$44*AQ39/SUMIF($AQ$8:$AQ$39,"&gt;0"),IF(AU39&gt;0,$AV$44*AU39/SUMIF($AU$8:$AU$39,"&gt;0"),IF(AS39&gt;0,$AT$44*AS39/SUMIF($AS$8:$AS$39,"&gt;0"),""))),IF(SUMIF(AJ$39:$AJ40,"=" &amp; AJ39,AI$39:$AI40)=0,"",SUMIF(AJ$39:$AJ40,"=" &amp; AJ39,AI$39:$AI40)))</f>
        <v>#N/A</v>
      </c>
      <c r="AJ39" s="87" t="e">
        <f t="shared" si="34"/>
        <v>#N/A</v>
      </c>
      <c r="AK39" s="206" t="str">
        <f t="shared" si="27"/>
        <v/>
      </c>
      <c r="AL39" s="160" t="str">
        <f t="shared" si="28"/>
        <v/>
      </c>
      <c r="AM39" s="160" t="str">
        <f t="shared" si="35"/>
        <v/>
      </c>
      <c r="AN39" s="160" t="str">
        <f>IF(ISNUMBER(AH39),IF(AND(AB39=0,ISNUMBER(AC39),ISNUMBER(AL39)),1,""),"")</f>
        <v/>
      </c>
      <c r="AO39" s="160" t="e">
        <f t="shared" si="6"/>
        <v>#N/A</v>
      </c>
      <c r="AP39" s="206" t="str">
        <f t="shared" si="7"/>
        <v/>
      </c>
      <c r="AQ39" s="157">
        <f t="shared" si="29"/>
        <v>0</v>
      </c>
      <c r="AR39" s="88" t="str">
        <f t="shared" si="8"/>
        <v/>
      </c>
      <c r="AS39" s="89">
        <f t="shared" si="30"/>
        <v>0</v>
      </c>
      <c r="AT39" s="88" t="str">
        <f t="shared" si="9"/>
        <v/>
      </c>
      <c r="AU39" s="158">
        <f t="shared" si="10"/>
        <v>0</v>
      </c>
      <c r="AV39" s="90" t="str">
        <f t="shared" si="11"/>
        <v/>
      </c>
      <c r="AW39" s="158" t="b">
        <f t="shared" si="12"/>
        <v>0</v>
      </c>
      <c r="AX39" s="159" t="b">
        <f t="shared" si="13"/>
        <v>0</v>
      </c>
      <c r="AY39" s="158" t="b">
        <f t="shared" si="14"/>
        <v>0</v>
      </c>
      <c r="AZ39" s="159" t="b">
        <f t="shared" si="15"/>
        <v>0</v>
      </c>
      <c r="BA39" s="206" t="b">
        <f t="shared" si="16"/>
        <v>0</v>
      </c>
      <c r="BB39" s="206" t="b">
        <f t="shared" si="17"/>
        <v>0</v>
      </c>
      <c r="BC39" s="158" t="b">
        <f t="shared" si="18"/>
        <v>0</v>
      </c>
      <c r="BD39" s="160" t="b">
        <f t="shared" si="31"/>
        <v>0</v>
      </c>
      <c r="BE39" s="159" t="b">
        <f t="shared" si="37"/>
        <v>0</v>
      </c>
      <c r="BF39" s="161" t="b">
        <f t="shared" si="39"/>
        <v>0</v>
      </c>
      <c r="BG39" s="206" t="str">
        <f t="shared" si="38"/>
        <v>NA</v>
      </c>
      <c r="BH39" s="206" t="str">
        <f t="shared" si="32"/>
        <v/>
      </c>
      <c r="BI39" s="206" t="str">
        <f t="shared" si="22"/>
        <v/>
      </c>
      <c r="BJ39" s="206" t="str">
        <f t="shared" si="23"/>
        <v/>
      </c>
      <c r="BK39" s="206" t="str">
        <f t="shared" si="24"/>
        <v/>
      </c>
      <c r="BL39" s="206" t="str">
        <f t="shared" si="33"/>
        <v/>
      </c>
      <c r="BM39" s="206" t="str">
        <f t="shared" si="25"/>
        <v/>
      </c>
      <c r="BN39" s="206" t="str">
        <f t="shared" si="26"/>
        <v/>
      </c>
      <c r="BO39" s="1346"/>
      <c r="BP39" s="1347"/>
      <c r="BQ39" s="1347"/>
      <c r="BR39" s="1347"/>
      <c r="BS39" s="1347"/>
      <c r="BT39" s="1347"/>
      <c r="BU39" s="1348"/>
    </row>
    <row r="40" spans="2:73" s="112" customFormat="1" ht="8.25" customHeight="1" x14ac:dyDescent="0.2">
      <c r="B40" s="1355" t="s">
        <v>242</v>
      </c>
      <c r="C40" s="1356"/>
      <c r="D40" s="1357"/>
      <c r="E40" s="205" t="s">
        <v>243</v>
      </c>
      <c r="F40" s="1358" t="s">
        <v>244</v>
      </c>
      <c r="G40" s="1359"/>
      <c r="H40" s="1359" t="s">
        <v>245</v>
      </c>
      <c r="I40" s="1359"/>
      <c r="J40" s="1360" t="s">
        <v>246</v>
      </c>
      <c r="K40" s="1361"/>
      <c r="L40" s="180" t="s">
        <v>247</v>
      </c>
      <c r="M40" s="1362" t="s">
        <v>248</v>
      </c>
      <c r="N40" s="1362"/>
      <c r="O40" s="1363" t="str">
        <f>IF(U44,"DO REVIEW","DO REV N/A")</f>
        <v>DO REV N/A</v>
      </c>
      <c r="P40" s="1364"/>
      <c r="Q40" s="181" t="str">
        <f>IF(U45,"ED REVIEW","ED REV N/A")</f>
        <v>ED REVIEW</v>
      </c>
      <c r="R40" s="182"/>
      <c r="S40" s="183">
        <v>0</v>
      </c>
      <c r="AI40" s="184"/>
      <c r="AJ40" s="113"/>
      <c r="AK40" s="113"/>
      <c r="AL40" s="113"/>
      <c r="AM40" s="113"/>
      <c r="AN40" s="113"/>
      <c r="AO40" s="110"/>
      <c r="AP40" s="113"/>
      <c r="AQ40" s="185"/>
      <c r="AR40" s="113"/>
      <c r="AS40" s="185"/>
      <c r="AT40" s="113"/>
      <c r="AU40" s="185"/>
      <c r="AV40" s="186"/>
      <c r="AW40" s="113"/>
      <c r="AX40" s="113"/>
      <c r="AY40" s="113"/>
      <c r="AZ40" s="113"/>
      <c r="BA40" s="113"/>
      <c r="BB40" s="113"/>
      <c r="BC40" s="113"/>
      <c r="BD40" s="113"/>
      <c r="BE40" s="113"/>
      <c r="BF40" s="113"/>
      <c r="BG40" s="113"/>
      <c r="BH40" s="110"/>
      <c r="BI40" s="110"/>
      <c r="BJ40" s="110"/>
      <c r="BK40" s="110"/>
      <c r="BL40" s="110"/>
      <c r="BM40" s="110"/>
      <c r="BN40" s="110"/>
      <c r="BO40" s="1349"/>
      <c r="BP40" s="1350"/>
      <c r="BQ40" s="1350"/>
      <c r="BR40" s="1350"/>
      <c r="BS40" s="1350"/>
      <c r="BT40" s="1350"/>
      <c r="BU40" s="1351"/>
    </row>
    <row r="41" spans="2:73" ht="18.75" customHeight="1" thickBot="1" x14ac:dyDescent="0.25">
      <c r="B41" s="1365" t="str">
        <f>IF(ISERROR(AR46),"",TEXT(AR45,"0.0%"))</f>
        <v>0.0%</v>
      </c>
      <c r="C41" s="1366"/>
      <c r="D41" s="1367"/>
      <c r="E41" s="187" t="str">
        <f>IF(AU41=0,"N/A",CONCATENATE(TEXT(AV45,"0.0%")," of ",TEXT(AV44,"0.0%")))</f>
        <v>N/A</v>
      </c>
      <c r="F41" s="1369" t="str">
        <f>IF((graded_aca_events+graded_amn_events)&lt;1,"---",IF(AND(AW4,AX4),"INCOMPLETE",IF(AND(NOT(AW4),AX4),"ACA INC",IF(AND(AW4,NOT(AX4)),"AMN INC","COMPLETE"))))</f>
        <v>---</v>
      </c>
      <c r="G41" s="1369"/>
      <c r="H41" s="1369" t="str">
        <f>IF(AU4,IF(OR(AY4="UNK",NOT(AN6)),"---",IF(AY4,"UNSAT",IF(AVERAGEIFS(AT8:AT39,AS8:AS39,"&gt;0")&lt;0.9,"MARG","SAT"))),"N/A")</f>
        <v>N/A</v>
      </c>
      <c r="I41" s="1369"/>
      <c r="J41" s="1370" t="str">
        <f>IF(OR(AZ4="UNK",NOT(AM6)),"---",IF(OR(AZ4,AR45&lt;0.7),"FAIL","PASS"))</f>
        <v>---</v>
      </c>
      <c r="K41" s="1371"/>
      <c r="L41" s="188"/>
      <c r="M41" s="1372"/>
      <c r="N41" s="1372"/>
      <c r="O41" s="1373" t="s">
        <v>139</v>
      </c>
      <c r="P41" s="1373"/>
      <c r="Q41" s="1373" t="s">
        <v>139</v>
      </c>
      <c r="R41" s="1374"/>
      <c r="S41" s="189"/>
      <c r="T41" s="119" t="s">
        <v>249</v>
      </c>
      <c r="U41" s="160" t="s">
        <v>250</v>
      </c>
      <c r="V41" s="190"/>
      <c r="W41" s="190"/>
      <c r="X41" s="190"/>
      <c r="Y41" s="190"/>
      <c r="Z41" s="190"/>
      <c r="AA41" s="190"/>
      <c r="AB41" s="190"/>
      <c r="AC41" s="190"/>
      <c r="AD41" s="190"/>
      <c r="AE41" s="190"/>
      <c r="AF41" s="190"/>
      <c r="AG41" s="190"/>
      <c r="AH41" s="190"/>
      <c r="AI41" s="109"/>
      <c r="AJ41" s="108"/>
      <c r="AK41" s="190"/>
      <c r="AL41" s="190"/>
      <c r="AM41" s="190">
        <f>SUM(AM8:AM39)</f>
        <v>0</v>
      </c>
      <c r="AN41" s="190">
        <f>SUM(AN8:AN39)</f>
        <v>0</v>
      </c>
      <c r="AO41" s="119"/>
      <c r="AP41" s="108"/>
      <c r="AQ41" s="191">
        <f>SUMIF(AQ8:AQ39,"&gt;0")</f>
        <v>10</v>
      </c>
      <c r="AR41" s="192">
        <f>IF(AQ41=0,0,SUMPRODUCT($AQ$8:$AQ$39,AR8:AR39)/SUM($AQ$8:$AQ$39))</f>
        <v>0</v>
      </c>
      <c r="AS41" s="193">
        <f>SUMIF(AS8:AS39,"&gt;0")</f>
        <v>0</v>
      </c>
      <c r="AT41" s="192">
        <f>IF(AS41=0,0,SUMPRODUCT($AS$8:$AS$39,AT8:AT39)/SUM($AS$8:$AS$39))</f>
        <v>0</v>
      </c>
      <c r="AU41" s="193">
        <f>SUM(AU9:AU39)</f>
        <v>0</v>
      </c>
      <c r="AV41" s="192">
        <f>IF(AU41=0,0,SUMPRODUCT($AU$8:$AU$39,AV8:AV39)/SUM($AU$8:$AU$39))</f>
        <v>0</v>
      </c>
      <c r="AW41" s="194"/>
      <c r="AX41" s="194"/>
      <c r="AY41" s="194"/>
      <c r="AZ41" s="194"/>
      <c r="BA41" s="194"/>
      <c r="BB41" s="194"/>
      <c r="BC41" s="110" t="s">
        <v>251</v>
      </c>
      <c r="BD41" s="110" t="s">
        <v>252</v>
      </c>
      <c r="BE41" s="110" t="s">
        <v>253</v>
      </c>
      <c r="BO41" s="1349"/>
      <c r="BP41" s="1350"/>
      <c r="BQ41" s="1350"/>
      <c r="BR41" s="1350"/>
      <c r="BS41" s="1350"/>
      <c r="BT41" s="1350"/>
      <c r="BU41" s="1351"/>
    </row>
    <row r="42" spans="2:73" ht="7.5" customHeight="1" thickTop="1" x14ac:dyDescent="0.2">
      <c r="L42" s="1368" t="s">
        <v>300</v>
      </c>
      <c r="M42" s="1368"/>
      <c r="N42" s="1368"/>
      <c r="O42" s="1368"/>
      <c r="P42" s="1368"/>
      <c r="Q42" s="1368"/>
      <c r="R42" s="1368"/>
      <c r="AP42" s="190"/>
      <c r="AQ42" s="108"/>
      <c r="AR42" s="108"/>
      <c r="AT42" s="192"/>
      <c r="AU42" s="192"/>
      <c r="AV42" s="192"/>
      <c r="AW42" s="108"/>
      <c r="AX42" s="192"/>
      <c r="BO42" s="1352"/>
      <c r="BP42" s="1353"/>
      <c r="BQ42" s="1353"/>
      <c r="BR42" s="1353"/>
      <c r="BS42" s="1353"/>
      <c r="BT42" s="1353"/>
      <c r="BU42" s="1354"/>
    </row>
    <row r="43" spans="2:73" ht="30.75" customHeight="1" x14ac:dyDescent="0.2">
      <c r="T43" s="195" t="s">
        <v>254</v>
      </c>
      <c r="U43" s="160" t="b">
        <v>0</v>
      </c>
      <c r="AI43" s="111">
        <f ca="1">SUMIF(AJ8:$AJ$39,"=" &amp; AJ8,AI9:$AI$39)</f>
        <v>0.7</v>
      </c>
      <c r="AO43" s="196"/>
      <c r="AS43" s="137" t="s">
        <v>255</v>
      </c>
      <c r="AT43" s="197">
        <f>SUMIF(X8:X39,"&gt;0")/SUMIF(W8:W39,"&gt;0")</f>
        <v>0</v>
      </c>
      <c r="AU43" s="137" t="s">
        <v>256</v>
      </c>
      <c r="AV43" s="100">
        <f>SUMIF(AU8:AU39,"&gt;0")/SUMIF(AQ8:AQ39,"&gt;0")</f>
        <v>0</v>
      </c>
      <c r="AW43" s="198"/>
      <c r="BE43" s="110" t="b">
        <f>AND(ISBLANK($K30),J30&gt;0)</f>
        <v>0</v>
      </c>
      <c r="BO43" s="110"/>
      <c r="BP43" s="110"/>
      <c r="BQ43" s="106"/>
    </row>
    <row r="44" spans="2:73" ht="30.75" customHeight="1" x14ac:dyDescent="0.2">
      <c r="J44" s="199"/>
      <c r="T44" s="200" t="s">
        <v>257</v>
      </c>
      <c r="U44" s="110" t="b">
        <f>IF(AND(Flight?,OR(AW4,AY4,BA4,AZ4,AR45&lt;0.7,H41="MARG")),TRUE,FALSE)</f>
        <v>0</v>
      </c>
      <c r="AO44" s="201"/>
      <c r="AQ44" s="137" t="s">
        <v>258</v>
      </c>
      <c r="AR44" s="197">
        <f>1-AT44</f>
        <v>1</v>
      </c>
      <c r="AS44" s="137" t="s">
        <v>259</v>
      </c>
      <c r="AT44" s="197">
        <f>MIN(AT43,AT6)</f>
        <v>0</v>
      </c>
      <c r="AU44" s="137" t="s">
        <v>260</v>
      </c>
      <c r="AV44" s="111">
        <f>MIN(AV43,AV6)</f>
        <v>0</v>
      </c>
      <c r="BO44" s="110"/>
      <c r="BP44" s="110"/>
      <c r="BQ44" s="106"/>
    </row>
    <row r="45" spans="2:73" ht="25.5" x14ac:dyDescent="0.2">
      <c r="T45" s="200" t="s">
        <v>261</v>
      </c>
      <c r="U45" s="110" t="b">
        <f>IF(OR(AX4,AY4,AZ4,BB4,AR45&lt;0.7),TRUE,FALSE)</f>
        <v>1</v>
      </c>
      <c r="AO45" s="202"/>
      <c r="AQ45" s="137" t="s">
        <v>262</v>
      </c>
      <c r="AR45" s="111">
        <f>AR41*(1-AT44)+(AT41*AT44)</f>
        <v>0</v>
      </c>
      <c r="AU45" s="110" t="s">
        <v>196</v>
      </c>
      <c r="AV45" s="111">
        <f>AV41*AV44</f>
        <v>0</v>
      </c>
      <c r="BO45" s="110"/>
      <c r="BP45" s="110"/>
      <c r="BQ45" s="106"/>
    </row>
    <row r="46" spans="2:73" ht="25.5" x14ac:dyDescent="0.2">
      <c r="T46" s="200" t="s">
        <v>263</v>
      </c>
      <c r="U46" s="110" t="b">
        <v>0</v>
      </c>
      <c r="AO46" s="202"/>
      <c r="AQ46" s="137" t="s">
        <v>264</v>
      </c>
      <c r="AR46" s="111">
        <f>MIN(1,IF(NOT(OR(AY4,AZ4)),AR45+AV45,MIN(0.69,AR45+AV45)))</f>
        <v>0</v>
      </c>
      <c r="BO46" s="110"/>
      <c r="BP46" s="110"/>
      <c r="BQ46" s="106"/>
    </row>
    <row r="47" spans="2:73" x14ac:dyDescent="0.2">
      <c r="T47" s="200" t="s">
        <v>265</v>
      </c>
      <c r="U47" s="110" t="b">
        <f>IF(NOT(Flight?),TRUE,NOT(OR(ISBLANK(comments),ISBLANK(hdr_class),ISBLANK(date),ISBLANK(hdr_stud),ISBLANK(instructor),ISBLANK(hdr_acft),ISBLANK(hdr_time),F41="---")))</f>
        <v>1</v>
      </c>
      <c r="AO47" s="202"/>
      <c r="AR47" s="137"/>
      <c r="AS47" s="111"/>
    </row>
    <row r="48" spans="2:73" x14ac:dyDescent="0.2">
      <c r="T48" s="200" t="s">
        <v>266</v>
      </c>
      <c r="U48" s="110" t="b">
        <f>IF(Flight?,TRUE,NOT(OR(ISBLANK(comments),ISBLANK(hdr_class),ISBLANK(date),ISBLANK(hdr_stud),ISBLANK(instructor),F41="---")))</f>
        <v>0</v>
      </c>
      <c r="AO48" s="201"/>
      <c r="AP48" s="108" t="s">
        <v>267</v>
      </c>
      <c r="AQ48" s="108"/>
      <c r="AR48" s="108"/>
      <c r="AS48" s="108"/>
      <c r="AT48" s="108"/>
    </row>
    <row r="49" spans="20:56" x14ac:dyDescent="0.2">
      <c r="T49" s="200" t="s">
        <v>268</v>
      </c>
      <c r="U49" s="110" t="b">
        <f>AND(U47:U48)</f>
        <v>0</v>
      </c>
      <c r="AO49" s="201"/>
      <c r="AP49" s="108"/>
      <c r="AQ49" s="108"/>
      <c r="AR49" s="108">
        <v>0</v>
      </c>
      <c r="AS49" s="108">
        <v>1</v>
      </c>
      <c r="AT49" s="108">
        <v>2</v>
      </c>
      <c r="AU49" s="108">
        <v>3</v>
      </c>
      <c r="AV49" s="108">
        <v>4</v>
      </c>
    </row>
    <row r="50" spans="20:56" x14ac:dyDescent="0.2">
      <c r="AO50" s="201"/>
      <c r="AP50" s="108" t="s">
        <v>227</v>
      </c>
      <c r="AQ50" s="108">
        <v>1</v>
      </c>
      <c r="AR50" s="203">
        <v>0.7</v>
      </c>
      <c r="AS50" s="203">
        <v>0.9</v>
      </c>
      <c r="AT50" s="203">
        <v>0.93330000000000002</v>
      </c>
      <c r="AU50" s="203">
        <v>0.9667</v>
      </c>
      <c r="AV50" s="203">
        <v>1</v>
      </c>
    </row>
    <row r="51" spans="20:56" x14ac:dyDescent="0.2">
      <c r="AO51" s="201"/>
      <c r="AP51" s="108" t="s">
        <v>228</v>
      </c>
      <c r="AQ51" s="108">
        <v>2</v>
      </c>
      <c r="AR51" s="203">
        <v>0.7</v>
      </c>
      <c r="AS51" s="203">
        <v>0.8</v>
      </c>
      <c r="AT51" s="203">
        <v>0.9</v>
      </c>
      <c r="AU51" s="203">
        <v>0.95</v>
      </c>
      <c r="AV51" s="203">
        <v>1</v>
      </c>
    </row>
    <row r="52" spans="20:56" x14ac:dyDescent="0.2">
      <c r="AO52" s="201"/>
      <c r="AP52" s="108" t="s">
        <v>229</v>
      </c>
      <c r="AQ52" s="108">
        <v>3</v>
      </c>
      <c r="AR52" s="203">
        <v>0.7</v>
      </c>
      <c r="AS52" s="203">
        <v>0.76670000000000005</v>
      </c>
      <c r="AT52" s="203">
        <v>0.83330000000000004</v>
      </c>
      <c r="AU52" s="203">
        <v>0.9</v>
      </c>
      <c r="AV52" s="203">
        <v>1</v>
      </c>
    </row>
    <row r="53" spans="20:56" x14ac:dyDescent="0.2">
      <c r="AP53" s="204" t="s">
        <v>230</v>
      </c>
      <c r="AQ53" s="108">
        <v>11</v>
      </c>
      <c r="AR53" s="203">
        <v>0.6</v>
      </c>
      <c r="AS53" s="203">
        <v>0.9</v>
      </c>
      <c r="AT53" s="203">
        <v>0.93330000000000002</v>
      </c>
      <c r="AU53" s="203">
        <v>0.9667</v>
      </c>
      <c r="AV53" s="203">
        <v>1</v>
      </c>
    </row>
    <row r="54" spans="20:56" x14ac:dyDescent="0.2">
      <c r="AP54" s="204" t="s">
        <v>231</v>
      </c>
      <c r="AQ54" s="108">
        <v>12</v>
      </c>
      <c r="AR54" s="203">
        <v>0.6</v>
      </c>
      <c r="AS54" s="203">
        <v>0.7</v>
      </c>
      <c r="AT54" s="203">
        <v>0.9</v>
      </c>
      <c r="AU54" s="203">
        <v>0.95</v>
      </c>
      <c r="AV54" s="203">
        <v>1</v>
      </c>
    </row>
    <row r="55" spans="20:56" x14ac:dyDescent="0.2">
      <c r="AP55" s="204" t="s">
        <v>232</v>
      </c>
      <c r="AQ55" s="108">
        <v>13</v>
      </c>
      <c r="AR55" s="203">
        <v>0.6</v>
      </c>
      <c r="AS55" s="203">
        <v>0.7</v>
      </c>
      <c r="AT55" s="203">
        <v>0.8</v>
      </c>
      <c r="AU55" s="203">
        <v>0.9</v>
      </c>
      <c r="AV55" s="203">
        <v>1</v>
      </c>
    </row>
    <row r="56" spans="20:56" x14ac:dyDescent="0.2">
      <c r="AP56" s="204" t="s">
        <v>233</v>
      </c>
      <c r="AQ56" s="108">
        <v>22</v>
      </c>
      <c r="AR56" s="203">
        <v>0.3</v>
      </c>
      <c r="AS56" s="203">
        <v>0.6</v>
      </c>
      <c r="AT56" s="203">
        <v>0.9</v>
      </c>
      <c r="AU56" s="203">
        <v>0.95</v>
      </c>
      <c r="AV56" s="203">
        <v>1</v>
      </c>
    </row>
    <row r="57" spans="20:56" x14ac:dyDescent="0.2">
      <c r="AP57" s="204" t="s">
        <v>234</v>
      </c>
      <c r="AQ57" s="108">
        <v>23</v>
      </c>
      <c r="AR57" s="203">
        <v>0.3</v>
      </c>
      <c r="AS57" s="203">
        <v>0.6</v>
      </c>
      <c r="AT57" s="203">
        <v>0.7</v>
      </c>
      <c r="AU57" s="203">
        <v>0.9</v>
      </c>
      <c r="AV57" s="203">
        <v>1</v>
      </c>
    </row>
    <row r="58" spans="20:56" x14ac:dyDescent="0.2">
      <c r="AP58" s="204" t="s">
        <v>235</v>
      </c>
      <c r="AQ58" s="108">
        <v>33</v>
      </c>
      <c r="AR58" s="203">
        <v>0</v>
      </c>
      <c r="AS58" s="203">
        <v>0.3</v>
      </c>
      <c r="AT58" s="203">
        <v>0.6</v>
      </c>
      <c r="AU58" s="203">
        <v>0.9</v>
      </c>
      <c r="AV58" s="203">
        <v>1</v>
      </c>
      <c r="AW58" s="83"/>
      <c r="AX58" s="84"/>
      <c r="BC58" s="84"/>
      <c r="BD58" s="84"/>
    </row>
    <row r="59" spans="20:56" x14ac:dyDescent="0.2">
      <c r="AW59" s="84"/>
      <c r="AX59" s="84"/>
      <c r="BC59" s="84"/>
      <c r="BD59" s="84"/>
    </row>
    <row r="60" spans="20:56" x14ac:dyDescent="0.2">
      <c r="AP60" s="84"/>
      <c r="AQ60" s="83"/>
      <c r="AR60" s="84"/>
      <c r="AS60" s="84"/>
      <c r="AT60" s="84"/>
      <c r="AU60" s="84"/>
      <c r="AV60" s="84"/>
      <c r="AW60" s="83"/>
      <c r="AX60" s="83"/>
      <c r="BC60" s="84"/>
      <c r="BD60" s="84"/>
    </row>
    <row r="61" spans="20:56" x14ac:dyDescent="0.2">
      <c r="AP61" s="101"/>
      <c r="AQ61" s="83"/>
      <c r="AR61" s="84"/>
      <c r="AS61" s="84"/>
      <c r="AT61" s="84"/>
      <c r="AU61" s="84"/>
      <c r="AV61" s="84"/>
      <c r="AW61" s="83"/>
      <c r="AX61" s="83"/>
      <c r="BC61" s="84"/>
      <c r="BD61" s="84"/>
    </row>
    <row r="62" spans="20:56" x14ac:dyDescent="0.2">
      <c r="AP62" s="83"/>
      <c r="AQ62" s="83"/>
      <c r="AR62" s="84"/>
      <c r="AS62" s="84"/>
      <c r="AT62" s="84"/>
      <c r="AU62" s="84"/>
      <c r="AV62" s="84"/>
      <c r="AW62" s="83"/>
      <c r="AX62" s="83"/>
      <c r="BC62" s="84"/>
      <c r="BD62" s="84"/>
    </row>
    <row r="63" spans="20:56" x14ac:dyDescent="0.2">
      <c r="AP63" s="83"/>
      <c r="AQ63" s="83"/>
      <c r="AR63" s="84"/>
      <c r="AS63" s="84"/>
      <c r="AT63" s="84"/>
      <c r="AU63" s="84"/>
      <c r="AV63" s="84"/>
      <c r="AW63" s="83"/>
      <c r="AX63" s="84"/>
      <c r="BC63" s="84"/>
      <c r="BD63" s="84"/>
    </row>
    <row r="64" spans="20:56" x14ac:dyDescent="0.2">
      <c r="AP64" s="83"/>
      <c r="AQ64" s="83"/>
      <c r="AR64" s="84"/>
      <c r="AS64" s="84"/>
      <c r="AT64" s="84"/>
      <c r="AU64" s="84"/>
      <c r="AV64" s="84"/>
      <c r="AW64" s="83"/>
      <c r="AX64" s="84"/>
      <c r="BC64" s="84"/>
      <c r="BD64" s="84"/>
    </row>
    <row r="65" spans="42:48" x14ac:dyDescent="0.2">
      <c r="AP65" s="83"/>
      <c r="AQ65" s="83"/>
      <c r="AR65" s="84"/>
      <c r="AS65" s="84"/>
      <c r="AT65" s="84"/>
      <c r="AU65" s="84"/>
      <c r="AV65" s="84"/>
    </row>
    <row r="66" spans="42:48" x14ac:dyDescent="0.2">
      <c r="AP66" s="83"/>
      <c r="AQ66" s="83"/>
      <c r="AR66" s="84"/>
      <c r="AS66" s="84"/>
      <c r="AT66" s="84"/>
      <c r="AU66" s="84"/>
      <c r="AV66" s="84"/>
    </row>
  </sheetData>
  <sheetProtection algorithmName="SHA-512" hashValue="Dj2Nx31OGfl3zGT0wnkH6eSb8mxLpx4dfWT4G+XNCdNBms7xPaL4qj0zNTCrEQO4ElPSmjtN+cr3FVlQurAg7Q==" saltValue="zzMl6Msd7yaQh3obJQtYQg==" spinCount="100000" sheet="1" selectLockedCell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19:F19"/>
    <mergeCell ref="BH4:BK6"/>
    <mergeCell ref="C32:F32"/>
    <mergeCell ref="C33:F33"/>
    <mergeCell ref="C34:F34"/>
    <mergeCell ref="C8:F8"/>
    <mergeCell ref="L8:R39"/>
    <mergeCell ref="C9:F9"/>
    <mergeCell ref="C10:F10"/>
    <mergeCell ref="C11:F11"/>
    <mergeCell ref="C12:F12"/>
    <mergeCell ref="C13:F13"/>
    <mergeCell ref="C14:F14"/>
    <mergeCell ref="C15:F15"/>
    <mergeCell ref="C16:F16"/>
    <mergeCell ref="C30:F30"/>
    <mergeCell ref="C17:F17"/>
    <mergeCell ref="Q6:R6"/>
    <mergeCell ref="C31:F31"/>
    <mergeCell ref="C39:F39"/>
    <mergeCell ref="B7:F7"/>
    <mergeCell ref="L7:R7"/>
    <mergeCell ref="C18:F18"/>
    <mergeCell ref="B6:E6"/>
    <mergeCell ref="F6:G6"/>
    <mergeCell ref="H6:L6"/>
    <mergeCell ref="M6:N6"/>
    <mergeCell ref="O6:P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s>
  <conditionalFormatting sqref="B8:F39">
    <cfRule type="expression" dxfId="13" priority="8" stopIfTrue="1">
      <formula>IF($Z8=1,TRUE,FALSE)</formula>
    </cfRule>
    <cfRule type="expression" dxfId="12" priority="9">
      <formula>IF($Z8=2,TRUE,FALSE)</formula>
    </cfRule>
  </conditionalFormatting>
  <conditionalFormatting sqref="C8:F39">
    <cfRule type="expression" dxfId="11" priority="1" stopIfTrue="1">
      <formula>IF($AF8=FALSE,TRUE,FALSE)</formula>
    </cfRule>
  </conditionalFormatting>
  <conditionalFormatting sqref="F5:G6 M5:P6">
    <cfRule type="expression" dxfId="10" priority="4" stopIfTrue="1">
      <formula>NOT($AU$4)</formula>
    </cfRule>
  </conditionalFormatting>
  <conditionalFormatting sqref="F6:G6">
    <cfRule type="cellIs" dxfId="9" priority="3" operator="equal">
      <formula>""</formula>
    </cfRule>
  </conditionalFormatting>
  <conditionalFormatting sqref="G8:K39">
    <cfRule type="expression" dxfId="8" priority="6" stopIfTrue="1">
      <formula>IF($Z8=1,TRUE,FALSE)</formula>
    </cfRule>
    <cfRule type="expression" dxfId="7" priority="7" stopIfTrue="1">
      <formula>IF($Z8=2,TRUE,FALSE)</formula>
    </cfRule>
  </conditionalFormatting>
  <conditionalFormatting sqref="H8:H39">
    <cfRule type="expression" dxfId="6" priority="10" stopIfTrue="1">
      <formula>IF($AB8=0,TRUE,FALSE)</formula>
    </cfRule>
  </conditionalFormatting>
  <conditionalFormatting sqref="H40:I41">
    <cfRule type="expression" dxfId="5" priority="2" stopIfTrue="1">
      <formula>IF($H$41="N/A",TRUE,FALSE)</formula>
    </cfRule>
  </conditionalFormatting>
  <conditionalFormatting sqref="H6:P6 O4:R4 B6 L8 L41 O41:R41">
    <cfRule type="containsBlanks" dxfId="4" priority="5">
      <formula>LEN(TRIM(B4))=0</formula>
    </cfRule>
  </conditionalFormatting>
  <conditionalFormatting sqref="J8:J39">
    <cfRule type="expression" dxfId="3" priority="14">
      <formula>IF($Z8=1,FALSE,OR($BE8,$BD8))</formula>
    </cfRule>
  </conditionalFormatting>
  <conditionalFormatting sqref="J8:K39 C8:F39">
    <cfRule type="expression" dxfId="2" priority="13">
      <formula>IF($Z8=1,FALSE,OR($AW8,$AX8,$AY8,$AZ8))</formula>
    </cfRule>
  </conditionalFormatting>
  <conditionalFormatting sqref="J8:K39">
    <cfRule type="expression" dxfId="1" priority="11" stopIfTrue="1">
      <formula>IF(ISNA($Z8),TRUE,FALSE)</formula>
    </cfRule>
  </conditionalFormatting>
  <conditionalFormatting sqref="K8:K39">
    <cfRule type="expression" dxfId="0" priority="12">
      <formula>IF(OR($Z8=1,$Z8=2),FALSE,OR($BC8,$BE8,$BF8))</formula>
    </cfRule>
  </conditionalFormatting>
  <dataValidations count="6">
    <dataValidation type="list" allowBlank="1" showInputMessage="1" showErrorMessage="1" sqref="F6:G6" xr:uid="{1FFEDE8D-F62C-420B-B824-6A5248AF0DAB}">
      <formula1>"No,Yes"</formula1>
    </dataValidation>
    <dataValidation type="list" allowBlank="1" showInputMessage="1" showErrorMessage="1" sqref="J8:J39" xr:uid="{578AF15A-16DD-4179-BF4E-42385258CF50}">
      <formula1>"NA,0,1,2,3,4,5,6,7,8,9,10,11,12,13,14,15"</formula1>
    </dataValidation>
    <dataValidation type="list" allowBlank="1" showInputMessage="1" showErrorMessage="1" sqref="K8:K39" xr:uid="{982F8EEB-7FC8-4BAC-97FA-E62D81E35DE8}">
      <formula1>"D,0,1,2,3,4"</formula1>
    </dataValidation>
    <dataValidation showInputMessage="1" showErrorMessage="1" sqref="O41:R41" xr:uid="{C847B7D1-54DA-4F43-A8CB-6CA12BFBC5B9}"/>
    <dataValidation type="decimal" allowBlank="1" showInputMessage="1" showErrorMessage="1" sqref="O6:P6" xr:uid="{B1BF7B8C-75A9-46CB-B5B4-03520AA75FDC}">
      <formula1>0</formula1>
      <formula2>10</formula2>
    </dataValidation>
    <dataValidation type="date" allowBlank="1" showInputMessage="1" showErrorMessage="1" sqref="Q4:R4" xr:uid="{F56F6365-078B-4F72-A2DC-68A9A51C90F7}">
      <formula1>41151</formula1>
      <formula2>77433</formula2>
    </dataValidation>
  </dataValidations>
  <hyperlinks>
    <hyperlink ref="BP3" location="PF!A1" display="PF phase Summary Page" xr:uid="{18FC9B6E-6342-4E77-8E8F-705495E1919B}"/>
    <hyperlink ref="BP3:BU4" location="TF!A1" display="TF Summary Page" xr:uid="{5F120171-EF52-4696-8A99-5FDA638E6F2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776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776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1776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776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1776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docMetadata/LabelInfo.xml><?xml version="1.0" encoding="utf-8"?>
<clbl:labelList xmlns:clbl="http://schemas.microsoft.com/office/2020/mipLabelMetadata">
  <clbl:label id="{37adc8ff-f4a3-4a14-9c0d-84b4985de0d2}" enabled="1" method="Privileged" siteId="{8331b18d-2d87-48ef-a35f-ac8818ebf9b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966</vt:i4>
      </vt:variant>
    </vt:vector>
  </HeadingPairs>
  <TitlesOfParts>
    <vt:vector size="1001" baseType="lpstr">
      <vt:lpstr>Review</vt:lpstr>
      <vt:lpstr>Alibis</vt:lpstr>
      <vt:lpstr>Probations</vt:lpstr>
      <vt:lpstr>Restrictions</vt:lpstr>
      <vt:lpstr>Color list</vt:lpstr>
      <vt:lpstr>Updater</vt:lpstr>
      <vt:lpstr>Link to Class Gradebook</vt:lpstr>
      <vt:lpstr>AS</vt:lpstr>
      <vt:lpstr>SY</vt:lpstr>
      <vt:lpstr>TF</vt:lpstr>
      <vt:lpstr>SO 6140S</vt:lpstr>
      <vt:lpstr>AS 7130L</vt:lpstr>
      <vt:lpstr>AS 7140S FQ</vt:lpstr>
      <vt:lpstr>AS 7140S HQ</vt:lpstr>
      <vt:lpstr>AS 7150S</vt:lpstr>
      <vt:lpstr>AS 7160S</vt:lpstr>
      <vt:lpstr>AS 7310A</vt:lpstr>
      <vt:lpstr>AS 7314W</vt:lpstr>
      <vt:lpstr>AS 7316R</vt:lpstr>
      <vt:lpstr>SY 7213C</vt:lpstr>
      <vt:lpstr>SY 752xx</vt:lpstr>
      <vt:lpstr>SY 7521O</vt:lpstr>
      <vt:lpstr>SY 7522Y</vt:lpstr>
      <vt:lpstr>TF 5310Y</vt:lpstr>
      <vt:lpstr>TF 6221C</vt:lpstr>
      <vt:lpstr>TF 6233C</vt:lpstr>
      <vt:lpstr>TF 6241F</vt:lpstr>
      <vt:lpstr>TF 6265R</vt:lpstr>
      <vt:lpstr>TF 6268R</vt:lpstr>
      <vt:lpstr>TF 6402R</vt:lpstr>
      <vt:lpstr>TF 6403R</vt:lpstr>
      <vt:lpstr>TF 7113R</vt:lpstr>
      <vt:lpstr>TF 7123R</vt:lpstr>
      <vt:lpstr>TF 7133R</vt:lpstr>
      <vt:lpstr>TF 7502R</vt:lpstr>
      <vt:lpstr>'AS 7140S FQ'!c_no_grade</vt:lpstr>
      <vt:lpstr>'AS 7140S HQ'!c_no_grade</vt:lpstr>
      <vt:lpstr>'AS 7150S'!c_no_grade</vt:lpstr>
      <vt:lpstr>'AS 7160S'!c_no_grade</vt:lpstr>
      <vt:lpstr>'AS 7314W'!c_no_grade</vt:lpstr>
      <vt:lpstr>'AS 7316R'!c_no_grade</vt:lpstr>
      <vt:lpstr>'SO 6140S'!c_no_grade</vt:lpstr>
      <vt:lpstr>'SY 7213C'!c_no_grade</vt:lpstr>
      <vt:lpstr>'SY 7521O'!c_no_grade</vt:lpstr>
      <vt:lpstr>'SY 752xx'!c_no_grade</vt:lpstr>
      <vt:lpstr>'TF 6221C'!c_no_grade</vt:lpstr>
      <vt:lpstr>'TF 6233C'!c_no_grade</vt:lpstr>
      <vt:lpstr>'TF 6241F'!c_no_grade</vt:lpstr>
      <vt:lpstr>'TF 6265R'!c_no_grade</vt:lpstr>
      <vt:lpstr>'TF 6268R'!c_no_grade</vt:lpstr>
      <vt:lpstr>'TF 6402R'!c_no_grade</vt:lpstr>
      <vt:lpstr>'TF 6403R'!c_no_grade</vt:lpstr>
      <vt:lpstr>'TF 7113R'!c_no_grade</vt:lpstr>
      <vt:lpstr>'TF 7123R'!c_no_grade</vt:lpstr>
      <vt:lpstr>'TF 7133R'!c_no_grade</vt:lpstr>
      <vt:lpstr>'TF 7502R'!c_no_grade</vt:lpstr>
      <vt:lpstr>'AS 7140S FQ'!CandS</vt:lpstr>
      <vt:lpstr>'AS 7140S HQ'!CandS</vt:lpstr>
      <vt:lpstr>'AS 7150S'!CandS</vt:lpstr>
      <vt:lpstr>'AS 7160S'!CandS</vt:lpstr>
      <vt:lpstr>'AS 7314W'!CandS</vt:lpstr>
      <vt:lpstr>'AS 7316R'!CandS</vt:lpstr>
      <vt:lpstr>'SO 6140S'!CandS</vt:lpstr>
      <vt:lpstr>'SY 7213C'!CandS</vt:lpstr>
      <vt:lpstr>'SY 7521O'!CandS</vt:lpstr>
      <vt:lpstr>'SY 752xx'!CandS</vt:lpstr>
      <vt:lpstr>'TF 6221C'!CandS</vt:lpstr>
      <vt:lpstr>'TF 6233C'!CandS</vt:lpstr>
      <vt:lpstr>'TF 6241F'!CandS</vt:lpstr>
      <vt:lpstr>'TF 6265R'!CandS</vt:lpstr>
      <vt:lpstr>'TF 6268R'!CandS</vt:lpstr>
      <vt:lpstr>'TF 6402R'!CandS</vt:lpstr>
      <vt:lpstr>'TF 6403R'!CandS</vt:lpstr>
      <vt:lpstr>'TF 7113R'!CandS</vt:lpstr>
      <vt:lpstr>'TF 7123R'!CandS</vt:lpstr>
      <vt:lpstr>'TF 7133R'!CandS</vt:lpstr>
      <vt:lpstr>'TF 7502R'!CandS</vt:lpstr>
      <vt:lpstr>'AS 7140S FQ'!comment_mand</vt:lpstr>
      <vt:lpstr>'AS 7140S HQ'!comment_mand</vt:lpstr>
      <vt:lpstr>'AS 7150S'!comment_mand</vt:lpstr>
      <vt:lpstr>'AS 7160S'!comment_mand</vt:lpstr>
      <vt:lpstr>'AS 7314W'!comment_mand</vt:lpstr>
      <vt:lpstr>'AS 7316R'!comment_mand</vt:lpstr>
      <vt:lpstr>'SO 6140S'!comment_mand</vt:lpstr>
      <vt:lpstr>'SY 7213C'!comment_mand</vt:lpstr>
      <vt:lpstr>'SY 7521O'!comment_mand</vt:lpstr>
      <vt:lpstr>'SY 752xx'!comment_mand</vt:lpstr>
      <vt:lpstr>'TF 6221C'!comment_mand</vt:lpstr>
      <vt:lpstr>'TF 6233C'!comment_mand</vt:lpstr>
      <vt:lpstr>'TF 6241F'!comment_mand</vt:lpstr>
      <vt:lpstr>'TF 6265R'!comment_mand</vt:lpstr>
      <vt:lpstr>'TF 6268R'!comment_mand</vt:lpstr>
      <vt:lpstr>'TF 6402R'!comment_mand</vt:lpstr>
      <vt:lpstr>'TF 6403R'!comment_mand</vt:lpstr>
      <vt:lpstr>'TF 7113R'!comment_mand</vt:lpstr>
      <vt:lpstr>'TF 7123R'!comment_mand</vt:lpstr>
      <vt:lpstr>'TF 7133R'!comment_mand</vt:lpstr>
      <vt:lpstr>'TF 7502R'!comment_mand</vt:lpstr>
      <vt:lpstr>'AS 7140S FQ'!comments</vt:lpstr>
      <vt:lpstr>'AS 7140S HQ'!comments</vt:lpstr>
      <vt:lpstr>'AS 7150S'!comments</vt:lpstr>
      <vt:lpstr>'AS 7160S'!comments</vt:lpstr>
      <vt:lpstr>'AS 7314W'!comments</vt:lpstr>
      <vt:lpstr>'AS 7316R'!comments</vt:lpstr>
      <vt:lpstr>'SO 6140S'!comments</vt:lpstr>
      <vt:lpstr>'SY 7213C'!comments</vt:lpstr>
      <vt:lpstr>'SY 7521O'!comments</vt:lpstr>
      <vt:lpstr>'SY 752xx'!comments</vt:lpstr>
      <vt:lpstr>'TF 6221C'!comments</vt:lpstr>
      <vt:lpstr>'TF 6233C'!comments</vt:lpstr>
      <vt:lpstr>'TF 6241F'!comments</vt:lpstr>
      <vt:lpstr>'TF 6265R'!comments</vt:lpstr>
      <vt:lpstr>'TF 6268R'!comments</vt:lpstr>
      <vt:lpstr>'TF 6402R'!comments</vt:lpstr>
      <vt:lpstr>'TF 6403R'!comments</vt:lpstr>
      <vt:lpstr>'TF 7113R'!comments</vt:lpstr>
      <vt:lpstr>'TF 7123R'!comments</vt:lpstr>
      <vt:lpstr>'TF 7133R'!comments</vt:lpstr>
      <vt:lpstr>'TF 7502R'!comments</vt:lpstr>
      <vt:lpstr>'AS 7140S FQ'!CrewSoloQual</vt:lpstr>
      <vt:lpstr>'AS 7140S HQ'!CrewSoloQual</vt:lpstr>
      <vt:lpstr>'AS 7150S'!CrewSoloQual</vt:lpstr>
      <vt:lpstr>'AS 7160S'!CrewSoloQual</vt:lpstr>
      <vt:lpstr>'AS 7314W'!CrewSoloQual</vt:lpstr>
      <vt:lpstr>'AS 7316R'!CrewSoloQual</vt:lpstr>
      <vt:lpstr>'SO 6140S'!CrewSoloQual</vt:lpstr>
      <vt:lpstr>'SY 7213C'!CrewSoloQual</vt:lpstr>
      <vt:lpstr>'SY 7521O'!CrewSoloQual</vt:lpstr>
      <vt:lpstr>'SY 752xx'!CrewSoloQual</vt:lpstr>
      <vt:lpstr>'TF 6221C'!CrewSoloQual</vt:lpstr>
      <vt:lpstr>'TF 6233C'!CrewSoloQual</vt:lpstr>
      <vt:lpstr>'TF 6241F'!CrewSoloQual</vt:lpstr>
      <vt:lpstr>'TF 6265R'!CrewSoloQual</vt:lpstr>
      <vt:lpstr>'TF 6268R'!CrewSoloQual</vt:lpstr>
      <vt:lpstr>'TF 6402R'!CrewSoloQual</vt:lpstr>
      <vt:lpstr>'TF 6403R'!CrewSoloQual</vt:lpstr>
      <vt:lpstr>'TF 7113R'!CrewSoloQual</vt:lpstr>
      <vt:lpstr>'TF 7123R'!CrewSoloQual</vt:lpstr>
      <vt:lpstr>'TF 7133R'!CrewSoloQual</vt:lpstr>
      <vt:lpstr>'TF 7502R'!CrewSoloQual</vt:lpstr>
      <vt:lpstr>'AS 7140S FQ'!D_and_count</vt:lpstr>
      <vt:lpstr>'AS 7140S HQ'!D_and_count</vt:lpstr>
      <vt:lpstr>'AS 7150S'!D_and_count</vt:lpstr>
      <vt:lpstr>'AS 7160S'!D_and_count</vt:lpstr>
      <vt:lpstr>'AS 7314W'!D_and_count</vt:lpstr>
      <vt:lpstr>'AS 7316R'!D_and_count</vt:lpstr>
      <vt:lpstr>'SO 6140S'!D_and_count</vt:lpstr>
      <vt:lpstr>'SY 7213C'!D_and_count</vt:lpstr>
      <vt:lpstr>'SY 7521O'!D_and_count</vt:lpstr>
      <vt:lpstr>'SY 752xx'!D_and_count</vt:lpstr>
      <vt:lpstr>'TF 6221C'!D_and_count</vt:lpstr>
      <vt:lpstr>'TF 6233C'!D_and_count</vt:lpstr>
      <vt:lpstr>'TF 6241F'!D_and_count</vt:lpstr>
      <vt:lpstr>'TF 6265R'!D_and_count</vt:lpstr>
      <vt:lpstr>'TF 6268R'!D_and_count</vt:lpstr>
      <vt:lpstr>'TF 6402R'!D_and_count</vt:lpstr>
      <vt:lpstr>'TF 6403R'!D_and_count</vt:lpstr>
      <vt:lpstr>'TF 7113R'!D_and_count</vt:lpstr>
      <vt:lpstr>'TF 7123R'!D_and_count</vt:lpstr>
      <vt:lpstr>'TF 7133R'!D_and_count</vt:lpstr>
      <vt:lpstr>'TF 7502R'!D_and_count</vt:lpstr>
      <vt:lpstr>'AS 7130L'!date</vt:lpstr>
      <vt:lpstr>'AS 7310A'!date</vt:lpstr>
      <vt:lpstr>'AS 7314W'!date</vt:lpstr>
      <vt:lpstr>'AS 7316R'!date</vt:lpstr>
      <vt:lpstr>'SY 7522Y'!date</vt:lpstr>
      <vt:lpstr>'SY 752xx'!date</vt:lpstr>
      <vt:lpstr>'TF 5310Y'!date</vt:lpstr>
      <vt:lpstr>'TF 6265R'!date</vt:lpstr>
      <vt:lpstr>'TF 6268R'!date</vt:lpstr>
      <vt:lpstr>'TF 6402R'!date</vt:lpstr>
      <vt:lpstr>'TF 6403R'!date</vt:lpstr>
      <vt:lpstr>'TF 7113R'!date</vt:lpstr>
      <vt:lpstr>'TF 7123R'!date</vt:lpstr>
      <vt:lpstr>'TF 7133R'!date</vt:lpstr>
      <vt:lpstr>'TF 7502R'!date</vt:lpstr>
      <vt:lpstr>'AS 7140S FQ'!desds</vt:lpstr>
      <vt:lpstr>'AS 7140S HQ'!desds</vt:lpstr>
      <vt:lpstr>'AS 7150S'!desds</vt:lpstr>
      <vt:lpstr>'AS 7160S'!desds</vt:lpstr>
      <vt:lpstr>'AS 7314W'!desds</vt:lpstr>
      <vt:lpstr>'AS 7316R'!desds</vt:lpstr>
      <vt:lpstr>'SO 6140S'!desds</vt:lpstr>
      <vt:lpstr>'SY 7213C'!desds</vt:lpstr>
      <vt:lpstr>'SY 7521O'!desds</vt:lpstr>
      <vt:lpstr>'SY 752xx'!desds</vt:lpstr>
      <vt:lpstr>'TF 6221C'!desds</vt:lpstr>
      <vt:lpstr>'TF 6233C'!desds</vt:lpstr>
      <vt:lpstr>'TF 6241F'!desds</vt:lpstr>
      <vt:lpstr>'TF 6265R'!desds</vt:lpstr>
      <vt:lpstr>'TF 6268R'!desds</vt:lpstr>
      <vt:lpstr>'TF 6402R'!desds</vt:lpstr>
      <vt:lpstr>'TF 6403R'!desds</vt:lpstr>
      <vt:lpstr>'TF 7113R'!desds</vt:lpstr>
      <vt:lpstr>'TF 7123R'!desds</vt:lpstr>
      <vt:lpstr>'TF 7133R'!desds</vt:lpstr>
      <vt:lpstr>'TF 7502R'!desds</vt:lpstr>
      <vt:lpstr>'AS 7140S FQ'!DO_comments</vt:lpstr>
      <vt:lpstr>'AS 7140S HQ'!DO_comments</vt:lpstr>
      <vt:lpstr>'AS 7150S'!DO_comments</vt:lpstr>
      <vt:lpstr>'AS 7160S'!DO_comments</vt:lpstr>
      <vt:lpstr>'AS 7314W'!DO_comments</vt:lpstr>
      <vt:lpstr>'AS 7316R'!DO_comments</vt:lpstr>
      <vt:lpstr>'SO 6140S'!DO_comments</vt:lpstr>
      <vt:lpstr>'SY 7213C'!DO_comments</vt:lpstr>
      <vt:lpstr>'SY 7521O'!DO_comments</vt:lpstr>
      <vt:lpstr>'SY 752xx'!DO_comments</vt:lpstr>
      <vt:lpstr>'TF 6221C'!DO_comments</vt:lpstr>
      <vt:lpstr>'TF 6233C'!DO_comments</vt:lpstr>
      <vt:lpstr>'TF 6241F'!DO_comments</vt:lpstr>
      <vt:lpstr>'TF 6265R'!DO_comments</vt:lpstr>
      <vt:lpstr>'TF 6268R'!DO_comments</vt:lpstr>
      <vt:lpstr>'TF 6402R'!DO_comments</vt:lpstr>
      <vt:lpstr>'TF 6403R'!DO_comments</vt:lpstr>
      <vt:lpstr>'TF 7113R'!DO_comments</vt:lpstr>
      <vt:lpstr>'TF 7123R'!DO_comments</vt:lpstr>
      <vt:lpstr>'TF 7133R'!DO_comments</vt:lpstr>
      <vt:lpstr>'TF 7502R'!DO_comments</vt:lpstr>
      <vt:lpstr>'AS 7140S FQ'!DO_sig</vt:lpstr>
      <vt:lpstr>'AS 7140S HQ'!DO_sig</vt:lpstr>
      <vt:lpstr>'AS 7150S'!DO_sig</vt:lpstr>
      <vt:lpstr>'AS 7160S'!DO_sig</vt:lpstr>
      <vt:lpstr>'AS 7314W'!DO_sig</vt:lpstr>
      <vt:lpstr>'AS 7316R'!DO_sig</vt:lpstr>
      <vt:lpstr>'SO 6140S'!DO_sig</vt:lpstr>
      <vt:lpstr>'SY 7213C'!DO_sig</vt:lpstr>
      <vt:lpstr>'SY 7521O'!DO_sig</vt:lpstr>
      <vt:lpstr>'SY 752xx'!DO_sig</vt:lpstr>
      <vt:lpstr>'TF 6221C'!DO_sig</vt:lpstr>
      <vt:lpstr>'TF 6233C'!DO_sig</vt:lpstr>
      <vt:lpstr>'TF 6241F'!DO_sig</vt:lpstr>
      <vt:lpstr>'TF 6265R'!DO_sig</vt:lpstr>
      <vt:lpstr>'TF 6268R'!DO_sig</vt:lpstr>
      <vt:lpstr>'TF 6402R'!DO_sig</vt:lpstr>
      <vt:lpstr>'TF 6403R'!DO_sig</vt:lpstr>
      <vt:lpstr>'TF 7113R'!DO_sig</vt:lpstr>
      <vt:lpstr>'TF 7123R'!DO_sig</vt:lpstr>
      <vt:lpstr>'TF 7133R'!DO_sig</vt:lpstr>
      <vt:lpstr>'TF 7502R'!DO_sig</vt:lpstr>
      <vt:lpstr>'AS 7140S FQ'!ED_comments</vt:lpstr>
      <vt:lpstr>'AS 7140S HQ'!ED_comments</vt:lpstr>
      <vt:lpstr>'AS 7150S'!ED_comments</vt:lpstr>
      <vt:lpstr>'AS 7160S'!ED_comments</vt:lpstr>
      <vt:lpstr>'AS 7314W'!ED_comments</vt:lpstr>
      <vt:lpstr>'AS 7316R'!ED_comments</vt:lpstr>
      <vt:lpstr>'SO 6140S'!ED_comments</vt:lpstr>
      <vt:lpstr>'SY 7213C'!ED_comments</vt:lpstr>
      <vt:lpstr>'SY 7521O'!ED_comments</vt:lpstr>
      <vt:lpstr>'SY 752xx'!ED_comments</vt:lpstr>
      <vt:lpstr>'TF 6221C'!ED_comments</vt:lpstr>
      <vt:lpstr>'TF 6233C'!ED_comments</vt:lpstr>
      <vt:lpstr>'TF 6241F'!ED_comments</vt:lpstr>
      <vt:lpstr>'TF 6265R'!ED_comments</vt:lpstr>
      <vt:lpstr>'TF 6268R'!ED_comments</vt:lpstr>
      <vt:lpstr>'TF 6402R'!ED_comments</vt:lpstr>
      <vt:lpstr>'TF 6403R'!ED_comments</vt:lpstr>
      <vt:lpstr>'TF 7113R'!ED_comments</vt:lpstr>
      <vt:lpstr>'TF 7123R'!ED_comments</vt:lpstr>
      <vt:lpstr>'TF 7133R'!ED_comments</vt:lpstr>
      <vt:lpstr>'TF 7502R'!ED_comments</vt:lpstr>
      <vt:lpstr>'AS 7140S FQ'!ED_sig</vt:lpstr>
      <vt:lpstr>'AS 7140S HQ'!ED_sig</vt:lpstr>
      <vt:lpstr>'AS 7150S'!ED_sig</vt:lpstr>
      <vt:lpstr>'AS 7160S'!ED_sig</vt:lpstr>
      <vt:lpstr>'AS 7314W'!ED_sig</vt:lpstr>
      <vt:lpstr>'AS 7316R'!ED_sig</vt:lpstr>
      <vt:lpstr>'SO 6140S'!ED_sig</vt:lpstr>
      <vt:lpstr>'SY 7213C'!ED_sig</vt:lpstr>
      <vt:lpstr>'SY 7521O'!ED_sig</vt:lpstr>
      <vt:lpstr>'SY 752xx'!ED_sig</vt:lpstr>
      <vt:lpstr>'TF 6221C'!ED_sig</vt:lpstr>
      <vt:lpstr>'TF 6233C'!ED_sig</vt:lpstr>
      <vt:lpstr>'TF 6241F'!ED_sig</vt:lpstr>
      <vt:lpstr>'TF 6265R'!ED_sig</vt:lpstr>
      <vt:lpstr>'TF 6268R'!ED_sig</vt:lpstr>
      <vt:lpstr>'TF 6402R'!ED_sig</vt:lpstr>
      <vt:lpstr>'TF 6403R'!ED_sig</vt:lpstr>
      <vt:lpstr>'TF 7113R'!ED_sig</vt:lpstr>
      <vt:lpstr>'TF 7123R'!ED_sig</vt:lpstr>
      <vt:lpstr>'TF 7133R'!ED_sig</vt:lpstr>
      <vt:lpstr>'TF 7502R'!ED_sig</vt:lpstr>
      <vt:lpstr>'AS 7140S FQ'!Flight?</vt:lpstr>
      <vt:lpstr>'AS 7140S HQ'!Flight?</vt:lpstr>
      <vt:lpstr>'AS 7150S'!Flight?</vt:lpstr>
      <vt:lpstr>'AS 7160S'!Flight?</vt:lpstr>
      <vt:lpstr>'AS 7314W'!Flight?</vt:lpstr>
      <vt:lpstr>'AS 7316R'!Flight?</vt:lpstr>
      <vt:lpstr>'SO 6140S'!Flight?</vt:lpstr>
      <vt:lpstr>'SY 7213C'!Flight?</vt:lpstr>
      <vt:lpstr>'SY 7521O'!Flight?</vt:lpstr>
      <vt:lpstr>'SY 752xx'!Flight?</vt:lpstr>
      <vt:lpstr>'TF 6221C'!Flight?</vt:lpstr>
      <vt:lpstr>'TF 6233C'!Flight?</vt:lpstr>
      <vt:lpstr>'TF 6241F'!Flight?</vt:lpstr>
      <vt:lpstr>'TF 6265R'!Flight?</vt:lpstr>
      <vt:lpstr>'TF 6268R'!Flight?</vt:lpstr>
      <vt:lpstr>'TF 6402R'!Flight?</vt:lpstr>
      <vt:lpstr>'TF 6403R'!Flight?</vt:lpstr>
      <vt:lpstr>'TF 7113R'!Flight?</vt:lpstr>
      <vt:lpstr>'TF 7123R'!Flight?</vt:lpstr>
      <vt:lpstr>'TF 7133R'!Flight?</vt:lpstr>
      <vt:lpstr>'TF 7502R'!Flight?</vt:lpstr>
      <vt:lpstr>'AS 7140S FQ'!g_no_count</vt:lpstr>
      <vt:lpstr>'AS 7140S HQ'!g_no_count</vt:lpstr>
      <vt:lpstr>'AS 7150S'!g_no_count</vt:lpstr>
      <vt:lpstr>'AS 7160S'!g_no_count</vt:lpstr>
      <vt:lpstr>'AS 7314W'!g_no_count</vt:lpstr>
      <vt:lpstr>'AS 7316R'!g_no_count</vt:lpstr>
      <vt:lpstr>'SO 6140S'!g_no_count</vt:lpstr>
      <vt:lpstr>'SY 7213C'!g_no_count</vt:lpstr>
      <vt:lpstr>'SY 7521O'!g_no_count</vt:lpstr>
      <vt:lpstr>'SY 752xx'!g_no_count</vt:lpstr>
      <vt:lpstr>'TF 6221C'!g_no_count</vt:lpstr>
      <vt:lpstr>'TF 6233C'!g_no_count</vt:lpstr>
      <vt:lpstr>'TF 6241F'!g_no_count</vt:lpstr>
      <vt:lpstr>'TF 6265R'!g_no_count</vt:lpstr>
      <vt:lpstr>'TF 6268R'!g_no_count</vt:lpstr>
      <vt:lpstr>'TF 6402R'!g_no_count</vt:lpstr>
      <vt:lpstr>'TF 6403R'!g_no_count</vt:lpstr>
      <vt:lpstr>'TF 7113R'!g_no_count</vt:lpstr>
      <vt:lpstr>'TF 7123R'!g_no_count</vt:lpstr>
      <vt:lpstr>'TF 7133R'!g_no_count</vt:lpstr>
      <vt:lpstr>'TF 7502R'!g_no_count</vt:lpstr>
      <vt:lpstr>'AS 7140S FQ'!grade</vt:lpstr>
      <vt:lpstr>'AS 7140S HQ'!grade</vt:lpstr>
      <vt:lpstr>'AS 7150S'!grade</vt:lpstr>
      <vt:lpstr>'AS 7160S'!grade</vt:lpstr>
      <vt:lpstr>'AS 7316R'!grade</vt:lpstr>
      <vt:lpstr>'SO 6140S'!grade</vt:lpstr>
      <vt:lpstr>'SY 7213C'!grade</vt:lpstr>
      <vt:lpstr>'SY 7521O'!grade</vt:lpstr>
      <vt:lpstr>'TF 6221C'!grade</vt:lpstr>
      <vt:lpstr>'TF 6233C'!grade</vt:lpstr>
      <vt:lpstr>'TF 6241F'!grade</vt:lpstr>
      <vt:lpstr>'TF 6265R'!grade</vt:lpstr>
      <vt:lpstr>'TF 6268R'!grade</vt:lpstr>
      <vt:lpstr>'TF 6402R'!grade</vt:lpstr>
      <vt:lpstr>'TF 6403R'!grade</vt:lpstr>
      <vt:lpstr>'TF 7113R'!grade</vt:lpstr>
      <vt:lpstr>'TF 7123R'!grade</vt:lpstr>
      <vt:lpstr>'TF 7133R'!grade</vt:lpstr>
      <vt:lpstr>'AS 7130L'!graded_aca_events</vt:lpstr>
      <vt:lpstr>'AS 7140S FQ'!graded_aca_events</vt:lpstr>
      <vt:lpstr>'AS 7140S HQ'!graded_aca_events</vt:lpstr>
      <vt:lpstr>'AS 7150S'!graded_aca_events</vt:lpstr>
      <vt:lpstr>'AS 7160S'!graded_aca_events</vt:lpstr>
      <vt:lpstr>'AS 7314W'!graded_aca_events</vt:lpstr>
      <vt:lpstr>'AS 7316R'!graded_aca_events</vt:lpstr>
      <vt:lpstr>'SO 6140S'!graded_aca_events</vt:lpstr>
      <vt:lpstr>'SY 7213C'!graded_aca_events</vt:lpstr>
      <vt:lpstr>'SY 7521O'!graded_aca_events</vt:lpstr>
      <vt:lpstr>'SY 752xx'!graded_aca_events</vt:lpstr>
      <vt:lpstr>'TF 6221C'!graded_aca_events</vt:lpstr>
      <vt:lpstr>'TF 6233C'!graded_aca_events</vt:lpstr>
      <vt:lpstr>'TF 6241F'!graded_aca_events</vt:lpstr>
      <vt:lpstr>'TF 6265R'!graded_aca_events</vt:lpstr>
      <vt:lpstr>'TF 6268R'!graded_aca_events</vt:lpstr>
      <vt:lpstr>'TF 6402R'!graded_aca_events</vt:lpstr>
      <vt:lpstr>'TF 6403R'!graded_aca_events</vt:lpstr>
      <vt:lpstr>'TF 7113R'!graded_aca_events</vt:lpstr>
      <vt:lpstr>'TF 7123R'!graded_aca_events</vt:lpstr>
      <vt:lpstr>'TF 7133R'!graded_aca_events</vt:lpstr>
      <vt:lpstr>'TF 7502R'!graded_aca_events</vt:lpstr>
      <vt:lpstr>'AS 7130L'!graded_amn_events</vt:lpstr>
      <vt:lpstr>'AS 7140S FQ'!graded_amn_events</vt:lpstr>
      <vt:lpstr>'AS 7140S HQ'!graded_amn_events</vt:lpstr>
      <vt:lpstr>'AS 7150S'!graded_amn_events</vt:lpstr>
      <vt:lpstr>'AS 7160S'!graded_amn_events</vt:lpstr>
      <vt:lpstr>'AS 7314W'!graded_amn_events</vt:lpstr>
      <vt:lpstr>'AS 7316R'!graded_amn_events</vt:lpstr>
      <vt:lpstr>'SO 6140S'!graded_amn_events</vt:lpstr>
      <vt:lpstr>'SY 7213C'!graded_amn_events</vt:lpstr>
      <vt:lpstr>'SY 7521O'!graded_amn_events</vt:lpstr>
      <vt:lpstr>'SY 752xx'!graded_amn_events</vt:lpstr>
      <vt:lpstr>'TF 6221C'!graded_amn_events</vt:lpstr>
      <vt:lpstr>'TF 6233C'!graded_amn_events</vt:lpstr>
      <vt:lpstr>'TF 6241F'!graded_amn_events</vt:lpstr>
      <vt:lpstr>'TF 6265R'!graded_amn_events</vt:lpstr>
      <vt:lpstr>'TF 6268R'!graded_amn_events</vt:lpstr>
      <vt:lpstr>'TF 6402R'!graded_amn_events</vt:lpstr>
      <vt:lpstr>'TF 6403R'!graded_amn_events</vt:lpstr>
      <vt:lpstr>'TF 7113R'!graded_amn_events</vt:lpstr>
      <vt:lpstr>'TF 7123R'!graded_amn_events</vt:lpstr>
      <vt:lpstr>'TF 7133R'!graded_amn_events</vt:lpstr>
      <vt:lpstr>'TF 7502R'!graded_amn_events</vt:lpstr>
      <vt:lpstr>'AS 7140S FQ'!hdr_acft</vt:lpstr>
      <vt:lpstr>'AS 7140S HQ'!hdr_acft</vt:lpstr>
      <vt:lpstr>'AS 7150S'!hdr_acft</vt:lpstr>
      <vt:lpstr>'AS 7160S'!hdr_acft</vt:lpstr>
      <vt:lpstr>'AS 7314W'!hdr_acft</vt:lpstr>
      <vt:lpstr>'AS 7316R'!hdr_acft</vt:lpstr>
      <vt:lpstr>'SO 6140S'!hdr_acft</vt:lpstr>
      <vt:lpstr>'SY 7213C'!hdr_acft</vt:lpstr>
      <vt:lpstr>'SY 7521O'!hdr_acft</vt:lpstr>
      <vt:lpstr>'SY 752xx'!hdr_acft</vt:lpstr>
      <vt:lpstr>'TF 6221C'!hdr_acft</vt:lpstr>
      <vt:lpstr>'TF 6233C'!hdr_acft</vt:lpstr>
      <vt:lpstr>'TF 6241F'!hdr_acft</vt:lpstr>
      <vt:lpstr>'TF 6265R'!hdr_acft</vt:lpstr>
      <vt:lpstr>'TF 6268R'!hdr_acft</vt:lpstr>
      <vt:lpstr>'TF 6402R'!hdr_acft</vt:lpstr>
      <vt:lpstr>'TF 6403R'!hdr_acft</vt:lpstr>
      <vt:lpstr>'TF 7113R'!hdr_acft</vt:lpstr>
      <vt:lpstr>'TF 7123R'!hdr_acft</vt:lpstr>
      <vt:lpstr>'TF 7133R'!hdr_acft</vt:lpstr>
      <vt:lpstr>'TF 7502R'!hdr_acft</vt:lpstr>
      <vt:lpstr>'AS 7140S FQ'!hdr_class</vt:lpstr>
      <vt:lpstr>'AS 7140S HQ'!hdr_class</vt:lpstr>
      <vt:lpstr>'AS 7150S'!hdr_class</vt:lpstr>
      <vt:lpstr>'AS 7160S'!hdr_class</vt:lpstr>
      <vt:lpstr>'AS 7314W'!hdr_class</vt:lpstr>
      <vt:lpstr>'AS 7316R'!hdr_class</vt:lpstr>
      <vt:lpstr>'SO 6140S'!hdr_class</vt:lpstr>
      <vt:lpstr>'SY 7213C'!hdr_class</vt:lpstr>
      <vt:lpstr>'SY 7521O'!hdr_class</vt:lpstr>
      <vt:lpstr>'SY 752xx'!hdr_class</vt:lpstr>
      <vt:lpstr>'TF 6221C'!hdr_class</vt:lpstr>
      <vt:lpstr>'TF 6233C'!hdr_class</vt:lpstr>
      <vt:lpstr>'TF 6241F'!hdr_class</vt:lpstr>
      <vt:lpstr>'TF 6265R'!hdr_class</vt:lpstr>
      <vt:lpstr>'TF 6268R'!hdr_class</vt:lpstr>
      <vt:lpstr>'TF 6402R'!hdr_class</vt:lpstr>
      <vt:lpstr>'TF 6403R'!hdr_class</vt:lpstr>
      <vt:lpstr>'TF 7113R'!hdr_class</vt:lpstr>
      <vt:lpstr>'TF 7123R'!hdr_class</vt:lpstr>
      <vt:lpstr>'TF 7133R'!hdr_class</vt:lpstr>
      <vt:lpstr>'TF 7502R'!hdr_class</vt:lpstr>
      <vt:lpstr>'AS 7140S FQ'!hdr_date</vt:lpstr>
      <vt:lpstr>'AS 7140S HQ'!hdr_date</vt:lpstr>
      <vt:lpstr>'AS 7150S'!hdr_date</vt:lpstr>
      <vt:lpstr>'AS 7160S'!hdr_date</vt:lpstr>
      <vt:lpstr>'AS 7316R'!hdr_date</vt:lpstr>
      <vt:lpstr>'SO 6140S'!hdr_date</vt:lpstr>
      <vt:lpstr>'SY 7213C'!hdr_date</vt:lpstr>
      <vt:lpstr>'SY 7521O'!hdr_date</vt:lpstr>
      <vt:lpstr>'TF 6221C'!hdr_date</vt:lpstr>
      <vt:lpstr>'TF 6233C'!hdr_date</vt:lpstr>
      <vt:lpstr>'TF 6241F'!hdr_date</vt:lpstr>
      <vt:lpstr>'TF 6265R'!hdr_date</vt:lpstr>
      <vt:lpstr>'TF 6268R'!hdr_date</vt:lpstr>
      <vt:lpstr>'TF 6402R'!hdr_date</vt:lpstr>
      <vt:lpstr>'TF 6403R'!hdr_date</vt:lpstr>
      <vt:lpstr>'TF 7113R'!hdr_date</vt:lpstr>
      <vt:lpstr>'TF 7123R'!hdr_date</vt:lpstr>
      <vt:lpstr>'TF 7133R'!hdr_date</vt:lpstr>
      <vt:lpstr>'AS 7140S FQ'!hdr_instr</vt:lpstr>
      <vt:lpstr>'AS 7140S HQ'!hdr_instr</vt:lpstr>
      <vt:lpstr>'AS 7150S'!hdr_instr</vt:lpstr>
      <vt:lpstr>'AS 7160S'!hdr_instr</vt:lpstr>
      <vt:lpstr>'AS 7316R'!hdr_instr</vt:lpstr>
      <vt:lpstr>'SO 6140S'!hdr_instr</vt:lpstr>
      <vt:lpstr>'SY 7213C'!hdr_instr</vt:lpstr>
      <vt:lpstr>'SY 7521O'!hdr_instr</vt:lpstr>
      <vt:lpstr>'TF 6221C'!hdr_instr</vt:lpstr>
      <vt:lpstr>'TF 6233C'!hdr_instr</vt:lpstr>
      <vt:lpstr>'TF 6241F'!hdr_instr</vt:lpstr>
      <vt:lpstr>'TF 6265R'!hdr_instr</vt:lpstr>
      <vt:lpstr>'TF 6268R'!hdr_instr</vt:lpstr>
      <vt:lpstr>'TF 6402R'!hdr_instr</vt:lpstr>
      <vt:lpstr>'TF 6403R'!hdr_instr</vt:lpstr>
      <vt:lpstr>'TF 7113R'!hdr_instr</vt:lpstr>
      <vt:lpstr>'TF 7123R'!hdr_instr</vt:lpstr>
      <vt:lpstr>'TF 7133R'!hdr_instr</vt:lpstr>
      <vt:lpstr>'AS 7140S FQ'!hdr_stud</vt:lpstr>
      <vt:lpstr>'AS 7140S HQ'!hdr_stud</vt:lpstr>
      <vt:lpstr>'AS 7150S'!hdr_stud</vt:lpstr>
      <vt:lpstr>'AS 7160S'!hdr_stud</vt:lpstr>
      <vt:lpstr>'AS 7314W'!hdr_stud</vt:lpstr>
      <vt:lpstr>'AS 7316R'!hdr_stud</vt:lpstr>
      <vt:lpstr>'SO 6140S'!hdr_stud</vt:lpstr>
      <vt:lpstr>'SY 7213C'!hdr_stud</vt:lpstr>
      <vt:lpstr>'SY 7521O'!hdr_stud</vt:lpstr>
      <vt:lpstr>'SY 752xx'!hdr_stud</vt:lpstr>
      <vt:lpstr>'TF 6221C'!hdr_stud</vt:lpstr>
      <vt:lpstr>'TF 6233C'!hdr_stud</vt:lpstr>
      <vt:lpstr>'TF 6241F'!hdr_stud</vt:lpstr>
      <vt:lpstr>'TF 6265R'!hdr_stud</vt:lpstr>
      <vt:lpstr>'TF 6268R'!hdr_stud</vt:lpstr>
      <vt:lpstr>'TF 6402R'!hdr_stud</vt:lpstr>
      <vt:lpstr>'TF 6403R'!hdr_stud</vt:lpstr>
      <vt:lpstr>'TF 7113R'!hdr_stud</vt:lpstr>
      <vt:lpstr>'TF 7123R'!hdr_stud</vt:lpstr>
      <vt:lpstr>'TF 7133R'!hdr_stud</vt:lpstr>
      <vt:lpstr>'TF 7502R'!hdr_stud</vt:lpstr>
      <vt:lpstr>'AS 7140S FQ'!hdr_time</vt:lpstr>
      <vt:lpstr>'AS 7140S HQ'!hdr_time</vt:lpstr>
      <vt:lpstr>'AS 7150S'!hdr_time</vt:lpstr>
      <vt:lpstr>'AS 7160S'!hdr_time</vt:lpstr>
      <vt:lpstr>'AS 7314W'!hdr_time</vt:lpstr>
      <vt:lpstr>'AS 7316R'!hdr_time</vt:lpstr>
      <vt:lpstr>'SO 6140S'!hdr_time</vt:lpstr>
      <vt:lpstr>'SY 7213C'!hdr_time</vt:lpstr>
      <vt:lpstr>'SY 7521O'!hdr_time</vt:lpstr>
      <vt:lpstr>'SY 752xx'!hdr_time</vt:lpstr>
      <vt:lpstr>'TF 6221C'!hdr_time</vt:lpstr>
      <vt:lpstr>'TF 6233C'!hdr_time</vt:lpstr>
      <vt:lpstr>'TF 6241F'!hdr_time</vt:lpstr>
      <vt:lpstr>'TF 6265R'!hdr_time</vt:lpstr>
      <vt:lpstr>'TF 6268R'!hdr_time</vt:lpstr>
      <vt:lpstr>'TF 6402R'!hdr_time</vt:lpstr>
      <vt:lpstr>'TF 6403R'!hdr_time</vt:lpstr>
      <vt:lpstr>'TF 7113R'!hdr_time</vt:lpstr>
      <vt:lpstr>'TF 7123R'!hdr_time</vt:lpstr>
      <vt:lpstr>'TF 7133R'!hdr_time</vt:lpstr>
      <vt:lpstr>'TF 7502R'!hdr_time</vt:lpstr>
      <vt:lpstr>'AS 7140S FQ'!input_data</vt:lpstr>
      <vt:lpstr>'AS 7140S HQ'!input_data</vt:lpstr>
      <vt:lpstr>'AS 7150S'!input_data</vt:lpstr>
      <vt:lpstr>'AS 7160S'!input_data</vt:lpstr>
      <vt:lpstr>'AS 7314W'!input_data</vt:lpstr>
      <vt:lpstr>'AS 7316R'!input_data</vt:lpstr>
      <vt:lpstr>'SO 6140S'!input_data</vt:lpstr>
      <vt:lpstr>'SY 7213C'!input_data</vt:lpstr>
      <vt:lpstr>'SY 7521O'!input_data</vt:lpstr>
      <vt:lpstr>'SY 752xx'!input_data</vt:lpstr>
      <vt:lpstr>'TF 6221C'!input_data</vt:lpstr>
      <vt:lpstr>'TF 6233C'!input_data</vt:lpstr>
      <vt:lpstr>'TF 6241F'!input_data</vt:lpstr>
      <vt:lpstr>'TF 6265R'!input_data</vt:lpstr>
      <vt:lpstr>'TF 6268R'!input_data</vt:lpstr>
      <vt:lpstr>'TF 6402R'!input_data</vt:lpstr>
      <vt:lpstr>'TF 6403R'!input_data</vt:lpstr>
      <vt:lpstr>'TF 7113R'!input_data</vt:lpstr>
      <vt:lpstr>'TF 7123R'!input_data</vt:lpstr>
      <vt:lpstr>'TF 7133R'!input_data</vt:lpstr>
      <vt:lpstr>'TF 7502R'!input_data</vt:lpstr>
      <vt:lpstr>'AS 7140S FQ'!input_max_amnshp</vt:lpstr>
      <vt:lpstr>'AS 7140S HQ'!input_max_amnshp</vt:lpstr>
      <vt:lpstr>'AS 7150S'!input_max_amnshp</vt:lpstr>
      <vt:lpstr>'AS 7160S'!input_max_amnshp</vt:lpstr>
      <vt:lpstr>'AS 7314W'!input_max_amnshp</vt:lpstr>
      <vt:lpstr>'AS 7316R'!input_max_amnshp</vt:lpstr>
      <vt:lpstr>'SO 6140S'!input_max_amnshp</vt:lpstr>
      <vt:lpstr>'SY 7213C'!input_max_amnshp</vt:lpstr>
      <vt:lpstr>'SY 7521O'!input_max_amnshp</vt:lpstr>
      <vt:lpstr>'SY 752xx'!input_max_amnshp</vt:lpstr>
      <vt:lpstr>'TF 6221C'!input_max_amnshp</vt:lpstr>
      <vt:lpstr>'TF 6233C'!input_max_amnshp</vt:lpstr>
      <vt:lpstr>'TF 6241F'!input_max_amnshp</vt:lpstr>
      <vt:lpstr>'TF 6265R'!input_max_amnshp</vt:lpstr>
      <vt:lpstr>'TF 6268R'!input_max_amnshp</vt:lpstr>
      <vt:lpstr>'TF 6402R'!input_max_amnshp</vt:lpstr>
      <vt:lpstr>'TF 6403R'!input_max_amnshp</vt:lpstr>
      <vt:lpstr>'TF 7113R'!input_max_amnshp</vt:lpstr>
      <vt:lpstr>'TF 7123R'!input_max_amnshp</vt:lpstr>
      <vt:lpstr>'TF 7133R'!input_max_amnshp</vt:lpstr>
      <vt:lpstr>'TF 7502R'!input_max_amnshp</vt:lpstr>
      <vt:lpstr>'AS 7140S FQ'!input_maxb</vt:lpstr>
      <vt:lpstr>'AS 7140S HQ'!input_maxb</vt:lpstr>
      <vt:lpstr>'AS 7150S'!input_maxb</vt:lpstr>
      <vt:lpstr>'AS 7160S'!input_maxb</vt:lpstr>
      <vt:lpstr>'AS 7314W'!input_maxb</vt:lpstr>
      <vt:lpstr>'AS 7316R'!input_maxb</vt:lpstr>
      <vt:lpstr>'SO 6140S'!input_maxb</vt:lpstr>
      <vt:lpstr>'SY 7213C'!input_maxb</vt:lpstr>
      <vt:lpstr>'SY 7521O'!input_maxb</vt:lpstr>
      <vt:lpstr>'SY 752xx'!input_maxb</vt:lpstr>
      <vt:lpstr>'TF 6221C'!input_maxb</vt:lpstr>
      <vt:lpstr>'TF 6233C'!input_maxb</vt:lpstr>
      <vt:lpstr>'TF 6241F'!input_maxb</vt:lpstr>
      <vt:lpstr>'TF 6265R'!input_maxb</vt:lpstr>
      <vt:lpstr>'TF 6268R'!input_maxb</vt:lpstr>
      <vt:lpstr>'TF 6402R'!input_maxb</vt:lpstr>
      <vt:lpstr>'TF 6403R'!input_maxb</vt:lpstr>
      <vt:lpstr>'TF 7113R'!input_maxb</vt:lpstr>
      <vt:lpstr>'TF 7123R'!input_maxb</vt:lpstr>
      <vt:lpstr>'TF 7133R'!input_maxb</vt:lpstr>
      <vt:lpstr>'TF 7502R'!input_maxb</vt:lpstr>
      <vt:lpstr>'AS 7140S FQ'!input_rubric</vt:lpstr>
      <vt:lpstr>'AS 7140S HQ'!input_rubric</vt:lpstr>
      <vt:lpstr>'AS 7150S'!input_rubric</vt:lpstr>
      <vt:lpstr>'AS 7160S'!input_rubric</vt:lpstr>
      <vt:lpstr>'AS 7314W'!input_rubric</vt:lpstr>
      <vt:lpstr>'AS 7316R'!input_rubric</vt:lpstr>
      <vt:lpstr>'SO 6140S'!input_rubric</vt:lpstr>
      <vt:lpstr>'SY 7213C'!input_rubric</vt:lpstr>
      <vt:lpstr>'SY 7521O'!input_rubric</vt:lpstr>
      <vt:lpstr>'SY 752xx'!input_rubric</vt:lpstr>
      <vt:lpstr>'TF 6221C'!input_rubric</vt:lpstr>
      <vt:lpstr>'TF 6233C'!input_rubric</vt:lpstr>
      <vt:lpstr>'TF 6241F'!input_rubric</vt:lpstr>
      <vt:lpstr>'TF 6265R'!input_rubric</vt:lpstr>
      <vt:lpstr>'TF 6268R'!input_rubric</vt:lpstr>
      <vt:lpstr>'TF 6402R'!input_rubric</vt:lpstr>
      <vt:lpstr>'TF 6403R'!input_rubric</vt:lpstr>
      <vt:lpstr>'TF 7113R'!input_rubric</vt:lpstr>
      <vt:lpstr>'TF 7123R'!input_rubric</vt:lpstr>
      <vt:lpstr>'TF 7133R'!input_rubric</vt:lpstr>
      <vt:lpstr>'TF 7502R'!input_rubric</vt:lpstr>
      <vt:lpstr>'AS 7140S FQ'!input_sc2g</vt:lpstr>
      <vt:lpstr>'AS 7140S HQ'!input_sc2g</vt:lpstr>
      <vt:lpstr>'AS 7150S'!input_sc2g</vt:lpstr>
      <vt:lpstr>'AS 7160S'!input_sc2g</vt:lpstr>
      <vt:lpstr>'AS 7314W'!input_sc2g</vt:lpstr>
      <vt:lpstr>'AS 7316R'!input_sc2g</vt:lpstr>
      <vt:lpstr>'SO 6140S'!input_sc2g</vt:lpstr>
      <vt:lpstr>'SY 7213C'!input_sc2g</vt:lpstr>
      <vt:lpstr>'SY 7521O'!input_sc2g</vt:lpstr>
      <vt:lpstr>'SY 752xx'!input_sc2g</vt:lpstr>
      <vt:lpstr>'TF 6221C'!input_sc2g</vt:lpstr>
      <vt:lpstr>'TF 6233C'!input_sc2g</vt:lpstr>
      <vt:lpstr>'TF 6241F'!input_sc2g</vt:lpstr>
      <vt:lpstr>'TF 6265R'!input_sc2g</vt:lpstr>
      <vt:lpstr>'TF 6268R'!input_sc2g</vt:lpstr>
      <vt:lpstr>'TF 6402R'!input_sc2g</vt:lpstr>
      <vt:lpstr>'TF 6403R'!input_sc2g</vt:lpstr>
      <vt:lpstr>'TF 7113R'!input_sc2g</vt:lpstr>
      <vt:lpstr>'TF 7123R'!input_sc2g</vt:lpstr>
      <vt:lpstr>'TF 7133R'!input_sc2g</vt:lpstr>
      <vt:lpstr>'TF 7502R'!input_sc2g</vt:lpstr>
      <vt:lpstr>'AS 7140S FQ'!input_studs</vt:lpstr>
      <vt:lpstr>'AS 7140S HQ'!input_studs</vt:lpstr>
      <vt:lpstr>'AS 7150S'!input_studs</vt:lpstr>
      <vt:lpstr>'AS 7160S'!input_studs</vt:lpstr>
      <vt:lpstr>'AS 7314W'!input_studs</vt:lpstr>
      <vt:lpstr>'AS 7316R'!input_studs</vt:lpstr>
      <vt:lpstr>'SO 6140S'!input_studs</vt:lpstr>
      <vt:lpstr>'SY 7213C'!input_studs</vt:lpstr>
      <vt:lpstr>'SY 7521O'!input_studs</vt:lpstr>
      <vt:lpstr>'SY 752xx'!input_studs</vt:lpstr>
      <vt:lpstr>'TF 6221C'!input_studs</vt:lpstr>
      <vt:lpstr>'TF 6233C'!input_studs</vt:lpstr>
      <vt:lpstr>'TF 6241F'!input_studs</vt:lpstr>
      <vt:lpstr>'TF 6265R'!input_studs</vt:lpstr>
      <vt:lpstr>'TF 6268R'!input_studs</vt:lpstr>
      <vt:lpstr>'TF 6402R'!input_studs</vt:lpstr>
      <vt:lpstr>'TF 6403R'!input_studs</vt:lpstr>
      <vt:lpstr>'TF 7113R'!input_studs</vt:lpstr>
      <vt:lpstr>'TF 7123R'!input_studs</vt:lpstr>
      <vt:lpstr>'TF 7133R'!input_studs</vt:lpstr>
      <vt:lpstr>'TF 7502R'!input_studs</vt:lpstr>
      <vt:lpstr>'AS 7140S FQ'!input_test</vt:lpstr>
      <vt:lpstr>'AS 7140S HQ'!input_test</vt:lpstr>
      <vt:lpstr>'AS 7150S'!input_test</vt:lpstr>
      <vt:lpstr>'AS 7160S'!input_test</vt:lpstr>
      <vt:lpstr>'AS 7314W'!input_test</vt:lpstr>
      <vt:lpstr>'AS 7316R'!input_test</vt:lpstr>
      <vt:lpstr>'SO 6140S'!input_test</vt:lpstr>
      <vt:lpstr>'SY 7213C'!input_test</vt:lpstr>
      <vt:lpstr>'SY 7521O'!input_test</vt:lpstr>
      <vt:lpstr>'SY 752xx'!input_test</vt:lpstr>
      <vt:lpstr>'TF 6221C'!input_test</vt:lpstr>
      <vt:lpstr>'TF 6233C'!input_test</vt:lpstr>
      <vt:lpstr>'TF 6241F'!input_test</vt:lpstr>
      <vt:lpstr>'TF 6265R'!input_test</vt:lpstr>
      <vt:lpstr>'TF 6268R'!input_test</vt:lpstr>
      <vt:lpstr>'TF 6402R'!input_test</vt:lpstr>
      <vt:lpstr>'TF 6403R'!input_test</vt:lpstr>
      <vt:lpstr>'TF 7113R'!input_test</vt:lpstr>
      <vt:lpstr>'TF 7123R'!input_test</vt:lpstr>
      <vt:lpstr>'TF 7133R'!input_test</vt:lpstr>
      <vt:lpstr>'TF 7502R'!input_test</vt:lpstr>
      <vt:lpstr>'AS 7140S FQ'!input_title</vt:lpstr>
      <vt:lpstr>'AS 7140S HQ'!input_title</vt:lpstr>
      <vt:lpstr>'AS 7150S'!input_title</vt:lpstr>
      <vt:lpstr>'AS 7160S'!input_title</vt:lpstr>
      <vt:lpstr>'AS 7316R'!input_title</vt:lpstr>
      <vt:lpstr>'SO 6140S'!input_title</vt:lpstr>
      <vt:lpstr>'SY 7213C'!input_title</vt:lpstr>
      <vt:lpstr>'SY 7521O'!input_title</vt:lpstr>
      <vt:lpstr>'TF 6221C'!input_title</vt:lpstr>
      <vt:lpstr>'TF 6233C'!input_title</vt:lpstr>
      <vt:lpstr>'TF 6241F'!input_title</vt:lpstr>
      <vt:lpstr>'TF 6265R'!input_title</vt:lpstr>
      <vt:lpstr>'TF 6268R'!input_title</vt:lpstr>
      <vt:lpstr>'TF 6402R'!input_title</vt:lpstr>
      <vt:lpstr>'TF 6403R'!input_title</vt:lpstr>
      <vt:lpstr>'TF 7113R'!input_title</vt:lpstr>
      <vt:lpstr>'TF 7123R'!input_title</vt:lpstr>
      <vt:lpstr>'TF 7133R'!input_title</vt:lpstr>
      <vt:lpstr>'AS 7140S FQ'!input_type</vt:lpstr>
      <vt:lpstr>'AS 7140S HQ'!input_type</vt:lpstr>
      <vt:lpstr>'AS 7150S'!input_type</vt:lpstr>
      <vt:lpstr>'AS 7160S'!input_type</vt:lpstr>
      <vt:lpstr>'AS 7314W'!input_type</vt:lpstr>
      <vt:lpstr>'AS 7316R'!input_type</vt:lpstr>
      <vt:lpstr>'SO 6140S'!input_type</vt:lpstr>
      <vt:lpstr>'SY 7213C'!input_type</vt:lpstr>
      <vt:lpstr>'SY 7521O'!input_type</vt:lpstr>
      <vt:lpstr>'SY 752xx'!input_type</vt:lpstr>
      <vt:lpstr>'TF 6221C'!input_type</vt:lpstr>
      <vt:lpstr>'TF 6233C'!input_type</vt:lpstr>
      <vt:lpstr>'TF 6241F'!input_type</vt:lpstr>
      <vt:lpstr>'TF 6265R'!input_type</vt:lpstr>
      <vt:lpstr>'TF 6268R'!input_type</vt:lpstr>
      <vt:lpstr>'TF 6402R'!input_type</vt:lpstr>
      <vt:lpstr>'TF 6403R'!input_type</vt:lpstr>
      <vt:lpstr>'TF 7113R'!input_type</vt:lpstr>
      <vt:lpstr>'TF 7123R'!input_type</vt:lpstr>
      <vt:lpstr>'TF 7133R'!input_type</vt:lpstr>
      <vt:lpstr>'TF 7502R'!input_type</vt:lpstr>
      <vt:lpstr>'AS 7140S FQ'!input_version</vt:lpstr>
      <vt:lpstr>'AS 7140S HQ'!input_version</vt:lpstr>
      <vt:lpstr>'AS 7150S'!input_version</vt:lpstr>
      <vt:lpstr>'AS 7160S'!input_version</vt:lpstr>
      <vt:lpstr>'AS 7314W'!input_version</vt:lpstr>
      <vt:lpstr>'AS 7316R'!input_version</vt:lpstr>
      <vt:lpstr>'SO 6140S'!input_version</vt:lpstr>
      <vt:lpstr>'SY 7213C'!input_version</vt:lpstr>
      <vt:lpstr>'SY 7521O'!input_version</vt:lpstr>
      <vt:lpstr>'SY 752xx'!input_version</vt:lpstr>
      <vt:lpstr>'TF 6221C'!input_version</vt:lpstr>
      <vt:lpstr>'TF 6233C'!input_version</vt:lpstr>
      <vt:lpstr>'TF 6241F'!input_version</vt:lpstr>
      <vt:lpstr>'TF 6265R'!input_version</vt:lpstr>
      <vt:lpstr>'TF 6268R'!input_version</vt:lpstr>
      <vt:lpstr>'TF 6402R'!input_version</vt:lpstr>
      <vt:lpstr>'TF 6403R'!input_version</vt:lpstr>
      <vt:lpstr>'TF 7113R'!input_version</vt:lpstr>
      <vt:lpstr>'TF 7123R'!input_version</vt:lpstr>
      <vt:lpstr>'TF 7133R'!input_version</vt:lpstr>
      <vt:lpstr>'TF 7502R'!input_version</vt:lpstr>
      <vt:lpstr>'AS 7130L'!instr_sign</vt:lpstr>
      <vt:lpstr>'AS 7310A'!instr_sign</vt:lpstr>
      <vt:lpstr>'AS 7314W'!instr_sign</vt:lpstr>
      <vt:lpstr>'AS 7316R'!instr_sign</vt:lpstr>
      <vt:lpstr>'SY 7522Y'!instr_sign</vt:lpstr>
      <vt:lpstr>'SY 752xx'!instr_sign</vt:lpstr>
      <vt:lpstr>'TF 5310Y'!instr_sign</vt:lpstr>
      <vt:lpstr>'TF 6265R'!instr_sign</vt:lpstr>
      <vt:lpstr>'TF 6268R'!instr_sign</vt:lpstr>
      <vt:lpstr>'TF 6402R'!instr_sign</vt:lpstr>
      <vt:lpstr>'TF 6403R'!instr_sign</vt:lpstr>
      <vt:lpstr>'TF 7113R'!instr_sign</vt:lpstr>
      <vt:lpstr>'TF 7123R'!instr_sign</vt:lpstr>
      <vt:lpstr>'TF 7133R'!instr_sign</vt:lpstr>
      <vt:lpstr>'TF 7502R'!instr_sign</vt:lpstr>
      <vt:lpstr>'AS 7130L'!instructor</vt:lpstr>
      <vt:lpstr>'AS 7310A'!instructor</vt:lpstr>
      <vt:lpstr>'AS 7314W'!instructor</vt:lpstr>
      <vt:lpstr>'AS 7316R'!instructor</vt:lpstr>
      <vt:lpstr>'SY 7522Y'!instructor</vt:lpstr>
      <vt:lpstr>'SY 752xx'!instructor</vt:lpstr>
      <vt:lpstr>'TF 5310Y'!instructor</vt:lpstr>
      <vt:lpstr>'TF 6265R'!instructor</vt:lpstr>
      <vt:lpstr>'TF 6268R'!instructor</vt:lpstr>
      <vt:lpstr>'TF 6402R'!instructor</vt:lpstr>
      <vt:lpstr>'TF 6403R'!instructor</vt:lpstr>
      <vt:lpstr>'TF 7113R'!instructor</vt:lpstr>
      <vt:lpstr>'TF 7123R'!instructor</vt:lpstr>
      <vt:lpstr>'TF 7133R'!instructor</vt:lpstr>
      <vt:lpstr>'TF 7502R'!instructor</vt:lpstr>
      <vt:lpstr>'AS 7140S FQ'!IP_sig</vt:lpstr>
      <vt:lpstr>'AS 7140S HQ'!IP_sig</vt:lpstr>
      <vt:lpstr>'AS 7150S'!IP_sig</vt:lpstr>
      <vt:lpstr>'AS 7160S'!IP_sig</vt:lpstr>
      <vt:lpstr>'AS 7316R'!IP_sig</vt:lpstr>
      <vt:lpstr>'SO 6140S'!IP_sig</vt:lpstr>
      <vt:lpstr>'SY 7213C'!IP_sig</vt:lpstr>
      <vt:lpstr>'SY 7521O'!IP_sig</vt:lpstr>
      <vt:lpstr>'TF 6221C'!IP_sig</vt:lpstr>
      <vt:lpstr>'TF 6233C'!IP_sig</vt:lpstr>
      <vt:lpstr>'TF 6241F'!IP_sig</vt:lpstr>
      <vt:lpstr>'TF 6265R'!IP_sig</vt:lpstr>
      <vt:lpstr>'TF 6268R'!IP_sig</vt:lpstr>
      <vt:lpstr>'TF 6402R'!IP_sig</vt:lpstr>
      <vt:lpstr>'TF 6403R'!IP_sig</vt:lpstr>
      <vt:lpstr>'TF 7113R'!IP_sig</vt:lpstr>
      <vt:lpstr>'TF 7123R'!IP_sig</vt:lpstr>
      <vt:lpstr>'TF 7133R'!IP_sig</vt:lpstr>
      <vt:lpstr>'AS 7140S FQ'!line_numbers</vt:lpstr>
      <vt:lpstr>'AS 7140S HQ'!line_numbers</vt:lpstr>
      <vt:lpstr>'AS 7150S'!line_numbers</vt:lpstr>
      <vt:lpstr>'AS 7160S'!line_numbers</vt:lpstr>
      <vt:lpstr>'AS 7314W'!line_numbers</vt:lpstr>
      <vt:lpstr>'AS 7316R'!line_numbers</vt:lpstr>
      <vt:lpstr>'SO 6140S'!line_numbers</vt:lpstr>
      <vt:lpstr>'SY 7213C'!line_numbers</vt:lpstr>
      <vt:lpstr>'SY 7521O'!line_numbers</vt:lpstr>
      <vt:lpstr>'SY 752xx'!line_numbers</vt:lpstr>
      <vt:lpstr>'TF 6221C'!line_numbers</vt:lpstr>
      <vt:lpstr>'TF 6233C'!line_numbers</vt:lpstr>
      <vt:lpstr>'TF 6241F'!line_numbers</vt:lpstr>
      <vt:lpstr>'TF 6265R'!line_numbers</vt:lpstr>
      <vt:lpstr>'TF 6268R'!line_numbers</vt:lpstr>
      <vt:lpstr>'TF 6402R'!line_numbers</vt:lpstr>
      <vt:lpstr>'TF 6403R'!line_numbers</vt:lpstr>
      <vt:lpstr>'TF 7113R'!line_numbers</vt:lpstr>
      <vt:lpstr>'TF 7123R'!line_numbers</vt:lpstr>
      <vt:lpstr>'TF 7133R'!line_numbers</vt:lpstr>
      <vt:lpstr>'TF 7502R'!line_numbers</vt:lpstr>
      <vt:lpstr>'AS 7140S FQ'!Locked</vt:lpstr>
      <vt:lpstr>'AS 7140S HQ'!Locked</vt:lpstr>
      <vt:lpstr>'AS 7150S'!Locked</vt:lpstr>
      <vt:lpstr>'AS 7160S'!Locked</vt:lpstr>
      <vt:lpstr>'AS 7314W'!Locked</vt:lpstr>
      <vt:lpstr>'AS 7316R'!Locked</vt:lpstr>
      <vt:lpstr>'SO 6140S'!Locked</vt:lpstr>
      <vt:lpstr>'SY 7213C'!Locked</vt:lpstr>
      <vt:lpstr>'SY 7521O'!Locked</vt:lpstr>
      <vt:lpstr>'SY 752xx'!Locked</vt:lpstr>
      <vt:lpstr>'TF 6221C'!Locked</vt:lpstr>
      <vt:lpstr>'TF 6233C'!Locked</vt:lpstr>
      <vt:lpstr>'TF 6241F'!Locked</vt:lpstr>
      <vt:lpstr>'TF 6265R'!Locked</vt:lpstr>
      <vt:lpstr>'TF 6268R'!Locked</vt:lpstr>
      <vt:lpstr>'TF 6402R'!Locked</vt:lpstr>
      <vt:lpstr>'TF 6403R'!Locked</vt:lpstr>
      <vt:lpstr>'TF 7113R'!Locked</vt:lpstr>
      <vt:lpstr>'TF 7123R'!Locked</vt:lpstr>
      <vt:lpstr>'TF 7133R'!Locked</vt:lpstr>
      <vt:lpstr>'TF 7502R'!Locked</vt:lpstr>
      <vt:lpstr>'AS 7140S FQ'!Made</vt:lpstr>
      <vt:lpstr>'AS 7140S HQ'!Made</vt:lpstr>
      <vt:lpstr>'AS 7150S'!Made</vt:lpstr>
      <vt:lpstr>'AS 7160S'!Made</vt:lpstr>
      <vt:lpstr>'AS 7314W'!Made</vt:lpstr>
      <vt:lpstr>'AS 7316R'!Made</vt:lpstr>
      <vt:lpstr>'SO 6140S'!Made</vt:lpstr>
      <vt:lpstr>'SY 7213C'!Made</vt:lpstr>
      <vt:lpstr>'SY 7521O'!Made</vt:lpstr>
      <vt:lpstr>'SY 752xx'!Made</vt:lpstr>
      <vt:lpstr>'TF 6221C'!Made</vt:lpstr>
      <vt:lpstr>'TF 6233C'!Made</vt:lpstr>
      <vt:lpstr>'TF 6241F'!Made</vt:lpstr>
      <vt:lpstr>'TF 6265R'!Made</vt:lpstr>
      <vt:lpstr>'TF 6268R'!Made</vt:lpstr>
      <vt:lpstr>'TF 6402R'!Made</vt:lpstr>
      <vt:lpstr>'TF 6403R'!Made</vt:lpstr>
      <vt:lpstr>'TF 7113R'!Made</vt:lpstr>
      <vt:lpstr>'TF 7123R'!Made</vt:lpstr>
      <vt:lpstr>'TF 7133R'!Made</vt:lpstr>
      <vt:lpstr>'TF 7502R'!Made</vt:lpstr>
      <vt:lpstr>'AS 7140S FQ'!mins</vt:lpstr>
      <vt:lpstr>'AS 7140S HQ'!mins</vt:lpstr>
      <vt:lpstr>'AS 7150S'!mins</vt:lpstr>
      <vt:lpstr>'AS 7160S'!mins</vt:lpstr>
      <vt:lpstr>'AS 7314W'!mins</vt:lpstr>
      <vt:lpstr>'AS 7316R'!mins</vt:lpstr>
      <vt:lpstr>'SO 6140S'!mins</vt:lpstr>
      <vt:lpstr>'SY 7213C'!mins</vt:lpstr>
      <vt:lpstr>'SY 7521O'!mins</vt:lpstr>
      <vt:lpstr>'SY 752xx'!mins</vt:lpstr>
      <vt:lpstr>'TF 6221C'!mins</vt:lpstr>
      <vt:lpstr>'TF 6233C'!mins</vt:lpstr>
      <vt:lpstr>'TF 6241F'!mins</vt:lpstr>
      <vt:lpstr>'TF 6265R'!mins</vt:lpstr>
      <vt:lpstr>'TF 6268R'!mins</vt:lpstr>
      <vt:lpstr>'TF 6402R'!mins</vt:lpstr>
      <vt:lpstr>'TF 6403R'!mins</vt:lpstr>
      <vt:lpstr>'TF 7113R'!mins</vt:lpstr>
      <vt:lpstr>'TF 7123R'!mins</vt:lpstr>
      <vt:lpstr>'TF 7133R'!mins</vt:lpstr>
      <vt:lpstr>'TF 7502R'!mins</vt:lpstr>
      <vt:lpstr>'AS 7130L'!name</vt:lpstr>
      <vt:lpstr>'AS 7310A'!name</vt:lpstr>
      <vt:lpstr>'AS 7314W'!name</vt:lpstr>
      <vt:lpstr>'SY 7522Y'!name</vt:lpstr>
      <vt:lpstr>'SY 752xx'!name</vt:lpstr>
      <vt:lpstr>'TF 5310Y'!name</vt:lpstr>
      <vt:lpstr>'TF 6265R'!name</vt:lpstr>
      <vt:lpstr>'TF 6268R'!name</vt:lpstr>
      <vt:lpstr>'TF 6402R'!name</vt:lpstr>
      <vt:lpstr>'TF 6403R'!name</vt:lpstr>
      <vt:lpstr>'TF 7113R'!name</vt:lpstr>
      <vt:lpstr>'TF 7123R'!name</vt:lpstr>
      <vt:lpstr>'TF 7133R'!name</vt:lpstr>
      <vt:lpstr>'TF 7502R'!name</vt:lpstr>
      <vt:lpstr>name</vt:lpstr>
      <vt:lpstr>'AS 7140S FQ'!numreq</vt:lpstr>
      <vt:lpstr>'AS 7140S HQ'!numreq</vt:lpstr>
      <vt:lpstr>'AS 7150S'!numreq</vt:lpstr>
      <vt:lpstr>'AS 7160S'!numreq</vt:lpstr>
      <vt:lpstr>'AS 7314W'!numreq</vt:lpstr>
      <vt:lpstr>'AS 7316R'!numreq</vt:lpstr>
      <vt:lpstr>'SO 6140S'!numreq</vt:lpstr>
      <vt:lpstr>'SY 7213C'!numreq</vt:lpstr>
      <vt:lpstr>'SY 7521O'!numreq</vt:lpstr>
      <vt:lpstr>'SY 752xx'!numreq</vt:lpstr>
      <vt:lpstr>'TF 6221C'!numreq</vt:lpstr>
      <vt:lpstr>'TF 6233C'!numreq</vt:lpstr>
      <vt:lpstr>'TF 6241F'!numreq</vt:lpstr>
      <vt:lpstr>'TF 6265R'!numreq</vt:lpstr>
      <vt:lpstr>'TF 6268R'!numreq</vt:lpstr>
      <vt:lpstr>'TF 6402R'!numreq</vt:lpstr>
      <vt:lpstr>'TF 6403R'!numreq</vt:lpstr>
      <vt:lpstr>'TF 7113R'!numreq</vt:lpstr>
      <vt:lpstr>'TF 7123R'!numreq</vt:lpstr>
      <vt:lpstr>'TF 7133R'!numreq</vt:lpstr>
      <vt:lpstr>'TF 7502R'!numreq</vt:lpstr>
      <vt:lpstr>'AS 7130L'!Print_Area</vt:lpstr>
      <vt:lpstr>'AS 7140S FQ'!Print_Area</vt:lpstr>
      <vt:lpstr>'AS 7140S HQ'!Print_Area</vt:lpstr>
      <vt:lpstr>'AS 7150S'!Print_Area</vt:lpstr>
      <vt:lpstr>'AS 7160S'!Print_Area</vt:lpstr>
      <vt:lpstr>'AS 7314W'!Print_Area</vt:lpstr>
      <vt:lpstr>'AS 7316R'!Print_Area</vt:lpstr>
      <vt:lpstr>'SO 6140S'!Print_Area</vt:lpstr>
      <vt:lpstr>'SY 7213C'!Print_Area</vt:lpstr>
      <vt:lpstr>'SY 7521O'!Print_Area</vt:lpstr>
      <vt:lpstr>'SY 752xx'!Print_Area</vt:lpstr>
      <vt:lpstr>'TF 6221C'!Print_Area</vt:lpstr>
      <vt:lpstr>'TF 6233C'!Print_Area</vt:lpstr>
      <vt:lpstr>'TF 6241F'!Print_Area</vt:lpstr>
      <vt:lpstr>'TF 6265R'!Print_Area</vt:lpstr>
      <vt:lpstr>'TF 6268R'!Print_Area</vt:lpstr>
      <vt:lpstr>'TF 6402R'!Print_Area</vt:lpstr>
      <vt:lpstr>'TF 6403R'!Print_Area</vt:lpstr>
      <vt:lpstr>'TF 7113R'!Print_Area</vt:lpstr>
      <vt:lpstr>'TF 7123R'!Print_Area</vt:lpstr>
      <vt:lpstr>'TF 7133R'!Print_Area</vt:lpstr>
      <vt:lpstr>'TF 7502R'!Print_Area</vt:lpstr>
      <vt:lpstr>'AS 7140S FQ'!ready_for_sig</vt:lpstr>
      <vt:lpstr>'AS 7140S HQ'!ready_for_sig</vt:lpstr>
      <vt:lpstr>'AS 7150S'!ready_for_sig</vt:lpstr>
      <vt:lpstr>'AS 7160S'!ready_for_sig</vt:lpstr>
      <vt:lpstr>'AS 7314W'!ready_for_sig</vt:lpstr>
      <vt:lpstr>'AS 7316R'!ready_for_sig</vt:lpstr>
      <vt:lpstr>'SO 6140S'!ready_for_sig</vt:lpstr>
      <vt:lpstr>'SY 7213C'!ready_for_sig</vt:lpstr>
      <vt:lpstr>'SY 7521O'!ready_for_sig</vt:lpstr>
      <vt:lpstr>'SY 752xx'!ready_for_sig</vt:lpstr>
      <vt:lpstr>'TF 6221C'!ready_for_sig</vt:lpstr>
      <vt:lpstr>'TF 6233C'!ready_for_sig</vt:lpstr>
      <vt:lpstr>'TF 6241F'!ready_for_sig</vt:lpstr>
      <vt:lpstr>'TF 6265R'!ready_for_sig</vt:lpstr>
      <vt:lpstr>'TF 6268R'!ready_for_sig</vt:lpstr>
      <vt:lpstr>'TF 6402R'!ready_for_sig</vt:lpstr>
      <vt:lpstr>'TF 6403R'!ready_for_sig</vt:lpstr>
      <vt:lpstr>'TF 7113R'!ready_for_sig</vt:lpstr>
      <vt:lpstr>'TF 7123R'!ready_for_sig</vt:lpstr>
      <vt:lpstr>'TF 7133R'!ready_for_sig</vt:lpstr>
      <vt:lpstr>'TF 7502R'!ready_for_sig</vt:lpstr>
      <vt:lpstr>'AS 7130L'!report_grade</vt:lpstr>
      <vt:lpstr>'AS 7310A'!report_grade</vt:lpstr>
      <vt:lpstr>'AS 7314W'!report_grade</vt:lpstr>
      <vt:lpstr>'AS 7316R'!report_grade</vt:lpstr>
      <vt:lpstr>'SY 7522Y'!report_grade</vt:lpstr>
      <vt:lpstr>'SY 752xx'!report_grade</vt:lpstr>
      <vt:lpstr>'TF 5310Y'!report_grade</vt:lpstr>
      <vt:lpstr>'TF 6265R'!report_grade</vt:lpstr>
      <vt:lpstr>'TF 6268R'!report_grade</vt:lpstr>
      <vt:lpstr>'TF 6402R'!report_grade</vt:lpstr>
      <vt:lpstr>'TF 6403R'!report_grade</vt:lpstr>
      <vt:lpstr>'TF 7113R'!report_grade</vt:lpstr>
      <vt:lpstr>'TF 7123R'!report_grade</vt:lpstr>
      <vt:lpstr>'TF 7133R'!report_grade</vt:lpstr>
      <vt:lpstr>'TF 7502R'!report_grade</vt:lpstr>
      <vt:lpstr>'AS 7140S FQ'!scores</vt:lpstr>
      <vt:lpstr>'AS 7140S HQ'!scores</vt:lpstr>
      <vt:lpstr>'AS 7150S'!scores</vt:lpstr>
      <vt:lpstr>'AS 7160S'!scores</vt:lpstr>
      <vt:lpstr>'AS 7314W'!scores</vt:lpstr>
      <vt:lpstr>'AS 7316R'!scores</vt:lpstr>
      <vt:lpstr>'SO 6140S'!scores</vt:lpstr>
      <vt:lpstr>'SY 7213C'!scores</vt:lpstr>
      <vt:lpstr>'SY 7521O'!scores</vt:lpstr>
      <vt:lpstr>'SY 752xx'!scores</vt:lpstr>
      <vt:lpstr>'TF 6221C'!scores</vt:lpstr>
      <vt:lpstr>'TF 6233C'!scores</vt:lpstr>
      <vt:lpstr>'TF 6241F'!scores</vt:lpstr>
      <vt:lpstr>'TF 6265R'!scores</vt:lpstr>
      <vt:lpstr>'TF 6268R'!scores</vt:lpstr>
      <vt:lpstr>'TF 6402R'!scores</vt:lpstr>
      <vt:lpstr>'TF 6403R'!scores</vt:lpstr>
      <vt:lpstr>'TF 7113R'!scores</vt:lpstr>
      <vt:lpstr>'TF 7123R'!scores</vt:lpstr>
      <vt:lpstr>'TF 7133R'!scores</vt:lpstr>
      <vt:lpstr>'TF 7502R'!scores</vt:lpstr>
      <vt:lpstr>'AS 7140S FQ'!stud_sig</vt:lpstr>
      <vt:lpstr>'AS 7140S HQ'!stud_sig</vt:lpstr>
      <vt:lpstr>'AS 7150S'!stud_sig</vt:lpstr>
      <vt:lpstr>'AS 7160S'!stud_sig</vt:lpstr>
      <vt:lpstr>'AS 7314W'!stud_sig</vt:lpstr>
      <vt:lpstr>'AS 7316R'!stud_sig</vt:lpstr>
      <vt:lpstr>'SO 6140S'!stud_sig</vt:lpstr>
      <vt:lpstr>'SY 7213C'!stud_sig</vt:lpstr>
      <vt:lpstr>'SY 7521O'!stud_sig</vt:lpstr>
      <vt:lpstr>'SY 752xx'!stud_sig</vt:lpstr>
      <vt:lpstr>'TF 6221C'!stud_sig</vt:lpstr>
      <vt:lpstr>'TF 6233C'!stud_sig</vt:lpstr>
      <vt:lpstr>'TF 6241F'!stud_sig</vt:lpstr>
      <vt:lpstr>'TF 6265R'!stud_sig</vt:lpstr>
      <vt:lpstr>'TF 6268R'!stud_sig</vt:lpstr>
      <vt:lpstr>'TF 6402R'!stud_sig</vt:lpstr>
      <vt:lpstr>'TF 6403R'!stud_sig</vt:lpstr>
      <vt:lpstr>'TF 7113R'!stud_sig</vt:lpstr>
      <vt:lpstr>'TF 7123R'!stud_sig</vt:lpstr>
      <vt:lpstr>'TF 7133R'!stud_sig</vt:lpstr>
      <vt:lpstr>'TF 7502R'!stud_sig</vt:lpstr>
      <vt:lpstr>'AS 7140S FQ'!ulstart</vt:lpstr>
      <vt:lpstr>'AS 7140S HQ'!ulstart</vt:lpstr>
      <vt:lpstr>'AS 7150S'!ulstart</vt:lpstr>
      <vt:lpstr>'AS 7160S'!ulstart</vt:lpstr>
      <vt:lpstr>'AS 7314W'!ulstart</vt:lpstr>
      <vt:lpstr>'AS 7316R'!ulstart</vt:lpstr>
      <vt:lpstr>'SO 6140S'!ulstart</vt:lpstr>
      <vt:lpstr>'SY 7213C'!ulstart</vt:lpstr>
      <vt:lpstr>'SY 7521O'!ulstart</vt:lpstr>
      <vt:lpstr>'SY 752xx'!ulstart</vt:lpstr>
      <vt:lpstr>'TF 6221C'!ulstart</vt:lpstr>
      <vt:lpstr>'TF 6233C'!ulstart</vt:lpstr>
      <vt:lpstr>'TF 6241F'!ulstart</vt:lpstr>
      <vt:lpstr>'TF 6265R'!ulstart</vt:lpstr>
      <vt:lpstr>'TF 6268R'!ulstart</vt:lpstr>
      <vt:lpstr>'TF 6402R'!ulstart</vt:lpstr>
      <vt:lpstr>'TF 6403R'!ulstart</vt:lpstr>
      <vt:lpstr>'TF 7113R'!ulstart</vt:lpstr>
      <vt:lpstr>'TF 7123R'!ulstart</vt:lpstr>
      <vt:lpstr>'TF 7133R'!ulstart</vt:lpstr>
      <vt:lpstr>'TF 7502R'!ulstart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WOLFORD, ELIZABETH R CTR USAF AFMC USAF TPS/JT4</dc:creator>
  <cp:lastModifiedBy>WALTER, SCOTT D CTR USSF AFMC USAF TPS/ABSI/SOOF Opera</cp:lastModifiedBy>
  <dcterms:created xsi:type="dcterms:W3CDTF">2019-03-27T17:32:43Z</dcterms:created>
  <dcterms:modified xsi:type="dcterms:W3CDTF">2026-06-03T21:02:51Z</dcterms:modified>
</cp:coreProperties>
</file>