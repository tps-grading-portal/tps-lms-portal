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saf-my.dps.mil/personal/jacob_duede_us_af_mil/Documents/My Stuff/Technical Writing/"/>
    </mc:Choice>
  </mc:AlternateContent>
  <xr:revisionPtr revIDLastSave="3" documentId="8_{EA023431-BDEA-4AD3-96A5-FC279E1EC59D}" xr6:coauthVersionLast="47" xr6:coauthVersionMax="47" xr10:uidLastSave="{42D0B385-4D1C-4BE5-AECF-7E7E86E79769}"/>
  <bookViews>
    <workbookView xWindow="-120" yWindow="90" windowWidth="29040" windowHeight="15510" xr2:uid="{EB62FC8D-5E04-4C38-BB0A-5B650CAC8426}"/>
  </bookViews>
  <sheets>
    <sheet name="Gradesheet" sheetId="1" r:id="rId1"/>
  </sheets>
  <definedNames>
    <definedName name="amnshp_pct" localSheetId="0">Gradesheet!$B$13</definedName>
    <definedName name="c_no_grade">Gradesheet!$CO$80</definedName>
    <definedName name="CandS">Gradesheet!$AV$84:$AW$115</definedName>
    <definedName name="comment_mand">Gradesheet!$CS$84:$CS$115</definedName>
    <definedName name="comments" localSheetId="0">Gradesheet!$AX$84</definedName>
    <definedName name="CrewSoloQual" localSheetId="0">Gradesheet!$AR$82</definedName>
    <definedName name="crit_input_data" localSheetId="0">Gradesheet!$R$17:$AD$50</definedName>
    <definedName name="D_and_count">Gradesheet!$CQ$80</definedName>
    <definedName name="desds">Gradesheet!$CZ$84:$CZ$115</definedName>
    <definedName name="DO_comments">Gradesheet!$DA$110</definedName>
    <definedName name="DO_sig">Gradesheet!$BA$117</definedName>
    <definedName name="ED_comments">Gradesheet!$DA$115</definedName>
    <definedName name="ED_sig">Gradesheet!$BC$117</definedName>
    <definedName name="events" localSheetId="0">Gradesheet!$A$65:$A$69</definedName>
    <definedName name="exam_event" localSheetId="0">Gradesheet!$B$12</definedName>
    <definedName name="Flight?" localSheetId="0">Gradesheet!$CG$80</definedName>
    <definedName name="Flight_CRoom_Sim" localSheetId="0">Gradesheet!$B$60</definedName>
    <definedName name="g_no_count">Gradesheet!$CP$80</definedName>
    <definedName name="grade">Gradesheet!$BC$82</definedName>
    <definedName name="graded_aca_events" localSheetId="0">Gradesheet!$BY$117</definedName>
    <definedName name="graded_amn_events" localSheetId="0">Gradesheet!$BZ$117</definedName>
    <definedName name="GS_Logic">Gradesheet!$T$52</definedName>
    <definedName name="hdr_acft" localSheetId="0">Gradesheet!$AY$82</definedName>
    <definedName name="hdr_class" localSheetId="0">Gradesheet!$BA$80</definedName>
    <definedName name="hdr_date" localSheetId="0">Gradesheet!$BC$80</definedName>
    <definedName name="hdr_instr" localSheetId="0">Gradesheet!$AT$82</definedName>
    <definedName name="hdr_stud" localSheetId="0">Gradesheet!$AN$82</definedName>
    <definedName name="hdr_time" localSheetId="0">Gradesheet!$BA$82</definedName>
    <definedName name="input_data">Gradesheet!$BF$84:$BR$115</definedName>
    <definedName name="input_max_amnshp">Gradesheet!$CF$82</definedName>
    <definedName name="input_maxb" localSheetId="0">Gradesheet!$CH$80</definedName>
    <definedName name="input_rubric">Gradesheet!$DA$84:$DB$90</definedName>
    <definedName name="input_sc2g">Gradesheet!$CD$126:$CH$134</definedName>
    <definedName name="input_studs">Gradesheet!$AT$80</definedName>
    <definedName name="input_test" localSheetId="0">Gradesheet!$BG$119</definedName>
    <definedName name="input_title">Gradesheet!$AT$79</definedName>
    <definedName name="input_type">Gradesheet!$AN$80</definedName>
    <definedName name="input_version">Gradesheet!$AX$118</definedName>
    <definedName name="IP_sig">Gradesheet!$AXI$117</definedName>
    <definedName name="levels">Gradesheet!$E$65:$E$67</definedName>
    <definedName name="line_numbers">Gradesheet!$AN$84:$AN$115</definedName>
    <definedName name="Locked">Gradesheet!$BG$122</definedName>
    <definedName name="Made">Gradesheet!$BG$117</definedName>
    <definedName name="mins">Gradesheet!$CY$84:$CY$115</definedName>
    <definedName name="numreq">Gradesheet!$CX$84:$CX$115</definedName>
    <definedName name="Pilot">Gradesheet!$H$66:$H$69</definedName>
    <definedName name="_xlnm.Print_Area">Gradesheet!$AN$79:$BD$118</definedName>
    <definedName name="ready_for_sig">Gradesheet!$BG$125</definedName>
    <definedName name="scores">Gradesheet!$AW$84:$AW$115</definedName>
    <definedName name="stud_sig">Gradesheet!$AY$117</definedName>
    <definedName name="student" localSheetId="0">Gradesheet!$H$65:$H$70</definedName>
    <definedName name="studs" localSheetId="0">Gradesheet!$B$62</definedName>
    <definedName name="task_options" localSheetId="0">Gradesheet!$A$53:$A$58</definedName>
    <definedName name="task_prefills" localSheetId="0">Gradesheet!$D$53:$J$58</definedName>
    <definedName name="task_type">Gradesheet!$C$19:$C$50</definedName>
    <definedName name="title" localSheetId="0">Gradesheet!$B$5</definedName>
    <definedName name="ulstart">Gradesheet!$AV$84</definedName>
    <definedName name="Z_02167FE6_14A1_41F9_8E10_ABA62C3090BE_.wvu.Cols" localSheetId="0" hidden="1">Gradesheet!$P:$AE,Gradesheet!$BF:$CZ</definedName>
    <definedName name="Z_02167FE6_14A1_41F9_8E10_ABA62C3090BE_.wvu.Rows" localSheetId="0" hidden="1">Gradesheet!$17:$18,Gradesheet!$51:$77</definedName>
    <definedName name="Z_260A4A42_DC1D_4D31_BD57_1656952E0E95_.wvu.Cols" localSheetId="0" hidden="1">Gradesheet!$P:$AE,Gradesheet!$BF:$CZ</definedName>
    <definedName name="Z_260A4A42_DC1D_4D31_BD57_1656952E0E95_.wvu.Rows" localSheetId="0" hidden="1">Gradesheet!$17:$18,Gradesheet!$51:$77</definedName>
  </definedNames>
  <calcPr calcId="191029"/>
  <customWorkbookViews>
    <customWorkbookView name="Gradesheet" guid="{260A4A42-DC1D-4D31-BD57-1656952E0E95}" maximized="1" xWindow="1912" yWindow="6" windowWidth="1936" windowHeight="1034" activeSheetId="1" showFormulaBar="0"/>
    <customWorkbookView name="Builder" guid="{02167FE6-14A1-41F9-8E10-ABA62C3090BE}" maximized="1" xWindow="1912" yWindow="6" windowWidth="1936" windowHeight="1034" activeSheetId="1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6" i="1" l="1"/>
  <c r="AA46" i="1" s="1"/>
  <c r="Z46" i="1"/>
  <c r="Y47" i="1"/>
  <c r="AA47" i="1" s="1"/>
  <c r="P47" i="1" s="1"/>
  <c r="Z47" i="1"/>
  <c r="Y48" i="1"/>
  <c r="N48" i="1" s="1"/>
  <c r="Z48" i="1"/>
  <c r="Y49" i="1"/>
  <c r="AE49" i="1" s="1"/>
  <c r="Z49" i="1"/>
  <c r="Y50" i="1"/>
  <c r="AA50" i="1" s="1"/>
  <c r="P50" i="1" s="1"/>
  <c r="Z50" i="1"/>
  <c r="S46" i="1"/>
  <c r="S47" i="1"/>
  <c r="S48" i="1"/>
  <c r="S49" i="1"/>
  <c r="S50" i="1"/>
  <c r="H46" i="1"/>
  <c r="H47" i="1"/>
  <c r="H48" i="1"/>
  <c r="H49" i="1"/>
  <c r="H50" i="1"/>
  <c r="B62" i="1"/>
  <c r="AT80" i="1" s="1"/>
  <c r="CH134" i="1"/>
  <c r="DG105" i="1" s="1"/>
  <c r="CG134" i="1"/>
  <c r="DF105" i="1" s="1"/>
  <c r="CF134" i="1"/>
  <c r="DE105" i="1" s="1"/>
  <c r="CE134" i="1"/>
  <c r="DD105" i="1" s="1"/>
  <c r="CD134" i="1"/>
  <c r="DC105" i="1" s="1"/>
  <c r="CH133" i="1"/>
  <c r="DG104" i="1" s="1"/>
  <c r="CG133" i="1"/>
  <c r="DF104" i="1" s="1"/>
  <c r="CF133" i="1"/>
  <c r="DE104" i="1" s="1"/>
  <c r="CE133" i="1"/>
  <c r="DD104" i="1" s="1"/>
  <c r="CD133" i="1"/>
  <c r="DC104" i="1" s="1"/>
  <c r="CH132" i="1"/>
  <c r="DG103" i="1" s="1"/>
  <c r="CG132" i="1"/>
  <c r="DF103" i="1" s="1"/>
  <c r="CF132" i="1"/>
  <c r="DE103" i="1" s="1"/>
  <c r="CE132" i="1"/>
  <c r="DD103" i="1" s="1"/>
  <c r="CD132" i="1"/>
  <c r="DC103" i="1" s="1"/>
  <c r="CH131" i="1"/>
  <c r="DG102" i="1" s="1"/>
  <c r="CG131" i="1"/>
  <c r="DF102" i="1" s="1"/>
  <c r="CF131" i="1"/>
  <c r="DE102" i="1" s="1"/>
  <c r="CE131" i="1"/>
  <c r="DD102" i="1" s="1"/>
  <c r="CD131" i="1"/>
  <c r="DC102" i="1" s="1"/>
  <c r="CH130" i="1"/>
  <c r="DG101" i="1" s="1"/>
  <c r="CG130" i="1"/>
  <c r="DF101" i="1" s="1"/>
  <c r="CF130" i="1"/>
  <c r="DE101" i="1" s="1"/>
  <c r="CE130" i="1"/>
  <c r="DD101" i="1" s="1"/>
  <c r="CD130" i="1"/>
  <c r="DC101" i="1" s="1"/>
  <c r="CH129" i="1"/>
  <c r="DG100" i="1" s="1"/>
  <c r="CG129" i="1"/>
  <c r="DF100" i="1" s="1"/>
  <c r="CF129" i="1"/>
  <c r="DE100" i="1" s="1"/>
  <c r="CE129" i="1"/>
  <c r="DD100" i="1" s="1"/>
  <c r="CD129" i="1"/>
  <c r="DC100" i="1" s="1"/>
  <c r="CH128" i="1"/>
  <c r="DG99" i="1" s="1"/>
  <c r="CG128" i="1"/>
  <c r="DF99" i="1" s="1"/>
  <c r="CF128" i="1"/>
  <c r="DE99" i="1" s="1"/>
  <c r="CE128" i="1"/>
  <c r="DD99" i="1" s="1"/>
  <c r="CD128" i="1"/>
  <c r="DC99" i="1" s="1"/>
  <c r="CH127" i="1"/>
  <c r="DG98" i="1" s="1"/>
  <c r="CG127" i="1"/>
  <c r="DF98" i="1" s="1"/>
  <c r="CF127" i="1"/>
  <c r="DE98" i="1" s="1"/>
  <c r="CE127" i="1"/>
  <c r="DD98" i="1" s="1"/>
  <c r="CD127" i="1"/>
  <c r="DC98" i="1" s="1"/>
  <c r="CH126" i="1"/>
  <c r="DG97" i="1" s="1"/>
  <c r="CG126" i="1"/>
  <c r="DF97" i="1" s="1"/>
  <c r="CF126" i="1"/>
  <c r="DE97" i="1" s="1"/>
  <c r="CE126" i="1"/>
  <c r="DD97" i="1" s="1"/>
  <c r="CD126" i="1"/>
  <c r="DC97" i="1" s="1"/>
  <c r="CQ119" i="1"/>
  <c r="BG119" i="1"/>
  <c r="AN80" i="1" s="1"/>
  <c r="AX118" i="1"/>
  <c r="BX115" i="1"/>
  <c r="BX114" i="1"/>
  <c r="BX113" i="1"/>
  <c r="BX112" i="1"/>
  <c r="BX111" i="1"/>
  <c r="BX110" i="1"/>
  <c r="BX109" i="1"/>
  <c r="BX108" i="1"/>
  <c r="BX107" i="1"/>
  <c r="BX106" i="1"/>
  <c r="BX105" i="1"/>
  <c r="BX104" i="1"/>
  <c r="BX103" i="1"/>
  <c r="BX102" i="1"/>
  <c r="BX101" i="1"/>
  <c r="BX100" i="1"/>
  <c r="BX99" i="1"/>
  <c r="BX98" i="1"/>
  <c r="BX97" i="1"/>
  <c r="BX96" i="1"/>
  <c r="BX95" i="1"/>
  <c r="BX94" i="1"/>
  <c r="BX93" i="1"/>
  <c r="BX92" i="1"/>
  <c r="BX91" i="1"/>
  <c r="DB90" i="1"/>
  <c r="DA90" i="1"/>
  <c r="BX90" i="1"/>
  <c r="BX89" i="1"/>
  <c r="BX88" i="1"/>
  <c r="BX87" i="1"/>
  <c r="BX86" i="1"/>
  <c r="BX85" i="1"/>
  <c r="DA84" i="1"/>
  <c r="BX84" i="1"/>
  <c r="BV84" i="1"/>
  <c r="CF82" i="1"/>
  <c r="CH80" i="1"/>
  <c r="CH82" i="1" s="1"/>
  <c r="CG80" i="1"/>
  <c r="AT79" i="1"/>
  <c r="B60" i="1"/>
  <c r="A58" i="1" s="1"/>
  <c r="AE51" i="1"/>
  <c r="Z45" i="1"/>
  <c r="Y45" i="1"/>
  <c r="J45" i="1" s="1"/>
  <c r="S45" i="1"/>
  <c r="H45" i="1"/>
  <c r="Z44" i="1"/>
  <c r="Y44" i="1"/>
  <c r="AE44" i="1" s="1"/>
  <c r="S44" i="1"/>
  <c r="H44" i="1"/>
  <c r="Z43" i="1"/>
  <c r="Y43" i="1"/>
  <c r="N43" i="1" s="1"/>
  <c r="S43" i="1"/>
  <c r="H43" i="1"/>
  <c r="Z42" i="1"/>
  <c r="Y42" i="1"/>
  <c r="L42" i="1" s="1"/>
  <c r="S42" i="1"/>
  <c r="H42" i="1"/>
  <c r="Z41" i="1"/>
  <c r="Y41" i="1"/>
  <c r="AA41" i="1" s="1"/>
  <c r="P41" i="1" s="1"/>
  <c r="S41" i="1"/>
  <c r="H41" i="1"/>
  <c r="Z40" i="1"/>
  <c r="Y40" i="1"/>
  <c r="M40" i="1" s="1"/>
  <c r="S40" i="1"/>
  <c r="H40" i="1"/>
  <c r="Z39" i="1"/>
  <c r="Y39" i="1"/>
  <c r="AA39" i="1" s="1"/>
  <c r="P39" i="1" s="1"/>
  <c r="S39" i="1"/>
  <c r="H39" i="1"/>
  <c r="Z38" i="1"/>
  <c r="Y38" i="1"/>
  <c r="L38" i="1" s="1"/>
  <c r="S38" i="1"/>
  <c r="H38" i="1"/>
  <c r="Z37" i="1"/>
  <c r="Y37" i="1"/>
  <c r="K37" i="1" s="1"/>
  <c r="S37" i="1"/>
  <c r="H37" i="1"/>
  <c r="Z36" i="1"/>
  <c r="Y36" i="1"/>
  <c r="M36" i="1" s="1"/>
  <c r="S36" i="1"/>
  <c r="H36" i="1"/>
  <c r="Z35" i="1"/>
  <c r="Y35" i="1"/>
  <c r="S35" i="1"/>
  <c r="H35" i="1"/>
  <c r="Z34" i="1"/>
  <c r="Y34" i="1"/>
  <c r="J34" i="1" s="1"/>
  <c r="S34" i="1"/>
  <c r="H34" i="1"/>
  <c r="Z33" i="1"/>
  <c r="Y33" i="1"/>
  <c r="L33" i="1" s="1"/>
  <c r="S33" i="1"/>
  <c r="H33" i="1"/>
  <c r="Z32" i="1"/>
  <c r="Y32" i="1"/>
  <c r="M32" i="1" s="1"/>
  <c r="S32" i="1"/>
  <c r="H32" i="1"/>
  <c r="Z31" i="1"/>
  <c r="Y31" i="1"/>
  <c r="AA31" i="1" s="1"/>
  <c r="P31" i="1" s="1"/>
  <c r="S31" i="1"/>
  <c r="H31" i="1"/>
  <c r="Z30" i="1"/>
  <c r="Y30" i="1"/>
  <c r="N30" i="1" s="1"/>
  <c r="S30" i="1"/>
  <c r="H30" i="1"/>
  <c r="Z29" i="1"/>
  <c r="Y29" i="1"/>
  <c r="S29" i="1"/>
  <c r="H29" i="1"/>
  <c r="Z28" i="1"/>
  <c r="Y28" i="1"/>
  <c r="M28" i="1" s="1"/>
  <c r="S28" i="1"/>
  <c r="H28" i="1"/>
  <c r="Z27" i="1"/>
  <c r="Y27" i="1"/>
  <c r="J27" i="1" s="1"/>
  <c r="S27" i="1"/>
  <c r="H27" i="1"/>
  <c r="Z26" i="1"/>
  <c r="Y26" i="1"/>
  <c r="AA26" i="1" s="1"/>
  <c r="S26" i="1"/>
  <c r="H26" i="1"/>
  <c r="Z25" i="1"/>
  <c r="Y25" i="1"/>
  <c r="M25" i="1" s="1"/>
  <c r="S25" i="1"/>
  <c r="H25" i="1"/>
  <c r="Z24" i="1"/>
  <c r="Y24" i="1"/>
  <c r="M24" i="1" s="1"/>
  <c r="S24" i="1"/>
  <c r="H24" i="1"/>
  <c r="Z23" i="1"/>
  <c r="Y23" i="1"/>
  <c r="N23" i="1" s="1"/>
  <c r="S23" i="1"/>
  <c r="H23" i="1"/>
  <c r="Z22" i="1"/>
  <c r="Y22" i="1"/>
  <c r="AE22" i="1" s="1"/>
  <c r="S22" i="1"/>
  <c r="H22" i="1"/>
  <c r="Z21" i="1"/>
  <c r="Y21" i="1"/>
  <c r="AE21" i="1" s="1"/>
  <c r="S21" i="1"/>
  <c r="H21" i="1"/>
  <c r="Z20" i="1"/>
  <c r="Y20" i="1"/>
  <c r="AA20" i="1" s="1"/>
  <c r="S20" i="1"/>
  <c r="H20" i="1"/>
  <c r="Z19" i="1"/>
  <c r="Y19" i="1"/>
  <c r="AE19" i="1" s="1"/>
  <c r="S19" i="1"/>
  <c r="H19" i="1"/>
  <c r="AC18" i="1"/>
  <c r="C18" i="1"/>
  <c r="AA18" i="1" s="1"/>
  <c r="B18" i="1"/>
  <c r="AE18" i="1" s="1"/>
  <c r="AD18" i="1" s="1"/>
  <c r="A18" i="1"/>
  <c r="AC17" i="1"/>
  <c r="P17" i="1"/>
  <c r="R17" i="1" s="1"/>
  <c r="C17" i="1"/>
  <c r="AA17" i="1" s="1"/>
  <c r="B17" i="1"/>
  <c r="AE17" i="1" s="1"/>
  <c r="V17" i="1" s="1"/>
  <c r="A17" i="1"/>
  <c r="T15" i="1"/>
  <c r="H8" i="1"/>
  <c r="DB89" i="1" s="1"/>
  <c r="G8" i="1"/>
  <c r="DA89" i="1" s="1"/>
  <c r="H7" i="1"/>
  <c r="DB88" i="1" s="1"/>
  <c r="G7" i="1"/>
  <c r="DA88" i="1" s="1"/>
  <c r="H6" i="1"/>
  <c r="DB87" i="1" s="1"/>
  <c r="G6" i="1"/>
  <c r="DA87" i="1" s="1"/>
  <c r="H5" i="1"/>
  <c r="DB86" i="1" s="1"/>
  <c r="G5" i="1"/>
  <c r="DA86" i="1" s="1"/>
  <c r="H4" i="1"/>
  <c r="DB85" i="1" s="1"/>
  <c r="G4" i="1"/>
  <c r="DA85" i="1" s="1"/>
  <c r="G3" i="1"/>
  <c r="J47" i="1" l="1"/>
  <c r="L48" i="1"/>
  <c r="K47" i="1"/>
  <c r="L47" i="1"/>
  <c r="M47" i="1"/>
  <c r="N47" i="1"/>
  <c r="N50" i="1"/>
  <c r="M50" i="1"/>
  <c r="K50" i="1"/>
  <c r="J50" i="1"/>
  <c r="K49" i="1"/>
  <c r="L50" i="1"/>
  <c r="AE50" i="1"/>
  <c r="AA49" i="1"/>
  <c r="P49" i="1" s="1"/>
  <c r="M49" i="1"/>
  <c r="J49" i="1"/>
  <c r="T49" i="1"/>
  <c r="AB49" i="1"/>
  <c r="U49" i="1"/>
  <c r="W49" i="1"/>
  <c r="X49" i="1"/>
  <c r="AC49" i="1"/>
  <c r="N49" i="1"/>
  <c r="AE48" i="1"/>
  <c r="X48" i="1" s="1"/>
  <c r="L49" i="1"/>
  <c r="AE47" i="1"/>
  <c r="AC47" i="1" s="1"/>
  <c r="AA48" i="1"/>
  <c r="P48" i="1" s="1"/>
  <c r="J48" i="1"/>
  <c r="M48" i="1"/>
  <c r="K48" i="1"/>
  <c r="K46" i="1"/>
  <c r="AE46" i="1"/>
  <c r="T46" i="1" s="1"/>
  <c r="V49" i="1"/>
  <c r="N46" i="1"/>
  <c r="J46" i="1"/>
  <c r="L46" i="1"/>
  <c r="M46" i="1"/>
  <c r="P46" i="1"/>
  <c r="S18" i="1"/>
  <c r="M35" i="1"/>
  <c r="M20" i="1"/>
  <c r="K20" i="1"/>
  <c r="K25" i="1"/>
  <c r="L25" i="1"/>
  <c r="N20" i="1"/>
  <c r="AA30" i="1"/>
  <c r="P30" i="1" s="1"/>
  <c r="AE31" i="1"/>
  <c r="AC31" i="1" s="1"/>
  <c r="Z18" i="1"/>
  <c r="AE30" i="1"/>
  <c r="AB30" i="1" s="1"/>
  <c r="AE34" i="1"/>
  <c r="AC34" i="1" s="1"/>
  <c r="K31" i="1"/>
  <c r="L31" i="1"/>
  <c r="M31" i="1"/>
  <c r="L30" i="1"/>
  <c r="N31" i="1"/>
  <c r="K45" i="1"/>
  <c r="M30" i="1"/>
  <c r="J35" i="1"/>
  <c r="AA36" i="1"/>
  <c r="P36" i="1" s="1"/>
  <c r="AE27" i="1"/>
  <c r="U27" i="1" s="1"/>
  <c r="K35" i="1"/>
  <c r="N35" i="1"/>
  <c r="N40" i="1"/>
  <c r="J19" i="1"/>
  <c r="AE20" i="1"/>
  <c r="T20" i="1" s="1"/>
  <c r="L34" i="1"/>
  <c r="AA35" i="1"/>
  <c r="P35" i="1" s="1"/>
  <c r="J32" i="1"/>
  <c r="AE35" i="1"/>
  <c r="U35" i="1" s="1"/>
  <c r="K32" i="1"/>
  <c r="L20" i="1"/>
  <c r="J22" i="1"/>
  <c r="K27" i="1"/>
  <c r="L27" i="1"/>
  <c r="J39" i="1"/>
  <c r="AE39" i="1"/>
  <c r="W39" i="1" s="1"/>
  <c r="K41" i="1"/>
  <c r="S17" i="1"/>
  <c r="J23" i="1"/>
  <c r="AA23" i="1"/>
  <c r="M27" i="1"/>
  <c r="K39" i="1"/>
  <c r="L41" i="1"/>
  <c r="AA43" i="1"/>
  <c r="P43" i="1" s="1"/>
  <c r="N27" i="1"/>
  <c r="AA32" i="1"/>
  <c r="P32" i="1" s="1"/>
  <c r="L39" i="1"/>
  <c r="J40" i="1"/>
  <c r="M41" i="1"/>
  <c r="AE43" i="1"/>
  <c r="V43" i="1" s="1"/>
  <c r="AA19" i="1"/>
  <c r="P19" i="1" s="1"/>
  <c r="J21" i="1"/>
  <c r="K23" i="1"/>
  <c r="L21" i="1"/>
  <c r="L23" i="1"/>
  <c r="AE23" i="1"/>
  <c r="X23" i="1" s="1"/>
  <c r="J31" i="1"/>
  <c r="AE32" i="1"/>
  <c r="X32" i="1" s="1"/>
  <c r="M39" i="1"/>
  <c r="L40" i="1"/>
  <c r="J43" i="1"/>
  <c r="A55" i="1"/>
  <c r="N39" i="1"/>
  <c r="K43" i="1"/>
  <c r="M23" i="1"/>
  <c r="J24" i="1"/>
  <c r="L43" i="1"/>
  <c r="U17" i="1"/>
  <c r="M43" i="1"/>
  <c r="L24" i="1"/>
  <c r="W17" i="1"/>
  <c r="AA27" i="1"/>
  <c r="P27" i="1" s="1"/>
  <c r="X17" i="1"/>
  <c r="L19" i="1"/>
  <c r="L32" i="1"/>
  <c r="L35" i="1"/>
  <c r="AA40" i="1"/>
  <c r="P40" i="1" s="1"/>
  <c r="M45" i="1"/>
  <c r="N19" i="1"/>
  <c r="N32" i="1"/>
  <c r="J36" i="1"/>
  <c r="AE40" i="1"/>
  <c r="W40" i="1" s="1"/>
  <c r="N45" i="1"/>
  <c r="AB22" i="1"/>
  <c r="X22" i="1"/>
  <c r="W22" i="1"/>
  <c r="V22" i="1"/>
  <c r="U22" i="1"/>
  <c r="T22" i="1"/>
  <c r="AC22" i="1"/>
  <c r="AC19" i="1"/>
  <c r="U19" i="1"/>
  <c r="AB19" i="1"/>
  <c r="X19" i="1"/>
  <c r="T19" i="1"/>
  <c r="W19" i="1"/>
  <c r="V19" i="1"/>
  <c r="P26" i="1"/>
  <c r="U21" i="1"/>
  <c r="T21" i="1"/>
  <c r="AC21" i="1"/>
  <c r="V21" i="1"/>
  <c r="AB21" i="1"/>
  <c r="W21" i="1"/>
  <c r="X21" i="1"/>
  <c r="V44" i="1"/>
  <c r="U44" i="1"/>
  <c r="T44" i="1"/>
  <c r="AC44" i="1"/>
  <c r="AB44" i="1"/>
  <c r="W44" i="1"/>
  <c r="X44" i="1"/>
  <c r="Z17" i="1"/>
  <c r="T18" i="1"/>
  <c r="J20" i="1"/>
  <c r="K21" i="1"/>
  <c r="L22" i="1"/>
  <c r="AA22" i="1"/>
  <c r="J28" i="1"/>
  <c r="AA28" i="1"/>
  <c r="AA34" i="1"/>
  <c r="N34" i="1"/>
  <c r="K34" i="1"/>
  <c r="K36" i="1"/>
  <c r="AE36" i="1"/>
  <c r="AE42" i="1"/>
  <c r="U18" i="1"/>
  <c r="M22" i="1"/>
  <c r="J26" i="1"/>
  <c r="K28" i="1"/>
  <c r="K33" i="1"/>
  <c r="L36" i="1"/>
  <c r="AA38" i="1"/>
  <c r="AA44" i="1"/>
  <c r="K26" i="1"/>
  <c r="AE26" i="1"/>
  <c r="AB17" i="1"/>
  <c r="V18" i="1"/>
  <c r="K19" i="1"/>
  <c r="M21" i="1"/>
  <c r="N22" i="1"/>
  <c r="L26" i="1"/>
  <c r="L28" i="1"/>
  <c r="N36" i="1"/>
  <c r="K22" i="1"/>
  <c r="W18" i="1"/>
  <c r="N21" i="1"/>
  <c r="AA21" i="1"/>
  <c r="M26" i="1"/>
  <c r="N28" i="1"/>
  <c r="AE28" i="1"/>
  <c r="AA29" i="1"/>
  <c r="N29" i="1"/>
  <c r="J29" i="1"/>
  <c r="AE29" i="1"/>
  <c r="AE33" i="1"/>
  <c r="AA33" i="1"/>
  <c r="N33" i="1"/>
  <c r="M33" i="1"/>
  <c r="J33" i="1"/>
  <c r="J37" i="1"/>
  <c r="AE37" i="1"/>
  <c r="AA37" i="1"/>
  <c r="N37" i="1"/>
  <c r="AD17" i="1"/>
  <c r="X18" i="1"/>
  <c r="M19" i="1"/>
  <c r="K24" i="1"/>
  <c r="AA24" i="1"/>
  <c r="N26" i="1"/>
  <c r="L37" i="1"/>
  <c r="K38" i="1"/>
  <c r="J38" i="1"/>
  <c r="AE38" i="1"/>
  <c r="N44" i="1"/>
  <c r="M44" i="1"/>
  <c r="K44" i="1"/>
  <c r="K29" i="1"/>
  <c r="M37" i="1"/>
  <c r="M38" i="1"/>
  <c r="J44" i="1"/>
  <c r="N24" i="1"/>
  <c r="AE24" i="1"/>
  <c r="L29" i="1"/>
  <c r="K30" i="1"/>
  <c r="J30" i="1"/>
  <c r="M34" i="1"/>
  <c r="N38" i="1"/>
  <c r="L44" i="1"/>
  <c r="T17" i="1"/>
  <c r="AB18" i="1"/>
  <c r="J25" i="1"/>
  <c r="AE25" i="1"/>
  <c r="AA25" i="1"/>
  <c r="N25" i="1"/>
  <c r="M29" i="1"/>
  <c r="AA42" i="1"/>
  <c r="N42" i="1"/>
  <c r="M42" i="1"/>
  <c r="K42" i="1"/>
  <c r="J42" i="1"/>
  <c r="AE41" i="1"/>
  <c r="AE45" i="1"/>
  <c r="J41" i="1"/>
  <c r="A54" i="1"/>
  <c r="K40" i="1"/>
  <c r="A57" i="1"/>
  <c r="A56" i="1"/>
  <c r="A53" i="1"/>
  <c r="N41" i="1"/>
  <c r="L45" i="1"/>
  <c r="AA45" i="1"/>
  <c r="AD50" i="1" l="1"/>
  <c r="I49" i="1"/>
  <c r="AD49" i="1"/>
  <c r="V47" i="1"/>
  <c r="X47" i="1"/>
  <c r="AD47" i="1"/>
  <c r="T47" i="1"/>
  <c r="I46" i="1"/>
  <c r="AB47" i="1"/>
  <c r="U47" i="1"/>
  <c r="W47" i="1"/>
  <c r="V46" i="1"/>
  <c r="T50" i="1"/>
  <c r="AC50" i="1"/>
  <c r="AB50" i="1"/>
  <c r="W50" i="1"/>
  <c r="I50" i="1"/>
  <c r="U50" i="1"/>
  <c r="V50" i="1"/>
  <c r="V48" i="1"/>
  <c r="I47" i="1"/>
  <c r="W48" i="1"/>
  <c r="X50" i="1"/>
  <c r="I48" i="1"/>
  <c r="AD48" i="1"/>
  <c r="T48" i="1"/>
  <c r="AC48" i="1"/>
  <c r="AB48" i="1"/>
  <c r="U48" i="1"/>
  <c r="W46" i="1"/>
  <c r="X46" i="1"/>
  <c r="U46" i="1"/>
  <c r="AB46" i="1"/>
  <c r="AC46" i="1"/>
  <c r="AD46" i="1"/>
  <c r="I44" i="1"/>
  <c r="AD44" i="1"/>
  <c r="V35" i="1"/>
  <c r="T39" i="1"/>
  <c r="AB35" i="1"/>
  <c r="U31" i="1"/>
  <c r="AC35" i="1"/>
  <c r="X34" i="1"/>
  <c r="AB32" i="1"/>
  <c r="X31" i="1"/>
  <c r="AB27" i="1"/>
  <c r="V27" i="1"/>
  <c r="T34" i="1"/>
  <c r="AB34" i="1"/>
  <c r="U34" i="1"/>
  <c r="AC27" i="1"/>
  <c r="AC23" i="1"/>
  <c r="T27" i="1"/>
  <c r="X27" i="1"/>
  <c r="W27" i="1"/>
  <c r="AD34" i="1"/>
  <c r="T35" i="1"/>
  <c r="I34" i="1"/>
  <c r="U39" i="1"/>
  <c r="AB43" i="1"/>
  <c r="AC39" i="1"/>
  <c r="V32" i="1"/>
  <c r="W35" i="1"/>
  <c r="V34" i="1"/>
  <c r="W34" i="1"/>
  <c r="W32" i="1"/>
  <c r="I35" i="1"/>
  <c r="X35" i="1"/>
  <c r="T30" i="1"/>
  <c r="V30" i="1"/>
  <c r="W30" i="1"/>
  <c r="AC30" i="1"/>
  <c r="U30" i="1"/>
  <c r="X30" i="1"/>
  <c r="U32" i="1"/>
  <c r="U20" i="1"/>
  <c r="I31" i="1"/>
  <c r="AD35" i="1"/>
  <c r="X20" i="1"/>
  <c r="AC20" i="1"/>
  <c r="V20" i="1"/>
  <c r="T31" i="1"/>
  <c r="V31" i="1"/>
  <c r="AB31" i="1"/>
  <c r="AB20" i="1"/>
  <c r="W20" i="1"/>
  <c r="T32" i="1"/>
  <c r="AC32" i="1"/>
  <c r="X43" i="1"/>
  <c r="I20" i="1"/>
  <c r="W31" i="1"/>
  <c r="AD27" i="1"/>
  <c r="AC43" i="1"/>
  <c r="AD32" i="1"/>
  <c r="I40" i="1"/>
  <c r="U43" i="1"/>
  <c r="AC40" i="1"/>
  <c r="AB40" i="1"/>
  <c r="T40" i="1"/>
  <c r="I27" i="1"/>
  <c r="AD23" i="1"/>
  <c r="AD21" i="1"/>
  <c r="I21" i="1"/>
  <c r="U40" i="1"/>
  <c r="V40" i="1"/>
  <c r="X40" i="1"/>
  <c r="AD43" i="1"/>
  <c r="I39" i="1"/>
  <c r="I22" i="1"/>
  <c r="AD20" i="1"/>
  <c r="I19" i="1"/>
  <c r="I32" i="1"/>
  <c r="I30" i="1"/>
  <c r="AD40" i="1"/>
  <c r="W23" i="1"/>
  <c r="V23" i="1"/>
  <c r="U23" i="1"/>
  <c r="T23" i="1"/>
  <c r="AB23" i="1"/>
  <c r="AD19" i="1"/>
  <c r="AD31" i="1"/>
  <c r="X39" i="1"/>
  <c r="V39" i="1"/>
  <c r="AB39" i="1"/>
  <c r="W43" i="1"/>
  <c r="T43" i="1"/>
  <c r="I43" i="1"/>
  <c r="AD39" i="1"/>
  <c r="I23" i="1"/>
  <c r="W37" i="1"/>
  <c r="V37" i="1"/>
  <c r="U37" i="1"/>
  <c r="AD37" i="1"/>
  <c r="T37" i="1"/>
  <c r="X37" i="1"/>
  <c r="AC37" i="1"/>
  <c r="I37" i="1"/>
  <c r="AB37" i="1"/>
  <c r="AB42" i="1"/>
  <c r="X42" i="1"/>
  <c r="W42" i="1"/>
  <c r="V42" i="1"/>
  <c r="I42" i="1"/>
  <c r="T42" i="1"/>
  <c r="U42" i="1"/>
  <c r="AD42" i="1"/>
  <c r="AC42" i="1"/>
  <c r="AD22" i="1"/>
  <c r="W41" i="1"/>
  <c r="V41" i="1"/>
  <c r="I41" i="1"/>
  <c r="U41" i="1"/>
  <c r="X41" i="1"/>
  <c r="T41" i="1"/>
  <c r="AB41" i="1"/>
  <c r="AD41" i="1"/>
  <c r="AC41" i="1"/>
  <c r="V36" i="1"/>
  <c r="I36" i="1"/>
  <c r="T36" i="1"/>
  <c r="AD36" i="1"/>
  <c r="AC36" i="1"/>
  <c r="X36" i="1"/>
  <c r="AB36" i="1"/>
  <c r="W36" i="1"/>
  <c r="U36" i="1"/>
  <c r="W25" i="1"/>
  <c r="AD25" i="1"/>
  <c r="AB25" i="1"/>
  <c r="I25" i="1"/>
  <c r="X25" i="1"/>
  <c r="V25" i="1"/>
  <c r="AC25" i="1"/>
  <c r="U25" i="1"/>
  <c r="T25" i="1"/>
  <c r="W29" i="1"/>
  <c r="V29" i="1"/>
  <c r="I29" i="1"/>
  <c r="AD29" i="1"/>
  <c r="AC29" i="1"/>
  <c r="AB29" i="1"/>
  <c r="X29" i="1"/>
  <c r="U29" i="1"/>
  <c r="T29" i="1"/>
  <c r="T52" i="1"/>
  <c r="P37" i="1"/>
  <c r="P24" i="1"/>
  <c r="P44" i="1"/>
  <c r="AC33" i="1"/>
  <c r="W33" i="1"/>
  <c r="X33" i="1"/>
  <c r="V33" i="1"/>
  <c r="U33" i="1"/>
  <c r="T33" i="1"/>
  <c r="AD33" i="1"/>
  <c r="AB33" i="1"/>
  <c r="I33" i="1"/>
  <c r="P29" i="1"/>
  <c r="P34" i="1"/>
  <c r="AD30" i="1"/>
  <c r="X38" i="1"/>
  <c r="W38" i="1"/>
  <c r="V38" i="1"/>
  <c r="I38" i="1"/>
  <c r="T38" i="1"/>
  <c r="AB38" i="1"/>
  <c r="U38" i="1"/>
  <c r="AD38" i="1"/>
  <c r="AC38" i="1"/>
  <c r="V28" i="1"/>
  <c r="I28" i="1"/>
  <c r="U28" i="1"/>
  <c r="AD28" i="1"/>
  <c r="X28" i="1"/>
  <c r="W28" i="1"/>
  <c r="T28" i="1"/>
  <c r="AC28" i="1"/>
  <c r="AB28" i="1"/>
  <c r="P38" i="1"/>
  <c r="P25" i="1"/>
  <c r="P28" i="1"/>
  <c r="X26" i="1"/>
  <c r="T26" i="1"/>
  <c r="AB26" i="1"/>
  <c r="V26" i="1"/>
  <c r="U26" i="1"/>
  <c r="W26" i="1"/>
  <c r="AD26" i="1"/>
  <c r="AC26" i="1"/>
  <c r="I26" i="1"/>
  <c r="P20" i="1"/>
  <c r="P45" i="1"/>
  <c r="P42" i="1"/>
  <c r="W45" i="1"/>
  <c r="V45" i="1"/>
  <c r="I45" i="1"/>
  <c r="U45" i="1"/>
  <c r="T45" i="1"/>
  <c r="X45" i="1"/>
  <c r="AD45" i="1"/>
  <c r="AC45" i="1"/>
  <c r="AB45" i="1"/>
  <c r="AD24" i="1"/>
  <c r="AC24" i="1"/>
  <c r="T24" i="1"/>
  <c r="AB24" i="1"/>
  <c r="V24" i="1"/>
  <c r="I24" i="1"/>
  <c r="U24" i="1"/>
  <c r="X24" i="1"/>
  <c r="W24" i="1"/>
  <c r="P33" i="1"/>
  <c r="P21" i="1" l="1"/>
  <c r="P22" i="1" s="1"/>
  <c r="P23" i="1" l="1"/>
  <c r="Q18" i="1" l="1"/>
  <c r="R18" i="1" l="1"/>
  <c r="Q19" i="1"/>
  <c r="R19" i="1" s="1"/>
  <c r="Q20" i="1" l="1"/>
  <c r="R20" i="1" l="1"/>
  <c r="Q21" i="1"/>
  <c r="R21" i="1" l="1"/>
  <c r="Q22" i="1"/>
  <c r="R22" i="1" l="1"/>
  <c r="Q23" i="1"/>
  <c r="R23" i="1" s="1"/>
  <c r="Q24" i="1" l="1"/>
  <c r="R24" i="1" s="1"/>
  <c r="Q25" i="1" l="1"/>
  <c r="R25" i="1" s="1"/>
  <c r="Q26" i="1" l="1"/>
  <c r="R26" i="1" s="1"/>
  <c r="Q27" i="1" l="1"/>
  <c r="R27" i="1" s="1"/>
  <c r="Q28" i="1" l="1"/>
  <c r="Q29" i="1" s="1"/>
  <c r="Q30" i="1" s="1"/>
  <c r="R30" i="1" s="1"/>
  <c r="R29" i="1" l="1"/>
  <c r="R28" i="1"/>
  <c r="Q31" i="1"/>
  <c r="R31" i="1" l="1"/>
  <c r="Q32" i="1"/>
  <c r="R32" i="1" l="1"/>
  <c r="Q33" i="1"/>
  <c r="Q34" i="1" l="1"/>
  <c r="R34" i="1" s="1"/>
  <c r="R33" i="1"/>
  <c r="Q35" i="1" l="1"/>
  <c r="R35" i="1" s="1"/>
  <c r="Q36" i="1" l="1"/>
  <c r="R36" i="1" s="1"/>
  <c r="Q37" i="1" l="1"/>
  <c r="R37" i="1" s="1"/>
  <c r="Q38" i="1" l="1"/>
  <c r="R38" i="1" s="1"/>
  <c r="Q39" i="1" l="1"/>
  <c r="R39" i="1" s="1"/>
  <c r="Q40" i="1" l="1"/>
  <c r="Q41" i="1" s="1"/>
  <c r="R40" i="1" l="1"/>
  <c r="R41" i="1"/>
  <c r="Q42" i="1"/>
  <c r="R42" i="1" l="1"/>
  <c r="Q43" i="1"/>
  <c r="R43" i="1" l="1"/>
  <c r="Q44" i="1"/>
  <c r="R44" i="1" l="1"/>
  <c r="Q45" i="1"/>
  <c r="Q46" i="1" s="1"/>
  <c r="R46" i="1" l="1"/>
  <c r="Q47" i="1"/>
  <c r="R45" i="1"/>
  <c r="R47" i="1" l="1"/>
  <c r="Q48" i="1"/>
  <c r="BG123" i="1"/>
  <c r="R48" i="1" l="1"/>
  <c r="Q49" i="1"/>
  <c r="BJ85" i="1"/>
  <c r="BN84" i="1"/>
  <c r="CA84" i="1" s="1"/>
  <c r="BO84" i="1"/>
  <c r="BT84" i="1" s="1"/>
  <c r="BZ84" i="1" s="1"/>
  <c r="BM85" i="1"/>
  <c r="BR85" i="1"/>
  <c r="BJ86" i="1"/>
  <c r="BK85" i="1"/>
  <c r="BN85" i="1"/>
  <c r="CA85" i="1" s="1"/>
  <c r="BL84" i="1"/>
  <c r="BM86" i="1"/>
  <c r="BP85" i="1"/>
  <c r="BS85" i="1" s="1"/>
  <c r="BL86" i="1"/>
  <c r="BG85" i="1"/>
  <c r="BG84" i="1"/>
  <c r="BH84" i="1"/>
  <c r="BQ85" i="1"/>
  <c r="BL85" i="1"/>
  <c r="BO85" i="1"/>
  <c r="BJ84" i="1"/>
  <c r="BM84" i="1"/>
  <c r="BP84" i="1"/>
  <c r="BS84" i="1" s="1"/>
  <c r="BR84" i="1"/>
  <c r="BK84" i="1"/>
  <c r="BN86" i="1"/>
  <c r="CA86" i="1" s="1"/>
  <c r="BI85" i="1"/>
  <c r="BH86" i="1"/>
  <c r="BO86" i="1"/>
  <c r="BI86" i="1"/>
  <c r="BK86" i="1"/>
  <c r="BQ84" i="1"/>
  <c r="BQ86" i="1"/>
  <c r="BH85" i="1"/>
  <c r="BJ87" i="1"/>
  <c r="BG86" i="1"/>
  <c r="BI84" i="1"/>
  <c r="BL87" i="1"/>
  <c r="BM87" i="1"/>
  <c r="BN87" i="1"/>
  <c r="CA87" i="1" s="1"/>
  <c r="BH87" i="1"/>
  <c r="BR86" i="1"/>
  <c r="BK87" i="1"/>
  <c r="BI88" i="1"/>
  <c r="BM88" i="1"/>
  <c r="BG87" i="1"/>
  <c r="BG88" i="1"/>
  <c r="BP86" i="1"/>
  <c r="BS86" i="1" s="1"/>
  <c r="BQ89" i="1"/>
  <c r="BO89" i="1"/>
  <c r="BQ88" i="1"/>
  <c r="BJ88" i="1"/>
  <c r="BQ87" i="1"/>
  <c r="BL90" i="1"/>
  <c r="BL88" i="1"/>
  <c r="BN89" i="1"/>
  <c r="CA89" i="1" s="1"/>
  <c r="BP90" i="1"/>
  <c r="BS90" i="1" s="1"/>
  <c r="BO87" i="1"/>
  <c r="BK91" i="1"/>
  <c r="BN88" i="1"/>
  <c r="CA88" i="1" s="1"/>
  <c r="BH89" i="1"/>
  <c r="BR89" i="1"/>
  <c r="BI87" i="1"/>
  <c r="BR87" i="1"/>
  <c r="BG89" i="1"/>
  <c r="BK88" i="1"/>
  <c r="BK90" i="1"/>
  <c r="BH88" i="1"/>
  <c r="BP87" i="1"/>
  <c r="BS87" i="1" s="1"/>
  <c r="BP88" i="1"/>
  <c r="BS88" i="1" s="1"/>
  <c r="BJ89" i="1"/>
  <c r="BJ92" i="1"/>
  <c r="BR88" i="1"/>
  <c r="BN90" i="1"/>
  <c r="CA90" i="1" s="1"/>
  <c r="BM89" i="1"/>
  <c r="BP91" i="1"/>
  <c r="BS91" i="1" s="1"/>
  <c r="BL89" i="1"/>
  <c r="BQ90" i="1"/>
  <c r="BQ91" i="1"/>
  <c r="BI89" i="1"/>
  <c r="BP89" i="1"/>
  <c r="BS89" i="1" s="1"/>
  <c r="BI91" i="1"/>
  <c r="BK89" i="1"/>
  <c r="BL91" i="1"/>
  <c r="BM90" i="1"/>
  <c r="BO91" i="1"/>
  <c r="BR94" i="1"/>
  <c r="BR92" i="1"/>
  <c r="BJ90" i="1"/>
  <c r="BK92" i="1"/>
  <c r="BN91" i="1"/>
  <c r="CA91" i="1" s="1"/>
  <c r="BI92" i="1"/>
  <c r="BJ91" i="1"/>
  <c r="BO88" i="1"/>
  <c r="BT88" i="1" s="1"/>
  <c r="BZ88" i="1" s="1"/>
  <c r="BH90" i="1"/>
  <c r="BO90" i="1"/>
  <c r="BI90" i="1"/>
  <c r="BG92" i="1"/>
  <c r="BQ92" i="1"/>
  <c r="BR91" i="1"/>
  <c r="BP92" i="1"/>
  <c r="BS92" i="1" s="1"/>
  <c r="BN94" i="1"/>
  <c r="CA94" i="1" s="1"/>
  <c r="BK93" i="1"/>
  <c r="BM92" i="1"/>
  <c r="BG91" i="1"/>
  <c r="BG90" i="1"/>
  <c r="BM91" i="1"/>
  <c r="BO95" i="1"/>
  <c r="BM93" i="1"/>
  <c r="BN92" i="1"/>
  <c r="CA92" i="1" s="1"/>
  <c r="BG94" i="1"/>
  <c r="BN93" i="1"/>
  <c r="CA93" i="1" s="1"/>
  <c r="BQ97" i="1"/>
  <c r="BM94" i="1"/>
  <c r="BP94" i="1"/>
  <c r="BS94" i="1" s="1"/>
  <c r="BH92" i="1"/>
  <c r="BH91" i="1"/>
  <c r="BN95" i="1"/>
  <c r="CA95" i="1" s="1"/>
  <c r="BI93" i="1"/>
  <c r="BP93" i="1"/>
  <c r="BS93" i="1" s="1"/>
  <c r="BH94" i="1"/>
  <c r="BR93" i="1"/>
  <c r="BO94" i="1"/>
  <c r="BO92" i="1"/>
  <c r="BJ93" i="1"/>
  <c r="BO93" i="1"/>
  <c r="BT93" i="1" s="1"/>
  <c r="BZ93" i="1" s="1"/>
  <c r="BL93" i="1"/>
  <c r="BH95" i="1"/>
  <c r="BJ94" i="1"/>
  <c r="BL94" i="1"/>
  <c r="BK96" i="1"/>
  <c r="BI94" i="1"/>
  <c r="BG93" i="1"/>
  <c r="BI95" i="1"/>
  <c r="BK95" i="1"/>
  <c r="BK94" i="1"/>
  <c r="BR90" i="1"/>
  <c r="BP95" i="1"/>
  <c r="BS95" i="1" s="1"/>
  <c r="BM95" i="1"/>
  <c r="BH93" i="1"/>
  <c r="BQ93" i="1"/>
  <c r="BI98" i="1"/>
  <c r="BL92" i="1"/>
  <c r="BQ94" i="1"/>
  <c r="BG97" i="1"/>
  <c r="BN98" i="1"/>
  <c r="CA98" i="1" s="1"/>
  <c r="BL96" i="1"/>
  <c r="BP97" i="1"/>
  <c r="BS97" i="1" s="1"/>
  <c r="BO97" i="1"/>
  <c r="BN97" i="1"/>
  <c r="CA97" i="1" s="1"/>
  <c r="BN96" i="1"/>
  <c r="CA96" i="1" s="1"/>
  <c r="BO96" i="1"/>
  <c r="BH96" i="1"/>
  <c r="BG95" i="1"/>
  <c r="BL97" i="1"/>
  <c r="BL95" i="1"/>
  <c r="BR96" i="1"/>
  <c r="BG96" i="1"/>
  <c r="BK97" i="1"/>
  <c r="BR98" i="1"/>
  <c r="BR97" i="1"/>
  <c r="BM97" i="1"/>
  <c r="BH97" i="1"/>
  <c r="BQ95" i="1"/>
  <c r="BJ98" i="1"/>
  <c r="BO98" i="1"/>
  <c r="BJ96" i="1"/>
  <c r="BH98" i="1"/>
  <c r="BP96" i="1"/>
  <c r="BS96" i="1" s="1"/>
  <c r="BJ97" i="1"/>
  <c r="BQ98" i="1"/>
  <c r="BM98" i="1"/>
  <c r="BI97" i="1"/>
  <c r="BM96" i="1"/>
  <c r="BI96" i="1"/>
  <c r="BJ95" i="1"/>
  <c r="BQ96" i="1"/>
  <c r="BR95" i="1"/>
  <c r="BG98" i="1"/>
  <c r="BK98" i="1"/>
  <c r="BP98" i="1"/>
  <c r="BS98" i="1" s="1"/>
  <c r="BL98" i="1"/>
  <c r="BN108" i="1"/>
  <c r="CA108" i="1" s="1"/>
  <c r="BK104" i="1"/>
  <c r="BO109" i="1"/>
  <c r="BK110" i="1"/>
  <c r="BR103" i="1"/>
  <c r="BI104" i="1"/>
  <c r="BO104" i="1"/>
  <c r="BH109" i="1"/>
  <c r="BG102" i="1"/>
  <c r="BR104" i="1"/>
  <c r="BN106" i="1"/>
  <c r="CA106" i="1" s="1"/>
  <c r="BP109" i="1"/>
  <c r="BS109" i="1" s="1"/>
  <c r="BJ105" i="1"/>
  <c r="BK108" i="1"/>
  <c r="BL109" i="1"/>
  <c r="BK105" i="1"/>
  <c r="BL110" i="1"/>
  <c r="BL108" i="1"/>
  <c r="BJ106" i="1"/>
  <c r="BO102" i="1"/>
  <c r="BG103" i="1"/>
  <c r="BG109" i="1"/>
  <c r="BJ102" i="1"/>
  <c r="BM107" i="1"/>
  <c r="BL105" i="1"/>
  <c r="BJ104" i="1"/>
  <c r="BR105" i="1"/>
  <c r="BI107" i="1"/>
  <c r="BQ110" i="1"/>
  <c r="BL104" i="1"/>
  <c r="BO106" i="1"/>
  <c r="BP106" i="1"/>
  <c r="BS106" i="1" s="1"/>
  <c r="BN104" i="1"/>
  <c r="CA104" i="1" s="1"/>
  <c r="BP108" i="1"/>
  <c r="BS108" i="1" s="1"/>
  <c r="BO107" i="1"/>
  <c r="BH106" i="1"/>
  <c r="BK103" i="1"/>
  <c r="BP107" i="1"/>
  <c r="BS107" i="1" s="1"/>
  <c r="BL103" i="1"/>
  <c r="BI108" i="1"/>
  <c r="BR110" i="1"/>
  <c r="BM104" i="1"/>
  <c r="BJ108" i="1"/>
  <c r="BI109" i="1"/>
  <c r="BN102" i="1"/>
  <c r="CA102" i="1" s="1"/>
  <c r="BK106" i="1"/>
  <c r="BG108" i="1"/>
  <c r="BJ107" i="1"/>
  <c r="BM109" i="1"/>
  <c r="BL100" i="1"/>
  <c r="BI105" i="1"/>
  <c r="BQ107" i="1"/>
  <c r="BQ105" i="1"/>
  <c r="BG107" i="1"/>
  <c r="BN109" i="1"/>
  <c r="CA109" i="1" s="1"/>
  <c r="BR106" i="1"/>
  <c r="BR102" i="1"/>
  <c r="BP104" i="1"/>
  <c r="BS104" i="1" s="1"/>
  <c r="BO108" i="1"/>
  <c r="BH110" i="1"/>
  <c r="BQ104" i="1"/>
  <c r="BM106" i="1"/>
  <c r="BG105" i="1"/>
  <c r="BM102" i="1"/>
  <c r="BR107" i="1"/>
  <c r="BG106" i="1"/>
  <c r="BK102" i="1"/>
  <c r="BN110" i="1"/>
  <c r="CA110" i="1" s="1"/>
  <c r="BH103" i="1"/>
  <c r="BI110" i="1"/>
  <c r="BK109" i="1"/>
  <c r="BL102" i="1"/>
  <c r="BI103" i="1"/>
  <c r="BQ108" i="1"/>
  <c r="BN103" i="1"/>
  <c r="CA103" i="1" s="1"/>
  <c r="BJ110" i="1"/>
  <c r="BL107" i="1"/>
  <c r="BG104" i="1"/>
  <c r="BM108" i="1"/>
  <c r="BQ109" i="1"/>
  <c r="BP102" i="1"/>
  <c r="BS102" i="1" s="1"/>
  <c r="BI102" i="1"/>
  <c r="BH108" i="1"/>
  <c r="BR108" i="1"/>
  <c r="BM105" i="1"/>
  <c r="BN107" i="1"/>
  <c r="CA107" i="1" s="1"/>
  <c r="BP103" i="1"/>
  <c r="BS103" i="1" s="1"/>
  <c r="BG110" i="1"/>
  <c r="BJ109" i="1"/>
  <c r="BH105" i="1"/>
  <c r="BK107" i="1"/>
  <c r="BI106" i="1"/>
  <c r="BL106" i="1"/>
  <c r="BR109" i="1"/>
  <c r="BH104" i="1"/>
  <c r="BO110" i="1"/>
  <c r="BQ103" i="1"/>
  <c r="BM110" i="1"/>
  <c r="BP110" i="1"/>
  <c r="BS110" i="1" s="1"/>
  <c r="BR100" i="1"/>
  <c r="BL99" i="1"/>
  <c r="BM99" i="1"/>
  <c r="BG99" i="1"/>
  <c r="BK99" i="1"/>
  <c r="BR101" i="1"/>
  <c r="BJ99" i="1"/>
  <c r="BI99" i="1"/>
  <c r="BG101" i="1"/>
  <c r="BP99" i="1"/>
  <c r="BS99" i="1" s="1"/>
  <c r="BO100" i="1"/>
  <c r="BH99" i="1"/>
  <c r="BQ99" i="1"/>
  <c r="BG100" i="1"/>
  <c r="BK101" i="1"/>
  <c r="BR99" i="1"/>
  <c r="BN99" i="1"/>
  <c r="CA99" i="1" s="1"/>
  <c r="BJ100" i="1"/>
  <c r="BO99" i="1"/>
  <c r="BP105" i="1"/>
  <c r="BS105" i="1" s="1"/>
  <c r="BQ101" i="1"/>
  <c r="BH100" i="1"/>
  <c r="BN101" i="1"/>
  <c r="CA101" i="1" s="1"/>
  <c r="BQ106" i="1"/>
  <c r="BM100" i="1"/>
  <c r="BM103" i="1"/>
  <c r="BL101" i="1"/>
  <c r="BK100" i="1"/>
  <c r="BI101" i="1"/>
  <c r="BJ101" i="1"/>
  <c r="BN100" i="1"/>
  <c r="CA100" i="1" s="1"/>
  <c r="BO101" i="1"/>
  <c r="BH101" i="1"/>
  <c r="BM101" i="1"/>
  <c r="BI100" i="1"/>
  <c r="BH102" i="1"/>
  <c r="BP100" i="1"/>
  <c r="BS100" i="1" s="1"/>
  <c r="BP101" i="1"/>
  <c r="BS101" i="1" s="1"/>
  <c r="BQ100" i="1"/>
  <c r="BO105" i="1"/>
  <c r="BQ102" i="1"/>
  <c r="BO103" i="1"/>
  <c r="BJ103" i="1"/>
  <c r="BH107" i="1"/>
  <c r="BN105" i="1"/>
  <c r="CA105" i="1" s="1"/>
  <c r="R49" i="1" l="1"/>
  <c r="Q50" i="1"/>
  <c r="R50" i="1" s="1"/>
  <c r="BT91" i="1"/>
  <c r="BZ91" i="1" s="1"/>
  <c r="BT90" i="1"/>
  <c r="BZ90" i="1" s="1"/>
  <c r="BT104" i="1"/>
  <c r="BZ104" i="1" s="1"/>
  <c r="BT109" i="1"/>
  <c r="BZ109" i="1" s="1"/>
  <c r="BT110" i="1"/>
  <c r="BZ110" i="1" s="1"/>
  <c r="BT97" i="1"/>
  <c r="BZ97" i="1" s="1"/>
  <c r="BT95" i="1"/>
  <c r="BZ95" i="1" s="1"/>
  <c r="BT98" i="1"/>
  <c r="BZ98" i="1" s="1"/>
  <c r="BT100" i="1"/>
  <c r="BZ100" i="1" s="1"/>
  <c r="CV93" i="1"/>
  <c r="AT93" i="1" s="1"/>
  <c r="CR93" i="1" s="1"/>
  <c r="BT96" i="1"/>
  <c r="BZ96" i="1" s="1"/>
  <c r="BT94" i="1"/>
  <c r="BZ94" i="1" s="1"/>
  <c r="BT92" i="1"/>
  <c r="BZ92" i="1" s="1"/>
  <c r="BT89" i="1"/>
  <c r="BZ89" i="1" s="1"/>
  <c r="BT87" i="1"/>
  <c r="BZ87" i="1" s="1"/>
  <c r="BT85" i="1"/>
  <c r="BZ85" i="1" s="1"/>
  <c r="BT86" i="1"/>
  <c r="BZ86" i="1" s="1"/>
  <c r="CV84" i="1"/>
  <c r="AT84" i="1" s="1"/>
  <c r="CR84" i="1" s="1"/>
  <c r="CQ94" i="1"/>
  <c r="CO94" i="1"/>
  <c r="CG94" i="1"/>
  <c r="CE94" i="1"/>
  <c r="CT94" i="1"/>
  <c r="CP94" i="1"/>
  <c r="CC94" i="1"/>
  <c r="CP87" i="1"/>
  <c r="CE87" i="1"/>
  <c r="CT87" i="1"/>
  <c r="CG87" i="1"/>
  <c r="CQ87" i="1"/>
  <c r="CO87" i="1"/>
  <c r="CC87" i="1"/>
  <c r="CE91" i="1"/>
  <c r="CO91" i="1"/>
  <c r="CC91" i="1"/>
  <c r="CQ91" i="1"/>
  <c r="CT91" i="1"/>
  <c r="CP91" i="1"/>
  <c r="CG91" i="1"/>
  <c r="CP92" i="1"/>
  <c r="CO92" i="1"/>
  <c r="CT92" i="1"/>
  <c r="CQ92" i="1"/>
  <c r="CG92" i="1"/>
  <c r="CC92" i="1"/>
  <c r="CE92" i="1"/>
  <c r="CO93" i="1"/>
  <c r="CQ93" i="1"/>
  <c r="CE93" i="1"/>
  <c r="CP93" i="1"/>
  <c r="CT93" i="1"/>
  <c r="AN93" i="1"/>
  <c r="CC93" i="1"/>
  <c r="CG93" i="1"/>
  <c r="CG88" i="1"/>
  <c r="CT88" i="1"/>
  <c r="CO88" i="1"/>
  <c r="CP88" i="1"/>
  <c r="CE88" i="1"/>
  <c r="CQ88" i="1"/>
  <c r="CC88" i="1"/>
  <c r="CO85" i="1"/>
  <c r="CE85" i="1"/>
  <c r="CQ85" i="1"/>
  <c r="BV85" i="1"/>
  <c r="BV86" i="1" s="1"/>
  <c r="BV87" i="1" s="1"/>
  <c r="BV88" i="1" s="1"/>
  <c r="BV89" i="1" s="1"/>
  <c r="BV90" i="1" s="1"/>
  <c r="BV91" i="1" s="1"/>
  <c r="BV92" i="1" s="1"/>
  <c r="BV93" i="1" s="1"/>
  <c r="BV94" i="1" s="1"/>
  <c r="BV95" i="1" s="1"/>
  <c r="BV96" i="1" s="1"/>
  <c r="BV97" i="1" s="1"/>
  <c r="BV98" i="1" s="1"/>
  <c r="BV99" i="1" s="1"/>
  <c r="BV100" i="1" s="1"/>
  <c r="BV101" i="1" s="1"/>
  <c r="BV102" i="1" s="1"/>
  <c r="BV103" i="1" s="1"/>
  <c r="BV104" i="1" s="1"/>
  <c r="BV105" i="1" s="1"/>
  <c r="BV106" i="1" s="1"/>
  <c r="BV107" i="1" s="1"/>
  <c r="BV108" i="1" s="1"/>
  <c r="BV109" i="1" s="1"/>
  <c r="BV110" i="1" s="1"/>
  <c r="CG85" i="1"/>
  <c r="CC85" i="1"/>
  <c r="CP85" i="1"/>
  <c r="CT85" i="1"/>
  <c r="CQ98" i="1"/>
  <c r="CP98" i="1"/>
  <c r="CO98" i="1"/>
  <c r="CG98" i="1"/>
  <c r="CE98" i="1"/>
  <c r="CT98" i="1"/>
  <c r="CC98" i="1"/>
  <c r="CE86" i="1"/>
  <c r="CO86" i="1"/>
  <c r="CC86" i="1"/>
  <c r="CG86" i="1"/>
  <c r="CT86" i="1"/>
  <c r="CQ86" i="1"/>
  <c r="CP86" i="1"/>
  <c r="CQ95" i="1"/>
  <c r="CE95" i="1"/>
  <c r="CT95" i="1"/>
  <c r="CG95" i="1"/>
  <c r="CP95" i="1"/>
  <c r="CO95" i="1"/>
  <c r="CC95" i="1"/>
  <c r="AN84" i="1"/>
  <c r="AN85" i="1" s="1"/>
  <c r="CT84" i="1"/>
  <c r="CC84" i="1"/>
  <c r="CQ84" i="1"/>
  <c r="CP84" i="1"/>
  <c r="CO84" i="1"/>
  <c r="CG84" i="1"/>
  <c r="CE84" i="1"/>
  <c r="CT90" i="1"/>
  <c r="CP90" i="1"/>
  <c r="CE90" i="1"/>
  <c r="CQ90" i="1"/>
  <c r="CG90" i="1"/>
  <c r="CC90" i="1"/>
  <c r="CO90" i="1"/>
  <c r="CC89" i="1"/>
  <c r="CO89" i="1"/>
  <c r="CG89" i="1"/>
  <c r="CE89" i="1"/>
  <c r="CQ89" i="1"/>
  <c r="CT89" i="1"/>
  <c r="CP89" i="1"/>
  <c r="CE97" i="1"/>
  <c r="CP97" i="1"/>
  <c r="CG97" i="1"/>
  <c r="CQ97" i="1"/>
  <c r="CC97" i="1"/>
  <c r="CT97" i="1"/>
  <c r="CO97" i="1"/>
  <c r="CQ96" i="1"/>
  <c r="CE96" i="1"/>
  <c r="CG96" i="1"/>
  <c r="CC96" i="1"/>
  <c r="CT96" i="1"/>
  <c r="CP96" i="1"/>
  <c r="CO96" i="1"/>
  <c r="BT107" i="1"/>
  <c r="BZ107" i="1" s="1"/>
  <c r="BT105" i="1"/>
  <c r="BZ105" i="1" s="1"/>
  <c r="BT99" i="1"/>
  <c r="BZ99" i="1" s="1"/>
  <c r="BT103" i="1"/>
  <c r="BZ103" i="1" s="1"/>
  <c r="CE101" i="1"/>
  <c r="BT108" i="1"/>
  <c r="BZ108" i="1" s="1"/>
  <c r="CE104" i="1"/>
  <c r="BT106" i="1"/>
  <c r="BZ106" i="1" s="1"/>
  <c r="BT101" i="1"/>
  <c r="BZ101" i="1" s="1"/>
  <c r="BT102" i="1"/>
  <c r="BZ102" i="1" s="1"/>
  <c r="CQ104" i="1"/>
  <c r="CP104" i="1"/>
  <c r="CT104" i="1"/>
  <c r="CG104" i="1"/>
  <c r="CO104" i="1"/>
  <c r="CO108" i="1"/>
  <c r="CG108" i="1"/>
  <c r="CQ108" i="1"/>
  <c r="CP108" i="1"/>
  <c r="CT108" i="1"/>
  <c r="CE108" i="1"/>
  <c r="CC108" i="1"/>
  <c r="CC104" i="1"/>
  <c r="CP107" i="1"/>
  <c r="CO107" i="1"/>
  <c r="CG107" i="1"/>
  <c r="CT107" i="1"/>
  <c r="CQ107" i="1"/>
  <c r="CC107" i="1"/>
  <c r="CE107" i="1"/>
  <c r="CC100" i="1"/>
  <c r="CG100" i="1"/>
  <c r="CO100" i="1"/>
  <c r="CE100" i="1"/>
  <c r="CT100" i="1"/>
  <c r="CP100" i="1"/>
  <c r="CQ100" i="1"/>
  <c r="CT102" i="1"/>
  <c r="CQ102" i="1"/>
  <c r="CE102" i="1"/>
  <c r="CC102" i="1"/>
  <c r="CP102" i="1"/>
  <c r="CO102" i="1"/>
  <c r="CG102" i="1"/>
  <c r="CQ109" i="1"/>
  <c r="CT109" i="1"/>
  <c r="CG109" i="1"/>
  <c r="CP109" i="1"/>
  <c r="CC109" i="1"/>
  <c r="CE109" i="1"/>
  <c r="CO109" i="1"/>
  <c r="CG99" i="1"/>
  <c r="CT99" i="1"/>
  <c r="CQ99" i="1"/>
  <c r="CE99" i="1"/>
  <c r="CP99" i="1"/>
  <c r="CC99" i="1"/>
  <c r="CO99" i="1"/>
  <c r="CP110" i="1"/>
  <c r="CO110" i="1"/>
  <c r="CG110" i="1"/>
  <c r="CQ110" i="1"/>
  <c r="CE110" i="1"/>
  <c r="CT110" i="1"/>
  <c r="CC103" i="1"/>
  <c r="CO103" i="1"/>
  <c r="CP103" i="1"/>
  <c r="CQ103" i="1"/>
  <c r="CE103" i="1"/>
  <c r="CP106" i="1"/>
  <c r="CO106" i="1"/>
  <c r="CT106" i="1"/>
  <c r="CC106" i="1"/>
  <c r="CQ106" i="1"/>
  <c r="CG106" i="1"/>
  <c r="CE106" i="1"/>
  <c r="CG103" i="1"/>
  <c r="CC110" i="1"/>
  <c r="CT103" i="1"/>
  <c r="CQ105" i="1"/>
  <c r="CO105" i="1"/>
  <c r="CG105" i="1"/>
  <c r="CE105" i="1"/>
  <c r="CC105" i="1"/>
  <c r="CT105" i="1"/>
  <c r="CP105" i="1"/>
  <c r="CQ101" i="1"/>
  <c r="CG101" i="1"/>
  <c r="CC101" i="1"/>
  <c r="CO101" i="1"/>
  <c r="CT101" i="1"/>
  <c r="CP101" i="1"/>
  <c r="BM113" i="1" l="1"/>
  <c r="BK113" i="1"/>
  <c r="BL113" i="1"/>
  <c r="BQ111" i="1"/>
  <c r="BI113" i="1"/>
  <c r="BN113" i="1"/>
  <c r="CA113" i="1" s="1"/>
  <c r="BR112" i="1"/>
  <c r="BO113" i="1"/>
  <c r="BG113" i="1"/>
  <c r="BP112" i="1"/>
  <c r="BS112" i="1" s="1"/>
  <c r="BP111" i="1"/>
  <c r="BS111" i="1" s="1"/>
  <c r="BQ112" i="1"/>
  <c r="BH113" i="1"/>
  <c r="BO111" i="1"/>
  <c r="BJ113" i="1"/>
  <c r="BN111" i="1"/>
  <c r="CA111" i="1" s="1"/>
  <c r="BL111" i="1"/>
  <c r="BG111" i="1"/>
  <c r="BP113" i="1"/>
  <c r="BS113" i="1" s="1"/>
  <c r="BJ112" i="1"/>
  <c r="BH112" i="1"/>
  <c r="BM111" i="1"/>
  <c r="BQ113" i="1"/>
  <c r="BH111" i="1"/>
  <c r="BG112" i="1"/>
  <c r="BL112" i="1"/>
  <c r="BN112" i="1"/>
  <c r="CA112" i="1" s="1"/>
  <c r="BJ111" i="1"/>
  <c r="BK112" i="1"/>
  <c r="BI112" i="1"/>
  <c r="BI111" i="1"/>
  <c r="BK111" i="1"/>
  <c r="BM112" i="1"/>
  <c r="BR113" i="1"/>
  <c r="BO112" i="1"/>
  <c r="BR111" i="1"/>
  <c r="BI115" i="1"/>
  <c r="BJ115" i="1"/>
  <c r="BL114" i="1"/>
  <c r="BM115" i="1"/>
  <c r="BJ114" i="1"/>
  <c r="BR114" i="1"/>
  <c r="BH115" i="1"/>
  <c r="BL115" i="1"/>
  <c r="BN115" i="1"/>
  <c r="CA115" i="1" s="1"/>
  <c r="BM114" i="1"/>
  <c r="BQ114" i="1"/>
  <c r="BG114" i="1"/>
  <c r="BH114" i="1"/>
  <c r="BP115" i="1"/>
  <c r="BS115" i="1" s="1"/>
  <c r="BN114" i="1"/>
  <c r="CA114" i="1" s="1"/>
  <c r="BP114" i="1"/>
  <c r="BS114" i="1" s="1"/>
  <c r="BO115" i="1"/>
  <c r="BT115" i="1" s="1"/>
  <c r="BK114" i="1"/>
  <c r="BR115" i="1"/>
  <c r="BO114" i="1"/>
  <c r="BQ115" i="1"/>
  <c r="BI114" i="1"/>
  <c r="BG115" i="1"/>
  <c r="BK115" i="1"/>
  <c r="AN86" i="1"/>
  <c r="AS92" i="1"/>
  <c r="CX92" i="1"/>
  <c r="CX93" i="1"/>
  <c r="AS93" i="1"/>
  <c r="CX89" i="1"/>
  <c r="AS89" i="1"/>
  <c r="AS98" i="1"/>
  <c r="CX98" i="1"/>
  <c r="AS91" i="1"/>
  <c r="CX91" i="1"/>
  <c r="CX94" i="1"/>
  <c r="AS94" i="1"/>
  <c r="CX88" i="1"/>
  <c r="AS88" i="1"/>
  <c r="AS90" i="1"/>
  <c r="CX90" i="1"/>
  <c r="AS97" i="1"/>
  <c r="CX97" i="1"/>
  <c r="CX86" i="1"/>
  <c r="AS86" i="1"/>
  <c r="AS85" i="1"/>
  <c r="CX85" i="1"/>
  <c r="CX95" i="1"/>
  <c r="AS95" i="1"/>
  <c r="CX96" i="1"/>
  <c r="AS96" i="1"/>
  <c r="CX84" i="1"/>
  <c r="AS84" i="1"/>
  <c r="AS87" i="1"/>
  <c r="CX87" i="1"/>
  <c r="AS99" i="1"/>
  <c r="CX99" i="1"/>
  <c r="AS102" i="1"/>
  <c r="CX102" i="1"/>
  <c r="AS106" i="1"/>
  <c r="CX106" i="1"/>
  <c r="CX104" i="1"/>
  <c r="AS104" i="1"/>
  <c r="CX101" i="1"/>
  <c r="AS101" i="1"/>
  <c r="AS100" i="1"/>
  <c r="CX100" i="1"/>
  <c r="AS105" i="1"/>
  <c r="CX105" i="1"/>
  <c r="CX103" i="1"/>
  <c r="AS103" i="1"/>
  <c r="CX108" i="1"/>
  <c r="AS108" i="1"/>
  <c r="CX109" i="1"/>
  <c r="AS109" i="1"/>
  <c r="AS107" i="1"/>
  <c r="CX107" i="1"/>
  <c r="AS110" i="1"/>
  <c r="CX110" i="1"/>
  <c r="BT114" i="1" l="1"/>
  <c r="BZ114" i="1" s="1"/>
  <c r="BT113" i="1"/>
  <c r="BT112" i="1"/>
  <c r="BZ112" i="1" s="1"/>
  <c r="BZ115" i="1"/>
  <c r="BZ113" i="1"/>
  <c r="BT111" i="1"/>
  <c r="BZ111" i="1" s="1"/>
  <c r="CQ111" i="1"/>
  <c r="CG111" i="1"/>
  <c r="CT111" i="1"/>
  <c r="CC111" i="1"/>
  <c r="CP111" i="1"/>
  <c r="CO111" i="1"/>
  <c r="CE111" i="1"/>
  <c r="CT113" i="1"/>
  <c r="CP113" i="1"/>
  <c r="CC113" i="1"/>
  <c r="CQ113" i="1"/>
  <c r="CG113" i="1"/>
  <c r="CO113" i="1"/>
  <c r="CE113" i="1"/>
  <c r="CC112" i="1"/>
  <c r="CT112" i="1"/>
  <c r="CG112" i="1"/>
  <c r="CQ112" i="1"/>
  <c r="CO112" i="1"/>
  <c r="CE112" i="1"/>
  <c r="CP112" i="1"/>
  <c r="BV111" i="1"/>
  <c r="BV112" i="1" s="1"/>
  <c r="BV113" i="1" s="1"/>
  <c r="BV114" i="1" s="1"/>
  <c r="BV115" i="1" s="1"/>
  <c r="CQ115" i="1"/>
  <c r="CC115" i="1"/>
  <c r="CO115" i="1"/>
  <c r="CT115" i="1"/>
  <c r="CP115" i="1"/>
  <c r="CE115" i="1"/>
  <c r="CG115" i="1"/>
  <c r="CF119" i="1"/>
  <c r="CF120" i="1" s="1"/>
  <c r="CD120" i="1" s="1"/>
  <c r="BU113" i="1" s="1"/>
  <c r="AO113" i="1" s="1"/>
  <c r="CT114" i="1"/>
  <c r="CP114" i="1"/>
  <c r="CE114" i="1"/>
  <c r="CO114" i="1"/>
  <c r="CQ114" i="1"/>
  <c r="CG114" i="1"/>
  <c r="CC114" i="1"/>
  <c r="CK96" i="1"/>
  <c r="CW96" i="1"/>
  <c r="AU96" i="1" s="1"/>
  <c r="CI96" i="1"/>
  <c r="CU96" i="1"/>
  <c r="CL96" i="1" s="1"/>
  <c r="CN96" i="1"/>
  <c r="CM96" i="1"/>
  <c r="CW97" i="1"/>
  <c r="AU97" i="1" s="1"/>
  <c r="CM97" i="1"/>
  <c r="CI97" i="1"/>
  <c r="CU97" i="1"/>
  <c r="CN97" i="1"/>
  <c r="CK97" i="1"/>
  <c r="CI98" i="1"/>
  <c r="CN98" i="1"/>
  <c r="CU98" i="1"/>
  <c r="CM98" i="1"/>
  <c r="CK98" i="1"/>
  <c r="CW98" i="1"/>
  <c r="AU98" i="1" s="1"/>
  <c r="AN87" i="1"/>
  <c r="CW95" i="1"/>
  <c r="AU95" i="1" s="1"/>
  <c r="CK95" i="1"/>
  <c r="CN95" i="1"/>
  <c r="CM95" i="1"/>
  <c r="CI95" i="1"/>
  <c r="CU95" i="1"/>
  <c r="CL95" i="1" s="1"/>
  <c r="CI93" i="1"/>
  <c r="CJ93" i="1"/>
  <c r="CK93" i="1"/>
  <c r="CN93" i="1"/>
  <c r="CM93" i="1"/>
  <c r="CW93" i="1"/>
  <c r="AU93" i="1" s="1"/>
  <c r="CU93" i="1"/>
  <c r="CU94" i="1"/>
  <c r="CL94" i="1" s="1"/>
  <c r="CM94" i="1"/>
  <c r="CI94" i="1"/>
  <c r="CK94" i="1"/>
  <c r="CN94" i="1"/>
  <c r="CW94" i="1"/>
  <c r="AU94" i="1" s="1"/>
  <c r="CK92" i="1"/>
  <c r="CN92" i="1"/>
  <c r="CU92" i="1"/>
  <c r="CW92" i="1"/>
  <c r="AU92" i="1" s="1"/>
  <c r="CM92" i="1"/>
  <c r="CI92" i="1"/>
  <c r="CW90" i="1"/>
  <c r="AU90" i="1" s="1"/>
  <c r="CN90" i="1"/>
  <c r="CM90" i="1"/>
  <c r="CI90" i="1"/>
  <c r="CK90" i="1"/>
  <c r="CU90" i="1"/>
  <c r="CL90" i="1" s="1"/>
  <c r="CM91" i="1"/>
  <c r="CN91" i="1"/>
  <c r="CW91" i="1"/>
  <c r="AU91" i="1" s="1"/>
  <c r="CK91" i="1"/>
  <c r="CU91" i="1"/>
  <c r="CI91" i="1"/>
  <c r="CN89" i="1"/>
  <c r="CW89" i="1"/>
  <c r="AU89" i="1" s="1"/>
  <c r="CM89" i="1"/>
  <c r="CK89" i="1"/>
  <c r="CU89" i="1"/>
  <c r="CI89" i="1"/>
  <c r="CJ88" i="1"/>
  <c r="CI88" i="1"/>
  <c r="CN88" i="1"/>
  <c r="CU88" i="1"/>
  <c r="CK88" i="1"/>
  <c r="CM88" i="1"/>
  <c r="CW88" i="1"/>
  <c r="AU88" i="1" s="1"/>
  <c r="AN88" i="1"/>
  <c r="CW86" i="1"/>
  <c r="AU86" i="1" s="1"/>
  <c r="CN86" i="1"/>
  <c r="CU86" i="1"/>
  <c r="CK86" i="1"/>
  <c r="CI86" i="1"/>
  <c r="CM86" i="1"/>
  <c r="CK84" i="1"/>
  <c r="CW84" i="1"/>
  <c r="AU84" i="1" s="1"/>
  <c r="CN84" i="1"/>
  <c r="CI84" i="1"/>
  <c r="CM84" i="1"/>
  <c r="CU84" i="1"/>
  <c r="CW87" i="1"/>
  <c r="AU87" i="1" s="1"/>
  <c r="CN87" i="1"/>
  <c r="CI87" i="1"/>
  <c r="CK87" i="1"/>
  <c r="CM87" i="1"/>
  <c r="CU87" i="1"/>
  <c r="CK85" i="1"/>
  <c r="CM85" i="1"/>
  <c r="CW85" i="1"/>
  <c r="AU85" i="1" s="1"/>
  <c r="CI85" i="1"/>
  <c r="CN85" i="1"/>
  <c r="CU85" i="1"/>
  <c r="CJ84" i="1"/>
  <c r="AN103" i="1"/>
  <c r="CU100" i="1"/>
  <c r="CN100" i="1"/>
  <c r="CK100" i="1"/>
  <c r="CI100" i="1"/>
  <c r="CW100" i="1"/>
  <c r="AU100" i="1" s="1"/>
  <c r="CM100" i="1"/>
  <c r="CI102" i="1"/>
  <c r="CW102" i="1"/>
  <c r="AU102" i="1" s="1"/>
  <c r="CK102" i="1"/>
  <c r="CN102" i="1"/>
  <c r="CM102" i="1"/>
  <c r="CU102" i="1"/>
  <c r="CK108" i="1"/>
  <c r="CI108" i="1"/>
  <c r="CM108" i="1"/>
  <c r="CW108" i="1"/>
  <c r="AU108" i="1" s="1"/>
  <c r="CU108" i="1"/>
  <c r="CL108" i="1" s="1"/>
  <c r="CN108" i="1"/>
  <c r="CN103" i="1"/>
  <c r="CM103" i="1"/>
  <c r="CU103" i="1"/>
  <c r="CL103" i="1" s="1"/>
  <c r="CI103" i="1"/>
  <c r="CK103" i="1"/>
  <c r="CW103" i="1"/>
  <c r="AU103" i="1" s="1"/>
  <c r="CN101" i="1"/>
  <c r="CI101" i="1"/>
  <c r="CK101" i="1"/>
  <c r="CM101" i="1"/>
  <c r="CW101" i="1"/>
  <c r="AU101" i="1" s="1"/>
  <c r="CU101" i="1"/>
  <c r="CM107" i="1"/>
  <c r="CK107" i="1"/>
  <c r="CW107" i="1"/>
  <c r="AU107" i="1" s="1"/>
  <c r="CI107" i="1"/>
  <c r="CN107" i="1"/>
  <c r="CU107" i="1"/>
  <c r="CW99" i="1"/>
  <c r="AU99" i="1" s="1"/>
  <c r="CN99" i="1"/>
  <c r="CU99" i="1"/>
  <c r="CK99" i="1"/>
  <c r="CI99" i="1"/>
  <c r="CM99" i="1"/>
  <c r="CK110" i="1"/>
  <c r="CM110" i="1"/>
  <c r="CI110" i="1"/>
  <c r="CW110" i="1"/>
  <c r="AU110" i="1" s="1"/>
  <c r="CN110" i="1"/>
  <c r="CU110" i="1"/>
  <c r="CM109" i="1"/>
  <c r="CN109" i="1"/>
  <c r="CI109" i="1"/>
  <c r="CU109" i="1"/>
  <c r="CV109" i="1" s="1"/>
  <c r="AT109" i="1" s="1"/>
  <c r="CR109" i="1" s="1"/>
  <c r="CK109" i="1"/>
  <c r="CW109" i="1"/>
  <c r="AU109" i="1" s="1"/>
  <c r="CM106" i="1"/>
  <c r="CK106" i="1"/>
  <c r="CW106" i="1"/>
  <c r="AU106" i="1" s="1"/>
  <c r="CN106" i="1"/>
  <c r="CI106" i="1"/>
  <c r="CU106" i="1"/>
  <c r="CK105" i="1"/>
  <c r="CM105" i="1"/>
  <c r="CN105" i="1"/>
  <c r="CU105" i="1"/>
  <c r="CV105" i="1" s="1"/>
  <c r="AT105" i="1" s="1"/>
  <c r="CR105" i="1" s="1"/>
  <c r="CW105" i="1"/>
  <c r="AU105" i="1" s="1"/>
  <c r="CI105" i="1"/>
  <c r="CK104" i="1"/>
  <c r="CI104" i="1"/>
  <c r="CN104" i="1"/>
  <c r="CM104" i="1"/>
  <c r="CU104" i="1"/>
  <c r="CW104" i="1"/>
  <c r="AU104" i="1" s="1"/>
  <c r="BZ117" i="1" l="1"/>
  <c r="BZ82" i="1"/>
  <c r="BU112" i="1"/>
  <c r="AO112" i="1" s="1"/>
  <c r="BU111" i="1"/>
  <c r="AO111" i="1" s="1"/>
  <c r="BU96" i="1"/>
  <c r="AO96" i="1" s="1"/>
  <c r="AS113" i="1"/>
  <c r="CX113" i="1"/>
  <c r="AS112" i="1"/>
  <c r="CX112" i="1"/>
  <c r="CX111" i="1"/>
  <c r="AS111" i="1"/>
  <c r="CC117" i="1"/>
  <c r="BU109" i="1"/>
  <c r="AO109" i="1" s="1"/>
  <c r="CO80" i="1"/>
  <c r="BU105" i="1"/>
  <c r="AO105" i="1" s="1"/>
  <c r="BU87" i="1"/>
  <c r="AO87" i="1" s="1"/>
  <c r="BU100" i="1"/>
  <c r="AO100" i="1" s="1"/>
  <c r="BU115" i="1"/>
  <c r="AO115" i="1" s="1"/>
  <c r="CX115" i="1"/>
  <c r="AS115" i="1"/>
  <c r="CQ80" i="1"/>
  <c r="CE117" i="1"/>
  <c r="CF117" i="1" s="1"/>
  <c r="CP80" i="1"/>
  <c r="BU114" i="1"/>
  <c r="AO114" i="1" s="1"/>
  <c r="CG117" i="1"/>
  <c r="CH119" i="1"/>
  <c r="CH120" i="1" s="1"/>
  <c r="CX114" i="1"/>
  <c r="AS114" i="1"/>
  <c r="BU102" i="1"/>
  <c r="AO102" i="1" s="1"/>
  <c r="BU94" i="1"/>
  <c r="AO94" i="1" s="1"/>
  <c r="BU89" i="1"/>
  <c r="BU90" i="1"/>
  <c r="AO90" i="1" s="1"/>
  <c r="BU106" i="1"/>
  <c r="AO106" i="1" s="1"/>
  <c r="BU99" i="1"/>
  <c r="AO99" i="1" s="1"/>
  <c r="BU108" i="1"/>
  <c r="AO108" i="1" s="1"/>
  <c r="BU85" i="1"/>
  <c r="AO85" i="1" s="1"/>
  <c r="BU101" i="1"/>
  <c r="AO101" i="1" s="1"/>
  <c r="BU110" i="1"/>
  <c r="AO110" i="1" s="1"/>
  <c r="BU95" i="1"/>
  <c r="AO95" i="1" s="1"/>
  <c r="BU92" i="1"/>
  <c r="BU86" i="1"/>
  <c r="AO86" i="1" s="1"/>
  <c r="CL97" i="1"/>
  <c r="CV97" i="1"/>
  <c r="AT97" i="1" s="1"/>
  <c r="CR97" i="1" s="1"/>
  <c r="CV98" i="1"/>
  <c r="AT98" i="1" s="1"/>
  <c r="CR98" i="1" s="1"/>
  <c r="BW98" i="1"/>
  <c r="CZ98" i="1"/>
  <c r="CL98" i="1"/>
  <c r="CY98" i="1"/>
  <c r="BW93" i="1"/>
  <c r="CY93" i="1"/>
  <c r="CZ93" i="1"/>
  <c r="CL100" i="1"/>
  <c r="CV100" i="1"/>
  <c r="AT100" i="1" s="1"/>
  <c r="CR100" i="1" s="1"/>
  <c r="BW96" i="1"/>
  <c r="CV96" i="1"/>
  <c r="AT96" i="1" s="1"/>
  <c r="CR96" i="1" s="1"/>
  <c r="CZ96" i="1"/>
  <c r="CY96" i="1"/>
  <c r="BW94" i="1"/>
  <c r="CV94" i="1"/>
  <c r="AT94" i="1" s="1"/>
  <c r="CR94" i="1" s="1"/>
  <c r="CZ94" i="1"/>
  <c r="CY94" i="1"/>
  <c r="AN89" i="1"/>
  <c r="CL93" i="1"/>
  <c r="BU97" i="1"/>
  <c r="AO97" i="1" s="1"/>
  <c r="BW95" i="1"/>
  <c r="CV95" i="1"/>
  <c r="AT95" i="1" s="1"/>
  <c r="CR95" i="1" s="1"/>
  <c r="CY95" i="1"/>
  <c r="CZ95" i="1"/>
  <c r="BW97" i="1"/>
  <c r="CJ97" i="1" s="1"/>
  <c r="CZ97" i="1"/>
  <c r="CY97" i="1"/>
  <c r="CY92" i="1"/>
  <c r="CZ92" i="1"/>
  <c r="CY91" i="1"/>
  <c r="CZ91" i="1"/>
  <c r="CY90" i="1"/>
  <c r="CZ90" i="1"/>
  <c r="CY89" i="1"/>
  <c r="CZ89" i="1"/>
  <c r="CL89" i="1"/>
  <c r="CV91" i="1"/>
  <c r="AT91" i="1" s="1"/>
  <c r="CR91" i="1" s="1"/>
  <c r="BW91" i="1"/>
  <c r="CJ91" i="1" s="1"/>
  <c r="BW89" i="1"/>
  <c r="CJ89" i="1" s="1"/>
  <c r="CV89" i="1"/>
  <c r="AT89" i="1" s="1"/>
  <c r="CR89" i="1" s="1"/>
  <c r="CV92" i="1"/>
  <c r="AT92" i="1" s="1"/>
  <c r="CR92" i="1" s="1"/>
  <c r="CL92" i="1"/>
  <c r="BW92" i="1"/>
  <c r="CJ92" i="1" s="1"/>
  <c r="BW90" i="1"/>
  <c r="CJ90" i="1" s="1"/>
  <c r="CV90" i="1"/>
  <c r="AT90" i="1" s="1"/>
  <c r="CR90" i="1" s="1"/>
  <c r="CL91" i="1"/>
  <c r="CL88" i="1"/>
  <c r="CZ88" i="1"/>
  <c r="CY88" i="1"/>
  <c r="BW88" i="1"/>
  <c r="CV88" i="1"/>
  <c r="AT88" i="1" s="1"/>
  <c r="CR88" i="1" s="1"/>
  <c r="CV85" i="1"/>
  <c r="AT85" i="1" s="1"/>
  <c r="CZ85" i="1"/>
  <c r="CY85" i="1"/>
  <c r="BW85" i="1"/>
  <c r="CZ86" i="1"/>
  <c r="CV86" i="1"/>
  <c r="AT86" i="1" s="1"/>
  <c r="BW86" i="1"/>
  <c r="CY86" i="1"/>
  <c r="CY84" i="1"/>
  <c r="BW84" i="1"/>
  <c r="CZ84" i="1"/>
  <c r="CL86" i="1"/>
  <c r="CL84" i="1"/>
  <c r="BW87" i="1"/>
  <c r="CV87" i="1"/>
  <c r="AT87" i="1" s="1"/>
  <c r="CZ87" i="1"/>
  <c r="CY87" i="1"/>
  <c r="CL87" i="1"/>
  <c r="CL85" i="1"/>
  <c r="AN107" i="1"/>
  <c r="BU104" i="1"/>
  <c r="BW107" i="1"/>
  <c r="CV107" i="1"/>
  <c r="AT107" i="1" s="1"/>
  <c r="CR107" i="1" s="1"/>
  <c r="CY107" i="1"/>
  <c r="CZ107" i="1"/>
  <c r="CV110" i="1"/>
  <c r="AT110" i="1" s="1"/>
  <c r="CR110" i="1" s="1"/>
  <c r="BW110" i="1"/>
  <c r="CY110" i="1"/>
  <c r="CZ110" i="1"/>
  <c r="BW108" i="1"/>
  <c r="CV108" i="1"/>
  <c r="AT108" i="1" s="1"/>
  <c r="CZ108" i="1"/>
  <c r="CY108" i="1"/>
  <c r="CZ105" i="1"/>
  <c r="CY105" i="1"/>
  <c r="CL105" i="1"/>
  <c r="BW105" i="1"/>
  <c r="CJ105" i="1" s="1"/>
  <c r="CL110" i="1"/>
  <c r="CL107" i="1"/>
  <c r="BW109" i="1"/>
  <c r="CJ109" i="1" s="1"/>
  <c r="CY109" i="1"/>
  <c r="CL109" i="1"/>
  <c r="CZ109" i="1"/>
  <c r="CV99" i="1"/>
  <c r="AT99" i="1" s="1"/>
  <c r="CR99" i="1" s="1"/>
  <c r="CY99" i="1"/>
  <c r="BW99" i="1"/>
  <c r="CZ99" i="1"/>
  <c r="CL99" i="1"/>
  <c r="BW106" i="1"/>
  <c r="CZ106" i="1"/>
  <c r="CV106" i="1"/>
  <c r="AT106" i="1" s="1"/>
  <c r="CR106" i="1" s="1"/>
  <c r="CY106" i="1"/>
  <c r="BW104" i="1"/>
  <c r="CZ104" i="1"/>
  <c r="CV104" i="1"/>
  <c r="AT104" i="1" s="1"/>
  <c r="CY104" i="1"/>
  <c r="CL104" i="1"/>
  <c r="CL106" i="1"/>
  <c r="CV101" i="1"/>
  <c r="AT101" i="1" s="1"/>
  <c r="CR101" i="1" s="1"/>
  <c r="CZ101" i="1"/>
  <c r="BW101" i="1"/>
  <c r="CY101" i="1"/>
  <c r="CL101" i="1"/>
  <c r="BW103" i="1"/>
  <c r="CV103" i="1"/>
  <c r="AT103" i="1" s="1"/>
  <c r="CR103" i="1" s="1"/>
  <c r="CY103" i="1"/>
  <c r="CZ103" i="1"/>
  <c r="CV102" i="1"/>
  <c r="AT102" i="1" s="1"/>
  <c r="CR102" i="1" s="1"/>
  <c r="CY102" i="1"/>
  <c r="CZ102" i="1"/>
  <c r="CL102" i="1"/>
  <c r="BW102" i="1"/>
  <c r="CZ100" i="1"/>
  <c r="BW100" i="1"/>
  <c r="CJ100" i="1" s="1"/>
  <c r="CY100" i="1"/>
  <c r="CU113" i="1" l="1"/>
  <c r="CK113" i="1"/>
  <c r="CI113" i="1"/>
  <c r="CM113" i="1"/>
  <c r="CW113" i="1"/>
  <c r="AU113" i="1" s="1"/>
  <c r="CN113" i="1"/>
  <c r="CK112" i="1"/>
  <c r="CU112" i="1"/>
  <c r="CW112" i="1"/>
  <c r="AU112" i="1" s="1"/>
  <c r="CN112" i="1"/>
  <c r="CM112" i="1"/>
  <c r="CI112" i="1"/>
  <c r="CW111" i="1"/>
  <c r="AU111" i="1" s="1"/>
  <c r="CU111" i="1"/>
  <c r="CN111" i="1"/>
  <c r="CI111" i="1"/>
  <c r="CM111" i="1"/>
  <c r="CK111" i="1"/>
  <c r="AO89" i="1"/>
  <c r="BC81" i="1"/>
  <c r="CH117" i="1"/>
  <c r="CH121" i="1" s="1"/>
  <c r="AQ117" i="1" s="1"/>
  <c r="BU98" i="1"/>
  <c r="AO98" i="1" s="1"/>
  <c r="BU91" i="1"/>
  <c r="AO91" i="1" s="1"/>
  <c r="AO92" i="1"/>
  <c r="CN115" i="1"/>
  <c r="CI115" i="1"/>
  <c r="CU115" i="1"/>
  <c r="CM115" i="1"/>
  <c r="CK115" i="1"/>
  <c r="CW115" i="1"/>
  <c r="AU115" i="1" s="1"/>
  <c r="CK114" i="1"/>
  <c r="CN114" i="1"/>
  <c r="CM114" i="1"/>
  <c r="CU114" i="1"/>
  <c r="CW114" i="1"/>
  <c r="AU114" i="1" s="1"/>
  <c r="CI114" i="1"/>
  <c r="BU84" i="1"/>
  <c r="AO84" i="1" s="1"/>
  <c r="BU107" i="1"/>
  <c r="AO107" i="1" s="1"/>
  <c r="AO104" i="1"/>
  <c r="BU103" i="1"/>
  <c r="AO103" i="1" s="1"/>
  <c r="AN90" i="1"/>
  <c r="AN91" i="1" s="1"/>
  <c r="BU93" i="1"/>
  <c r="AO93" i="1" s="1"/>
  <c r="BY98" i="1"/>
  <c r="CD98" i="1"/>
  <c r="CH98" i="1" s="1"/>
  <c r="CF98" i="1"/>
  <c r="CJ98" i="1"/>
  <c r="BY93" i="1"/>
  <c r="CB93" i="1" s="1"/>
  <c r="CS93" i="1" s="1"/>
  <c r="CF93" i="1"/>
  <c r="CD93" i="1"/>
  <c r="CH93" i="1" s="1"/>
  <c r="BY96" i="1"/>
  <c r="CD96" i="1"/>
  <c r="CH96" i="1" s="1"/>
  <c r="CF96" i="1"/>
  <c r="CJ96" i="1"/>
  <c r="BY94" i="1"/>
  <c r="CF94" i="1"/>
  <c r="CD94" i="1"/>
  <c r="CH94" i="1" s="1"/>
  <c r="CJ94" i="1"/>
  <c r="BY95" i="1"/>
  <c r="CD95" i="1"/>
  <c r="CH95" i="1" s="1"/>
  <c r="CF95" i="1"/>
  <c r="CJ95" i="1"/>
  <c r="BY97" i="1"/>
  <c r="CF97" i="1"/>
  <c r="CD97" i="1"/>
  <c r="CH97" i="1" s="1"/>
  <c r="BY90" i="1"/>
  <c r="CF90" i="1"/>
  <c r="CD90" i="1"/>
  <c r="CH90" i="1" s="1"/>
  <c r="BY92" i="1"/>
  <c r="CD92" i="1"/>
  <c r="CH92" i="1" s="1"/>
  <c r="CF92" i="1"/>
  <c r="BY89" i="1"/>
  <c r="CB89" i="1" s="1"/>
  <c r="CS89" i="1" s="1"/>
  <c r="CD89" i="1"/>
  <c r="CH89" i="1" s="1"/>
  <c r="CF89" i="1"/>
  <c r="CD91" i="1"/>
  <c r="CH91" i="1" s="1"/>
  <c r="CF91" i="1"/>
  <c r="BY91" i="1"/>
  <c r="BY88" i="1"/>
  <c r="CB88" i="1" s="1"/>
  <c r="CS88" i="1" s="1"/>
  <c r="CF88" i="1"/>
  <c r="CD88" i="1"/>
  <c r="CH88" i="1" s="1"/>
  <c r="CB86" i="1"/>
  <c r="CR86" i="1"/>
  <c r="CF85" i="1"/>
  <c r="CD85" i="1"/>
  <c r="CH85" i="1" s="1"/>
  <c r="CJ85" i="1"/>
  <c r="BY85" i="1"/>
  <c r="CR87" i="1"/>
  <c r="CB87" i="1"/>
  <c r="CD87" i="1"/>
  <c r="CH87" i="1" s="1"/>
  <c r="CF87" i="1"/>
  <c r="BY87" i="1"/>
  <c r="CJ87" i="1"/>
  <c r="CD84" i="1"/>
  <c r="CH84" i="1" s="1"/>
  <c r="CF84" i="1"/>
  <c r="BY84" i="1"/>
  <c r="CB84" i="1" s="1"/>
  <c r="CS84" i="1" s="1"/>
  <c r="CD86" i="1"/>
  <c r="CH86" i="1" s="1"/>
  <c r="CJ86" i="1"/>
  <c r="CF86" i="1"/>
  <c r="BY86" i="1"/>
  <c r="CR85" i="1"/>
  <c r="CB85" i="1"/>
  <c r="CR108" i="1"/>
  <c r="BY104" i="1"/>
  <c r="CD104" i="1"/>
  <c r="CH104" i="1" s="1"/>
  <c r="CF104" i="1"/>
  <c r="CJ104" i="1"/>
  <c r="BY103" i="1"/>
  <c r="CB103" i="1" s="1"/>
  <c r="CD103" i="1"/>
  <c r="CH103" i="1" s="1"/>
  <c r="CF103" i="1"/>
  <c r="CJ103" i="1"/>
  <c r="BY100" i="1"/>
  <c r="CD100" i="1"/>
  <c r="CH100" i="1" s="1"/>
  <c r="CF100" i="1"/>
  <c r="CR104" i="1"/>
  <c r="CJ108" i="1"/>
  <c r="BY108" i="1"/>
  <c r="CF108" i="1"/>
  <c r="CD108" i="1"/>
  <c r="CH108" i="1" s="1"/>
  <c r="CJ110" i="1"/>
  <c r="BY110" i="1"/>
  <c r="CF110" i="1"/>
  <c r="CD110" i="1"/>
  <c r="CH110" i="1" s="1"/>
  <c r="CF101" i="1"/>
  <c r="CD101" i="1"/>
  <c r="CH101" i="1" s="1"/>
  <c r="CJ101" i="1"/>
  <c r="BY101" i="1"/>
  <c r="BY109" i="1"/>
  <c r="CD109" i="1"/>
  <c r="CH109" i="1" s="1"/>
  <c r="CF109" i="1"/>
  <c r="BY102" i="1"/>
  <c r="CF102" i="1"/>
  <c r="CD102" i="1"/>
  <c r="CH102" i="1" s="1"/>
  <c r="CJ102" i="1"/>
  <c r="BY106" i="1"/>
  <c r="CF106" i="1"/>
  <c r="CD106" i="1"/>
  <c r="CH106" i="1" s="1"/>
  <c r="CJ106" i="1"/>
  <c r="BY105" i="1"/>
  <c r="CF105" i="1"/>
  <c r="CD105" i="1"/>
  <c r="CH105" i="1" s="1"/>
  <c r="BY99" i="1"/>
  <c r="CF99" i="1"/>
  <c r="CD99" i="1"/>
  <c r="CH99" i="1" s="1"/>
  <c r="CJ99" i="1"/>
  <c r="CD107" i="1"/>
  <c r="CH107" i="1" s="1"/>
  <c r="CF107" i="1"/>
  <c r="CJ107" i="1"/>
  <c r="BY107" i="1"/>
  <c r="CB107" i="1" s="1"/>
  <c r="CZ115" i="1" l="1"/>
  <c r="CZ114" i="1"/>
  <c r="CZ113" i="1"/>
  <c r="CL113" i="1"/>
  <c r="CY113" i="1"/>
  <c r="BW113" i="1"/>
  <c r="CV113" i="1"/>
  <c r="AT113" i="1" s="1"/>
  <c r="CR113" i="1" s="1"/>
  <c r="CZ112" i="1"/>
  <c r="CV112" i="1"/>
  <c r="AT112" i="1" s="1"/>
  <c r="CR112" i="1" s="1"/>
  <c r="CL112" i="1"/>
  <c r="CY112" i="1"/>
  <c r="BW112" i="1"/>
  <c r="CL111" i="1"/>
  <c r="CZ111" i="1"/>
  <c r="CY111" i="1"/>
  <c r="CV111" i="1"/>
  <c r="AT111" i="1" s="1"/>
  <c r="CR111" i="1" s="1"/>
  <c r="BW111" i="1"/>
  <c r="CL115" i="1"/>
  <c r="CY115" i="1"/>
  <c r="CL114" i="1"/>
  <c r="CY114" i="1"/>
  <c r="CM80" i="1"/>
  <c r="BW115" i="1"/>
  <c r="CJ115" i="1" s="1"/>
  <c r="CV115" i="1"/>
  <c r="AT115" i="1" s="1"/>
  <c r="CR115" i="1" s="1"/>
  <c r="BW114" i="1"/>
  <c r="CJ114" i="1" s="1"/>
  <c r="CV114" i="1"/>
  <c r="AT114" i="1" s="1"/>
  <c r="CR114" i="1" s="1"/>
  <c r="CN80" i="1"/>
  <c r="CK80" i="1"/>
  <c r="AT117" i="1" s="1"/>
  <c r="BU88" i="1"/>
  <c r="CB90" i="1"/>
  <c r="CS90" i="1" s="1"/>
  <c r="AN92" i="1"/>
  <c r="CB91" i="1"/>
  <c r="CS91" i="1" s="1"/>
  <c r="AN98" i="1"/>
  <c r="CB98" i="1" s="1"/>
  <c r="CS98" i="1" s="1"/>
  <c r="CS86" i="1"/>
  <c r="CS85" i="1"/>
  <c r="CS87" i="1"/>
  <c r="CS103" i="1"/>
  <c r="CS107" i="1"/>
  <c r="BY113" i="1" l="1"/>
  <c r="CJ113" i="1"/>
  <c r="CF113" i="1"/>
  <c r="CD113" i="1"/>
  <c r="CH113" i="1" s="1"/>
  <c r="CJ112" i="1"/>
  <c r="BY112" i="1"/>
  <c r="CF112" i="1"/>
  <c r="CD112" i="1"/>
  <c r="CH112" i="1" s="1"/>
  <c r="CJ111" i="1"/>
  <c r="CD111" i="1"/>
  <c r="CH111" i="1" s="1"/>
  <c r="BY111" i="1"/>
  <c r="CF111" i="1"/>
  <c r="CL80" i="1"/>
  <c r="BY114" i="1"/>
  <c r="CD114" i="1"/>
  <c r="CF114" i="1"/>
  <c r="BY115" i="1"/>
  <c r="CD115" i="1"/>
  <c r="CH115" i="1" s="1"/>
  <c r="CF115" i="1"/>
  <c r="AO88" i="1"/>
  <c r="BU119" i="1"/>
  <c r="AN94" i="1"/>
  <c r="CB92" i="1"/>
  <c r="CS92" i="1" s="1"/>
  <c r="CH114" i="1" l="1"/>
  <c r="CD117" i="1"/>
  <c r="CD121" i="1" s="1"/>
  <c r="BY82" i="1"/>
  <c r="AV117" i="1" s="1"/>
  <c r="BY117" i="1"/>
  <c r="AN95" i="1"/>
  <c r="CB94" i="1"/>
  <c r="CS94" i="1" s="1"/>
  <c r="CJ80" i="1" l="1"/>
  <c r="BG121" i="1" s="1"/>
  <c r="AR117" i="1"/>
  <c r="BG124" i="1" s="1"/>
  <c r="BG125" i="1" s="1"/>
  <c r="CI80" i="1"/>
  <c r="BG120" i="1" s="1"/>
  <c r="BC82" i="1"/>
  <c r="CD122" i="1"/>
  <c r="AN117" i="1" s="1"/>
  <c r="CB95" i="1"/>
  <c r="CS95" i="1" s="1"/>
  <c r="AN96" i="1"/>
  <c r="DA115" i="1" l="1"/>
  <c r="BC116" i="1"/>
  <c r="BC117" i="1"/>
  <c r="BA117" i="1"/>
  <c r="BA116" i="1"/>
  <c r="DA110" i="1"/>
  <c r="AN97" i="1"/>
  <c r="CB96" i="1"/>
  <c r="CS96" i="1" s="1"/>
  <c r="CB97" i="1" l="1"/>
  <c r="CS97" i="1" s="1"/>
  <c r="AN99" i="1"/>
  <c r="AN100" i="1" l="1"/>
  <c r="AN101" i="1" s="1"/>
  <c r="CB101" i="1" s="1"/>
  <c r="CS101" i="1" s="1"/>
  <c r="CB99" i="1"/>
  <c r="CS99" i="1" s="1"/>
  <c r="CB100" i="1" l="1"/>
  <c r="CS100" i="1" s="1"/>
  <c r="AN102" i="1"/>
  <c r="CB102" i="1" s="1"/>
  <c r="CS102" i="1" s="1"/>
  <c r="AN104" i="1" l="1"/>
  <c r="CB104" i="1" l="1"/>
  <c r="CS104" i="1" s="1"/>
  <c r="AN105" i="1"/>
  <c r="AN106" i="1" l="1"/>
  <c r="CB105" i="1"/>
  <c r="CS105" i="1" s="1"/>
  <c r="CB106" i="1" l="1"/>
  <c r="CS106" i="1" s="1"/>
  <c r="AN108" i="1"/>
  <c r="CB108" i="1" l="1"/>
  <c r="CS108" i="1" s="1"/>
  <c r="AN109" i="1"/>
  <c r="CB109" i="1" s="1"/>
  <c r="CS109" i="1" s="1"/>
  <c r="AN110" i="1" l="1"/>
  <c r="CB110" i="1" l="1"/>
  <c r="CS110" i="1" s="1"/>
  <c r="AN111" i="1"/>
  <c r="AN112" i="1" l="1"/>
  <c r="CB111" i="1"/>
  <c r="CS111" i="1" s="1"/>
  <c r="CB112" i="1" l="1"/>
  <c r="CS112" i="1" s="1"/>
  <c r="AN113" i="1"/>
  <c r="CB113" i="1" l="1"/>
  <c r="CS113" i="1" s="1"/>
  <c r="AN114" i="1"/>
  <c r="CB114" i="1" l="1"/>
  <c r="CS114" i="1" s="1"/>
  <c r="AN115" i="1"/>
  <c r="CB115" i="1" s="1"/>
  <c r="CS11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Work PC of Evil</author>
    <author>William Gray</author>
  </authors>
  <commentList>
    <comment ref="C2" authorId="0" shapeId="0" xr:uid="{95490FCD-8080-45B9-9AF0-530DD91CBBB0}">
      <text>
        <r>
          <rPr>
            <sz val="9"/>
            <color indexed="81"/>
            <rFont val="Tahoma"/>
            <family val="2"/>
          </rPr>
          <t>Enter the date of the current gradesheet in the following format: YYYYMMDD</t>
        </r>
      </text>
    </comment>
    <comment ref="A6" authorId="0" shapeId="0" xr:uid="{D252FC26-0414-4415-AA7A-E4AC4EB07CF5}">
      <text>
        <r>
          <rPr>
            <sz val="9"/>
            <color indexed="81"/>
            <rFont val="Tahoma"/>
            <family val="2"/>
          </rPr>
          <t>Select the courses that the gradesheet applies to.</t>
        </r>
      </text>
    </comment>
    <comment ref="A11" authorId="0" shapeId="0" xr:uid="{7790C9AD-9276-477D-A610-6DA131D15105}">
      <text>
        <r>
          <rPr>
            <sz val="9"/>
            <color indexed="81"/>
            <rFont val="Tahoma"/>
            <family val="2"/>
          </rPr>
          <t xml:space="preserve">If there are tasks with '0' required, then a bonus score is indicated. This number is the maximum bonus score (as a percentage of the non-bonus points) that is possible. </t>
        </r>
      </text>
    </comment>
    <comment ref="A12" authorId="1" shapeId="0" xr:uid="{E3133F5C-F2C2-483D-AC91-98FBE35DCEB4}">
      <text>
        <r>
          <rPr>
            <sz val="9"/>
            <color indexed="81"/>
            <rFont val="Tahoma"/>
            <family val="2"/>
          </rPr>
          <t>A test is an event that has Stud Qual/Attempt tasks (at least 1 req'd) that, if not accomplished, result in the task grade for a '0' without incompleting the event. These rides, if incomplete, would normally be reflown "from scratch."</t>
        </r>
      </text>
    </comment>
    <comment ref="D14" authorId="0" shapeId="0" xr:uid="{BE59D410-4452-4845-9622-8543E1077B02}">
      <text>
        <r>
          <rPr>
            <sz val="9"/>
            <color indexed="81"/>
            <rFont val="Tahoma"/>
            <family val="2"/>
          </rPr>
          <t xml:space="preserve">This is the standard for those that are not crew-solo qualified in the aircraft. It should be the same as the standard for them to pass their CF ride.
</t>
        </r>
      </text>
    </comment>
    <comment ref="E14" authorId="0" shapeId="0" xr:uid="{F2A8841D-FBD4-4DD2-AFCA-28DEEF04E33E}">
      <text>
        <r>
          <rPr>
            <sz val="9"/>
            <color indexed="81"/>
            <rFont val="Tahoma"/>
            <family val="2"/>
          </rPr>
          <t>This is the standard for those that are crew-solo qualified in the aircraft. It should be the same as the final crew solo standard.</t>
        </r>
      </text>
    </comment>
    <comment ref="D15" authorId="0" shapeId="0" xr:uid="{10D8D731-8598-413C-AD92-085125BF07B4}">
      <text>
        <r>
          <rPr>
            <sz val="9"/>
            <color indexed="81"/>
            <rFont val="Tahoma"/>
            <family val="2"/>
          </rPr>
          <t>For required items, the min score is '1'.
For bonus items, min score '0'.
For both, the max is '3'.
If an academic task will be complete with a demo only, then set this to 'NG'.</t>
        </r>
      </text>
    </comment>
    <comment ref="E15" authorId="0" shapeId="0" xr:uid="{4B7FC488-BF65-474B-8242-458686789BEF}">
      <text>
        <r>
          <rPr>
            <sz val="9"/>
            <color indexed="81"/>
            <rFont val="Tahoma"/>
            <family val="2"/>
          </rPr>
          <t>Never less than 1 or greater than 3.</t>
        </r>
      </text>
    </comment>
    <comment ref="I15" authorId="1" shapeId="0" xr:uid="{FE999D36-FD4D-4C7F-A9D3-ABFB88339ED5}">
      <text>
        <r>
          <rPr>
            <sz val="9"/>
            <color indexed="81"/>
            <rFont val="Tahoma"/>
            <family val="2"/>
          </rPr>
          <t xml:space="preserve">Do all logic checks pass?
</t>
        </r>
      </text>
    </comment>
    <comment ref="J15" authorId="1" shapeId="0" xr:uid="{4324BADA-E77D-4018-A910-CE9A3D5DD201}">
      <text>
        <r>
          <rPr>
            <sz val="9"/>
            <color indexed="81"/>
            <rFont val="Tahoma"/>
            <family val="2"/>
          </rPr>
          <t>To be correct…
-Must be a flight, sim, lab, or control room
-Basic Score &gt;= 1
-Crew Solo Score &gt;= 1
-Crew Solo Score &gt;= Basic Score
-# Req &gt;= 1
-Weight &gt;= 1</t>
        </r>
      </text>
    </comment>
    <comment ref="K15" authorId="1" shapeId="0" xr:uid="{493968DC-B7DC-4C8B-AD91-44FC47DCCE23}">
      <text>
        <r>
          <rPr>
            <sz val="9"/>
            <color indexed="81"/>
            <rFont val="Tahoma"/>
            <family val="2"/>
          </rPr>
          <t>To be correct…
-Min Score &gt; 0
-Des'd Score &gt;= Min Score
-#Req &gt;=1
-Weight &gt; 0</t>
        </r>
      </text>
    </comment>
    <comment ref="L15" authorId="1" shapeId="0" xr:uid="{2EDEBFD1-526C-4D0B-AC5F-934D71D2B755}">
      <text>
        <r>
          <rPr>
            <sz val="9"/>
            <color indexed="81"/>
            <rFont val="Tahoma"/>
            <family val="2"/>
          </rPr>
          <t>To be correct…
-Min Score &gt;= 0
-Des'd Score &gt;= Min Score
-#Req = 0
-Weight &gt; 0</t>
        </r>
      </text>
    </comment>
    <comment ref="M15" authorId="1" shapeId="0" xr:uid="{98F100A0-DDB6-4529-A470-4DA1C1008104}">
      <text>
        <r>
          <rPr>
            <sz val="9"/>
            <color indexed="81"/>
            <rFont val="Tahoma"/>
            <family val="2"/>
          </rPr>
          <t>To be correct…
-Must be a flight, sim, lab, or control room
-Min score= 'NG'
-# Req &gt;= 1</t>
        </r>
      </text>
    </comment>
    <comment ref="N15" authorId="1" shapeId="0" xr:uid="{2CD6EF97-DA53-4BB1-91CD-16DB232C20E6}">
      <text>
        <r>
          <rPr>
            <sz val="9"/>
            <color indexed="81"/>
            <rFont val="Tahoma"/>
            <family val="2"/>
          </rPr>
          <t>To be correct…
-Must be a flight, sim, lab, or control room
-Min score= 'NG'
-# Req = 0</t>
        </r>
      </text>
    </comment>
    <comment ref="A16" authorId="0" shapeId="0" xr:uid="{C9B45686-8ED5-4F7C-AE74-5BDBF25F1466}">
      <text>
        <r>
          <rPr>
            <sz val="9"/>
            <color indexed="81"/>
            <rFont val="Tahoma"/>
            <family val="2"/>
          </rPr>
          <t xml:space="preserve">Two levels allowed. Indentation is automatic and headers are not graded items. Check the gradesheet to see if you got what you intended.
</t>
        </r>
      </text>
    </comment>
    <comment ref="B16" authorId="0" shapeId="0" xr:uid="{86C18042-1F80-472A-ABE9-CC200DF2BFD8}">
      <text>
        <r>
          <rPr>
            <sz val="9"/>
            <color indexed="81"/>
            <rFont val="Tahoma"/>
            <family val="2"/>
          </rPr>
          <t>The title of the task or a heading. Headings are based on indentation level.
Airmanship items (if applicable) will be grouped on the gradesheet separately from academic items.</t>
        </r>
      </text>
    </comment>
  </commentList>
</comments>
</file>

<file path=xl/sharedStrings.xml><?xml version="1.0" encoding="utf-8"?>
<sst xmlns="http://schemas.openxmlformats.org/spreadsheetml/2006/main" count="322" uniqueCount="228">
  <si>
    <t>Gradesheet Builder Version</t>
  </si>
  <si>
    <t>W. Gray</t>
  </si>
  <si>
    <t>Gradesheet Version (YYYYMMDD Date)</t>
  </si>
  <si>
    <t>Grading Rubric</t>
  </si>
  <si>
    <t>Gradesheet Type:</t>
  </si>
  <si>
    <t>Flight</t>
  </si>
  <si>
    <t>Choose one</t>
  </si>
  <si>
    <t>Title:</t>
  </si>
  <si>
    <t>Course # and Title</t>
  </si>
  <si>
    <t>Applicable Courses:</t>
  </si>
  <si>
    <t>Select all that apply</t>
  </si>
  <si>
    <t>Highly Proficient: All requirements met with few errors</t>
  </si>
  <si>
    <t>Max Bonus %</t>
  </si>
  <si>
    <t>5% Std, max is 10%</t>
  </si>
  <si>
    <t>Exam?</t>
  </si>
  <si>
    <t>No</t>
  </si>
  <si>
    <t>Max Airmanship %</t>
  </si>
  <si>
    <t>10% Std, Max is 20%</t>
  </si>
  <si>
    <t>For Airmanship Tasks:</t>
  </si>
  <si>
    <t>Basic
Score</t>
  </si>
  <si>
    <t>Crew Solo
Score</t>
  </si>
  <si>
    <t>Logic Checks</t>
  </si>
  <si>
    <t>For
All Other Tasks:</t>
  </si>
  <si>
    <t>Min
Score</t>
  </si>
  <si>
    <t>Des'd
Score</t>
  </si>
  <si>
    <t># Req</t>
  </si>
  <si>
    <t>Weight</t>
  </si>
  <si>
    <t>Min Req'd to Pass</t>
  </si>
  <si>
    <t>Logic</t>
  </si>
  <si>
    <t>Amn
Tasks
OK?</t>
  </si>
  <si>
    <t>Mand Stud Tasks OK?</t>
  </si>
  <si>
    <t>Bonus Stud Perf OK?</t>
  </si>
  <si>
    <t>Req'd Demo Tasks OK?</t>
  </si>
  <si>
    <t>Opt Demo Tasks OK?</t>
  </si>
  <si>
    <t>amn count</t>
  </si>
  <si>
    <t>aca count</t>
  </si>
  <si>
    <t>Aca
Weight</t>
  </si>
  <si>
    <t>Amshp
Weight</t>
  </si>
  <si>
    <t>Heading</t>
  </si>
  <si>
    <t>Level</t>
  </si>
  <si>
    <t>aca event</t>
  </si>
  <si>
    <t>Bonus Weight</t>
  </si>
  <si>
    <t>Min to Pass?</t>
  </si>
  <si>
    <t>Gradeable?</t>
  </si>
  <si>
    <t>Indentation Level</t>
  </si>
  <si>
    <t>Task Title</t>
  </si>
  <si>
    <t>Task Type</t>
  </si>
  <si>
    <t>↓</t>
  </si>
  <si>
    <t>Task Grade Computation</t>
  </si>
  <si>
    <t>Airmanship</t>
  </si>
  <si>
    <t>Score Awarded</t>
  </si>
  <si>
    <t>Min/Expected Score</t>
  </si>
  <si>
    <t>0/1</t>
  </si>
  <si>
    <t>0/2</t>
  </si>
  <si>
    <t>0/3</t>
  </si>
  <si>
    <t>1/1</t>
  </si>
  <si>
    <t>Stud Qual</t>
  </si>
  <si>
    <t>1/2</t>
  </si>
  <si>
    <t>1/3</t>
  </si>
  <si>
    <t>2/2</t>
  </si>
  <si>
    <t>2/3</t>
  </si>
  <si>
    <t>3/3</t>
  </si>
  <si>
    <t>Stud Attempt</t>
  </si>
  <si>
    <t>Req'd Demo</t>
  </si>
  <si>
    <t>Opt Demo</t>
  </si>
  <si>
    <t>Stud Bonus</t>
  </si>
  <si>
    <t>Pull-down options</t>
  </si>
  <si>
    <t>Task Types</t>
  </si>
  <si>
    <t>Min to Pass</t>
  </si>
  <si>
    <t>Gradesheet Logic OK?</t>
  </si>
  <si>
    <t>Flight, Control Room, Sim?</t>
  </si>
  <si>
    <t>Event Types</t>
  </si>
  <si>
    <t>FLIGHT GRADE SHEET</t>
  </si>
  <si>
    <t/>
  </si>
  <si>
    <t>Control Room</t>
  </si>
  <si>
    <t>CONTROL ROOM GRADE SHEET</t>
  </si>
  <si>
    <t>Sim/Lab</t>
  </si>
  <si>
    <t>SIMULATOR/LAB GRADE SHEET</t>
  </si>
  <si>
    <t xml:space="preserve">      - </t>
  </si>
  <si>
    <t>Written Report</t>
  </si>
  <si>
    <t>WRITTEN REPORT GRADE SHEET</t>
  </si>
  <si>
    <t>CSO</t>
  </si>
  <si>
    <t>Oral Report</t>
  </si>
  <si>
    <t>ORAL REPORT GRADE SHEET</t>
  </si>
  <si>
    <t>FTE</t>
  </si>
  <si>
    <t>Flying/Control Room Task</t>
  </si>
  <si>
    <t>Sim/Lab Task</t>
  </si>
  <si>
    <t>Report (Written or Oral)</t>
  </si>
  <si>
    <t>D</t>
  </si>
  <si>
    <t>Demo</t>
  </si>
  <si>
    <t>N/A</t>
  </si>
  <si>
    <t>Unsafe or Omitted</t>
  </si>
  <si>
    <t>Omitted</t>
  </si>
  <si>
    <t>Safe but Unable: most requirements not met, many errors</t>
  </si>
  <si>
    <t>Unable: Most requirements not met, many errors</t>
  </si>
  <si>
    <t>Minimally Proficient: Most requirements met with many errors</t>
  </si>
  <si>
    <t>Proficient: Most requirements met with few errors</t>
  </si>
  <si>
    <t>USAF Test Pilot School</t>
  </si>
  <si>
    <t>CLASS</t>
  </si>
  <si>
    <t>DATE</t>
  </si>
  <si>
    <t>A Inc?</t>
  </si>
  <si>
    <t>AC Inc?</t>
  </si>
  <si>
    <t>A Fail?</t>
  </si>
  <si>
    <t>AC Fail?</t>
  </si>
  <si>
    <t>A NA?</t>
  </si>
  <si>
    <t>AC NA?</t>
  </si>
  <si>
    <t>Flt/S/L/CR?</t>
  </si>
  <si>
    <t>display counts/grades</t>
  </si>
  <si>
    <t>For prefill macros</t>
  </si>
  <si>
    <t>STUDENT</t>
  </si>
  <si>
    <t>CREW SOLO QUAL</t>
  </si>
  <si>
    <t>INSTRUCTOR</t>
  </si>
  <si>
    <t>ACFT TYPE/NO. or ASSET</t>
  </si>
  <si>
    <t>FLT/EVENT TIME</t>
  </si>
  <si>
    <t>Incomplete</t>
  </si>
  <si>
    <t>Fail</t>
  </si>
  <si>
    <t>NA'd by Instr?</t>
  </si>
  <si>
    <t>Inconsistency, stud</t>
  </si>
  <si>
    <t>Comment?</t>
  </si>
  <si>
    <t>Change record:</t>
  </si>
  <si>
    <t>Tasks</t>
  </si>
  <si>
    <t>Min Score</t>
  </si>
  <si>
    <t>Des'd Score</t>
  </si>
  <si>
    <t># Acc</t>
  </si>
  <si>
    <t>Score</t>
  </si>
  <si>
    <t>Instructor Comments</t>
  </si>
  <si>
    <t>Line #</t>
  </si>
  <si>
    <t># req</t>
  </si>
  <si>
    <t>Pri
weight</t>
  </si>
  <si>
    <t>Amn
weight</t>
  </si>
  <si>
    <t>bonus wt</t>
  </si>
  <si>
    <t>Header?</t>
  </si>
  <si>
    <t>Indent Level</t>
  </si>
  <si>
    <t>Acad=1
Amsp=0</t>
  </si>
  <si>
    <t>ACA desd</t>
  </si>
  <si>
    <t>ACA min</t>
  </si>
  <si>
    <t>P&lt;
Min?</t>
  </si>
  <si>
    <t>Amsp
Des'd</t>
  </si>
  <si>
    <t>Amsp
Min</t>
  </si>
  <si>
    <t>%
weight</t>
  </si>
  <si>
    <t>group</t>
  </si>
  <si>
    <t>Min Grade</t>
  </si>
  <si>
    <t>Num Grade</t>
  </si>
  <si>
    <t>Aca
Graded?</t>
  </si>
  <si>
    <t>Amnsp
Graded?</t>
  </si>
  <si>
    <t>CTS</t>
  </si>
  <si>
    <t>CMNT other</t>
  </si>
  <si>
    <t>Aca Weight</t>
  </si>
  <si>
    <t>Grade</t>
  </si>
  <si>
    <t>Amnshp Weight</t>
  </si>
  <si>
    <t>Bonus</t>
  </si>
  <si>
    <t>A Ct
Low</t>
  </si>
  <si>
    <t>AC Ct
Low</t>
  </si>
  <si>
    <t>Amn
Fail</t>
  </si>
  <si>
    <t>Aca
Fail</t>
  </si>
  <si>
    <t>Amnshp</t>
  </si>
  <si>
    <t>Aca</t>
  </si>
  <si>
    <t>C, no grade</t>
  </si>
  <si>
    <t>G, no
count</t>
  </si>
  <si>
    <t>count &amp; D (NG')
or 0 &amp; D (NG)</t>
  </si>
  <si>
    <t>NA &amp; D+</t>
  </si>
  <si>
    <t>#Req</t>
  </si>
  <si>
    <t>Min</t>
  </si>
  <si>
    <t>Disp
Min</t>
  </si>
  <si>
    <t>Des'd</t>
  </si>
  <si>
    <t>2.5.1</t>
  </si>
  <si>
    <t>Max score is 100%</t>
  </si>
  <si>
    <t>Signing doesn't lock</t>
  </si>
  <si>
    <t>Control Room includes Airmanship Section</t>
  </si>
  <si>
    <t>*</t>
  </si>
  <si>
    <t>Minimum passing score</t>
  </si>
  <si>
    <t>NA</t>
  </si>
  <si>
    <t>In "# Acc" asserts complete if # Req not met</t>
  </si>
  <si>
    <t>DO Comments</t>
  </si>
  <si>
    <t>ED Comments</t>
  </si>
  <si>
    <t>RAW GRADE</t>
  </si>
  <si>
    <t>BONUS SCORE</t>
  </si>
  <si>
    <t>STATUS</t>
  </si>
  <si>
    <t>AIRMANSHIP</t>
  </si>
  <si>
    <t>ACADEMIC</t>
  </si>
  <si>
    <t>INSTRUCTOR SIGNATURE</t>
  </si>
  <si>
    <t>STUDENT SIGNATURE</t>
  </si>
  <si>
    <t>Made?</t>
  </si>
  <si>
    <t>NO</t>
  </si>
  <si>
    <t>grade</t>
  </si>
  <si>
    <t>count</t>
  </si>
  <si>
    <t>g + c</t>
  </si>
  <si>
    <t>Test?</t>
  </si>
  <si>
    <t>Calc Max
Amnshp</t>
  </si>
  <si>
    <t>Calc Max
Bonus</t>
  </si>
  <si>
    <t>DO Rev?</t>
  </si>
  <si>
    <t>Max
Acad</t>
  </si>
  <si>
    <t>Max
Amnshp</t>
  </si>
  <si>
    <t>Max
Bonus</t>
  </si>
  <si>
    <t>ED Rev?</t>
  </si>
  <si>
    <t>Total
Score</t>
  </si>
  <si>
    <t>Locked</t>
  </si>
  <si>
    <t>Final Score</t>
  </si>
  <si>
    <t>F/S/CR ready for sig?</t>
  </si>
  <si>
    <t>Report ready for sig?</t>
  </si>
  <si>
    <t>Min/Expected</t>
  </si>
  <si>
    <t>Ready for Sig?</t>
  </si>
  <si>
    <t>C. Gotwald</t>
  </si>
  <si>
    <t>ABM</t>
  </si>
  <si>
    <t>P</t>
  </si>
  <si>
    <t>RPA</t>
  </si>
  <si>
    <t>Structure &amp; Logic</t>
  </si>
  <si>
    <t>Executive Summary</t>
  </si>
  <si>
    <t>Report Organization &amp; Structure</t>
  </si>
  <si>
    <t>The "Logical Chain of Reasoning"</t>
  </si>
  <si>
    <t>Clarity &amp; Precision (Mechanics)</t>
  </si>
  <si>
    <t>Grammar &amp; Syntax</t>
  </si>
  <si>
    <t>Punctuation Acronyms &amp; Formatting</t>
  </si>
  <si>
    <t>Professional Tone &amp; Word Choice</t>
  </si>
  <si>
    <t>Anatomy of a Valid Plot/Table</t>
  </si>
  <si>
    <t>Visual Engineering &amp; Data Presentation</t>
  </si>
  <si>
    <t>Data-Ink Ratio &amp; Clarity</t>
  </si>
  <si>
    <t>Data Honesty &amp; Context (Limits/Thresholds)</t>
  </si>
  <si>
    <t>Content &amp; Analysis (Obj 1)</t>
  </si>
  <si>
    <t>Test Methods and Conditions</t>
  </si>
  <si>
    <t>Objective Results</t>
  </si>
  <si>
    <t>Engineering Analysis &amp; Operational Impact</t>
  </si>
  <si>
    <t>Conclusions &amp; Recommendations</t>
  </si>
  <si>
    <t>Content &amp; Analysis (Obj 6)</t>
  </si>
  <si>
    <t>Content &amp; Analysis (Obj 2)</t>
  </si>
  <si>
    <t>FQ 9503R Sim Flying Qualities Practical Exam Written Report</t>
  </si>
  <si>
    <t>Student Types</t>
  </si>
  <si>
    <t>STC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</si>
</sst>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$-409]d\ mmm\ yyyy;@"/>
    <numFmt numFmtId="166" formatCode="0.0%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rgb="FFFF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sz val="10"/>
      <name val="Arial"/>
      <family val="2"/>
    </font>
    <font>
      <sz val="9"/>
      <name val="Calibri"/>
      <family val="2"/>
    </font>
    <font>
      <b/>
      <sz val="10"/>
      <name val="Arial"/>
      <family val="2"/>
    </font>
    <font>
      <sz val="6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6"/>
      <color theme="0"/>
      <name val="Arial"/>
      <family val="2"/>
    </font>
    <font>
      <b/>
      <sz val="10"/>
      <color theme="0"/>
      <name val="Arial"/>
      <family val="2"/>
    </font>
    <font>
      <i/>
      <sz val="10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308">
    <xf numFmtId="0" fontId="0" fillId="0" borderId="0" xfId="0"/>
    <xf numFmtId="0" fontId="3" fillId="0" borderId="0" xfId="0" applyFont="1"/>
    <xf numFmtId="0" fontId="4" fillId="0" borderId="0" xfId="0" applyFont="1" applyAlignment="1">
      <alignment horizontal="right"/>
    </xf>
    <xf numFmtId="164" fontId="4" fillId="0" borderId="0" xfId="0" quotePrefix="1" applyNumberFormat="1" applyFont="1" applyAlignment="1">
      <alignment horizontal="left"/>
    </xf>
    <xf numFmtId="0" fontId="3" fillId="0" borderId="0" xfId="0" applyFont="1" applyProtection="1">
      <protection hidden="1"/>
    </xf>
    <xf numFmtId="10" fontId="3" fillId="0" borderId="0" xfId="0" applyNumberFormat="1" applyFont="1" applyProtection="1">
      <protection hidden="1"/>
    </xf>
    <xf numFmtId="0" fontId="4" fillId="2" borderId="0" xfId="0" quotePrefix="1" applyFont="1" applyFill="1" applyAlignment="1" applyProtection="1">
      <alignment horizontal="left"/>
      <protection locked="0"/>
    </xf>
    <xf numFmtId="0" fontId="4" fillId="0" borderId="0" xfId="0" applyFont="1"/>
    <xf numFmtId="0" fontId="4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5" fillId="0" borderId="0" xfId="0" applyFont="1"/>
    <xf numFmtId="0" fontId="5" fillId="0" borderId="4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right"/>
    </xf>
    <xf numFmtId="0" fontId="3" fillId="2" borderId="7" xfId="0" applyFont="1" applyFill="1" applyBorder="1" applyProtection="1">
      <protection locked="0"/>
    </xf>
    <xf numFmtId="0" fontId="3" fillId="0" borderId="0" xfId="0" applyFont="1" applyAlignment="1">
      <alignment horizontal="right"/>
    </xf>
    <xf numFmtId="0" fontId="3" fillId="0" borderId="4" xfId="0" applyFont="1" applyBorder="1" applyAlignment="1">
      <alignment horizontal="right"/>
    </xf>
    <xf numFmtId="0" fontId="4" fillId="0" borderId="5" xfId="0" applyFont="1" applyBorder="1"/>
    <xf numFmtId="0" fontId="3" fillId="0" borderId="4" xfId="0" applyFont="1" applyBorder="1"/>
    <xf numFmtId="0" fontId="3" fillId="2" borderId="15" xfId="0" applyFont="1" applyFill="1" applyBorder="1" applyProtection="1">
      <protection locked="0"/>
    </xf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0" fontId="3" fillId="0" borderId="16" xfId="0" applyFont="1" applyBorder="1" applyAlignment="1">
      <alignment horizontal="right"/>
    </xf>
    <xf numFmtId="0" fontId="3" fillId="2" borderId="22" xfId="1" applyNumberFormat="1" applyFont="1" applyFill="1" applyBorder="1" applyProtection="1">
      <protection locked="0"/>
    </xf>
    <xf numFmtId="0" fontId="3" fillId="0" borderId="9" xfId="0" applyFont="1" applyBorder="1" applyAlignment="1">
      <alignment horizontal="right"/>
    </xf>
    <xf numFmtId="0" fontId="3" fillId="2" borderId="7" xfId="1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right" vertical="center" wrapText="1"/>
    </xf>
    <xf numFmtId="0" fontId="3" fillId="0" borderId="23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4" xfId="0" applyBorder="1"/>
    <xf numFmtId="0" fontId="3" fillId="0" borderId="18" xfId="0" applyFont="1" applyBorder="1" applyAlignment="1">
      <alignment vertical="center"/>
    </xf>
    <xf numFmtId="0" fontId="3" fillId="0" borderId="18" xfId="0" applyFont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26" xfId="0" applyFont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0" borderId="7" xfId="0" applyFont="1" applyBorder="1"/>
    <xf numFmtId="0" fontId="3" fillId="0" borderId="29" xfId="0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33" xfId="0" applyFont="1" applyBorder="1"/>
    <xf numFmtId="0" fontId="3" fillId="0" borderId="6" xfId="0" applyFont="1" applyBorder="1"/>
    <xf numFmtId="0" fontId="3" fillId="0" borderId="8" xfId="0" applyFont="1" applyBorder="1"/>
    <xf numFmtId="0" fontId="3" fillId="2" borderId="7" xfId="0" applyFont="1" applyFill="1" applyBorder="1" applyAlignment="1" applyProtection="1">
      <alignment horizontal="center"/>
      <protection locked="0"/>
    </xf>
    <xf numFmtId="0" fontId="3" fillId="2" borderId="8" xfId="0" applyFont="1" applyFill="1" applyBorder="1" applyAlignment="1" applyProtection="1">
      <alignment horizontal="center"/>
      <protection locked="0"/>
    </xf>
    <xf numFmtId="0" fontId="3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9" fontId="3" fillId="0" borderId="11" xfId="1" applyFont="1" applyBorder="1" applyAlignment="1" applyProtection="1">
      <alignment horizontal="center" vertical="center"/>
    </xf>
    <xf numFmtId="9" fontId="3" fillId="0" borderId="12" xfId="1" applyFont="1" applyBorder="1" applyAlignment="1" applyProtection="1">
      <alignment horizontal="center" vertical="center"/>
    </xf>
    <xf numFmtId="9" fontId="3" fillId="0" borderId="10" xfId="1" applyFont="1" applyBorder="1" applyAlignment="1" applyProtection="1">
      <alignment horizontal="center" vertical="center"/>
    </xf>
    <xf numFmtId="9" fontId="3" fillId="0" borderId="14" xfId="1" applyFont="1" applyBorder="1" applyAlignment="1" applyProtection="1">
      <alignment horizontal="center" vertical="center"/>
    </xf>
    <xf numFmtId="9" fontId="3" fillId="0" borderId="0" xfId="1" applyFont="1" applyBorder="1" applyAlignment="1" applyProtection="1">
      <alignment horizontal="center" vertical="center"/>
    </xf>
    <xf numFmtId="9" fontId="3" fillId="0" borderId="13" xfId="1" applyFont="1" applyBorder="1" applyAlignment="1" applyProtection="1">
      <alignment horizontal="center" vertical="center"/>
    </xf>
    <xf numFmtId="9" fontId="3" fillId="0" borderId="17" xfId="1" applyFont="1" applyBorder="1" applyAlignment="1" applyProtection="1">
      <alignment horizontal="center" vertical="center"/>
    </xf>
    <xf numFmtId="9" fontId="3" fillId="0" borderId="18" xfId="1" applyFont="1" applyBorder="1" applyAlignment="1" applyProtection="1">
      <alignment horizontal="center" vertical="center"/>
    </xf>
    <xf numFmtId="9" fontId="3" fillId="0" borderId="16" xfId="1" applyFont="1" applyBorder="1" applyAlignment="1" applyProtection="1">
      <alignment horizontal="center" vertical="center"/>
    </xf>
    <xf numFmtId="0" fontId="3" fillId="0" borderId="0" xfId="0" quotePrefix="1" applyFont="1"/>
    <xf numFmtId="0" fontId="6" fillId="0" borderId="0" xfId="0" applyFont="1"/>
    <xf numFmtId="0" fontId="6" fillId="0" borderId="0" xfId="0" applyFont="1" applyProtection="1">
      <protection hidden="1"/>
    </xf>
    <xf numFmtId="10" fontId="6" fillId="0" borderId="0" xfId="0" applyNumberFormat="1" applyFont="1" applyProtection="1">
      <protection hidden="1"/>
    </xf>
    <xf numFmtId="0" fontId="0" fillId="0" borderId="0" xfId="0" applyProtection="1">
      <protection hidden="1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top"/>
    </xf>
    <xf numFmtId="0" fontId="9" fillId="0" borderId="0" xfId="0" applyFont="1" applyAlignment="1" applyProtection="1">
      <alignment horizontal="left" vertical="top"/>
      <protection hidden="1"/>
    </xf>
    <xf numFmtId="10" fontId="9" fillId="0" borderId="0" xfId="0" applyNumberFormat="1" applyFont="1" applyAlignment="1" applyProtection="1">
      <alignment horizontal="left" vertical="top"/>
      <protection hidden="1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 applyProtection="1">
      <alignment horizontal="left" vertical="center"/>
      <protection hidden="1"/>
    </xf>
    <xf numFmtId="10" fontId="9" fillId="0" borderId="0" xfId="0" applyNumberFormat="1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6" fillId="0" borderId="13" xfId="0" applyFont="1" applyBorder="1" applyAlignment="1" applyProtection="1">
      <alignment horizontal="right" vertical="center"/>
      <protection hidden="1"/>
    </xf>
    <xf numFmtId="0" fontId="6" fillId="0" borderId="6" xfId="0" applyFont="1" applyBorder="1" applyAlignment="1" applyProtection="1">
      <alignment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9" fillId="0" borderId="0" xfId="0" applyFont="1" applyAlignment="1">
      <alignment horizontal="center" vertical="center"/>
    </xf>
    <xf numFmtId="0" fontId="0" fillId="0" borderId="0" xfId="0" applyAlignment="1" applyProtection="1">
      <alignment vertical="center"/>
      <protection hidden="1"/>
    </xf>
    <xf numFmtId="10" fontId="3" fillId="0" borderId="0" xfId="0" applyNumberFormat="1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9" fontId="6" fillId="0" borderId="0" xfId="1" applyFont="1" applyAlignment="1" applyProtection="1">
      <alignment vertical="center"/>
      <protection hidden="1"/>
    </xf>
    <xf numFmtId="9" fontId="6" fillId="0" borderId="0" xfId="0" applyNumberFormat="1" applyFont="1" applyAlignment="1" applyProtection="1">
      <alignment vertical="center"/>
      <protection hidden="1"/>
    </xf>
    <xf numFmtId="0" fontId="6" fillId="0" borderId="11" xfId="0" applyFont="1" applyBorder="1" applyAlignment="1" applyProtection="1">
      <alignment vertical="center"/>
      <protection hidden="1"/>
    </xf>
    <xf numFmtId="0" fontId="6" fillId="0" borderId="10" xfId="0" applyFont="1" applyBorder="1" applyAlignment="1" applyProtection="1">
      <alignment vertical="center"/>
      <protection hidden="1"/>
    </xf>
    <xf numFmtId="0" fontId="6" fillId="0" borderId="12" xfId="0" applyFont="1" applyBorder="1" applyAlignment="1" applyProtection="1">
      <alignment vertical="center"/>
      <protection hidden="1"/>
    </xf>
    <xf numFmtId="0" fontId="6" fillId="0" borderId="10" xfId="0" applyFont="1" applyBorder="1" applyAlignment="1" applyProtection="1">
      <alignment horizontal="left" vertical="center"/>
      <protection hidden="1"/>
    </xf>
    <xf numFmtId="0" fontId="6" fillId="0" borderId="15" xfId="0" applyFont="1" applyBorder="1" applyAlignment="1" applyProtection="1">
      <alignment horizontal="left" vertical="center"/>
      <protection hidden="1"/>
    </xf>
    <xf numFmtId="0" fontId="10" fillId="0" borderId="45" xfId="0" applyFont="1" applyBorder="1" applyAlignment="1">
      <alignment horizontal="center" wrapText="1"/>
    </xf>
    <xf numFmtId="0" fontId="10" fillId="0" borderId="46" xfId="0" applyFont="1" applyBorder="1" applyAlignment="1">
      <alignment horizontal="center" wrapText="1"/>
    </xf>
    <xf numFmtId="0" fontId="10" fillId="0" borderId="47" xfId="0" applyFont="1" applyBorder="1" applyAlignment="1">
      <alignment horizontal="center" wrapText="1"/>
    </xf>
    <xf numFmtId="0" fontId="10" fillId="0" borderId="48" xfId="0" applyFont="1" applyBorder="1" applyAlignment="1">
      <alignment horizontal="center" wrapText="1"/>
    </xf>
    <xf numFmtId="0" fontId="10" fillId="0" borderId="49" xfId="0" applyFont="1" applyBorder="1" applyAlignment="1">
      <alignment horizontal="center" wrapText="1"/>
    </xf>
    <xf numFmtId="0" fontId="6" fillId="0" borderId="0" xfId="0" applyFont="1" applyAlignment="1" applyProtection="1">
      <alignment wrapText="1"/>
      <protection hidden="1"/>
    </xf>
    <xf numFmtId="10" fontId="3" fillId="0" borderId="14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10" xfId="0" applyFont="1" applyBorder="1" applyAlignment="1" applyProtection="1">
      <alignment horizontal="center" vertical="center" wrapText="1"/>
      <protection hidden="1"/>
    </xf>
    <xf numFmtId="0" fontId="6" fillId="4" borderId="14" xfId="0" applyFont="1" applyFill="1" applyBorder="1" applyAlignment="1" applyProtection="1">
      <alignment wrapText="1"/>
      <protection hidden="1"/>
    </xf>
    <xf numFmtId="0" fontId="6" fillId="4" borderId="13" xfId="0" applyFont="1" applyFill="1" applyBorder="1" applyAlignment="1" applyProtection="1">
      <alignment wrapText="1"/>
      <protection hidden="1"/>
    </xf>
    <xf numFmtId="0" fontId="6" fillId="4" borderId="0" xfId="0" applyFont="1" applyFill="1" applyAlignment="1" applyProtection="1">
      <alignment wrapText="1"/>
      <protection hidden="1"/>
    </xf>
    <xf numFmtId="0" fontId="6" fillId="2" borderId="14" xfId="0" applyFont="1" applyFill="1" applyBorder="1" applyAlignment="1" applyProtection="1">
      <alignment wrapText="1"/>
      <protection hidden="1"/>
    </xf>
    <xf numFmtId="0" fontId="6" fillId="2" borderId="0" xfId="0" applyFont="1" applyFill="1" applyAlignment="1" applyProtection="1">
      <alignment wrapText="1"/>
      <protection hidden="1"/>
    </xf>
    <xf numFmtId="0" fontId="6" fillId="2" borderId="13" xfId="0" applyFont="1" applyFill="1" applyBorder="1" applyAlignment="1" applyProtection="1">
      <alignment wrapText="1"/>
      <protection hidden="1"/>
    </xf>
    <xf numFmtId="0" fontId="6" fillId="2" borderId="51" xfId="0" applyFont="1" applyFill="1" applyBorder="1" applyAlignment="1" applyProtection="1">
      <alignment wrapText="1"/>
      <protection hidden="1"/>
    </xf>
    <xf numFmtId="0" fontId="3" fillId="0" borderId="52" xfId="0" applyFont="1" applyBorder="1"/>
    <xf numFmtId="1" fontId="3" fillId="0" borderId="54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55" xfId="0" applyNumberFormat="1" applyFont="1" applyBorder="1" applyAlignment="1">
      <alignment horizontal="center" vertical="center" wrapText="1"/>
    </xf>
    <xf numFmtId="1" fontId="4" fillId="0" borderId="56" xfId="0" applyNumberFormat="1" applyFont="1" applyBorder="1" applyAlignment="1" applyProtection="1">
      <alignment horizontal="center" wrapText="1"/>
      <protection locked="0"/>
    </xf>
    <xf numFmtId="1" fontId="4" fillId="0" borderId="55" xfId="0" applyNumberFormat="1" applyFont="1" applyBorder="1" applyAlignment="1" applyProtection="1">
      <alignment horizontal="center" wrapText="1"/>
      <protection locked="0"/>
    </xf>
    <xf numFmtId="0" fontId="6" fillId="0" borderId="0" xfId="0" applyFont="1" applyAlignment="1" applyProtection="1">
      <alignment horizontal="center"/>
      <protection hidden="1"/>
    </xf>
    <xf numFmtId="10" fontId="6" fillId="0" borderId="14" xfId="1" applyNumberFormat="1" applyFont="1" applyBorder="1" applyAlignment="1" applyProtection="1">
      <alignment horizontal="center" vertical="center"/>
      <protection hidden="1"/>
    </xf>
    <xf numFmtId="0" fontId="6" fillId="0" borderId="0" xfId="1" applyNumberFormat="1" applyFont="1" applyBorder="1" applyAlignment="1" applyProtection="1">
      <alignment horizontal="center" vertical="center"/>
      <protection hidden="1"/>
    </xf>
    <xf numFmtId="0" fontId="6" fillId="0" borderId="14" xfId="0" applyFont="1" applyBorder="1" applyAlignment="1" applyProtection="1">
      <alignment horizontal="center" vertical="center"/>
      <protection hidden="1"/>
    </xf>
    <xf numFmtId="166" fontId="6" fillId="0" borderId="0" xfId="1" applyNumberFormat="1" applyFont="1" applyBorder="1" applyAlignment="1" applyProtection="1">
      <alignment horizontal="center" vertical="center"/>
      <protection hidden="1"/>
    </xf>
    <xf numFmtId="0" fontId="6" fillId="0" borderId="14" xfId="1" applyNumberFormat="1" applyFont="1" applyBorder="1" applyAlignment="1" applyProtection="1">
      <alignment horizontal="center" vertical="center"/>
      <protection hidden="1"/>
    </xf>
    <xf numFmtId="0" fontId="6" fillId="0" borderId="14" xfId="0" applyFont="1" applyBorder="1" applyAlignment="1" applyProtection="1">
      <alignment horizontal="center"/>
      <protection hidden="1"/>
    </xf>
    <xf numFmtId="166" fontId="6" fillId="0" borderId="13" xfId="1" applyNumberFormat="1" applyFont="1" applyBorder="1" applyAlignment="1" applyProtection="1">
      <alignment horizontal="center"/>
      <protection hidden="1"/>
    </xf>
    <xf numFmtId="0" fontId="6" fillId="0" borderId="13" xfId="0" applyFont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0" borderId="51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0" fontId="11" fillId="0" borderId="0" xfId="0" applyFont="1" applyAlignment="1">
      <alignment horizontal="left" vertical="center"/>
    </xf>
    <xf numFmtId="0" fontId="10" fillId="0" borderId="0" xfId="0" applyFont="1"/>
    <xf numFmtId="0" fontId="3" fillId="0" borderId="52" xfId="0" applyFont="1" applyBorder="1" applyAlignment="1">
      <alignment vertical="center"/>
    </xf>
    <xf numFmtId="1" fontId="3" fillId="0" borderId="33" xfId="0" applyNumberFormat="1" applyFont="1" applyBorder="1" applyAlignment="1">
      <alignment horizontal="center" vertical="center" wrapText="1"/>
    </xf>
    <xf numFmtId="1" fontId="4" fillId="0" borderId="30" xfId="0" applyNumberFormat="1" applyFont="1" applyBorder="1" applyAlignment="1" applyProtection="1">
      <alignment horizontal="center" wrapText="1"/>
      <protection locked="0"/>
    </xf>
    <xf numFmtId="1" fontId="4" fillId="0" borderId="33" xfId="0" applyNumberFormat="1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" fontId="4" fillId="0" borderId="32" xfId="0" applyNumberFormat="1" applyFont="1" applyBorder="1" applyAlignment="1" applyProtection="1">
      <alignment horizontal="center" vertical="center" wrapText="1"/>
      <protection locked="0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9" fontId="10" fillId="0" borderId="11" xfId="1" applyFont="1" applyBorder="1" applyAlignment="1" applyProtection="1">
      <alignment horizontal="center" vertical="center"/>
    </xf>
    <xf numFmtId="9" fontId="10" fillId="0" borderId="12" xfId="1" applyFont="1" applyBorder="1" applyAlignment="1" applyProtection="1">
      <alignment horizontal="center" vertical="center"/>
    </xf>
    <xf numFmtId="9" fontId="10" fillId="0" borderId="10" xfId="1" applyFont="1" applyBorder="1" applyAlignment="1" applyProtection="1">
      <alignment horizontal="center" vertical="center"/>
    </xf>
    <xf numFmtId="9" fontId="10" fillId="0" borderId="14" xfId="1" applyFont="1" applyBorder="1" applyAlignment="1" applyProtection="1">
      <alignment horizontal="center" vertical="center"/>
    </xf>
    <xf numFmtId="9" fontId="10" fillId="0" borderId="0" xfId="1" applyFont="1" applyBorder="1" applyAlignment="1" applyProtection="1">
      <alignment horizontal="center" vertical="center"/>
    </xf>
    <xf numFmtId="9" fontId="10" fillId="0" borderId="13" xfId="1" applyFont="1" applyBorder="1" applyAlignment="1" applyProtection="1">
      <alignment horizontal="center" vertical="center"/>
    </xf>
    <xf numFmtId="9" fontId="10" fillId="0" borderId="17" xfId="1" applyFont="1" applyBorder="1" applyAlignment="1" applyProtection="1">
      <alignment horizontal="center" vertical="center"/>
    </xf>
    <xf numFmtId="9" fontId="10" fillId="0" borderId="18" xfId="1" applyFont="1" applyBorder="1" applyAlignment="1" applyProtection="1">
      <alignment horizontal="center" vertical="center"/>
    </xf>
    <xf numFmtId="9" fontId="10" fillId="0" borderId="16" xfId="1" applyFont="1" applyBorder="1" applyAlignment="1" applyProtection="1">
      <alignment horizontal="center" vertical="center"/>
    </xf>
    <xf numFmtId="1" fontId="3" fillId="0" borderId="58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49" fontId="9" fillId="0" borderId="51" xfId="0" applyNumberFormat="1" applyFont="1" applyBorder="1" applyAlignment="1">
      <alignment horizontal="left" vertical="top"/>
    </xf>
    <xf numFmtId="0" fontId="9" fillId="0" borderId="32" xfId="0" applyFont="1" applyBorder="1" applyAlignment="1">
      <alignment vertical="top"/>
    </xf>
    <xf numFmtId="0" fontId="9" fillId="0" borderId="7" xfId="0" applyFont="1" applyBorder="1" applyAlignment="1">
      <alignment vertical="top"/>
    </xf>
    <xf numFmtId="0" fontId="9" fillId="0" borderId="63" xfId="0" applyFont="1" applyBorder="1" applyAlignment="1">
      <alignment vertical="top"/>
    </xf>
    <xf numFmtId="0" fontId="12" fillId="0" borderId="0" xfId="0" applyFont="1" applyAlignment="1">
      <alignment horizontal="left" vertical="top"/>
    </xf>
    <xf numFmtId="10" fontId="9" fillId="0" borderId="14" xfId="0" applyNumberFormat="1" applyFont="1" applyBorder="1" applyAlignment="1" applyProtection="1">
      <alignment horizontal="left" vertical="top"/>
      <protection hidden="1"/>
    </xf>
    <xf numFmtId="0" fontId="9" fillId="0" borderId="14" xfId="0" applyFont="1" applyBorder="1" applyAlignment="1" applyProtection="1">
      <alignment horizontal="left" vertical="top"/>
      <protection hidden="1"/>
    </xf>
    <xf numFmtId="0" fontId="9" fillId="0" borderId="13" xfId="0" applyFont="1" applyBorder="1" applyAlignment="1" applyProtection="1">
      <alignment horizontal="left" vertical="top"/>
      <protection hidden="1"/>
    </xf>
    <xf numFmtId="0" fontId="8" fillId="0" borderId="67" xfId="0" quotePrefix="1" applyFont="1" applyBorder="1" applyAlignment="1">
      <alignment horizontal="center" vertical="center"/>
    </xf>
    <xf numFmtId="0" fontId="8" fillId="0" borderId="70" xfId="0" applyFont="1" applyBorder="1" applyAlignment="1" applyProtection="1">
      <alignment horizontal="center" vertical="center"/>
      <protection locked="0"/>
    </xf>
    <xf numFmtId="0" fontId="5" fillId="0" borderId="0" xfId="0" applyFont="1" applyProtection="1">
      <protection hidden="1"/>
    </xf>
    <xf numFmtId="0" fontId="6" fillId="0" borderId="14" xfId="0" applyFont="1" applyBorder="1" applyProtection="1">
      <protection hidden="1"/>
    </xf>
    <xf numFmtId="166" fontId="3" fillId="0" borderId="0" xfId="0" applyNumberFormat="1" applyFont="1" applyProtection="1">
      <protection hidden="1"/>
    </xf>
    <xf numFmtId="0" fontId="3" fillId="0" borderId="14" xfId="0" applyFont="1" applyBorder="1" applyProtection="1">
      <protection hidden="1"/>
    </xf>
    <xf numFmtId="0" fontId="14" fillId="0" borderId="0" xfId="0" applyFont="1" applyProtection="1">
      <protection hidden="1"/>
    </xf>
    <xf numFmtId="0" fontId="6" fillId="0" borderId="0" xfId="0" applyFont="1" applyAlignment="1" applyProtection="1">
      <alignment horizontal="right" vertical="center"/>
      <protection hidden="1"/>
    </xf>
    <xf numFmtId="0" fontId="15" fillId="0" borderId="0" xfId="0" applyFont="1" applyAlignment="1" applyProtection="1">
      <alignment horizontal="center" vertical="top" wrapText="1"/>
      <protection hidden="1"/>
    </xf>
    <xf numFmtId="9" fontId="6" fillId="0" borderId="0" xfId="0" applyNumberFormat="1" applyFont="1" applyProtection="1">
      <protection hidden="1"/>
    </xf>
    <xf numFmtId="10" fontId="6" fillId="0" borderId="0" xfId="1" applyNumberFormat="1" applyFont="1" applyProtection="1">
      <protection hidden="1"/>
    </xf>
    <xf numFmtId="166" fontId="6" fillId="0" borderId="0" xfId="0" applyNumberFormat="1" applyFont="1" applyProtection="1">
      <protection hidden="1"/>
    </xf>
    <xf numFmtId="1" fontId="6" fillId="0" borderId="0" xfId="0" applyNumberFormat="1" applyFont="1"/>
    <xf numFmtId="0" fontId="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 wrapText="1"/>
      <protection hidden="1"/>
    </xf>
    <xf numFmtId="9" fontId="0" fillId="0" borderId="0" xfId="0" applyNumberFormat="1" applyProtection="1">
      <protection hidden="1"/>
    </xf>
    <xf numFmtId="10" fontId="0" fillId="0" borderId="0" xfId="0" applyNumberFormat="1" applyProtection="1">
      <protection hidden="1"/>
    </xf>
    <xf numFmtId="0" fontId="15" fillId="0" borderId="0" xfId="0" applyFont="1" applyAlignment="1" applyProtection="1">
      <alignment horizontal="center" wrapText="1"/>
      <protection hidden="1"/>
    </xf>
    <xf numFmtId="0" fontId="0" fillId="0" borderId="0" xfId="0" applyAlignment="1" applyProtection="1">
      <alignment wrapText="1"/>
      <protection hidden="1"/>
    </xf>
    <xf numFmtId="166" fontId="10" fillId="0" borderId="0" xfId="0" applyNumberFormat="1" applyFont="1" applyProtection="1">
      <protection hidden="1"/>
    </xf>
    <xf numFmtId="49" fontId="3" fillId="0" borderId="0" xfId="0" applyNumberFormat="1" applyFont="1" applyProtection="1">
      <protection hidden="1"/>
    </xf>
    <xf numFmtId="0" fontId="3" fillId="0" borderId="0" xfId="2" applyFont="1" applyProtection="1">
      <protection hidden="1"/>
    </xf>
    <xf numFmtId="0" fontId="6" fillId="0" borderId="0" xfId="2" applyProtection="1">
      <protection hidden="1"/>
    </xf>
    <xf numFmtId="0" fontId="3" fillId="0" borderId="0" xfId="2" applyFont="1" applyAlignment="1" applyProtection="1">
      <alignment horizontal="right"/>
      <protection hidden="1"/>
    </xf>
    <xf numFmtId="1" fontId="6" fillId="0" borderId="0" xfId="0" applyNumberFormat="1" applyFont="1" applyProtection="1">
      <protection hidden="1"/>
    </xf>
    <xf numFmtId="1" fontId="3" fillId="0" borderId="0" xfId="0" applyNumberFormat="1" applyFont="1"/>
    <xf numFmtId="0" fontId="3" fillId="0" borderId="9" xfId="0" applyFont="1" applyBorder="1" applyAlignment="1">
      <alignment horizontal="left" vertical="center" wrapText="1"/>
    </xf>
    <xf numFmtId="0" fontId="3" fillId="0" borderId="53" xfId="0" applyFont="1" applyBorder="1" applyAlignment="1">
      <alignment horizontal="left" vertical="center" wrapText="1"/>
    </xf>
    <xf numFmtId="0" fontId="10" fillId="0" borderId="11" xfId="0" applyFont="1" applyBorder="1" applyAlignment="1" applyProtection="1">
      <alignment horizontal="left" vertical="top"/>
      <protection locked="0"/>
    </xf>
    <xf numFmtId="0" fontId="10" fillId="0" borderId="12" xfId="0" applyFont="1" applyBorder="1" applyAlignment="1" applyProtection="1">
      <alignment horizontal="left" vertical="top"/>
      <protection locked="0"/>
    </xf>
    <xf numFmtId="0" fontId="10" fillId="0" borderId="10" xfId="0" applyFont="1" applyBorder="1" applyAlignment="1" applyProtection="1">
      <alignment horizontal="left" vertical="top"/>
      <protection locked="0"/>
    </xf>
    <xf numFmtId="0" fontId="10" fillId="0" borderId="14" xfId="0" applyFont="1" applyBorder="1" applyAlignment="1" applyProtection="1">
      <alignment horizontal="left" vertical="top"/>
      <protection locked="0"/>
    </xf>
    <xf numFmtId="0" fontId="10" fillId="0" borderId="0" xfId="0" applyFont="1" applyAlignment="1" applyProtection="1">
      <alignment horizontal="left" vertical="top"/>
      <protection locked="0"/>
    </xf>
    <xf numFmtId="0" fontId="10" fillId="0" borderId="13" xfId="0" applyFont="1" applyBorder="1" applyAlignment="1" applyProtection="1">
      <alignment horizontal="left" vertical="top"/>
      <protection locked="0"/>
    </xf>
    <xf numFmtId="0" fontId="10" fillId="0" borderId="17" xfId="0" applyFont="1" applyBorder="1" applyAlignment="1" applyProtection="1">
      <alignment horizontal="left" vertical="top"/>
      <protection locked="0"/>
    </xf>
    <xf numFmtId="0" fontId="10" fillId="0" borderId="18" xfId="0" applyFont="1" applyBorder="1" applyAlignment="1" applyProtection="1">
      <alignment horizontal="left" vertical="top"/>
      <protection locked="0"/>
    </xf>
    <xf numFmtId="0" fontId="10" fillId="0" borderId="16" xfId="0" applyFont="1" applyBorder="1" applyAlignment="1" applyProtection="1">
      <alignment horizontal="left" vertical="top"/>
      <protection locked="0"/>
    </xf>
    <xf numFmtId="49" fontId="9" fillId="0" borderId="60" xfId="0" applyNumberFormat="1" applyFont="1" applyBorder="1" applyAlignment="1">
      <alignment horizontal="left" vertical="top"/>
    </xf>
    <xf numFmtId="49" fontId="9" fillId="0" borderId="0" xfId="0" applyNumberFormat="1" applyFont="1" applyAlignment="1">
      <alignment horizontal="left" vertical="top"/>
    </xf>
    <xf numFmtId="49" fontId="9" fillId="0" borderId="13" xfId="0" applyNumberFormat="1" applyFont="1" applyBorder="1" applyAlignment="1">
      <alignment horizontal="left" vertical="top"/>
    </xf>
    <xf numFmtId="49" fontId="9" fillId="0" borderId="51" xfId="0" applyNumberFormat="1" applyFont="1" applyBorder="1" applyAlignment="1">
      <alignment horizontal="left" vertical="top"/>
    </xf>
    <xf numFmtId="49" fontId="9" fillId="0" borderId="61" xfId="0" applyNumberFormat="1" applyFont="1" applyBorder="1" applyAlignment="1">
      <alignment horizontal="left" vertical="top"/>
    </xf>
    <xf numFmtId="0" fontId="8" fillId="0" borderId="71" xfId="0" applyFont="1" applyBorder="1" applyAlignment="1" applyProtection="1">
      <alignment horizontal="center" vertical="center"/>
      <protection locked="0"/>
    </xf>
    <xf numFmtId="0" fontId="8" fillId="0" borderId="72" xfId="0" applyFont="1" applyBorder="1" applyAlignment="1" applyProtection="1">
      <alignment horizontal="center" vertical="center"/>
      <protection locked="0"/>
    </xf>
    <xf numFmtId="0" fontId="9" fillId="0" borderId="36" xfId="0" applyFont="1" applyBorder="1" applyAlignment="1">
      <alignment horizontal="right" vertical="top"/>
    </xf>
    <xf numFmtId="0" fontId="9" fillId="0" borderId="61" xfId="0" applyFont="1" applyBorder="1" applyAlignment="1">
      <alignment horizontal="left" vertical="top"/>
    </xf>
    <xf numFmtId="0" fontId="9" fillId="0" borderId="62" xfId="0" applyFont="1" applyBorder="1" applyAlignment="1">
      <alignment horizontal="left" vertical="top"/>
    </xf>
    <xf numFmtId="0" fontId="12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9" fontId="8" fillId="0" borderId="64" xfId="1" applyFont="1" applyBorder="1" applyAlignment="1" applyProtection="1">
      <alignment horizontal="center" vertical="center"/>
    </xf>
    <xf numFmtId="9" fontId="8" fillId="0" borderId="65" xfId="1" applyFont="1" applyBorder="1" applyAlignment="1" applyProtection="1">
      <alignment horizontal="center" vertical="center"/>
    </xf>
    <xf numFmtId="9" fontId="8" fillId="0" borderId="66" xfId="1" applyFont="1" applyBorder="1" applyAlignment="1" applyProtection="1">
      <alignment horizontal="center" vertical="center"/>
    </xf>
    <xf numFmtId="0" fontId="8" fillId="0" borderId="67" xfId="0" applyFont="1" applyBorder="1" applyAlignment="1">
      <alignment horizontal="center" vertical="center"/>
    </xf>
    <xf numFmtId="0" fontId="8" fillId="0" borderId="68" xfId="0" applyFont="1" applyBorder="1" applyAlignment="1">
      <alignment horizontal="center" vertical="center"/>
    </xf>
    <xf numFmtId="0" fontId="8" fillId="0" borderId="69" xfId="0" applyFont="1" applyBorder="1" applyAlignment="1">
      <alignment horizontal="center" vertical="center"/>
    </xf>
    <xf numFmtId="0" fontId="13" fillId="0" borderId="71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textRotation="90"/>
    </xf>
    <xf numFmtId="0" fontId="10" fillId="0" borderId="0" xfId="0" applyFont="1" applyAlignment="1">
      <alignment horizontal="center"/>
    </xf>
    <xf numFmtId="0" fontId="10" fillId="0" borderId="42" xfId="0" applyFont="1" applyBorder="1" applyAlignment="1">
      <alignment horizontal="center" wrapText="1"/>
    </xf>
    <xf numFmtId="0" fontId="10" fillId="0" borderId="12" xfId="0" applyFont="1" applyBorder="1" applyAlignment="1">
      <alignment horizontal="center" wrapText="1"/>
    </xf>
    <xf numFmtId="0" fontId="10" fillId="0" borderId="44" xfId="0" applyFont="1" applyBorder="1" applyAlignment="1">
      <alignment horizontal="center" wrapText="1"/>
    </xf>
    <xf numFmtId="0" fontId="10" fillId="0" borderId="50" xfId="0" applyFont="1" applyBorder="1" applyAlignment="1">
      <alignment horizontal="center" wrapText="1"/>
    </xf>
    <xf numFmtId="0" fontId="10" fillId="0" borderId="43" xfId="0" applyFont="1" applyBorder="1" applyAlignment="1">
      <alignment horizontal="center" wrapText="1"/>
    </xf>
    <xf numFmtId="0" fontId="3" fillId="0" borderId="9" xfId="0" applyFont="1" applyBorder="1" applyAlignment="1">
      <alignment horizontal="left" wrapText="1"/>
    </xf>
    <xf numFmtId="0" fontId="3" fillId="0" borderId="53" xfId="0" applyFont="1" applyBorder="1" applyAlignment="1">
      <alignment horizontal="left" wrapText="1"/>
    </xf>
    <xf numFmtId="0" fontId="10" fillId="0" borderId="50" xfId="0" applyFont="1" applyBorder="1" applyAlignment="1" applyProtection="1">
      <alignment horizontal="left" vertical="top" wrapText="1" readingOrder="1"/>
      <protection locked="0"/>
    </xf>
    <xf numFmtId="0" fontId="10" fillId="0" borderId="12" xfId="0" applyFont="1" applyBorder="1" applyAlignment="1" applyProtection="1">
      <alignment horizontal="left" vertical="top" wrapText="1" readingOrder="1"/>
      <protection locked="0"/>
    </xf>
    <xf numFmtId="0" fontId="10" fillId="0" borderId="43" xfId="0" applyFont="1" applyBorder="1" applyAlignment="1" applyProtection="1">
      <alignment horizontal="left" vertical="top" wrapText="1" readingOrder="1"/>
      <protection locked="0"/>
    </xf>
    <xf numFmtId="0" fontId="10" fillId="0" borderId="4" xfId="0" applyFont="1" applyBorder="1" applyAlignment="1" applyProtection="1">
      <alignment horizontal="left" vertical="top" wrapText="1" readingOrder="1"/>
      <protection locked="0"/>
    </xf>
    <xf numFmtId="0" fontId="10" fillId="0" borderId="0" xfId="0" applyFont="1" applyAlignment="1" applyProtection="1">
      <alignment horizontal="left" vertical="top" wrapText="1" readingOrder="1"/>
      <protection locked="0"/>
    </xf>
    <xf numFmtId="0" fontId="10" fillId="0" borderId="57" xfId="0" applyFont="1" applyBorder="1" applyAlignment="1" applyProtection="1">
      <alignment horizontal="left" vertical="top" wrapText="1" readingOrder="1"/>
      <protection locked="0"/>
    </xf>
    <xf numFmtId="0" fontId="10" fillId="0" borderId="59" xfId="0" applyFont="1" applyBorder="1" applyAlignment="1" applyProtection="1">
      <alignment horizontal="left" vertical="top" wrapText="1" readingOrder="1"/>
      <protection locked="0"/>
    </xf>
    <xf numFmtId="0" fontId="10" fillId="0" borderId="18" xfId="0" applyFont="1" applyBorder="1" applyAlignment="1" applyProtection="1">
      <alignment horizontal="left" vertical="top" wrapText="1" readingOrder="1"/>
      <protection locked="0"/>
    </xf>
    <xf numFmtId="0" fontId="10" fillId="0" borderId="41" xfId="0" applyFont="1" applyBorder="1" applyAlignment="1" applyProtection="1">
      <alignment horizontal="left" vertical="top" wrapText="1" readingOrder="1"/>
      <protection locked="0"/>
    </xf>
    <xf numFmtId="0" fontId="6" fillId="0" borderId="0" xfId="0" applyFont="1" applyAlignment="1" applyProtection="1">
      <alignment horizont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9" fillId="0" borderId="42" xfId="0" applyFont="1" applyBorder="1" applyAlignment="1">
      <alignment horizontal="left" vertical="top"/>
    </xf>
    <xf numFmtId="0" fontId="9" fillId="0" borderId="12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 textRotation="90"/>
    </xf>
    <xf numFmtId="0" fontId="8" fillId="0" borderId="35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36" xfId="0" applyFont="1" applyBorder="1"/>
    <xf numFmtId="0" fontId="6" fillId="0" borderId="37" xfId="0" applyFont="1" applyBorder="1"/>
    <xf numFmtId="0" fontId="9" fillId="0" borderId="38" xfId="0" applyFont="1" applyBorder="1" applyAlignment="1">
      <alignment horizontal="left" vertical="top"/>
    </xf>
    <xf numFmtId="0" fontId="9" fillId="0" borderId="37" xfId="0" applyFont="1" applyBorder="1" applyAlignment="1">
      <alignment horizontal="left" vertical="top"/>
    </xf>
    <xf numFmtId="0" fontId="9" fillId="0" borderId="39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 shrinkToFit="1"/>
    </xf>
    <xf numFmtId="0" fontId="9" fillId="0" borderId="10" xfId="0" applyFont="1" applyBorder="1" applyAlignment="1">
      <alignment horizontal="left" vertical="top" shrinkToFit="1"/>
    </xf>
    <xf numFmtId="0" fontId="9" fillId="0" borderId="43" xfId="0" applyFont="1" applyBorder="1" applyAlignment="1">
      <alignment horizontal="left" vertical="top"/>
    </xf>
    <xf numFmtId="0" fontId="6" fillId="0" borderId="40" xfId="0" applyFont="1" applyBorder="1" applyAlignment="1" applyProtection="1">
      <alignment horizontal="left" vertical="center"/>
      <protection locked="0"/>
    </xf>
    <xf numFmtId="0" fontId="0" fillId="0" borderId="18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0" fontId="3" fillId="0" borderId="13" xfId="0" applyFont="1" applyBorder="1" applyAlignment="1" applyProtection="1">
      <alignment vertical="center"/>
      <protection locked="0"/>
    </xf>
    <xf numFmtId="0" fontId="3" fillId="0" borderId="14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17" xfId="0" applyFont="1" applyBorder="1" applyAlignment="1" applyProtection="1">
      <alignment horizontal="left" vertical="center"/>
      <protection locked="0"/>
    </xf>
    <xf numFmtId="0" fontId="3" fillId="0" borderId="16" xfId="0" applyFont="1" applyBorder="1" applyAlignment="1" applyProtection="1">
      <alignment horizontal="left" vertical="center"/>
      <protection locked="0"/>
    </xf>
    <xf numFmtId="164" fontId="3" fillId="0" borderId="17" xfId="0" applyNumberFormat="1" applyFont="1" applyBorder="1" applyAlignment="1" applyProtection="1">
      <alignment horizontal="center" vertical="center" shrinkToFit="1"/>
      <protection locked="0"/>
    </xf>
    <xf numFmtId="164" fontId="3" fillId="0" borderId="16" xfId="0" applyNumberFormat="1" applyFont="1" applyBorder="1" applyAlignment="1" applyProtection="1">
      <alignment horizontal="center" vertical="center" shrinkToFit="1"/>
      <protection locked="0"/>
    </xf>
    <xf numFmtId="166" fontId="4" fillId="0" borderId="17" xfId="0" applyNumberFormat="1" applyFont="1" applyBorder="1" applyAlignment="1">
      <alignment horizontal="center" vertical="center"/>
    </xf>
    <xf numFmtId="166" fontId="4" fillId="0" borderId="41" xfId="0" applyNumberFormat="1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6" fillId="0" borderId="18" xfId="0" applyFont="1" applyBorder="1"/>
    <xf numFmtId="0" fontId="6" fillId="0" borderId="16" xfId="0" applyFont="1" applyBorder="1"/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41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>
      <alignment horizontal="center" wrapText="1"/>
    </xf>
    <xf numFmtId="0" fontId="3" fillId="0" borderId="22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17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3" fillId="0" borderId="17" xfId="0" applyFont="1" applyBorder="1" applyAlignment="1">
      <alignment horizontal="left"/>
    </xf>
    <xf numFmtId="0" fontId="3" fillId="0" borderId="18" xfId="0" applyFont="1" applyBorder="1" applyAlignment="1">
      <alignment horizontal="left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27" xfId="0" applyFont="1" applyBorder="1" applyAlignment="1">
      <alignment horizontal="left"/>
    </xf>
    <xf numFmtId="0" fontId="3" fillId="0" borderId="30" xfId="0" applyFont="1" applyBorder="1" applyAlignment="1">
      <alignment horizontal="left"/>
    </xf>
    <xf numFmtId="0" fontId="3" fillId="0" borderId="15" xfId="0" applyFont="1" applyBorder="1" applyAlignment="1">
      <alignment horizontal="left" wrapText="1"/>
    </xf>
    <xf numFmtId="0" fontId="3" fillId="0" borderId="22" xfId="0" applyFont="1" applyBorder="1" applyAlignment="1">
      <alignment horizontal="left" wrapText="1"/>
    </xf>
    <xf numFmtId="0" fontId="4" fillId="0" borderId="0" xfId="0" applyFont="1" applyAlignment="1">
      <alignment horizontal="left"/>
    </xf>
    <xf numFmtId="0" fontId="3" fillId="2" borderId="0" xfId="0" applyFont="1" applyFill="1" applyAlignment="1" applyProtection="1">
      <alignment horizontal="left"/>
      <protection locked="0"/>
    </xf>
    <xf numFmtId="0" fontId="3" fillId="0" borderId="8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1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left" wrapText="1"/>
    </xf>
    <xf numFmtId="0" fontId="3" fillId="0" borderId="31" xfId="0" applyFont="1" applyBorder="1" applyAlignment="1">
      <alignment horizontal="left" wrapText="1"/>
    </xf>
    <xf numFmtId="0" fontId="3" fillId="0" borderId="10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</cellXfs>
  <cellStyles count="3">
    <cellStyle name="Normal" xfId="0" builtinId="0"/>
    <cellStyle name="Normal 2" xfId="2" xr:uid="{83EC42B1-1108-4945-B4C5-DCCF6B2032F7}"/>
    <cellStyle name="Percent" xfId="1" builtinId="5"/>
  </cellStyles>
  <dxfs count="25">
    <dxf>
      <font>
        <b/>
        <i val="0"/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b/>
        <i val="0"/>
        <color theme="1"/>
      </font>
      <fill>
        <patternFill>
          <bgColor theme="1"/>
        </patternFill>
      </fill>
    </dxf>
    <dxf>
      <font>
        <color theme="0"/>
      </font>
      <fill>
        <patternFill patternType="none">
          <bgColor auto="1"/>
        </patternFill>
      </fill>
      <border>
        <left/>
        <right/>
        <bottom style="thin">
          <color auto="1"/>
        </bottom>
      </border>
    </dxf>
    <dxf>
      <fill>
        <patternFill>
          <bgColor rgb="FFFFFF00"/>
        </patternFill>
      </fill>
    </dxf>
    <dxf>
      <font>
        <b/>
        <i/>
      </font>
      <fill>
        <patternFill patternType="solid">
          <f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1"/>
      </font>
      <fill>
        <patternFill patternType="none">
          <bgColor auto="1"/>
        </patternFill>
      </fill>
    </dxf>
    <dxf>
      <fill>
        <patternFill>
          <bgColor rgb="FFEBEBEB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lor rgb="FFEBEBEB"/>
      </font>
      <fill>
        <patternFill>
          <bgColor rgb="FFEBEBEB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49</xdr:col>
      <xdr:colOff>1143000</xdr:colOff>
      <xdr:row>120</xdr:row>
      <xdr:rowOff>85725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1082BB4-F010-48C8-B3A7-21BCDF39B34D}"/>
            </a:ext>
          </a:extLst>
        </xdr:cNvPr>
        <xdr:cNvSpPr txBox="1"/>
      </xdr:nvSpPr>
      <xdr:spPr>
        <a:xfrm>
          <a:off x="17278350" y="15573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123825</xdr:colOff>
          <xdr:row>118</xdr:row>
          <xdr:rowOff>95250</xdr:rowOff>
        </xdr:from>
        <xdr:to>
          <xdr:col>55</xdr:col>
          <xdr:colOff>333375</xdr:colOff>
          <xdr:row>119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Create Standalone Gradesheet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13</xdr:row>
          <xdr:rowOff>257175</xdr:rowOff>
        </xdr:from>
        <xdr:to>
          <xdr:col>1</xdr:col>
          <xdr:colOff>1895475</xdr:colOff>
          <xdr:row>14</xdr:row>
          <xdr:rowOff>295275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Go to Gradesheet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438150</xdr:colOff>
          <xdr:row>118</xdr:row>
          <xdr:rowOff>95250</xdr:rowOff>
        </xdr:from>
        <xdr:to>
          <xdr:col>45</xdr:col>
          <xdr:colOff>114300</xdr:colOff>
          <xdr:row>119</xdr:row>
          <xdr:rowOff>28575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Go to Builder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13</xdr:row>
          <xdr:rowOff>266700</xdr:rowOff>
        </xdr:from>
        <xdr:to>
          <xdr:col>1</xdr:col>
          <xdr:colOff>495300</xdr:colOff>
          <xdr:row>14</xdr:row>
          <xdr:rowOff>304800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Logic Checks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7644-D914-4018-B484-24E207126B2F}">
  <sheetPr codeName="Sheet1">
    <pageSetUpPr autoPageBreaks="0"/>
  </sheetPr>
  <dimension ref="A1:DI142"/>
  <sheetViews>
    <sheetView showGridLines="0" showRowColHeaders="0" tabSelected="1" zoomScaleNormal="70" workbookViewId="0">
      <selection activeCell="DJ112" sqref="DJ112"/>
    </sheetView>
  </sheetViews>
  <sheetFormatPr defaultColWidth="9.140625" defaultRowHeight="15" x14ac:dyDescent="0.25"/>
  <cols>
    <col min="1" max="1" width="17.5703125" style="1" customWidth="1"/>
    <col min="2" max="2" width="32.140625" style="1" customWidth="1"/>
    <col min="3" max="3" width="10.85546875" style="1" bestFit="1" customWidth="1"/>
    <col min="4" max="5" width="5.5703125" style="1" bestFit="1" customWidth="1"/>
    <col min="6" max="7" width="6.28515625" style="1" customWidth="1"/>
    <col min="8" max="8" width="6.42578125" style="1" bestFit="1" customWidth="1"/>
    <col min="9" max="14" width="7.7109375" style="1" customWidth="1"/>
    <col min="15" max="15" width="4.42578125" customWidth="1"/>
    <col min="16" max="16" width="4.42578125" style="1" hidden="1" customWidth="1"/>
    <col min="17" max="17" width="5.28515625" style="1" hidden="1" customWidth="1"/>
    <col min="18" max="18" width="3" style="1" hidden="1" customWidth="1"/>
    <col min="19" max="19" width="29.140625" style="1" hidden="1" customWidth="1"/>
    <col min="20" max="20" width="5.7109375" style="1" hidden="1" customWidth="1"/>
    <col min="21" max="22" width="5.5703125" style="1" hidden="1" customWidth="1"/>
    <col min="23" max="24" width="6.42578125" style="1" hidden="1" customWidth="1"/>
    <col min="25" max="25" width="7.7109375" style="1" hidden="1" customWidth="1"/>
    <col min="26" max="27" width="5.140625" style="1" hidden="1" customWidth="1"/>
    <col min="28" max="28" width="6.42578125" style="1" hidden="1" customWidth="1"/>
    <col min="29" max="29" width="6.140625" style="1" hidden="1" customWidth="1"/>
    <col min="30" max="30" width="6.28515625" style="1" hidden="1" customWidth="1"/>
    <col min="31" max="31" width="10.28515625" style="1" hidden="1" customWidth="1"/>
    <col min="32" max="32" width="3.140625" style="1" customWidth="1"/>
    <col min="33" max="33" width="3.42578125" style="1" customWidth="1"/>
    <col min="34" max="34" width="6.5703125" style="1" bestFit="1" customWidth="1"/>
    <col min="35" max="35" width="6.140625" style="1" bestFit="1" customWidth="1"/>
    <col min="36" max="37" width="5.85546875" style="1" bestFit="1" customWidth="1"/>
    <col min="38" max="38" width="5.42578125" style="1" customWidth="1"/>
    <col min="39" max="39" width="1.5703125" customWidth="1"/>
    <col min="40" max="40" width="3.5703125" customWidth="1"/>
    <col min="41" max="41" width="5.5703125" style="59" customWidth="1"/>
    <col min="42" max="42" width="9.140625" style="59"/>
    <col min="43" max="43" width="14" style="59" customWidth="1"/>
    <col min="44" max="44" width="7.85546875" style="59" customWidth="1"/>
    <col min="45" max="49" width="5.140625" style="59" customWidth="1"/>
    <col min="50" max="50" width="21.5703125" style="59" customWidth="1"/>
    <col min="51" max="51" width="6.5703125" style="59" customWidth="1"/>
    <col min="52" max="52" width="12.5703125" style="59" customWidth="1"/>
    <col min="53" max="53" width="7.85546875" style="59" customWidth="1"/>
    <col min="54" max="54" width="2.7109375" style="59" customWidth="1"/>
    <col min="55" max="55" width="4.85546875" style="59" customWidth="1"/>
    <col min="56" max="56" width="7.28515625" style="59" customWidth="1"/>
    <col min="57" max="57" width="1.7109375" style="59" customWidth="1"/>
    <col min="58" max="58" width="19.140625" style="60" hidden="1" customWidth="1"/>
    <col min="59" max="59" width="31.140625" style="60" hidden="1" customWidth="1"/>
    <col min="60" max="60" width="5.140625" style="60" hidden="1" customWidth="1"/>
    <col min="61" max="62" width="6.28515625" style="60" hidden="1" customWidth="1"/>
    <col min="63" max="63" width="8.42578125" style="60" hidden="1" customWidth="1"/>
    <col min="64" max="64" width="7.85546875" style="60" hidden="1" customWidth="1"/>
    <col min="65" max="65" width="10.7109375" style="60" hidden="1" customWidth="1"/>
    <col min="66" max="66" width="8" style="60" hidden="1" customWidth="1"/>
    <col min="67" max="69" width="5.140625" style="60" hidden="1" customWidth="1"/>
    <col min="70" max="72" width="5.85546875" style="60" hidden="1" customWidth="1"/>
    <col min="73" max="73" width="8.5703125" style="61" hidden="1" customWidth="1"/>
    <col min="74" max="74" width="7" style="60" hidden="1" customWidth="1"/>
    <col min="75" max="76" width="5.28515625" style="60" hidden="1" customWidth="1"/>
    <col min="77" max="78" width="7" style="60" hidden="1" customWidth="1"/>
    <col min="79" max="79" width="5.140625" style="60" hidden="1" customWidth="1"/>
    <col min="80" max="80" width="11.28515625" style="60" hidden="1" customWidth="1"/>
    <col min="81" max="81" width="6.42578125" style="60" hidden="1" customWidth="1"/>
    <col min="82" max="82" width="8.28515625" style="60" hidden="1" customWidth="1"/>
    <col min="83" max="83" width="8.85546875" style="60" hidden="1" customWidth="1"/>
    <col min="84" max="84" width="10.7109375" style="60" hidden="1" customWidth="1"/>
    <col min="85" max="85" width="8.85546875" style="60" hidden="1" customWidth="1"/>
    <col min="86" max="86" width="6.28515625" style="60" hidden="1" customWidth="1"/>
    <col min="87" max="87" width="10" style="60" hidden="1" customWidth="1"/>
    <col min="88" max="88" width="7.5703125" style="60" hidden="1" customWidth="1"/>
    <col min="89" max="89" width="7" style="60" hidden="1" customWidth="1"/>
    <col min="90" max="90" width="8.140625" style="60" hidden="1" customWidth="1"/>
    <col min="91" max="91" width="12.5703125" style="60" hidden="1" customWidth="1"/>
    <col min="92" max="92" width="7.7109375" style="60" hidden="1" customWidth="1"/>
    <col min="93" max="93" width="12.7109375" style="60" hidden="1" customWidth="1"/>
    <col min="94" max="94" width="7" style="60" hidden="1" customWidth="1"/>
    <col min="95" max="95" width="15.5703125" style="62" hidden="1" customWidth="1"/>
    <col min="96" max="96" width="9.140625" style="62" hidden="1" customWidth="1"/>
    <col min="97" max="97" width="10" style="60" hidden="1" customWidth="1"/>
    <col min="98" max="98" width="5.28515625" style="62" hidden="1" customWidth="1"/>
    <col min="99" max="99" width="4" style="62" hidden="1" customWidth="1"/>
    <col min="100" max="100" width="4.7109375" style="62" hidden="1" customWidth="1"/>
    <col min="101" max="101" width="5.5703125" style="62" hidden="1" customWidth="1"/>
    <col min="102" max="102" width="5.28515625" style="62" hidden="1" customWidth="1"/>
    <col min="103" max="103" width="4" style="62" hidden="1" customWidth="1"/>
    <col min="104" max="104" width="5.5703125" style="62" hidden="1" customWidth="1"/>
    <col min="105" max="105" width="3.5703125" style="63" customWidth="1"/>
    <col min="106" max="111" width="5.140625" style="59" customWidth="1"/>
    <col min="112" max="16384" width="9.140625" style="59"/>
  </cols>
  <sheetData>
    <row r="1" spans="1:104" s="1" customFormat="1" ht="12.75" customHeight="1" thickBot="1" x14ac:dyDescent="0.3">
      <c r="B1" s="2" t="s">
        <v>0</v>
      </c>
      <c r="C1" s="3">
        <v>2.7</v>
      </c>
      <c r="D1" s="291" t="s">
        <v>1</v>
      </c>
      <c r="E1" s="291"/>
      <c r="O1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5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</row>
    <row r="2" spans="1:104" s="1" customFormat="1" ht="12.75" customHeight="1" x14ac:dyDescent="0.25">
      <c r="B2" s="2" t="s">
        <v>2</v>
      </c>
      <c r="C2" s="6">
        <v>20251017</v>
      </c>
      <c r="D2" s="292" t="s">
        <v>202</v>
      </c>
      <c r="E2" s="292"/>
      <c r="F2" s="7"/>
      <c r="G2" s="8" t="s">
        <v>3</v>
      </c>
      <c r="H2" s="9"/>
      <c r="I2" s="9"/>
      <c r="J2" s="9"/>
      <c r="K2" s="9"/>
      <c r="L2" s="9"/>
      <c r="M2" s="9"/>
      <c r="N2" s="10"/>
      <c r="O2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5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</row>
    <row r="3" spans="1:104" s="1" customFormat="1" ht="12.75" customHeight="1" x14ac:dyDescent="0.25">
      <c r="F3" s="11"/>
      <c r="G3" s="12" t="str">
        <f t="shared" ref="G3:G8" si="0">IF(OR($B$4="Flight",$B$4="Control Room"),$A71,IF($B$4="Sim/Lab",$E71,IF(OR($B$4="Written Report",$B$4="Oral Report"),$M71,"")))</f>
        <v>Report (Written or Oral)</v>
      </c>
      <c r="N3" s="13"/>
      <c r="O3"/>
      <c r="AA3" s="2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5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ht="12.75" customHeight="1" x14ac:dyDescent="0.25">
      <c r="A4" s="14" t="s">
        <v>4</v>
      </c>
      <c r="B4" s="15" t="s">
        <v>79</v>
      </c>
      <c r="C4" s="293" t="s">
        <v>6</v>
      </c>
      <c r="D4" s="294"/>
      <c r="E4" s="294"/>
      <c r="F4" s="16"/>
      <c r="G4" s="17" t="str">
        <f t="shared" si="0"/>
        <v>D</v>
      </c>
      <c r="H4" s="1" t="str">
        <f>IF(OR($B$4="Flight",$B$4="Control Room"),$B72,IF($B$4="Sim/Lab",$F72,IF(OR($B$4="Written Report",$B$4="Oral Report"),$N72,"")))</f>
        <v>N/A</v>
      </c>
      <c r="I4" s="7"/>
      <c r="J4" s="7"/>
      <c r="K4" s="7"/>
      <c r="L4" s="7"/>
      <c r="M4" s="7"/>
      <c r="N4" s="18"/>
      <c r="O4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C4" s="7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5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ht="12.75" customHeight="1" x14ac:dyDescent="0.25">
      <c r="A5" s="14" t="s">
        <v>7</v>
      </c>
      <c r="B5" s="15" t="s">
        <v>225</v>
      </c>
      <c r="C5" s="293" t="s">
        <v>8</v>
      </c>
      <c r="D5" s="294"/>
      <c r="E5" s="294"/>
      <c r="F5" s="16"/>
      <c r="G5" s="19">
        <f t="shared" si="0"/>
        <v>0</v>
      </c>
      <c r="H5" s="1" t="str">
        <f>IF(OR($B$4="Flight",$B$4="Control Room"),$B73,IF($B$4="Sim/Lab",$F73,IF(OR($B$4="Written Report",$B$4="Oral Report"),$N73,"")))</f>
        <v>Omitted</v>
      </c>
      <c r="N5" s="13"/>
      <c r="O5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5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</row>
    <row r="6" spans="1:104" s="1" customFormat="1" ht="12.75" customHeight="1" x14ac:dyDescent="0.25">
      <c r="A6" s="295" t="s">
        <v>9</v>
      </c>
      <c r="B6" s="15" t="e">
        <v>#N/A</v>
      </c>
      <c r="C6" s="298" t="s">
        <v>10</v>
      </c>
      <c r="D6" s="299"/>
      <c r="E6" s="299"/>
      <c r="F6" s="16"/>
      <c r="G6" s="19">
        <f t="shared" si="0"/>
        <v>1</v>
      </c>
      <c r="H6" s="1" t="str">
        <f>IF(OR($B$4="Flight",$B$4="Control Room"),$B74,IF($B$4="Sim/Lab",$F74,IF(OR($B$4="Written Report",$B$4="Oral Report"),$N74,"")))</f>
        <v>Unable: Most requirements not met, many errors</v>
      </c>
      <c r="N6" s="13"/>
      <c r="O6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5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</row>
    <row r="7" spans="1:104" s="1" customFormat="1" ht="12.75" customHeight="1" x14ac:dyDescent="0.25">
      <c r="A7" s="296"/>
      <c r="B7" s="15" t="s">
        <v>84</v>
      </c>
      <c r="C7" s="300"/>
      <c r="D7" s="301"/>
      <c r="E7" s="301"/>
      <c r="F7" s="16"/>
      <c r="G7" s="19">
        <f t="shared" si="0"/>
        <v>2</v>
      </c>
      <c r="H7" s="1" t="str">
        <f>IF(OR($B$4="Flight",$B$4="Control Room"),$B75,IF($B$4="Sim/Lab",$F75,IF(OR($B$4="Written Report",$B$4="Oral Report"),$N75,"")))</f>
        <v>Minimally Proficient: Most requirements met with many errors</v>
      </c>
      <c r="N7" s="13"/>
      <c r="O7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5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s="1" customFormat="1" ht="12.75" customHeight="1" x14ac:dyDescent="0.25">
      <c r="A8" s="296"/>
      <c r="B8" s="20" t="s">
        <v>203</v>
      </c>
      <c r="C8" s="300"/>
      <c r="D8" s="301"/>
      <c r="E8" s="301"/>
      <c r="F8" s="16"/>
      <c r="G8" s="19">
        <f t="shared" si="0"/>
        <v>3</v>
      </c>
      <c r="H8" s="1" t="str">
        <f>IF(OR($B$4="Flight",$B$4="Control Room"),$B76,IF($B$4="Sim/Lab",$F76,IF(OR($B$4="Written Report",$B$4="Oral Report"),$N76,"")))</f>
        <v>Proficient: Most requirements met with few errors</v>
      </c>
      <c r="N8" s="13"/>
      <c r="O8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5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ht="12.75" customHeight="1" thickBot="1" x14ac:dyDescent="0.3">
      <c r="A9" s="296"/>
      <c r="B9" s="20" t="s">
        <v>205</v>
      </c>
      <c r="C9" s="300"/>
      <c r="D9" s="301"/>
      <c r="E9" s="301"/>
      <c r="F9" s="16"/>
      <c r="G9" s="21">
        <v>4</v>
      </c>
      <c r="H9" s="22" t="s">
        <v>11</v>
      </c>
      <c r="I9" s="22"/>
      <c r="J9" s="22"/>
      <c r="K9" s="22"/>
      <c r="L9" s="22"/>
      <c r="M9" s="22"/>
      <c r="N9" s="23"/>
      <c r="O9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5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ht="12.75" customHeight="1" x14ac:dyDescent="0.25">
      <c r="A10" s="297"/>
      <c r="B10" s="15" t="s">
        <v>81</v>
      </c>
      <c r="C10" s="302"/>
      <c r="D10" s="303"/>
      <c r="E10" s="303"/>
      <c r="F10" s="16"/>
      <c r="O10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5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ht="12.75" customHeight="1" x14ac:dyDescent="0.25">
      <c r="A11" s="24" t="s">
        <v>12</v>
      </c>
      <c r="B11" s="25"/>
      <c r="C11" s="281" t="s">
        <v>13</v>
      </c>
      <c r="D11" s="282"/>
      <c r="E11" s="282"/>
      <c r="F11" s="16"/>
      <c r="O11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5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ht="12.75" customHeight="1" x14ac:dyDescent="0.25">
      <c r="A12" s="26" t="s">
        <v>14</v>
      </c>
      <c r="B12" s="27" t="s">
        <v>15</v>
      </c>
      <c r="C12" s="28"/>
      <c r="D12" s="28"/>
      <c r="O1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5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ht="12.75" customHeight="1" thickBot="1" x14ac:dyDescent="0.3">
      <c r="A13" s="26" t="s">
        <v>16</v>
      </c>
      <c r="B13" s="27">
        <v>20</v>
      </c>
      <c r="C13" s="28" t="s">
        <v>17</v>
      </c>
      <c r="D13" s="28"/>
      <c r="O13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5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ht="36" x14ac:dyDescent="0.25">
      <c r="B14" s="29"/>
      <c r="C14" s="30" t="s">
        <v>18</v>
      </c>
      <c r="D14" s="30" t="s">
        <v>19</v>
      </c>
      <c r="E14" s="30" t="s">
        <v>20</v>
      </c>
      <c r="F14" s="31"/>
      <c r="G14" s="31"/>
      <c r="H14" s="31"/>
      <c r="I14" s="283" t="s">
        <v>21</v>
      </c>
      <c r="J14" s="284"/>
      <c r="K14" s="284"/>
      <c r="L14" s="284"/>
      <c r="M14" s="284"/>
      <c r="N14" s="284"/>
      <c r="O14" s="32"/>
      <c r="P14" s="33"/>
      <c r="Q14" s="33"/>
      <c r="R14" s="33"/>
      <c r="S14" s="34">
        <v>2</v>
      </c>
      <c r="T14" s="34">
        <v>3</v>
      </c>
      <c r="U14" s="34">
        <v>4</v>
      </c>
      <c r="V14" s="34">
        <v>5</v>
      </c>
      <c r="W14" s="34">
        <v>6</v>
      </c>
      <c r="X14" s="34">
        <v>7</v>
      </c>
      <c r="Y14" s="34">
        <v>8</v>
      </c>
      <c r="Z14" s="34">
        <v>9</v>
      </c>
      <c r="AA14" s="34">
        <v>10</v>
      </c>
      <c r="AB14" s="34">
        <v>11</v>
      </c>
      <c r="AC14" s="34">
        <v>12</v>
      </c>
      <c r="AD14" s="34">
        <v>13</v>
      </c>
      <c r="AE14" s="33"/>
      <c r="AF14" s="35"/>
      <c r="AG14" s="35"/>
      <c r="AH14" s="35"/>
      <c r="AI14" s="35"/>
      <c r="AJ14" s="35"/>
      <c r="AK14" s="35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5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ht="37.5" customHeight="1" x14ac:dyDescent="0.25">
      <c r="B15" s="29"/>
      <c r="C15" s="36" t="s">
        <v>22</v>
      </c>
      <c r="D15" s="36" t="s">
        <v>23</v>
      </c>
      <c r="E15" s="36" t="s">
        <v>24</v>
      </c>
      <c r="F15" s="285" t="s">
        <v>25</v>
      </c>
      <c r="G15" s="286" t="s">
        <v>26</v>
      </c>
      <c r="H15" s="285" t="s">
        <v>27</v>
      </c>
      <c r="I15" s="287" t="s">
        <v>28</v>
      </c>
      <c r="J15" s="289" t="s">
        <v>29</v>
      </c>
      <c r="K15" s="289" t="s">
        <v>30</v>
      </c>
      <c r="L15" s="289" t="s">
        <v>31</v>
      </c>
      <c r="M15" s="289" t="s">
        <v>32</v>
      </c>
      <c r="N15" s="304" t="s">
        <v>33</v>
      </c>
      <c r="O15"/>
      <c r="P15" s="306" t="s">
        <v>34</v>
      </c>
      <c r="Q15" s="276" t="s">
        <v>35</v>
      </c>
      <c r="R15" s="276"/>
      <c r="S15" s="276"/>
      <c r="T15" s="276" t="str">
        <f>F15</f>
        <v># Req</v>
      </c>
      <c r="U15" s="276" t="s">
        <v>23</v>
      </c>
      <c r="V15" s="276" t="s">
        <v>24</v>
      </c>
      <c r="W15" s="276" t="s">
        <v>36</v>
      </c>
      <c r="X15" s="276" t="s">
        <v>37</v>
      </c>
      <c r="Y15" s="276" t="s">
        <v>38</v>
      </c>
      <c r="Z15" s="276" t="s">
        <v>39</v>
      </c>
      <c r="AA15" s="276" t="s">
        <v>40</v>
      </c>
      <c r="AB15" s="276" t="s">
        <v>41</v>
      </c>
      <c r="AC15" s="276" t="s">
        <v>42</v>
      </c>
      <c r="AD15" s="276" t="s">
        <v>28</v>
      </c>
      <c r="AE15" s="278" t="s">
        <v>43</v>
      </c>
      <c r="AG15" s="37"/>
      <c r="AH15" s="37"/>
      <c r="AI15" s="37"/>
      <c r="AJ15" s="37"/>
      <c r="AK15" s="37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5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5">
      <c r="A16" s="38" t="s">
        <v>44</v>
      </c>
      <c r="B16" s="38" t="s">
        <v>45</v>
      </c>
      <c r="C16" s="39" t="s">
        <v>46</v>
      </c>
      <c r="D16" s="40" t="s">
        <v>47</v>
      </c>
      <c r="E16" s="40" t="s">
        <v>47</v>
      </c>
      <c r="F16" s="285"/>
      <c r="G16" s="286"/>
      <c r="H16" s="285"/>
      <c r="I16" s="288"/>
      <c r="J16" s="290"/>
      <c r="K16" s="290"/>
      <c r="L16" s="290"/>
      <c r="M16" s="290"/>
      <c r="N16" s="305"/>
      <c r="O16"/>
      <c r="P16" s="307"/>
      <c r="Q16" s="277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9"/>
      <c r="AG16" s="280" t="s">
        <v>48</v>
      </c>
      <c r="AH16" s="280"/>
      <c r="AI16" s="280"/>
      <c r="AJ16" s="280"/>
      <c r="AK16" s="280"/>
      <c r="AL16" s="280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5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hidden="1" x14ac:dyDescent="0.25">
      <c r="A17" s="1" t="str">
        <f>IF(OR(B4="Flight",B4="Control Room"),0,"")</f>
        <v/>
      </c>
      <c r="B17" s="1" t="str">
        <f>IF(OR(B4="Flight",B4="Control Room"),"Airmanship Tasks","")</f>
        <v/>
      </c>
      <c r="C17" s="31" t="str">
        <f>IF(OR(B4="Flight",B4="Control Room"),0,"")</f>
        <v/>
      </c>
      <c r="D17" s="31"/>
      <c r="E17" s="31"/>
      <c r="F17" s="31"/>
      <c r="G17" s="31"/>
      <c r="H17" s="31"/>
      <c r="I17" s="41"/>
      <c r="J17" s="38"/>
      <c r="K17" s="38"/>
      <c r="L17" s="38"/>
      <c r="M17" s="38"/>
      <c r="N17" s="42"/>
      <c r="O17"/>
      <c r="P17" s="43" t="str">
        <f>IF(OR(B4="Flight",B4="Control Room"),1,"")</f>
        <v/>
      </c>
      <c r="Q17" s="38"/>
      <c r="R17" s="38">
        <f>SUM(P17:Q17)</f>
        <v>0</v>
      </c>
      <c r="S17" s="38" t="e">
        <f t="shared" ref="S17:S45" si="1">CONCATENATE(VLOOKUP(A17,$E$65:$F$67,2,FALSE),B17)</f>
        <v>#N/A</v>
      </c>
      <c r="T17" s="38" t="str">
        <f t="shared" ref="T17:T34" si="2">IF(AE17,F17,"")</f>
        <v/>
      </c>
      <c r="U17" s="38" t="str">
        <f t="shared" ref="U17:U34" si="3">IF(AE17,D17,"")</f>
        <v/>
      </c>
      <c r="V17" s="38" t="str">
        <f>IF(AE17,E17,"")</f>
        <v/>
      </c>
      <c r="W17" s="38" t="str">
        <f>IF(AE17,IF(AND(C17=1,F17&gt;0),#REF!,0),"")</f>
        <v/>
      </c>
      <c r="X17" s="38" t="str">
        <f>IF(OR(NOT(AE17),D17="NG",F17=0,C17&lt;&gt;"Airmanship"),"",#REF!)</f>
        <v/>
      </c>
      <c r="Y17" s="38">
        <v>1</v>
      </c>
      <c r="Z17" s="38" t="str">
        <f t="shared" ref="Z17:Z34" si="4">A17</f>
        <v/>
      </c>
      <c r="AA17" s="38">
        <f>IF($B$4="Flight",C17,1)</f>
        <v>1</v>
      </c>
      <c r="AB17" s="38" t="str">
        <f>IF(AE17,IF(F17=0,#REF!,0),"")</f>
        <v/>
      </c>
      <c r="AC17" s="38">
        <f>IF(F17=0,0,H17)</f>
        <v>0</v>
      </c>
      <c r="AD17" s="38" t="str">
        <f t="shared" ref="AD17:AD34" si="5">IF(AE17,IF(ISBLANK(C17),FALSE,IF(AND(J17:N17),TRUE,FALSE)),"")</f>
        <v/>
      </c>
      <c r="AE17" s="44" t="b">
        <f t="shared" ref="AE17:AE34" si="6">IF(OR(B17="",NOT(Y17="")),FALSE,TRUE)</f>
        <v>0</v>
      </c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5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</row>
    <row r="18" spans="1:104" s="1" customFormat="1" hidden="1" x14ac:dyDescent="0.25">
      <c r="A18" s="1" t="str">
        <f>IF(OR(B4="Flight",B4="Control Room"),0,"")</f>
        <v/>
      </c>
      <c r="B18" s="1" t="str">
        <f>IF(OR(B4="Flight",B4="Control Room"),"Academic Tasks","All Tasks Academic")</f>
        <v>All Tasks Academic</v>
      </c>
      <c r="C18" s="31" t="str">
        <f>IF(OR(B4="Flight",B4="Control Room"),1,"")</f>
        <v/>
      </c>
      <c r="D18" s="31"/>
      <c r="E18" s="31"/>
      <c r="F18" s="31"/>
      <c r="G18" s="31"/>
      <c r="H18" s="31"/>
      <c r="I18" s="41"/>
      <c r="J18" s="38"/>
      <c r="K18" s="38"/>
      <c r="L18" s="38"/>
      <c r="M18" s="38"/>
      <c r="N18" s="42"/>
      <c r="O18"/>
      <c r="P18" s="43"/>
      <c r="Q18" s="38" t="str">
        <f>IF(OR(B4="Flight",B4="Control Room"),MAX(P17:P50)+1,"")</f>
        <v/>
      </c>
      <c r="R18" s="38">
        <f t="shared" ref="R18:R36" si="7">SUM(P18:Q18)</f>
        <v>0</v>
      </c>
      <c r="S18" s="38" t="e">
        <f t="shared" si="1"/>
        <v>#N/A</v>
      </c>
      <c r="T18" s="38" t="str">
        <f t="shared" si="2"/>
        <v/>
      </c>
      <c r="U18" s="38" t="str">
        <f t="shared" si="3"/>
        <v/>
      </c>
      <c r="V18" s="38" t="str">
        <f>IF(AE18,E18,"")</f>
        <v/>
      </c>
      <c r="W18" s="38" t="str">
        <f>IF(AE18,IF(AND(C18=1,F18&gt;0),#REF!,0),"")</f>
        <v/>
      </c>
      <c r="X18" s="38" t="str">
        <f>IF(OR(NOT(AE18),D18="NG",F18=0,C18&lt;&gt;"Airmanship"),"",#REF!)</f>
        <v/>
      </c>
      <c r="Y18" s="38">
        <v>1</v>
      </c>
      <c r="Z18" s="38" t="str">
        <f t="shared" si="4"/>
        <v/>
      </c>
      <c r="AA18" s="38">
        <f>IF($B$4="Flight",C18,1)</f>
        <v>1</v>
      </c>
      <c r="AB18" s="38" t="str">
        <f>IF(AE18,IF(F18=0,#REF!,0),"")</f>
        <v/>
      </c>
      <c r="AC18" s="38">
        <f>IF(F18=0,0,H18)</f>
        <v>0</v>
      </c>
      <c r="AD18" s="38" t="str">
        <f t="shared" si="5"/>
        <v/>
      </c>
      <c r="AE18" s="44" t="b">
        <f t="shared" si="6"/>
        <v>0</v>
      </c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5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</row>
    <row r="19" spans="1:104" s="1" customFormat="1" x14ac:dyDescent="0.25">
      <c r="A19" s="15">
        <v>1</v>
      </c>
      <c r="B19" s="15" t="s">
        <v>206</v>
      </c>
      <c r="C19" s="45" t="s">
        <v>56</v>
      </c>
      <c r="D19" s="45">
        <v>2</v>
      </c>
      <c r="E19" s="45">
        <v>3</v>
      </c>
      <c r="F19" s="45">
        <v>1</v>
      </c>
      <c r="G19" s="46">
        <v>1</v>
      </c>
      <c r="H19" s="47">
        <f t="shared" ref="H19:H34" si="8">VLOOKUP(C19,task_prefills,3,FALSE)</f>
        <v>1</v>
      </c>
      <c r="I19" s="41" t="str">
        <f t="shared" ref="I19:I34" si="9">IF(AE19,IF(ISBLANK(C19),"ERROR",IF(AND(J19:N19),"OK","ERROR")),"")</f>
        <v/>
      </c>
      <c r="J19" s="38" t="str">
        <f t="shared" ref="J19:J34" si="10">IF(NOT(AND($C19="Airmanship",$Y19&lt;&gt;1,$Y19&lt;&gt;2)),"",IF(AND(D19&gt;=1,E19&gt;=1,E19&gt;=D19,F19&gt;=1,Flight_CRoom_Sim,G19&gt;0),TRUE,FALSE))</f>
        <v/>
      </c>
      <c r="K19" s="38" t="str">
        <f t="shared" ref="K19:K34" si="11">IF(NOT(AND(OR($C19="Stud Qual",$C19="Stud Attempt"),$Y19&lt;&gt;1,$Y19&lt;&gt;2)),"",IF(AND(D19&gt;0,E19&gt;=D19,F19&gt;=1,G19&gt;0),TRUE,FALSE))</f>
        <v/>
      </c>
      <c r="L19" s="38" t="str">
        <f t="shared" ref="L19:L34" si="12">IF(NOT(AND($C19="Stud Bonus",$Y19&lt;&gt;1,$Y19&lt;&gt;2)),"",IF(AND(D19&gt;=0,E19&gt;=D19,F19=0,G19&gt;0),TRUE,FALSE))</f>
        <v/>
      </c>
      <c r="M19" s="38" t="str">
        <f t="shared" ref="M19:M34" si="13">IF(NOT(AND($C19="Req'd Demo",$Y19&lt;&gt;1,$Y19&lt;&gt;2)),"",IF(AND(D19="NG",F19&gt;=1,Flight_CRoom_Sim),TRUE,FALSE))</f>
        <v/>
      </c>
      <c r="N19" s="42" t="str">
        <f t="shared" ref="N19:N34" si="14">IF(NOT(AND($C19="Opt Demo",$Y19&lt;&gt;1,$Y19&lt;&gt;2)),"",IF(AND(D19="NG",F19=0,Flight_CRoom_Sim),TRUE,FALSE))</f>
        <v/>
      </c>
      <c r="O19"/>
      <c r="P19" s="43" t="str">
        <f>IF(AND(ISTEXT(B19),AA19=0),MAX($P$17:P18)+1,"")</f>
        <v/>
      </c>
      <c r="Q19" s="38">
        <f>IF(AND(ISTEXT(B19),AA19=1),MAX(P$18:$Q18)+1,"")</f>
        <v>1</v>
      </c>
      <c r="R19" s="38">
        <f t="shared" si="7"/>
        <v>1</v>
      </c>
      <c r="S19" s="38" t="str">
        <f t="shared" si="1"/>
        <v>Structure &amp; Logic</v>
      </c>
      <c r="T19" s="38" t="str">
        <f t="shared" si="2"/>
        <v/>
      </c>
      <c r="U19" s="38" t="str">
        <f t="shared" si="3"/>
        <v/>
      </c>
      <c r="V19" s="38" t="str">
        <f t="shared" ref="V19:V34" si="15">IF(AND(AE19,ISNUMBER(D19)),E19,"")</f>
        <v/>
      </c>
      <c r="W19" s="38" t="str">
        <f t="shared" ref="W19:W34" si="16">IF(OR(NOT(AE19),D19="NG",F19=0,C19="Airmanship"),"",G19)</f>
        <v/>
      </c>
      <c r="X19" s="38" t="str">
        <f t="shared" ref="X19:X34" si="17">IF(OR(NOT(AE19),D19="NG",F19=0,C19&lt;&gt;"Airmanship"),"",G19)</f>
        <v/>
      </c>
      <c r="Y19" s="38">
        <f t="shared" ref="Y19:Y33" si="18">IF(A19&lt;A20,2,"")</f>
        <v>2</v>
      </c>
      <c r="Z19" s="38">
        <f t="shared" si="4"/>
        <v>1</v>
      </c>
      <c r="AA19" s="38">
        <f t="shared" ref="AA19:AA33" si="19">IF(OR(C19="Airmanship",B19="",AND(Y19=2,C20="Airmanship")),0,1)</f>
        <v>1</v>
      </c>
      <c r="AB19" s="38" t="str">
        <f t="shared" ref="AB19:AB34" si="20">IF(OR(NOT(AE19),D19="NG",C19="Airmanship",F19&lt;&gt;0),"",G19)</f>
        <v/>
      </c>
      <c r="AC19" s="38" t="str">
        <f t="shared" ref="AC19:AC34" si="21">IF(OR(NOT(AE19),D19="NG"),"",IF(F19=0,0,H19))</f>
        <v/>
      </c>
      <c r="AD19" s="38" t="str">
        <f t="shared" si="5"/>
        <v/>
      </c>
      <c r="AE19" s="44" t="b">
        <f t="shared" si="6"/>
        <v>0</v>
      </c>
      <c r="AH19" s="239" t="s">
        <v>50</v>
      </c>
      <c r="AI19" s="239"/>
      <c r="AJ19" s="239"/>
      <c r="AK19" s="239"/>
      <c r="AL19" s="239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5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</row>
    <row r="20" spans="1:104" s="1" customFormat="1" ht="12.75" customHeight="1" x14ac:dyDescent="0.25">
      <c r="A20" s="15">
        <v>2</v>
      </c>
      <c r="B20" s="15" t="s">
        <v>207</v>
      </c>
      <c r="C20" s="45" t="s">
        <v>56</v>
      </c>
      <c r="D20" s="45">
        <v>2</v>
      </c>
      <c r="E20" s="45">
        <v>3</v>
      </c>
      <c r="F20" s="45">
        <v>1</v>
      </c>
      <c r="G20" s="46">
        <v>1</v>
      </c>
      <c r="H20" s="47">
        <f t="shared" si="8"/>
        <v>1</v>
      </c>
      <c r="I20" s="41" t="str">
        <f t="shared" si="9"/>
        <v>OK</v>
      </c>
      <c r="J20" s="38" t="str">
        <f t="shared" si="10"/>
        <v/>
      </c>
      <c r="K20" s="38" t="b">
        <f t="shared" si="11"/>
        <v>1</v>
      </c>
      <c r="L20" s="38" t="str">
        <f t="shared" si="12"/>
        <v/>
      </c>
      <c r="M20" s="38" t="str">
        <f t="shared" si="13"/>
        <v/>
      </c>
      <c r="N20" s="42" t="str">
        <f t="shared" si="14"/>
        <v/>
      </c>
      <c r="O20"/>
      <c r="P20" s="43" t="str">
        <f>IF(AND(ISTEXT(B20),AA20=0),MAX($P$17:P19)+1,"")</f>
        <v/>
      </c>
      <c r="Q20" s="38">
        <f>IF(AND(ISTEXT(B20),AA20=1),MAX(P$18:$Q19)+1,"")</f>
        <v>2</v>
      </c>
      <c r="R20" s="38">
        <f t="shared" si="7"/>
        <v>2</v>
      </c>
      <c r="S20" s="38" t="str">
        <f t="shared" si="1"/>
        <v xml:space="preserve">      - Executive Summary</v>
      </c>
      <c r="T20" s="38">
        <f t="shared" si="2"/>
        <v>1</v>
      </c>
      <c r="U20" s="38">
        <f t="shared" si="3"/>
        <v>2</v>
      </c>
      <c r="V20" s="38">
        <f t="shared" si="15"/>
        <v>3</v>
      </c>
      <c r="W20" s="38">
        <f t="shared" si="16"/>
        <v>1</v>
      </c>
      <c r="X20" s="38" t="str">
        <f t="shared" si="17"/>
        <v/>
      </c>
      <c r="Y20" s="38" t="str">
        <f t="shared" si="18"/>
        <v/>
      </c>
      <c r="Z20" s="38">
        <f t="shared" si="4"/>
        <v>2</v>
      </c>
      <c r="AA20" s="38">
        <f t="shared" si="19"/>
        <v>1</v>
      </c>
      <c r="AB20" s="38" t="str">
        <f t="shared" si="20"/>
        <v/>
      </c>
      <c r="AC20" s="38">
        <f t="shared" si="21"/>
        <v>1</v>
      </c>
      <c r="AD20" s="38" t="b">
        <f t="shared" si="5"/>
        <v>1</v>
      </c>
      <c r="AE20" s="44" t="b">
        <f t="shared" si="6"/>
        <v>1</v>
      </c>
      <c r="AG20" s="48"/>
      <c r="AH20" s="48">
        <v>0</v>
      </c>
      <c r="AI20" s="48">
        <v>1</v>
      </c>
      <c r="AJ20" s="48">
        <v>2</v>
      </c>
      <c r="AK20" s="48">
        <v>3</v>
      </c>
      <c r="AL20" s="48">
        <v>4</v>
      </c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5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ht="12.75" customHeight="1" x14ac:dyDescent="0.25">
      <c r="A21" s="15">
        <v>2</v>
      </c>
      <c r="B21" s="15" t="s">
        <v>208</v>
      </c>
      <c r="C21" s="45" t="s">
        <v>56</v>
      </c>
      <c r="D21" s="45">
        <v>2</v>
      </c>
      <c r="E21" s="45">
        <v>3</v>
      </c>
      <c r="F21" s="45">
        <v>1</v>
      </c>
      <c r="G21" s="46">
        <v>1</v>
      </c>
      <c r="H21" s="47">
        <f t="shared" si="8"/>
        <v>1</v>
      </c>
      <c r="I21" s="41" t="str">
        <f t="shared" si="9"/>
        <v>OK</v>
      </c>
      <c r="J21" s="38" t="str">
        <f t="shared" si="10"/>
        <v/>
      </c>
      <c r="K21" s="38" t="b">
        <f t="shared" si="11"/>
        <v>1</v>
      </c>
      <c r="L21" s="38" t="str">
        <f t="shared" si="12"/>
        <v/>
      </c>
      <c r="M21" s="38" t="str">
        <f t="shared" si="13"/>
        <v/>
      </c>
      <c r="N21" s="42" t="str">
        <f t="shared" si="14"/>
        <v/>
      </c>
      <c r="O21"/>
      <c r="P21" s="43" t="str">
        <f>IF(AND(ISTEXT(B21),AA21=0),MAX($P$17:P20)+1,"")</f>
        <v/>
      </c>
      <c r="Q21" s="38">
        <f>IF(AND(ISTEXT(B21),AA21=1),MAX(P$18:$Q20)+1,"")</f>
        <v>3</v>
      </c>
      <c r="R21" s="38">
        <f t="shared" si="7"/>
        <v>3</v>
      </c>
      <c r="S21" s="38" t="str">
        <f t="shared" si="1"/>
        <v xml:space="preserve">      - Report Organization &amp; Structure</v>
      </c>
      <c r="T21" s="38">
        <f t="shared" si="2"/>
        <v>1</v>
      </c>
      <c r="U21" s="38">
        <f t="shared" si="3"/>
        <v>2</v>
      </c>
      <c r="V21" s="38">
        <f t="shared" si="15"/>
        <v>3</v>
      </c>
      <c r="W21" s="38">
        <f t="shared" si="16"/>
        <v>1</v>
      </c>
      <c r="X21" s="38" t="str">
        <f t="shared" si="17"/>
        <v/>
      </c>
      <c r="Y21" s="38" t="str">
        <f t="shared" si="18"/>
        <v/>
      </c>
      <c r="Z21" s="38">
        <f t="shared" si="4"/>
        <v>2</v>
      </c>
      <c r="AA21" s="38">
        <f t="shared" si="19"/>
        <v>1</v>
      </c>
      <c r="AB21" s="38" t="str">
        <f t="shared" si="20"/>
        <v/>
      </c>
      <c r="AC21" s="38">
        <f t="shared" si="21"/>
        <v>1</v>
      </c>
      <c r="AD21" s="38" t="b">
        <f t="shared" si="5"/>
        <v>1</v>
      </c>
      <c r="AE21" s="44" t="b">
        <f t="shared" si="6"/>
        <v>1</v>
      </c>
      <c r="AF21" s="240" t="s">
        <v>51</v>
      </c>
      <c r="AG21" s="48" t="s">
        <v>52</v>
      </c>
      <c r="AH21" s="49">
        <v>0.7</v>
      </c>
      <c r="AI21" s="50">
        <v>0.9</v>
      </c>
      <c r="AJ21" s="50">
        <v>0.93330000000000002</v>
      </c>
      <c r="AK21" s="50">
        <v>0.9667</v>
      </c>
      <c r="AL21" s="51">
        <v>1</v>
      </c>
      <c r="AO21" s="7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5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s="1" customFormat="1" ht="12.75" customHeight="1" x14ac:dyDescent="0.25">
      <c r="A22" s="15">
        <v>2</v>
      </c>
      <c r="B22" s="15" t="s">
        <v>209</v>
      </c>
      <c r="C22" s="45" t="s">
        <v>56</v>
      </c>
      <c r="D22" s="45">
        <v>2</v>
      </c>
      <c r="E22" s="45">
        <v>3</v>
      </c>
      <c r="F22" s="45">
        <v>1</v>
      </c>
      <c r="G22" s="46">
        <v>1</v>
      </c>
      <c r="H22" s="47">
        <f t="shared" si="8"/>
        <v>1</v>
      </c>
      <c r="I22" s="41" t="str">
        <f t="shared" si="9"/>
        <v>OK</v>
      </c>
      <c r="J22" s="38" t="str">
        <f t="shared" si="10"/>
        <v/>
      </c>
      <c r="K22" s="38" t="b">
        <f t="shared" si="11"/>
        <v>1</v>
      </c>
      <c r="L22" s="38" t="str">
        <f t="shared" si="12"/>
        <v/>
      </c>
      <c r="M22" s="38" t="str">
        <f t="shared" si="13"/>
        <v/>
      </c>
      <c r="N22" s="42" t="str">
        <f t="shared" si="14"/>
        <v/>
      </c>
      <c r="O22"/>
      <c r="P22" s="43" t="str">
        <f>IF(AND(ISTEXT(B22),AA22=0),MAX($P$17:P21)+1,"")</f>
        <v/>
      </c>
      <c r="Q22" s="38">
        <f>IF(AND(ISTEXT(B22),AA22=1),MAX(P$18:$Q21)+1,"")</f>
        <v>4</v>
      </c>
      <c r="R22" s="38">
        <f t="shared" si="7"/>
        <v>4</v>
      </c>
      <c r="S22" s="38" t="str">
        <f t="shared" si="1"/>
        <v xml:space="preserve">      - The "Logical Chain of Reasoning"</v>
      </c>
      <c r="T22" s="38">
        <f t="shared" si="2"/>
        <v>1</v>
      </c>
      <c r="U22" s="38">
        <f t="shared" si="3"/>
        <v>2</v>
      </c>
      <c r="V22" s="38">
        <f t="shared" si="15"/>
        <v>3</v>
      </c>
      <c r="W22" s="38">
        <f t="shared" si="16"/>
        <v>1</v>
      </c>
      <c r="X22" s="38" t="str">
        <f t="shared" si="17"/>
        <v/>
      </c>
      <c r="Y22" s="38" t="str">
        <f t="shared" si="18"/>
        <v/>
      </c>
      <c r="Z22" s="38">
        <f t="shared" si="4"/>
        <v>2</v>
      </c>
      <c r="AA22" s="38">
        <f t="shared" si="19"/>
        <v>1</v>
      </c>
      <c r="AB22" s="38" t="str">
        <f t="shared" si="20"/>
        <v/>
      </c>
      <c r="AC22" s="38">
        <f t="shared" si="21"/>
        <v>1</v>
      </c>
      <c r="AD22" s="38" t="b">
        <f t="shared" si="5"/>
        <v>1</v>
      </c>
      <c r="AE22" s="44" t="b">
        <f t="shared" si="6"/>
        <v>1</v>
      </c>
      <c r="AF22" s="240"/>
      <c r="AG22" s="48" t="s">
        <v>53</v>
      </c>
      <c r="AH22" s="52">
        <v>0.7</v>
      </c>
      <c r="AI22" s="53">
        <v>0.8</v>
      </c>
      <c r="AJ22" s="53">
        <v>0.9</v>
      </c>
      <c r="AK22" s="53">
        <v>0.95</v>
      </c>
      <c r="AL22" s="54">
        <v>1</v>
      </c>
      <c r="AP22" s="11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5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</row>
    <row r="23" spans="1:104" s="1" customFormat="1" ht="12.75" customHeight="1" x14ac:dyDescent="0.25">
      <c r="A23" s="15">
        <v>1</v>
      </c>
      <c r="B23" s="15" t="s">
        <v>218</v>
      </c>
      <c r="C23" s="45"/>
      <c r="D23" s="45"/>
      <c r="E23" s="45"/>
      <c r="F23" s="45"/>
      <c r="G23" s="46"/>
      <c r="H23" s="47" t="e">
        <f t="shared" si="8"/>
        <v>#N/A</v>
      </c>
      <c r="I23" s="41" t="str">
        <f t="shared" si="9"/>
        <v/>
      </c>
      <c r="J23" s="38" t="str">
        <f t="shared" si="10"/>
        <v/>
      </c>
      <c r="K23" s="38" t="str">
        <f t="shared" si="11"/>
        <v/>
      </c>
      <c r="L23" s="38" t="str">
        <f t="shared" si="12"/>
        <v/>
      </c>
      <c r="M23" s="38" t="str">
        <f t="shared" si="13"/>
        <v/>
      </c>
      <c r="N23" s="42" t="str">
        <f t="shared" si="14"/>
        <v/>
      </c>
      <c r="O23"/>
      <c r="P23" s="43" t="str">
        <f>IF(AND(ISTEXT(B23),AA23=0),MAX($P$17:P22)+1,"")</f>
        <v/>
      </c>
      <c r="Q23" s="38">
        <f>IF(AND(ISTEXT(B23),AA23=1),MAX(P$18:$Q22)+1,"")</f>
        <v>5</v>
      </c>
      <c r="R23" s="38">
        <f t="shared" si="7"/>
        <v>5</v>
      </c>
      <c r="S23" s="38" t="str">
        <f t="shared" si="1"/>
        <v>Content &amp; Analysis (Obj 1)</v>
      </c>
      <c r="T23" s="38" t="str">
        <f t="shared" si="2"/>
        <v/>
      </c>
      <c r="U23" s="38" t="str">
        <f t="shared" si="3"/>
        <v/>
      </c>
      <c r="V23" s="38" t="str">
        <f t="shared" si="15"/>
        <v/>
      </c>
      <c r="W23" s="38" t="str">
        <f t="shared" si="16"/>
        <v/>
      </c>
      <c r="X23" s="38" t="str">
        <f t="shared" si="17"/>
        <v/>
      </c>
      <c r="Y23" s="38">
        <f t="shared" si="18"/>
        <v>2</v>
      </c>
      <c r="Z23" s="38">
        <f t="shared" si="4"/>
        <v>1</v>
      </c>
      <c r="AA23" s="38">
        <f t="shared" si="19"/>
        <v>1</v>
      </c>
      <c r="AB23" s="38" t="str">
        <f t="shared" si="20"/>
        <v/>
      </c>
      <c r="AC23" s="38" t="str">
        <f t="shared" si="21"/>
        <v/>
      </c>
      <c r="AD23" s="38" t="str">
        <f t="shared" si="5"/>
        <v/>
      </c>
      <c r="AE23" s="44" t="b">
        <f t="shared" si="6"/>
        <v>0</v>
      </c>
      <c r="AF23" s="240"/>
      <c r="AG23" s="48" t="s">
        <v>54</v>
      </c>
      <c r="AH23" s="52">
        <v>0.7</v>
      </c>
      <c r="AI23" s="53">
        <v>0.76670000000000005</v>
      </c>
      <c r="AJ23" s="53">
        <v>0.83330000000000004</v>
      </c>
      <c r="AK23" s="53">
        <v>0.9</v>
      </c>
      <c r="AL23" s="54">
        <v>1</v>
      </c>
      <c r="AP23" s="11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5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s="1" customFormat="1" ht="12.75" customHeight="1" x14ac:dyDescent="0.25">
      <c r="A24" s="15">
        <v>2</v>
      </c>
      <c r="B24" s="15" t="s">
        <v>219</v>
      </c>
      <c r="C24" s="45" t="s">
        <v>56</v>
      </c>
      <c r="D24" s="45">
        <v>2</v>
      </c>
      <c r="E24" s="45">
        <v>3</v>
      </c>
      <c r="F24" s="45">
        <v>1</v>
      </c>
      <c r="G24" s="46">
        <v>1</v>
      </c>
      <c r="H24" s="47">
        <f t="shared" si="8"/>
        <v>1</v>
      </c>
      <c r="I24" s="41" t="str">
        <f t="shared" si="9"/>
        <v>OK</v>
      </c>
      <c r="J24" s="38" t="str">
        <f t="shared" si="10"/>
        <v/>
      </c>
      <c r="K24" s="38" t="b">
        <f t="shared" si="11"/>
        <v>1</v>
      </c>
      <c r="L24" s="38" t="str">
        <f t="shared" si="12"/>
        <v/>
      </c>
      <c r="M24" s="38" t="str">
        <f t="shared" si="13"/>
        <v/>
      </c>
      <c r="N24" s="42" t="str">
        <f t="shared" si="14"/>
        <v/>
      </c>
      <c r="O24"/>
      <c r="P24" s="43" t="str">
        <f>IF(AND(ISTEXT(B24),AA24=0),MAX($P$17:P23)+1,"")</f>
        <v/>
      </c>
      <c r="Q24" s="38">
        <f>IF(AND(ISTEXT(B24),AA24=1),MAX(P$18:$Q23)+1,"")</f>
        <v>6</v>
      </c>
      <c r="R24" s="38">
        <f t="shared" si="7"/>
        <v>6</v>
      </c>
      <c r="S24" s="38" t="str">
        <f t="shared" si="1"/>
        <v xml:space="preserve">      - Test Methods and Conditions</v>
      </c>
      <c r="T24" s="38">
        <f t="shared" si="2"/>
        <v>1</v>
      </c>
      <c r="U24" s="38">
        <f t="shared" si="3"/>
        <v>2</v>
      </c>
      <c r="V24" s="38">
        <f t="shared" si="15"/>
        <v>3</v>
      </c>
      <c r="W24" s="38">
        <f t="shared" si="16"/>
        <v>1</v>
      </c>
      <c r="X24" s="38" t="str">
        <f t="shared" si="17"/>
        <v/>
      </c>
      <c r="Y24" s="38" t="str">
        <f t="shared" si="18"/>
        <v/>
      </c>
      <c r="Z24" s="38">
        <f t="shared" si="4"/>
        <v>2</v>
      </c>
      <c r="AA24" s="38">
        <f t="shared" si="19"/>
        <v>1</v>
      </c>
      <c r="AB24" s="38" t="str">
        <f t="shared" si="20"/>
        <v/>
      </c>
      <c r="AC24" s="38">
        <f t="shared" si="21"/>
        <v>1</v>
      </c>
      <c r="AD24" s="38" t="b">
        <f t="shared" si="5"/>
        <v>1</v>
      </c>
      <c r="AE24" s="44" t="b">
        <f t="shared" si="6"/>
        <v>1</v>
      </c>
      <c r="AF24" s="240"/>
      <c r="AG24" s="48" t="s">
        <v>55</v>
      </c>
      <c r="AH24" s="52">
        <v>0.6</v>
      </c>
      <c r="AI24" s="53">
        <v>0.9</v>
      </c>
      <c r="AJ24" s="53">
        <v>0.93330000000000002</v>
      </c>
      <c r="AK24" s="53">
        <v>0.9667</v>
      </c>
      <c r="AL24" s="54">
        <v>1</v>
      </c>
      <c r="AP24" s="11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5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s="1" customFormat="1" ht="12.75" customHeight="1" x14ac:dyDescent="0.25">
      <c r="A25" s="15">
        <v>2</v>
      </c>
      <c r="B25" s="15" t="s">
        <v>220</v>
      </c>
      <c r="C25" s="45" t="s">
        <v>56</v>
      </c>
      <c r="D25" s="45">
        <v>2</v>
      </c>
      <c r="E25" s="45">
        <v>3</v>
      </c>
      <c r="F25" s="45">
        <v>1</v>
      </c>
      <c r="G25" s="46">
        <v>1</v>
      </c>
      <c r="H25" s="47">
        <f t="shared" si="8"/>
        <v>1</v>
      </c>
      <c r="I25" s="41" t="str">
        <f t="shared" si="9"/>
        <v>OK</v>
      </c>
      <c r="J25" s="38" t="str">
        <f t="shared" si="10"/>
        <v/>
      </c>
      <c r="K25" s="38" t="b">
        <f t="shared" si="11"/>
        <v>1</v>
      </c>
      <c r="L25" s="38" t="str">
        <f t="shared" si="12"/>
        <v/>
      </c>
      <c r="M25" s="38" t="str">
        <f t="shared" si="13"/>
        <v/>
      </c>
      <c r="N25" s="42" t="str">
        <f t="shared" si="14"/>
        <v/>
      </c>
      <c r="O25"/>
      <c r="P25" s="43" t="str">
        <f>IF(AND(ISTEXT(B25),AA25=0),MAX($P$17:P24)+1,"")</f>
        <v/>
      </c>
      <c r="Q25" s="38">
        <f>IF(AND(ISTEXT(B25),AA25=1),MAX(P$18:$Q24)+1,"")</f>
        <v>7</v>
      </c>
      <c r="R25" s="38">
        <f t="shared" si="7"/>
        <v>7</v>
      </c>
      <c r="S25" s="38" t="str">
        <f t="shared" si="1"/>
        <v xml:space="preserve">      - Objective Results</v>
      </c>
      <c r="T25" s="38">
        <f t="shared" si="2"/>
        <v>1</v>
      </c>
      <c r="U25" s="38">
        <f t="shared" si="3"/>
        <v>2</v>
      </c>
      <c r="V25" s="38">
        <f t="shared" si="15"/>
        <v>3</v>
      </c>
      <c r="W25" s="38">
        <f t="shared" si="16"/>
        <v>1</v>
      </c>
      <c r="X25" s="38" t="str">
        <f t="shared" si="17"/>
        <v/>
      </c>
      <c r="Y25" s="38" t="str">
        <f t="shared" si="18"/>
        <v/>
      </c>
      <c r="Z25" s="38">
        <f t="shared" si="4"/>
        <v>2</v>
      </c>
      <c r="AA25" s="38">
        <f t="shared" si="19"/>
        <v>1</v>
      </c>
      <c r="AB25" s="38" t="str">
        <f t="shared" si="20"/>
        <v/>
      </c>
      <c r="AC25" s="38">
        <f t="shared" si="21"/>
        <v>1</v>
      </c>
      <c r="AD25" s="38" t="b">
        <f t="shared" si="5"/>
        <v>1</v>
      </c>
      <c r="AE25" s="44" t="b">
        <f t="shared" si="6"/>
        <v>1</v>
      </c>
      <c r="AF25" s="240"/>
      <c r="AG25" s="48" t="s">
        <v>57</v>
      </c>
      <c r="AH25" s="52">
        <v>0.6</v>
      </c>
      <c r="AI25" s="53">
        <v>0.7</v>
      </c>
      <c r="AJ25" s="53">
        <v>0.9</v>
      </c>
      <c r="AK25" s="53">
        <v>0.95</v>
      </c>
      <c r="AL25" s="54">
        <v>1</v>
      </c>
      <c r="AP25" s="11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5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s="1" customFormat="1" ht="12.75" customHeight="1" x14ac:dyDescent="0.25">
      <c r="A26" s="15">
        <v>2</v>
      </c>
      <c r="B26" s="15" t="s">
        <v>221</v>
      </c>
      <c r="C26" s="45" t="s">
        <v>56</v>
      </c>
      <c r="D26" s="45">
        <v>2</v>
      </c>
      <c r="E26" s="45">
        <v>3</v>
      </c>
      <c r="F26" s="45">
        <v>1</v>
      </c>
      <c r="G26" s="46">
        <v>1</v>
      </c>
      <c r="H26" s="47">
        <f t="shared" si="8"/>
        <v>1</v>
      </c>
      <c r="I26" s="41" t="str">
        <f t="shared" si="9"/>
        <v>OK</v>
      </c>
      <c r="J26" s="38" t="str">
        <f t="shared" si="10"/>
        <v/>
      </c>
      <c r="K26" s="38" t="b">
        <f t="shared" si="11"/>
        <v>1</v>
      </c>
      <c r="L26" s="38" t="str">
        <f t="shared" si="12"/>
        <v/>
      </c>
      <c r="M26" s="38" t="str">
        <f t="shared" si="13"/>
        <v/>
      </c>
      <c r="N26" s="42" t="str">
        <f t="shared" si="14"/>
        <v/>
      </c>
      <c r="O26"/>
      <c r="P26" s="43" t="str">
        <f>IF(AND(ISTEXT(B26),AA26=0),MAX($P$17:P25)+1,"")</f>
        <v/>
      </c>
      <c r="Q26" s="38">
        <f>IF(AND(ISTEXT(B26),AA26=1),MAX(P$18:$Q25)+1,"")</f>
        <v>8</v>
      </c>
      <c r="R26" s="38">
        <f t="shared" si="7"/>
        <v>8</v>
      </c>
      <c r="S26" s="38" t="str">
        <f t="shared" si="1"/>
        <v xml:space="preserve">      - Engineering Analysis &amp; Operational Impact</v>
      </c>
      <c r="T26" s="38">
        <f t="shared" si="2"/>
        <v>1</v>
      </c>
      <c r="U26" s="38">
        <f t="shared" si="3"/>
        <v>2</v>
      </c>
      <c r="V26" s="38">
        <f t="shared" si="15"/>
        <v>3</v>
      </c>
      <c r="W26" s="38">
        <f t="shared" si="16"/>
        <v>1</v>
      </c>
      <c r="X26" s="38" t="str">
        <f t="shared" si="17"/>
        <v/>
      </c>
      <c r="Y26" s="38" t="str">
        <f t="shared" si="18"/>
        <v/>
      </c>
      <c r="Z26" s="38">
        <f t="shared" si="4"/>
        <v>2</v>
      </c>
      <c r="AA26" s="38">
        <f t="shared" si="19"/>
        <v>1</v>
      </c>
      <c r="AB26" s="38" t="str">
        <f t="shared" si="20"/>
        <v/>
      </c>
      <c r="AC26" s="38">
        <f t="shared" si="21"/>
        <v>1</v>
      </c>
      <c r="AD26" s="38" t="b">
        <f t="shared" si="5"/>
        <v>1</v>
      </c>
      <c r="AE26" s="44" t="b">
        <f t="shared" si="6"/>
        <v>1</v>
      </c>
      <c r="AF26" s="240"/>
      <c r="AG26" s="48" t="s">
        <v>58</v>
      </c>
      <c r="AH26" s="52">
        <v>0.6</v>
      </c>
      <c r="AI26" s="53">
        <v>0.7</v>
      </c>
      <c r="AJ26" s="53">
        <v>0.8</v>
      </c>
      <c r="AK26" s="53">
        <v>0.9</v>
      </c>
      <c r="AL26" s="5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5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s="1" customFormat="1" ht="12.75" customHeight="1" x14ac:dyDescent="0.25">
      <c r="A27" s="15">
        <v>2</v>
      </c>
      <c r="B27" s="15" t="s">
        <v>222</v>
      </c>
      <c r="C27" s="45" t="s">
        <v>56</v>
      </c>
      <c r="D27" s="45">
        <v>2</v>
      </c>
      <c r="E27" s="45">
        <v>3</v>
      </c>
      <c r="F27" s="45">
        <v>1</v>
      </c>
      <c r="G27" s="46">
        <v>1</v>
      </c>
      <c r="H27" s="47">
        <f t="shared" si="8"/>
        <v>1</v>
      </c>
      <c r="I27" s="41" t="str">
        <f t="shared" si="9"/>
        <v>OK</v>
      </c>
      <c r="J27" s="38" t="str">
        <f t="shared" si="10"/>
        <v/>
      </c>
      <c r="K27" s="38" t="b">
        <f t="shared" si="11"/>
        <v>1</v>
      </c>
      <c r="L27" s="38" t="str">
        <f t="shared" si="12"/>
        <v/>
      </c>
      <c r="M27" s="38" t="str">
        <f t="shared" si="13"/>
        <v/>
      </c>
      <c r="N27" s="42" t="str">
        <f t="shared" si="14"/>
        <v/>
      </c>
      <c r="O27"/>
      <c r="P27" s="43" t="str">
        <f>IF(AND(ISTEXT(B27),AA27=0),MAX($P$17:P26)+1,"")</f>
        <v/>
      </c>
      <c r="Q27" s="38">
        <f>IF(AND(ISTEXT(B27),AA27=1),MAX(P$18:$Q26)+1,"")</f>
        <v>9</v>
      </c>
      <c r="R27" s="38">
        <f t="shared" si="7"/>
        <v>9</v>
      </c>
      <c r="S27" s="38" t="str">
        <f t="shared" si="1"/>
        <v xml:space="preserve">      - Conclusions &amp; Recommendations</v>
      </c>
      <c r="T27" s="38">
        <f t="shared" si="2"/>
        <v>1</v>
      </c>
      <c r="U27" s="38">
        <f t="shared" si="3"/>
        <v>2</v>
      </c>
      <c r="V27" s="38">
        <f t="shared" si="15"/>
        <v>3</v>
      </c>
      <c r="W27" s="38">
        <f t="shared" si="16"/>
        <v>1</v>
      </c>
      <c r="X27" s="38" t="str">
        <f t="shared" si="17"/>
        <v/>
      </c>
      <c r="Y27" s="38" t="str">
        <f t="shared" si="18"/>
        <v/>
      </c>
      <c r="Z27" s="38">
        <f t="shared" si="4"/>
        <v>2</v>
      </c>
      <c r="AA27" s="38">
        <f t="shared" si="19"/>
        <v>1</v>
      </c>
      <c r="AB27" s="38" t="str">
        <f t="shared" si="20"/>
        <v/>
      </c>
      <c r="AC27" s="38">
        <f t="shared" si="21"/>
        <v>1</v>
      </c>
      <c r="AD27" s="38" t="b">
        <f t="shared" si="5"/>
        <v>1</v>
      </c>
      <c r="AE27" s="44" t="b">
        <f t="shared" si="6"/>
        <v>1</v>
      </c>
      <c r="AF27" s="240"/>
      <c r="AG27" s="48" t="s">
        <v>59</v>
      </c>
      <c r="AH27" s="52">
        <v>0.3</v>
      </c>
      <c r="AI27" s="53">
        <v>0.6</v>
      </c>
      <c r="AJ27" s="53">
        <v>0.9</v>
      </c>
      <c r="AK27" s="53">
        <v>0.95</v>
      </c>
      <c r="AL27" s="54">
        <v>1</v>
      </c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5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s="1" customFormat="1" ht="12.75" customHeight="1" x14ac:dyDescent="0.25">
      <c r="A28" s="15">
        <v>1</v>
      </c>
      <c r="B28" s="15" t="s">
        <v>224</v>
      </c>
      <c r="C28" s="45"/>
      <c r="D28" s="45"/>
      <c r="E28" s="45"/>
      <c r="F28" s="45"/>
      <c r="G28" s="46"/>
      <c r="H28" s="47" t="e">
        <f t="shared" si="8"/>
        <v>#N/A</v>
      </c>
      <c r="I28" s="41" t="str">
        <f t="shared" si="9"/>
        <v/>
      </c>
      <c r="J28" s="38" t="str">
        <f t="shared" si="10"/>
        <v/>
      </c>
      <c r="K28" s="38" t="str">
        <f t="shared" si="11"/>
        <v/>
      </c>
      <c r="L28" s="38" t="str">
        <f t="shared" si="12"/>
        <v/>
      </c>
      <c r="M28" s="38" t="str">
        <f t="shared" si="13"/>
        <v/>
      </c>
      <c r="N28" s="42" t="str">
        <f t="shared" si="14"/>
        <v/>
      </c>
      <c r="O28"/>
      <c r="P28" s="43" t="str">
        <f>IF(AND(ISTEXT(B28),AA28=0),MAX($P$17:P27)+1,"")</f>
        <v/>
      </c>
      <c r="Q28" s="38">
        <f>IF(AND(ISTEXT(B28),AA28=1),MAX(P$18:$Q27)+1,"")</f>
        <v>10</v>
      </c>
      <c r="R28" s="38">
        <f t="shared" si="7"/>
        <v>10</v>
      </c>
      <c r="S28" s="38" t="str">
        <f t="shared" si="1"/>
        <v>Content &amp; Analysis (Obj 2)</v>
      </c>
      <c r="T28" s="38" t="str">
        <f t="shared" si="2"/>
        <v/>
      </c>
      <c r="U28" s="38" t="str">
        <f t="shared" si="3"/>
        <v/>
      </c>
      <c r="V28" s="38" t="str">
        <f t="shared" si="15"/>
        <v/>
      </c>
      <c r="W28" s="38" t="str">
        <f t="shared" si="16"/>
        <v/>
      </c>
      <c r="X28" s="38" t="str">
        <f t="shared" si="17"/>
        <v/>
      </c>
      <c r="Y28" s="38">
        <f t="shared" si="18"/>
        <v>2</v>
      </c>
      <c r="Z28" s="38">
        <f t="shared" si="4"/>
        <v>1</v>
      </c>
      <c r="AA28" s="38">
        <f t="shared" si="19"/>
        <v>1</v>
      </c>
      <c r="AB28" s="38" t="str">
        <f t="shared" si="20"/>
        <v/>
      </c>
      <c r="AC28" s="38" t="str">
        <f t="shared" si="21"/>
        <v/>
      </c>
      <c r="AD28" s="38" t="str">
        <f t="shared" si="5"/>
        <v/>
      </c>
      <c r="AE28" s="44" t="b">
        <f t="shared" si="6"/>
        <v>0</v>
      </c>
      <c r="AF28" s="240"/>
      <c r="AG28" s="48" t="s">
        <v>60</v>
      </c>
      <c r="AH28" s="52">
        <v>0.3</v>
      </c>
      <c r="AI28" s="53">
        <v>0.6</v>
      </c>
      <c r="AJ28" s="53">
        <v>0.7</v>
      </c>
      <c r="AK28" s="53">
        <v>0.9</v>
      </c>
      <c r="AL28" s="5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5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s="1" customFormat="1" ht="12.75" customHeight="1" x14ac:dyDescent="0.25">
      <c r="A29" s="15">
        <v>2</v>
      </c>
      <c r="B29" s="15" t="s">
        <v>219</v>
      </c>
      <c r="C29" s="45" t="s">
        <v>56</v>
      </c>
      <c r="D29" s="45">
        <v>2</v>
      </c>
      <c r="E29" s="45">
        <v>3</v>
      </c>
      <c r="F29" s="45">
        <v>1</v>
      </c>
      <c r="G29" s="46">
        <v>1</v>
      </c>
      <c r="H29" s="47">
        <f t="shared" si="8"/>
        <v>1</v>
      </c>
      <c r="I29" s="41" t="str">
        <f t="shared" si="9"/>
        <v>OK</v>
      </c>
      <c r="J29" s="38" t="str">
        <f t="shared" si="10"/>
        <v/>
      </c>
      <c r="K29" s="38" t="b">
        <f t="shared" si="11"/>
        <v>1</v>
      </c>
      <c r="L29" s="38" t="str">
        <f t="shared" si="12"/>
        <v/>
      </c>
      <c r="M29" s="38" t="str">
        <f t="shared" si="13"/>
        <v/>
      </c>
      <c r="N29" s="42" t="str">
        <f t="shared" si="14"/>
        <v/>
      </c>
      <c r="O29"/>
      <c r="P29" s="43" t="str">
        <f>IF(AND(ISTEXT(B29),AA29=0),MAX($P$17:P28)+1,"")</f>
        <v/>
      </c>
      <c r="Q29" s="38">
        <f>IF(AND(ISTEXT(B29),AA29=1),MAX(P$18:$Q28)+1,"")</f>
        <v>11</v>
      </c>
      <c r="R29" s="38">
        <f t="shared" si="7"/>
        <v>11</v>
      </c>
      <c r="S29" s="38" t="str">
        <f t="shared" si="1"/>
        <v xml:space="preserve">      - Test Methods and Conditions</v>
      </c>
      <c r="T29" s="38">
        <f t="shared" si="2"/>
        <v>1</v>
      </c>
      <c r="U29" s="38">
        <f t="shared" si="3"/>
        <v>2</v>
      </c>
      <c r="V29" s="38">
        <f t="shared" si="15"/>
        <v>3</v>
      </c>
      <c r="W29" s="38">
        <f t="shared" si="16"/>
        <v>1</v>
      </c>
      <c r="X29" s="38" t="str">
        <f t="shared" si="17"/>
        <v/>
      </c>
      <c r="Y29" s="38" t="str">
        <f t="shared" si="18"/>
        <v/>
      </c>
      <c r="Z29" s="38">
        <f t="shared" si="4"/>
        <v>2</v>
      </c>
      <c r="AA29" s="38">
        <f t="shared" si="19"/>
        <v>1</v>
      </c>
      <c r="AB29" s="38" t="str">
        <f t="shared" si="20"/>
        <v/>
      </c>
      <c r="AC29" s="38">
        <f t="shared" si="21"/>
        <v>1</v>
      </c>
      <c r="AD29" s="38" t="b">
        <f t="shared" si="5"/>
        <v>1</v>
      </c>
      <c r="AE29" s="44" t="b">
        <f t="shared" si="6"/>
        <v>1</v>
      </c>
      <c r="AF29" s="240"/>
      <c r="AG29" s="48" t="s">
        <v>61</v>
      </c>
      <c r="AH29" s="55">
        <v>0</v>
      </c>
      <c r="AI29" s="56">
        <v>0.3</v>
      </c>
      <c r="AJ29" s="56">
        <v>0.6</v>
      </c>
      <c r="AK29" s="56">
        <v>0.9</v>
      </c>
      <c r="AL29" s="57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5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s="1" customFormat="1" ht="12.75" customHeight="1" x14ac:dyDescent="0.25">
      <c r="A30" s="15">
        <v>2</v>
      </c>
      <c r="B30" s="15" t="s">
        <v>220</v>
      </c>
      <c r="C30" s="45" t="s">
        <v>56</v>
      </c>
      <c r="D30" s="45">
        <v>2</v>
      </c>
      <c r="E30" s="45">
        <v>3</v>
      </c>
      <c r="F30" s="45">
        <v>1</v>
      </c>
      <c r="G30" s="46">
        <v>1</v>
      </c>
      <c r="H30" s="47">
        <f t="shared" si="8"/>
        <v>1</v>
      </c>
      <c r="I30" s="41" t="str">
        <f t="shared" si="9"/>
        <v>OK</v>
      </c>
      <c r="J30" s="38" t="str">
        <f t="shared" si="10"/>
        <v/>
      </c>
      <c r="K30" s="38" t="b">
        <f t="shared" si="11"/>
        <v>1</v>
      </c>
      <c r="L30" s="38" t="str">
        <f t="shared" si="12"/>
        <v/>
      </c>
      <c r="M30" s="38" t="str">
        <f t="shared" si="13"/>
        <v/>
      </c>
      <c r="N30" s="42" t="str">
        <f t="shared" si="14"/>
        <v/>
      </c>
      <c r="O30"/>
      <c r="P30" s="43" t="str">
        <f>IF(AND(ISTEXT(B30),AA30=0),MAX($P$17:P29)+1,"")</f>
        <v/>
      </c>
      <c r="Q30" s="38">
        <f>IF(AND(ISTEXT(B30),AA30=1),MAX(P$18:$Q29)+1,"")</f>
        <v>12</v>
      </c>
      <c r="R30" s="38">
        <f t="shared" si="7"/>
        <v>12</v>
      </c>
      <c r="S30" s="38" t="str">
        <f t="shared" si="1"/>
        <v xml:space="preserve">      - Objective Results</v>
      </c>
      <c r="T30" s="38">
        <f t="shared" si="2"/>
        <v>1</v>
      </c>
      <c r="U30" s="38">
        <f t="shared" si="3"/>
        <v>2</v>
      </c>
      <c r="V30" s="38">
        <f t="shared" si="15"/>
        <v>3</v>
      </c>
      <c r="W30" s="38">
        <f t="shared" si="16"/>
        <v>1</v>
      </c>
      <c r="X30" s="38" t="str">
        <f t="shared" si="17"/>
        <v/>
      </c>
      <c r="Y30" s="38" t="str">
        <f t="shared" si="18"/>
        <v/>
      </c>
      <c r="Z30" s="38">
        <f t="shared" si="4"/>
        <v>2</v>
      </c>
      <c r="AA30" s="38">
        <f t="shared" si="19"/>
        <v>1</v>
      </c>
      <c r="AB30" s="38" t="str">
        <f t="shared" si="20"/>
        <v/>
      </c>
      <c r="AC30" s="38">
        <f t="shared" si="21"/>
        <v>1</v>
      </c>
      <c r="AD30" s="38" t="b">
        <f t="shared" si="5"/>
        <v>1</v>
      </c>
      <c r="AE30" s="44" t="b">
        <f t="shared" si="6"/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5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s="1" customFormat="1" ht="12.75" customHeight="1" x14ac:dyDescent="0.25">
      <c r="A31" s="15">
        <v>2</v>
      </c>
      <c r="B31" s="15" t="s">
        <v>221</v>
      </c>
      <c r="C31" s="45" t="s">
        <v>56</v>
      </c>
      <c r="D31" s="45">
        <v>2</v>
      </c>
      <c r="E31" s="45">
        <v>3</v>
      </c>
      <c r="F31" s="45">
        <v>1</v>
      </c>
      <c r="G31" s="46">
        <v>1</v>
      </c>
      <c r="H31" s="47">
        <f t="shared" si="8"/>
        <v>1</v>
      </c>
      <c r="I31" s="41" t="str">
        <f t="shared" si="9"/>
        <v>OK</v>
      </c>
      <c r="J31" s="38" t="str">
        <f t="shared" si="10"/>
        <v/>
      </c>
      <c r="K31" s="38" t="b">
        <f t="shared" si="11"/>
        <v>1</v>
      </c>
      <c r="L31" s="38" t="str">
        <f t="shared" si="12"/>
        <v/>
      </c>
      <c r="M31" s="38" t="str">
        <f t="shared" si="13"/>
        <v/>
      </c>
      <c r="N31" s="42" t="str">
        <f t="shared" si="14"/>
        <v/>
      </c>
      <c r="O31"/>
      <c r="P31" s="43" t="str">
        <f>IF(AND(ISTEXT(B31),AA31=0),MAX($P$17:P30)+1,"")</f>
        <v/>
      </c>
      <c r="Q31" s="38">
        <f>IF(AND(ISTEXT(B31),AA31=1),MAX(P$18:$Q30)+1,"")</f>
        <v>13</v>
      </c>
      <c r="R31" s="38">
        <f t="shared" si="7"/>
        <v>13</v>
      </c>
      <c r="S31" s="38" t="str">
        <f t="shared" si="1"/>
        <v xml:space="preserve">      - Engineering Analysis &amp; Operational Impact</v>
      </c>
      <c r="T31" s="38">
        <f t="shared" si="2"/>
        <v>1</v>
      </c>
      <c r="U31" s="38">
        <f t="shared" si="3"/>
        <v>2</v>
      </c>
      <c r="V31" s="38">
        <f t="shared" si="15"/>
        <v>3</v>
      </c>
      <c r="W31" s="38">
        <f t="shared" si="16"/>
        <v>1</v>
      </c>
      <c r="X31" s="38" t="str">
        <f t="shared" si="17"/>
        <v/>
      </c>
      <c r="Y31" s="38" t="str">
        <f t="shared" si="18"/>
        <v/>
      </c>
      <c r="Z31" s="38">
        <f t="shared" si="4"/>
        <v>2</v>
      </c>
      <c r="AA31" s="38">
        <f t="shared" si="19"/>
        <v>1</v>
      </c>
      <c r="AB31" s="38" t="str">
        <f t="shared" si="20"/>
        <v/>
      </c>
      <c r="AC31" s="38">
        <f t="shared" si="21"/>
        <v>1</v>
      </c>
      <c r="AD31" s="38" t="b">
        <f t="shared" si="5"/>
        <v>1</v>
      </c>
      <c r="AE31" s="44" t="b">
        <f t="shared" si="6"/>
        <v>1</v>
      </c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5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s="1" customFormat="1" ht="12.75" customHeight="1" x14ac:dyDescent="0.25">
      <c r="A32" s="15">
        <v>2</v>
      </c>
      <c r="B32" s="15" t="s">
        <v>222</v>
      </c>
      <c r="C32" s="45" t="s">
        <v>56</v>
      </c>
      <c r="D32" s="45">
        <v>2</v>
      </c>
      <c r="E32" s="45">
        <v>3</v>
      </c>
      <c r="F32" s="45">
        <v>1</v>
      </c>
      <c r="G32" s="46">
        <v>1</v>
      </c>
      <c r="H32" s="47">
        <f t="shared" si="8"/>
        <v>1</v>
      </c>
      <c r="I32" s="41" t="str">
        <f t="shared" si="9"/>
        <v>OK</v>
      </c>
      <c r="J32" s="38" t="str">
        <f t="shared" si="10"/>
        <v/>
      </c>
      <c r="K32" s="38" t="b">
        <f t="shared" si="11"/>
        <v>1</v>
      </c>
      <c r="L32" s="38" t="str">
        <f t="shared" si="12"/>
        <v/>
      </c>
      <c r="M32" s="38" t="str">
        <f t="shared" si="13"/>
        <v/>
      </c>
      <c r="N32" s="42" t="str">
        <f t="shared" si="14"/>
        <v/>
      </c>
      <c r="O32"/>
      <c r="P32" s="43" t="str">
        <f>IF(AND(ISTEXT(B32),AA32=0),MAX($P$17:P31)+1,"")</f>
        <v/>
      </c>
      <c r="Q32" s="38">
        <f>IF(AND(ISTEXT(B32),AA32=1),MAX(P$18:$Q31)+1,"")</f>
        <v>14</v>
      </c>
      <c r="R32" s="38">
        <f t="shared" si="7"/>
        <v>14</v>
      </c>
      <c r="S32" s="38" t="str">
        <f t="shared" si="1"/>
        <v xml:space="preserve">      - Conclusions &amp; Recommendations</v>
      </c>
      <c r="T32" s="38">
        <f t="shared" si="2"/>
        <v>1</v>
      </c>
      <c r="U32" s="38">
        <f t="shared" si="3"/>
        <v>2</v>
      </c>
      <c r="V32" s="38">
        <f t="shared" si="15"/>
        <v>3</v>
      </c>
      <c r="W32" s="38">
        <f t="shared" si="16"/>
        <v>1</v>
      </c>
      <c r="X32" s="38" t="str">
        <f t="shared" si="17"/>
        <v/>
      </c>
      <c r="Y32" s="38" t="str">
        <f t="shared" si="18"/>
        <v/>
      </c>
      <c r="Z32" s="38">
        <f t="shared" si="4"/>
        <v>2</v>
      </c>
      <c r="AA32" s="38">
        <f t="shared" si="19"/>
        <v>1</v>
      </c>
      <c r="AB32" s="38" t="str">
        <f t="shared" si="20"/>
        <v/>
      </c>
      <c r="AC32" s="38">
        <f t="shared" si="21"/>
        <v>1</v>
      </c>
      <c r="AD32" s="38" t="b">
        <f t="shared" si="5"/>
        <v>1</v>
      </c>
      <c r="AE32" s="44" t="b">
        <f t="shared" si="6"/>
        <v>1</v>
      </c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5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s="1" customFormat="1" ht="12.75" customHeight="1" x14ac:dyDescent="0.25">
      <c r="A33" s="15">
        <v>1</v>
      </c>
      <c r="B33" s="15" t="s">
        <v>223</v>
      </c>
      <c r="C33" s="45"/>
      <c r="D33" s="45"/>
      <c r="E33" s="45"/>
      <c r="F33" s="45"/>
      <c r="G33" s="46"/>
      <c r="H33" s="47" t="e">
        <f t="shared" si="8"/>
        <v>#N/A</v>
      </c>
      <c r="I33" s="41" t="str">
        <f t="shared" si="9"/>
        <v/>
      </c>
      <c r="J33" s="38" t="str">
        <f t="shared" si="10"/>
        <v/>
      </c>
      <c r="K33" s="38" t="str">
        <f t="shared" si="11"/>
        <v/>
      </c>
      <c r="L33" s="38" t="str">
        <f t="shared" si="12"/>
        <v/>
      </c>
      <c r="M33" s="38" t="str">
        <f t="shared" si="13"/>
        <v/>
      </c>
      <c r="N33" s="42" t="str">
        <f t="shared" si="14"/>
        <v/>
      </c>
      <c r="O33"/>
      <c r="P33" s="43" t="str">
        <f>IF(AND(ISTEXT(B33),AA33=0),MAX($P$17:P32)+1,"")</f>
        <v/>
      </c>
      <c r="Q33" s="38">
        <f>IF(AND(ISTEXT(B33),AA33=1),MAX(P$18:$Q32)+1,"")</f>
        <v>15</v>
      </c>
      <c r="R33" s="38">
        <f t="shared" si="7"/>
        <v>15</v>
      </c>
      <c r="S33" s="38" t="str">
        <f t="shared" si="1"/>
        <v>Content &amp; Analysis (Obj 6)</v>
      </c>
      <c r="T33" s="38" t="str">
        <f t="shared" si="2"/>
        <v/>
      </c>
      <c r="U33" s="38" t="str">
        <f t="shared" si="3"/>
        <v/>
      </c>
      <c r="V33" s="38" t="str">
        <f t="shared" si="15"/>
        <v/>
      </c>
      <c r="W33" s="38" t="str">
        <f t="shared" si="16"/>
        <v/>
      </c>
      <c r="X33" s="38" t="str">
        <f t="shared" si="17"/>
        <v/>
      </c>
      <c r="Y33" s="38">
        <f t="shared" si="18"/>
        <v>2</v>
      </c>
      <c r="Z33" s="38">
        <f t="shared" si="4"/>
        <v>1</v>
      </c>
      <c r="AA33" s="38">
        <f t="shared" si="19"/>
        <v>1</v>
      </c>
      <c r="AB33" s="38" t="str">
        <f t="shared" si="20"/>
        <v/>
      </c>
      <c r="AC33" s="38" t="str">
        <f t="shared" si="21"/>
        <v/>
      </c>
      <c r="AD33" s="38" t="str">
        <f t="shared" si="5"/>
        <v/>
      </c>
      <c r="AE33" s="44" t="b">
        <f t="shared" si="6"/>
        <v>0</v>
      </c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5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s="1" customFormat="1" ht="12.75" customHeight="1" x14ac:dyDescent="0.25">
      <c r="A34" s="15">
        <v>2</v>
      </c>
      <c r="B34" s="15" t="s">
        <v>219</v>
      </c>
      <c r="C34" s="45" t="s">
        <v>56</v>
      </c>
      <c r="D34" s="45">
        <v>2</v>
      </c>
      <c r="E34" s="45">
        <v>3</v>
      </c>
      <c r="F34" s="45">
        <v>1</v>
      </c>
      <c r="G34" s="46">
        <v>1</v>
      </c>
      <c r="H34" s="47">
        <f t="shared" si="8"/>
        <v>1</v>
      </c>
      <c r="I34" s="41" t="str">
        <f t="shared" si="9"/>
        <v>OK</v>
      </c>
      <c r="J34" s="38" t="str">
        <f t="shared" si="10"/>
        <v/>
      </c>
      <c r="K34" s="38" t="b">
        <f t="shared" si="11"/>
        <v>1</v>
      </c>
      <c r="L34" s="38" t="str">
        <f t="shared" si="12"/>
        <v/>
      </c>
      <c r="M34" s="38" t="str">
        <f t="shared" si="13"/>
        <v/>
      </c>
      <c r="N34" s="42" t="str">
        <f t="shared" si="14"/>
        <v/>
      </c>
      <c r="O34"/>
      <c r="P34" s="43" t="str">
        <f>IF(AND(ISTEXT(B34),AA34=0),MAX($P$17:P33)+1,"")</f>
        <v/>
      </c>
      <c r="Q34" s="38">
        <f>IF(AND(ISTEXT(B34),AA34=1),MAX(P$18:$Q33)+1,"")</f>
        <v>16</v>
      </c>
      <c r="R34" s="38">
        <f t="shared" si="7"/>
        <v>16</v>
      </c>
      <c r="S34" s="38" t="str">
        <f t="shared" si="1"/>
        <v xml:space="preserve">      - Test Methods and Conditions</v>
      </c>
      <c r="T34" s="38">
        <f t="shared" si="2"/>
        <v>1</v>
      </c>
      <c r="U34" s="38">
        <f t="shared" si="3"/>
        <v>2</v>
      </c>
      <c r="V34" s="38">
        <f t="shared" si="15"/>
        <v>3</v>
      </c>
      <c r="W34" s="38">
        <f t="shared" si="16"/>
        <v>1</v>
      </c>
      <c r="X34" s="38" t="str">
        <f t="shared" si="17"/>
        <v/>
      </c>
      <c r="Y34" s="38" t="str">
        <f t="shared" ref="Y34:Y45" si="22">IF(A34&lt;A35,2,"")</f>
        <v/>
      </c>
      <c r="Z34" s="38">
        <f t="shared" si="4"/>
        <v>2</v>
      </c>
      <c r="AA34" s="38">
        <f t="shared" ref="AA34:AA45" si="23">IF(OR(C34="Airmanship",B34="",AND(Y34=2,C35="Airmanship")),0,1)</f>
        <v>1</v>
      </c>
      <c r="AB34" s="38" t="str">
        <f t="shared" si="20"/>
        <v/>
      </c>
      <c r="AC34" s="38">
        <f t="shared" si="21"/>
        <v>1</v>
      </c>
      <c r="AD34" s="38" t="b">
        <f t="shared" si="5"/>
        <v>1</v>
      </c>
      <c r="AE34" s="44" t="b">
        <f t="shared" si="6"/>
        <v>1</v>
      </c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5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s="1" customFormat="1" ht="12.75" customHeight="1" x14ac:dyDescent="0.25">
      <c r="A35" s="15">
        <v>2</v>
      </c>
      <c r="B35" s="15" t="s">
        <v>220</v>
      </c>
      <c r="C35" s="45" t="s">
        <v>56</v>
      </c>
      <c r="D35" s="45">
        <v>2</v>
      </c>
      <c r="E35" s="45">
        <v>3</v>
      </c>
      <c r="F35" s="45">
        <v>1</v>
      </c>
      <c r="G35" s="46">
        <v>1</v>
      </c>
      <c r="H35" s="47">
        <f t="shared" ref="H35:H50" si="24">VLOOKUP(C35,task_prefills,3,FALSE)</f>
        <v>1</v>
      </c>
      <c r="I35" s="41" t="str">
        <f t="shared" ref="I35:I50" si="25">IF(AE35,IF(ISBLANK(C35),"ERROR",IF(AND(J35:N35),"OK","ERROR")),"")</f>
        <v>OK</v>
      </c>
      <c r="J35" s="38" t="str">
        <f t="shared" ref="J35:J50" si="26">IF(NOT(AND($C35="Airmanship",$Y35&lt;&gt;1,$Y35&lt;&gt;2)),"",IF(AND(D35&gt;=1,E35&gt;=1,E35&gt;=D35,F35&gt;=1,Flight_CRoom_Sim,G35&gt;0),TRUE,FALSE))</f>
        <v/>
      </c>
      <c r="K35" s="38" t="b">
        <f t="shared" ref="K35:K50" si="27">IF(NOT(AND(OR($C35="Stud Qual",$C35="Stud Attempt"),$Y35&lt;&gt;1,$Y35&lt;&gt;2)),"",IF(AND(D35&gt;0,E35&gt;=D35,F35&gt;=1,G35&gt;0),TRUE,FALSE))</f>
        <v>1</v>
      </c>
      <c r="L35" s="38" t="str">
        <f t="shared" ref="L35:L50" si="28">IF(NOT(AND($C35="Stud Bonus",$Y35&lt;&gt;1,$Y35&lt;&gt;2)),"",IF(AND(D35&gt;=0,E35&gt;=D35,F35=0,G35&gt;0),TRUE,FALSE))</f>
        <v/>
      </c>
      <c r="M35" s="38" t="str">
        <f t="shared" ref="M35:M50" si="29">IF(NOT(AND($C35="Req'd Demo",$Y35&lt;&gt;1,$Y35&lt;&gt;2)),"",IF(AND(D35="NG",F35&gt;=1,Flight_CRoom_Sim),TRUE,FALSE))</f>
        <v/>
      </c>
      <c r="N35" s="42" t="str">
        <f t="shared" ref="N35:N50" si="30">IF(NOT(AND($C35="Opt Demo",$Y35&lt;&gt;1,$Y35&lt;&gt;2)),"",IF(AND(D35="NG",F35=0,Flight_CRoom_Sim),TRUE,FALSE))</f>
        <v/>
      </c>
      <c r="O35"/>
      <c r="P35" s="43" t="str">
        <f>IF(AND(ISTEXT(B35),AA35=0),MAX($P$17:P34)+1,"")</f>
        <v/>
      </c>
      <c r="Q35" s="38">
        <f>IF(AND(ISTEXT(B35),AA35=1),MAX(P$18:$Q34)+1,"")</f>
        <v>17</v>
      </c>
      <c r="R35" s="38">
        <f t="shared" si="7"/>
        <v>17</v>
      </c>
      <c r="S35" s="38" t="str">
        <f t="shared" si="1"/>
        <v xml:space="preserve">      - Objective Results</v>
      </c>
      <c r="T35" s="38">
        <f t="shared" ref="T35:T45" si="31">IF(AE35,F35,"")</f>
        <v>1</v>
      </c>
      <c r="U35" s="38">
        <f t="shared" ref="U35:U45" si="32">IF(AE35,D35,"")</f>
        <v>2</v>
      </c>
      <c r="V35" s="38">
        <f t="shared" ref="V35:V45" si="33">IF(AND(AE35,ISNUMBER(D35)),E35,"")</f>
        <v>3</v>
      </c>
      <c r="W35" s="38">
        <f t="shared" ref="W35:W45" si="34">IF(OR(NOT(AE35),D35="NG",F35=0,C35="Airmanship"),"",G35)</f>
        <v>1</v>
      </c>
      <c r="X35" s="38" t="str">
        <f t="shared" ref="X35:X45" si="35">IF(OR(NOT(AE35),D35="NG",F35=0,C35&lt;&gt;"Airmanship"),"",G35)</f>
        <v/>
      </c>
      <c r="Y35" s="38" t="str">
        <f t="shared" si="22"/>
        <v/>
      </c>
      <c r="Z35" s="38">
        <f t="shared" ref="Z35:Z45" si="36">A35</f>
        <v>2</v>
      </c>
      <c r="AA35" s="38">
        <f t="shared" si="23"/>
        <v>1</v>
      </c>
      <c r="AB35" s="38" t="str">
        <f t="shared" ref="AB35:AB45" si="37">IF(OR(NOT(AE35),D35="NG",C35="Airmanship",F35&lt;&gt;0),"",G35)</f>
        <v/>
      </c>
      <c r="AC35" s="38">
        <f t="shared" ref="AC35:AC45" si="38">IF(OR(NOT(AE35),D35="NG"),"",IF(F35=0,0,H35))</f>
        <v>1</v>
      </c>
      <c r="AD35" s="38" t="b">
        <f t="shared" ref="AD35:AD45" si="39">IF(AE35,IF(ISBLANK(C35),FALSE,IF(AND(J35:N35),TRUE,FALSE)),"")</f>
        <v>1</v>
      </c>
      <c r="AE35" s="44" t="b">
        <f t="shared" ref="AE35:AE45" si="40">IF(OR(B35="",NOT(Y35="")),FALSE,TRUE)</f>
        <v>1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5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s="1" customFormat="1" ht="12.75" customHeight="1" x14ac:dyDescent="0.25">
      <c r="A36" s="15">
        <v>2</v>
      </c>
      <c r="B36" s="15" t="s">
        <v>221</v>
      </c>
      <c r="C36" s="45" t="s">
        <v>56</v>
      </c>
      <c r="D36" s="45">
        <v>2</v>
      </c>
      <c r="E36" s="45">
        <v>3</v>
      </c>
      <c r="F36" s="45">
        <v>1</v>
      </c>
      <c r="G36" s="46">
        <v>1</v>
      </c>
      <c r="H36" s="47">
        <f t="shared" si="24"/>
        <v>1</v>
      </c>
      <c r="I36" s="41" t="str">
        <f t="shared" si="25"/>
        <v>OK</v>
      </c>
      <c r="J36" s="38" t="str">
        <f t="shared" si="26"/>
        <v/>
      </c>
      <c r="K36" s="38" t="b">
        <f t="shared" si="27"/>
        <v>1</v>
      </c>
      <c r="L36" s="38" t="str">
        <f t="shared" si="28"/>
        <v/>
      </c>
      <c r="M36" s="38" t="str">
        <f t="shared" si="29"/>
        <v/>
      </c>
      <c r="N36" s="42" t="str">
        <f t="shared" si="30"/>
        <v/>
      </c>
      <c r="O36"/>
      <c r="P36" s="43" t="str">
        <f>IF(AND(ISTEXT(B36),AA36=0),MAX($P$17:P35)+1,"")</f>
        <v/>
      </c>
      <c r="Q36" s="38">
        <f>IF(AND(ISTEXT(B36),AA36=1),MAX(P$18:$Q35)+1,"")</f>
        <v>18</v>
      </c>
      <c r="R36" s="38">
        <f t="shared" si="7"/>
        <v>18</v>
      </c>
      <c r="S36" s="38" t="str">
        <f t="shared" si="1"/>
        <v xml:space="preserve">      - Engineering Analysis &amp; Operational Impact</v>
      </c>
      <c r="T36" s="38">
        <f t="shared" si="31"/>
        <v>1</v>
      </c>
      <c r="U36" s="38">
        <f t="shared" si="32"/>
        <v>2</v>
      </c>
      <c r="V36" s="38">
        <f t="shared" si="33"/>
        <v>3</v>
      </c>
      <c r="W36" s="38">
        <f t="shared" si="34"/>
        <v>1</v>
      </c>
      <c r="X36" s="38" t="str">
        <f t="shared" si="35"/>
        <v/>
      </c>
      <c r="Y36" s="38" t="str">
        <f t="shared" si="22"/>
        <v/>
      </c>
      <c r="Z36" s="38">
        <f t="shared" si="36"/>
        <v>2</v>
      </c>
      <c r="AA36" s="38">
        <f t="shared" si="23"/>
        <v>1</v>
      </c>
      <c r="AB36" s="38" t="str">
        <f t="shared" si="37"/>
        <v/>
      </c>
      <c r="AC36" s="38">
        <f t="shared" si="38"/>
        <v>1</v>
      </c>
      <c r="AD36" s="38" t="b">
        <f t="shared" si="39"/>
        <v>1</v>
      </c>
      <c r="AE36" s="44" t="b">
        <f t="shared" si="40"/>
        <v>1</v>
      </c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5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s="1" customFormat="1" ht="12.75" customHeight="1" x14ac:dyDescent="0.25">
      <c r="A37" s="15">
        <v>2</v>
      </c>
      <c r="B37" s="15" t="s">
        <v>222</v>
      </c>
      <c r="C37" s="45" t="s">
        <v>56</v>
      </c>
      <c r="D37" s="45">
        <v>2</v>
      </c>
      <c r="E37" s="45">
        <v>3</v>
      </c>
      <c r="F37" s="45">
        <v>1</v>
      </c>
      <c r="G37" s="46">
        <v>1</v>
      </c>
      <c r="H37" s="47">
        <f t="shared" si="24"/>
        <v>1</v>
      </c>
      <c r="I37" s="41" t="str">
        <f t="shared" si="25"/>
        <v>OK</v>
      </c>
      <c r="J37" s="38" t="str">
        <f t="shared" si="26"/>
        <v/>
      </c>
      <c r="K37" s="38" t="b">
        <f t="shared" si="27"/>
        <v>1</v>
      </c>
      <c r="L37" s="38" t="str">
        <f t="shared" si="28"/>
        <v/>
      </c>
      <c r="M37" s="38" t="str">
        <f t="shared" si="29"/>
        <v/>
      </c>
      <c r="N37" s="42" t="str">
        <f t="shared" si="30"/>
        <v/>
      </c>
      <c r="O37"/>
      <c r="P37" s="43" t="str">
        <f>IF(AND(ISTEXT(B37),AA37=0),MAX($P$17:P36)+1,"")</f>
        <v/>
      </c>
      <c r="Q37" s="38">
        <f>IF(AND(ISTEXT(B37),AA37=1),MAX(P$18:$Q36)+1,"")</f>
        <v>19</v>
      </c>
      <c r="R37" s="38">
        <f t="shared" ref="R37:R50" si="41">SUM(P37:Q37)</f>
        <v>19</v>
      </c>
      <c r="S37" s="38" t="str">
        <f t="shared" si="1"/>
        <v xml:space="preserve">      - Conclusions &amp; Recommendations</v>
      </c>
      <c r="T37" s="38">
        <f t="shared" si="31"/>
        <v>1</v>
      </c>
      <c r="U37" s="38">
        <f t="shared" si="32"/>
        <v>2</v>
      </c>
      <c r="V37" s="38">
        <f t="shared" si="33"/>
        <v>3</v>
      </c>
      <c r="W37" s="38">
        <f t="shared" si="34"/>
        <v>1</v>
      </c>
      <c r="X37" s="38" t="str">
        <f t="shared" si="35"/>
        <v/>
      </c>
      <c r="Y37" s="38" t="str">
        <f t="shared" si="22"/>
        <v/>
      </c>
      <c r="Z37" s="38">
        <f t="shared" si="36"/>
        <v>2</v>
      </c>
      <c r="AA37" s="38">
        <f t="shared" si="23"/>
        <v>1</v>
      </c>
      <c r="AB37" s="38" t="str">
        <f t="shared" si="37"/>
        <v/>
      </c>
      <c r="AC37" s="38">
        <f t="shared" si="38"/>
        <v>1</v>
      </c>
      <c r="AD37" s="38" t="b">
        <f t="shared" si="39"/>
        <v>1</v>
      </c>
      <c r="AE37" s="44" t="b">
        <f t="shared" si="40"/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5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s="1" customFormat="1" ht="12.75" customHeight="1" x14ac:dyDescent="0.25">
      <c r="A38" s="15">
        <v>1</v>
      </c>
      <c r="B38" s="15" t="s">
        <v>210</v>
      </c>
      <c r="C38" s="45" t="s">
        <v>56</v>
      </c>
      <c r="D38" s="45">
        <v>2</v>
      </c>
      <c r="E38" s="45">
        <v>3</v>
      </c>
      <c r="F38" s="45">
        <v>1</v>
      </c>
      <c r="G38" s="46">
        <v>1</v>
      </c>
      <c r="H38" s="47">
        <f t="shared" si="24"/>
        <v>1</v>
      </c>
      <c r="I38" s="41" t="str">
        <f t="shared" si="25"/>
        <v/>
      </c>
      <c r="J38" s="38" t="str">
        <f t="shared" si="26"/>
        <v/>
      </c>
      <c r="K38" s="38" t="str">
        <f t="shared" si="27"/>
        <v/>
      </c>
      <c r="L38" s="38" t="str">
        <f t="shared" si="28"/>
        <v/>
      </c>
      <c r="M38" s="38" t="str">
        <f t="shared" si="29"/>
        <v/>
      </c>
      <c r="N38" s="42" t="str">
        <f t="shared" si="30"/>
        <v/>
      </c>
      <c r="O38"/>
      <c r="P38" s="43" t="str">
        <f>IF(AND(ISTEXT(B38),AA38=0),MAX($P$17:P37)+1,"")</f>
        <v/>
      </c>
      <c r="Q38" s="38">
        <f>IF(AND(ISTEXT(B38),AA38=1),MAX(P$18:$Q37)+1,"")</f>
        <v>20</v>
      </c>
      <c r="R38" s="38">
        <f t="shared" si="41"/>
        <v>20</v>
      </c>
      <c r="S38" s="38" t="str">
        <f t="shared" si="1"/>
        <v>Clarity &amp; Precision (Mechanics)</v>
      </c>
      <c r="T38" s="38" t="str">
        <f t="shared" si="31"/>
        <v/>
      </c>
      <c r="U38" s="38" t="str">
        <f t="shared" si="32"/>
        <v/>
      </c>
      <c r="V38" s="38" t="str">
        <f t="shared" si="33"/>
        <v/>
      </c>
      <c r="W38" s="38" t="str">
        <f t="shared" si="34"/>
        <v/>
      </c>
      <c r="X38" s="38" t="str">
        <f t="shared" si="35"/>
        <v/>
      </c>
      <c r="Y38" s="38">
        <f t="shared" si="22"/>
        <v>2</v>
      </c>
      <c r="Z38" s="38">
        <f t="shared" si="36"/>
        <v>1</v>
      </c>
      <c r="AA38" s="38">
        <f t="shared" si="23"/>
        <v>1</v>
      </c>
      <c r="AB38" s="38" t="str">
        <f t="shared" si="37"/>
        <v/>
      </c>
      <c r="AC38" s="38" t="str">
        <f t="shared" si="38"/>
        <v/>
      </c>
      <c r="AD38" s="38" t="str">
        <f t="shared" si="39"/>
        <v/>
      </c>
      <c r="AE38" s="44" t="b">
        <f t="shared" si="40"/>
        <v>0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5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s="1" customFormat="1" ht="12.75" customHeight="1" x14ac:dyDescent="0.25">
      <c r="A39" s="15">
        <v>2</v>
      </c>
      <c r="B39" s="15" t="s">
        <v>211</v>
      </c>
      <c r="C39" s="45" t="s">
        <v>56</v>
      </c>
      <c r="D39" s="45">
        <v>2</v>
      </c>
      <c r="E39" s="45">
        <v>3</v>
      </c>
      <c r="F39" s="45">
        <v>1</v>
      </c>
      <c r="G39" s="46">
        <v>1</v>
      </c>
      <c r="H39" s="47">
        <f t="shared" si="24"/>
        <v>1</v>
      </c>
      <c r="I39" s="41" t="str">
        <f t="shared" si="25"/>
        <v>OK</v>
      </c>
      <c r="J39" s="38" t="str">
        <f t="shared" si="26"/>
        <v/>
      </c>
      <c r="K39" s="38" t="b">
        <f t="shared" si="27"/>
        <v>1</v>
      </c>
      <c r="L39" s="38" t="str">
        <f t="shared" si="28"/>
        <v/>
      </c>
      <c r="M39" s="38" t="str">
        <f t="shared" si="29"/>
        <v/>
      </c>
      <c r="N39" s="42" t="str">
        <f t="shared" si="30"/>
        <v/>
      </c>
      <c r="O39"/>
      <c r="P39" s="43" t="str">
        <f>IF(AND(ISTEXT(B39),AA39=0),MAX($P$17:P38)+1,"")</f>
        <v/>
      </c>
      <c r="Q39" s="38">
        <f>IF(AND(ISTEXT(B39),AA39=1),MAX(P$18:$Q38)+1,"")</f>
        <v>21</v>
      </c>
      <c r="R39" s="38">
        <f t="shared" si="41"/>
        <v>21</v>
      </c>
      <c r="S39" s="38" t="str">
        <f t="shared" si="1"/>
        <v xml:space="preserve">      - Grammar &amp; Syntax</v>
      </c>
      <c r="T39" s="38">
        <f t="shared" si="31"/>
        <v>1</v>
      </c>
      <c r="U39" s="38">
        <f t="shared" si="32"/>
        <v>2</v>
      </c>
      <c r="V39" s="38">
        <f t="shared" si="33"/>
        <v>3</v>
      </c>
      <c r="W39" s="38">
        <f t="shared" si="34"/>
        <v>1</v>
      </c>
      <c r="X39" s="38" t="str">
        <f t="shared" si="35"/>
        <v/>
      </c>
      <c r="Y39" s="38" t="str">
        <f t="shared" si="22"/>
        <v/>
      </c>
      <c r="Z39" s="38">
        <f t="shared" si="36"/>
        <v>2</v>
      </c>
      <c r="AA39" s="38">
        <f t="shared" si="23"/>
        <v>1</v>
      </c>
      <c r="AB39" s="38" t="str">
        <f t="shared" si="37"/>
        <v/>
      </c>
      <c r="AC39" s="38">
        <f t="shared" si="38"/>
        <v>1</v>
      </c>
      <c r="AD39" s="38" t="b">
        <f t="shared" si="39"/>
        <v>1</v>
      </c>
      <c r="AE39" s="44" t="b">
        <f t="shared" si="40"/>
        <v>1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5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s="1" customFormat="1" ht="12.75" customHeight="1" x14ac:dyDescent="0.25">
      <c r="A40" s="15">
        <v>2</v>
      </c>
      <c r="B40" s="15" t="s">
        <v>212</v>
      </c>
      <c r="C40" s="45" t="s">
        <v>56</v>
      </c>
      <c r="D40" s="45">
        <v>2</v>
      </c>
      <c r="E40" s="45">
        <v>3</v>
      </c>
      <c r="F40" s="45">
        <v>1</v>
      </c>
      <c r="G40" s="46">
        <v>1</v>
      </c>
      <c r="H40" s="47">
        <f t="shared" si="24"/>
        <v>1</v>
      </c>
      <c r="I40" s="41" t="str">
        <f t="shared" si="25"/>
        <v>OK</v>
      </c>
      <c r="J40" s="38" t="str">
        <f t="shared" si="26"/>
        <v/>
      </c>
      <c r="K40" s="38" t="b">
        <f t="shared" si="27"/>
        <v>1</v>
      </c>
      <c r="L40" s="38" t="str">
        <f t="shared" si="28"/>
        <v/>
      </c>
      <c r="M40" s="38" t="str">
        <f t="shared" si="29"/>
        <v/>
      </c>
      <c r="N40" s="42" t="str">
        <f t="shared" si="30"/>
        <v/>
      </c>
      <c r="O40"/>
      <c r="P40" s="43" t="str">
        <f>IF(AND(ISTEXT(B40),AA40=0),MAX($P$17:P39)+1,"")</f>
        <v/>
      </c>
      <c r="Q40" s="38">
        <f>IF(AND(ISTEXT(B40),AA40=1),MAX(P$18:$Q39)+1,"")</f>
        <v>22</v>
      </c>
      <c r="R40" s="38">
        <f t="shared" si="41"/>
        <v>22</v>
      </c>
      <c r="S40" s="38" t="str">
        <f t="shared" si="1"/>
        <v xml:space="preserve">      - Punctuation Acronyms &amp; Formatting</v>
      </c>
      <c r="T40" s="38">
        <f t="shared" si="31"/>
        <v>1</v>
      </c>
      <c r="U40" s="38">
        <f t="shared" si="32"/>
        <v>2</v>
      </c>
      <c r="V40" s="38">
        <f t="shared" si="33"/>
        <v>3</v>
      </c>
      <c r="W40" s="38">
        <f t="shared" si="34"/>
        <v>1</v>
      </c>
      <c r="X40" s="38" t="str">
        <f t="shared" si="35"/>
        <v/>
      </c>
      <c r="Y40" s="38" t="str">
        <f t="shared" si="22"/>
        <v/>
      </c>
      <c r="Z40" s="38">
        <f t="shared" si="36"/>
        <v>2</v>
      </c>
      <c r="AA40" s="38">
        <f t="shared" si="23"/>
        <v>1</v>
      </c>
      <c r="AB40" s="38" t="str">
        <f t="shared" si="37"/>
        <v/>
      </c>
      <c r="AC40" s="38">
        <f t="shared" si="38"/>
        <v>1</v>
      </c>
      <c r="AD40" s="38" t="b">
        <f t="shared" si="39"/>
        <v>1</v>
      </c>
      <c r="AE40" s="44" t="b">
        <f t="shared" si="40"/>
        <v>1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5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s="1" customFormat="1" ht="12.75" customHeight="1" x14ac:dyDescent="0.25">
      <c r="A41" s="15">
        <v>2</v>
      </c>
      <c r="B41" s="15" t="s">
        <v>213</v>
      </c>
      <c r="C41" s="45" t="s">
        <v>56</v>
      </c>
      <c r="D41" s="45">
        <v>2</v>
      </c>
      <c r="E41" s="45">
        <v>3</v>
      </c>
      <c r="F41" s="45">
        <v>1</v>
      </c>
      <c r="G41" s="46">
        <v>1</v>
      </c>
      <c r="H41" s="47">
        <f t="shared" si="24"/>
        <v>1</v>
      </c>
      <c r="I41" s="41" t="str">
        <f t="shared" si="25"/>
        <v>OK</v>
      </c>
      <c r="J41" s="38" t="str">
        <f t="shared" si="26"/>
        <v/>
      </c>
      <c r="K41" s="38" t="b">
        <f t="shared" si="27"/>
        <v>1</v>
      </c>
      <c r="L41" s="38" t="str">
        <f t="shared" si="28"/>
        <v/>
      </c>
      <c r="M41" s="38" t="str">
        <f t="shared" si="29"/>
        <v/>
      </c>
      <c r="N41" s="42" t="str">
        <f t="shared" si="30"/>
        <v/>
      </c>
      <c r="O41"/>
      <c r="P41" s="43" t="str">
        <f>IF(AND(ISTEXT(B41),AA41=0),MAX($P$17:P40)+1,"")</f>
        <v/>
      </c>
      <c r="Q41" s="38">
        <f>IF(AND(ISTEXT(B41),AA41=1),MAX(P$18:$Q40)+1,"")</f>
        <v>23</v>
      </c>
      <c r="R41" s="38">
        <f t="shared" si="41"/>
        <v>23</v>
      </c>
      <c r="S41" s="38" t="str">
        <f t="shared" si="1"/>
        <v xml:space="preserve">      - Professional Tone &amp; Word Choice</v>
      </c>
      <c r="T41" s="38">
        <f t="shared" si="31"/>
        <v>1</v>
      </c>
      <c r="U41" s="38">
        <f t="shared" si="32"/>
        <v>2</v>
      </c>
      <c r="V41" s="38">
        <f t="shared" si="33"/>
        <v>3</v>
      </c>
      <c r="W41" s="38">
        <f t="shared" si="34"/>
        <v>1</v>
      </c>
      <c r="X41" s="38" t="str">
        <f t="shared" si="35"/>
        <v/>
      </c>
      <c r="Y41" s="38" t="str">
        <f t="shared" si="22"/>
        <v/>
      </c>
      <c r="Z41" s="38">
        <f t="shared" si="36"/>
        <v>2</v>
      </c>
      <c r="AA41" s="38">
        <f t="shared" si="23"/>
        <v>1</v>
      </c>
      <c r="AB41" s="38" t="str">
        <f t="shared" si="37"/>
        <v/>
      </c>
      <c r="AC41" s="38">
        <f t="shared" si="38"/>
        <v>1</v>
      </c>
      <c r="AD41" s="38" t="b">
        <f t="shared" si="39"/>
        <v>1</v>
      </c>
      <c r="AE41" s="44" t="b">
        <f t="shared" si="40"/>
        <v>1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5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s="1" customFormat="1" ht="12.75" customHeight="1" x14ac:dyDescent="0.25">
      <c r="A42" s="15">
        <v>1</v>
      </c>
      <c r="B42" s="15" t="s">
        <v>215</v>
      </c>
      <c r="C42" s="45"/>
      <c r="D42" s="45"/>
      <c r="E42" s="45"/>
      <c r="F42" s="45"/>
      <c r="G42" s="46"/>
      <c r="H42" s="47" t="e">
        <f t="shared" si="24"/>
        <v>#N/A</v>
      </c>
      <c r="I42" s="41" t="str">
        <f t="shared" si="25"/>
        <v/>
      </c>
      <c r="J42" s="38" t="str">
        <f t="shared" si="26"/>
        <v/>
      </c>
      <c r="K42" s="38" t="str">
        <f t="shared" si="27"/>
        <v/>
      </c>
      <c r="L42" s="38" t="str">
        <f t="shared" si="28"/>
        <v/>
      </c>
      <c r="M42" s="38" t="str">
        <f t="shared" si="29"/>
        <v/>
      </c>
      <c r="N42" s="42" t="str">
        <f t="shared" si="30"/>
        <v/>
      </c>
      <c r="O42"/>
      <c r="P42" s="43" t="str">
        <f>IF(AND(ISTEXT(B42),AA42=0),MAX($P$17:P41)+1,"")</f>
        <v/>
      </c>
      <c r="Q42" s="38">
        <f>IF(AND(ISTEXT(B42),AA42=1),MAX(P$18:$Q41)+1,"")</f>
        <v>24</v>
      </c>
      <c r="R42" s="38">
        <f t="shared" si="41"/>
        <v>24</v>
      </c>
      <c r="S42" s="38" t="str">
        <f t="shared" si="1"/>
        <v>Visual Engineering &amp; Data Presentation</v>
      </c>
      <c r="T42" s="38" t="str">
        <f t="shared" si="31"/>
        <v/>
      </c>
      <c r="U42" s="38" t="str">
        <f t="shared" si="32"/>
        <v/>
      </c>
      <c r="V42" s="38" t="str">
        <f t="shared" si="33"/>
        <v/>
      </c>
      <c r="W42" s="38" t="str">
        <f t="shared" si="34"/>
        <v/>
      </c>
      <c r="X42" s="38" t="str">
        <f t="shared" si="35"/>
        <v/>
      </c>
      <c r="Y42" s="38">
        <f t="shared" si="22"/>
        <v>2</v>
      </c>
      <c r="Z42" s="38">
        <f t="shared" si="36"/>
        <v>1</v>
      </c>
      <c r="AA42" s="38">
        <f t="shared" si="23"/>
        <v>1</v>
      </c>
      <c r="AB42" s="38" t="str">
        <f t="shared" si="37"/>
        <v/>
      </c>
      <c r="AC42" s="38" t="str">
        <f t="shared" si="38"/>
        <v/>
      </c>
      <c r="AD42" s="38" t="str">
        <f t="shared" si="39"/>
        <v/>
      </c>
      <c r="AE42" s="44" t="b">
        <f t="shared" si="40"/>
        <v>0</v>
      </c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5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s="1" customFormat="1" ht="12.75" customHeight="1" x14ac:dyDescent="0.25">
      <c r="A43" s="15">
        <v>2</v>
      </c>
      <c r="B43" s="15" t="s">
        <v>214</v>
      </c>
      <c r="C43" s="45" t="s">
        <v>56</v>
      </c>
      <c r="D43" s="45">
        <v>2</v>
      </c>
      <c r="E43" s="45">
        <v>3</v>
      </c>
      <c r="F43" s="45">
        <v>1</v>
      </c>
      <c r="G43" s="46">
        <v>1</v>
      </c>
      <c r="H43" s="47">
        <f t="shared" si="24"/>
        <v>1</v>
      </c>
      <c r="I43" s="41" t="str">
        <f t="shared" si="25"/>
        <v>OK</v>
      </c>
      <c r="J43" s="38" t="str">
        <f t="shared" si="26"/>
        <v/>
      </c>
      <c r="K43" s="38" t="b">
        <f t="shared" si="27"/>
        <v>1</v>
      </c>
      <c r="L43" s="38" t="str">
        <f t="shared" si="28"/>
        <v/>
      </c>
      <c r="M43" s="38" t="str">
        <f t="shared" si="29"/>
        <v/>
      </c>
      <c r="N43" s="42" t="str">
        <f t="shared" si="30"/>
        <v/>
      </c>
      <c r="O43"/>
      <c r="P43" s="43" t="str">
        <f>IF(AND(ISTEXT(B43),AA43=0),MAX($P$17:P42)+1,"")</f>
        <v/>
      </c>
      <c r="Q43" s="38">
        <f>IF(AND(ISTEXT(B43),AA43=1),MAX(P$18:$Q42)+1,"")</f>
        <v>25</v>
      </c>
      <c r="R43" s="38">
        <f t="shared" si="41"/>
        <v>25</v>
      </c>
      <c r="S43" s="38" t="str">
        <f t="shared" si="1"/>
        <v xml:space="preserve">      - Anatomy of a Valid Plot/Table</v>
      </c>
      <c r="T43" s="38">
        <f t="shared" si="31"/>
        <v>1</v>
      </c>
      <c r="U43" s="38">
        <f t="shared" si="32"/>
        <v>2</v>
      </c>
      <c r="V43" s="38">
        <f t="shared" si="33"/>
        <v>3</v>
      </c>
      <c r="W43" s="38">
        <f t="shared" si="34"/>
        <v>1</v>
      </c>
      <c r="X43" s="38" t="str">
        <f t="shared" si="35"/>
        <v/>
      </c>
      <c r="Y43" s="38" t="str">
        <f t="shared" si="22"/>
        <v/>
      </c>
      <c r="Z43" s="38">
        <f t="shared" si="36"/>
        <v>2</v>
      </c>
      <c r="AA43" s="38">
        <f t="shared" si="23"/>
        <v>1</v>
      </c>
      <c r="AB43" s="38" t="str">
        <f t="shared" si="37"/>
        <v/>
      </c>
      <c r="AC43" s="38">
        <f t="shared" si="38"/>
        <v>1</v>
      </c>
      <c r="AD43" s="38" t="b">
        <f t="shared" si="39"/>
        <v>1</v>
      </c>
      <c r="AE43" s="44" t="b">
        <f t="shared" si="40"/>
        <v>1</v>
      </c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5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s="1" customFormat="1" ht="12.75" customHeight="1" x14ac:dyDescent="0.25">
      <c r="A44" s="15">
        <v>2</v>
      </c>
      <c r="B44" s="15" t="s">
        <v>216</v>
      </c>
      <c r="C44" s="45" t="s">
        <v>56</v>
      </c>
      <c r="D44" s="45">
        <v>2</v>
      </c>
      <c r="E44" s="45">
        <v>3</v>
      </c>
      <c r="F44" s="45">
        <v>1</v>
      </c>
      <c r="G44" s="46">
        <v>1</v>
      </c>
      <c r="H44" s="47">
        <f t="shared" si="24"/>
        <v>1</v>
      </c>
      <c r="I44" s="41" t="str">
        <f t="shared" si="25"/>
        <v>OK</v>
      </c>
      <c r="J44" s="38" t="str">
        <f t="shared" si="26"/>
        <v/>
      </c>
      <c r="K44" s="38" t="b">
        <f t="shared" si="27"/>
        <v>1</v>
      </c>
      <c r="L44" s="38" t="str">
        <f t="shared" si="28"/>
        <v/>
      </c>
      <c r="M44" s="38" t="str">
        <f t="shared" si="29"/>
        <v/>
      </c>
      <c r="N44" s="42" t="str">
        <f t="shared" si="30"/>
        <v/>
      </c>
      <c r="O44"/>
      <c r="P44" s="43" t="str">
        <f>IF(AND(ISTEXT(B44),AA44=0),MAX($P$17:P43)+1,"")</f>
        <v/>
      </c>
      <c r="Q44" s="38">
        <f>IF(AND(ISTEXT(B44),AA44=1),MAX(P$18:$Q43)+1,"")</f>
        <v>26</v>
      </c>
      <c r="R44" s="38">
        <f t="shared" si="41"/>
        <v>26</v>
      </c>
      <c r="S44" s="38" t="str">
        <f t="shared" si="1"/>
        <v xml:space="preserve">      - Data-Ink Ratio &amp; Clarity</v>
      </c>
      <c r="T44" s="38">
        <f t="shared" si="31"/>
        <v>1</v>
      </c>
      <c r="U44" s="38">
        <f t="shared" si="32"/>
        <v>2</v>
      </c>
      <c r="V44" s="38">
        <f t="shared" si="33"/>
        <v>3</v>
      </c>
      <c r="W44" s="38">
        <f t="shared" si="34"/>
        <v>1</v>
      </c>
      <c r="X44" s="38" t="str">
        <f t="shared" si="35"/>
        <v/>
      </c>
      <c r="Y44" s="38" t="str">
        <f t="shared" si="22"/>
        <v/>
      </c>
      <c r="Z44" s="38">
        <f t="shared" si="36"/>
        <v>2</v>
      </c>
      <c r="AA44" s="38">
        <f t="shared" si="23"/>
        <v>1</v>
      </c>
      <c r="AB44" s="38" t="str">
        <f t="shared" si="37"/>
        <v/>
      </c>
      <c r="AC44" s="38">
        <f t="shared" si="38"/>
        <v>1</v>
      </c>
      <c r="AD44" s="38" t="b">
        <f t="shared" si="39"/>
        <v>1</v>
      </c>
      <c r="AE44" s="44" t="b">
        <f t="shared" si="40"/>
        <v>1</v>
      </c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5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s="1" customFormat="1" ht="12.75" customHeight="1" x14ac:dyDescent="0.25">
      <c r="A45" s="15">
        <v>2</v>
      </c>
      <c r="B45" s="15" t="s">
        <v>217</v>
      </c>
      <c r="C45" s="45" t="s">
        <v>56</v>
      </c>
      <c r="D45" s="45">
        <v>2</v>
      </c>
      <c r="E45" s="45">
        <v>3</v>
      </c>
      <c r="F45" s="45">
        <v>1</v>
      </c>
      <c r="G45" s="46">
        <v>1</v>
      </c>
      <c r="H45" s="47">
        <f t="shared" si="24"/>
        <v>1</v>
      </c>
      <c r="I45" s="41" t="str">
        <f t="shared" si="25"/>
        <v>OK</v>
      </c>
      <c r="J45" s="38" t="str">
        <f t="shared" si="26"/>
        <v/>
      </c>
      <c r="K45" s="38" t="b">
        <f t="shared" si="27"/>
        <v>1</v>
      </c>
      <c r="L45" s="38" t="str">
        <f t="shared" si="28"/>
        <v/>
      </c>
      <c r="M45" s="38" t="str">
        <f t="shared" si="29"/>
        <v/>
      </c>
      <c r="N45" s="42" t="str">
        <f t="shared" si="30"/>
        <v/>
      </c>
      <c r="O45"/>
      <c r="P45" s="43" t="str">
        <f>IF(AND(ISTEXT(B45),AA45=0),MAX($P$17:P44)+1,"")</f>
        <v/>
      </c>
      <c r="Q45" s="38">
        <f>IF(AND(ISTEXT(B45),AA45=1),MAX(P$18:$Q44)+1,"")</f>
        <v>27</v>
      </c>
      <c r="R45" s="38">
        <f t="shared" si="41"/>
        <v>27</v>
      </c>
      <c r="S45" s="38" t="str">
        <f t="shared" si="1"/>
        <v xml:space="preserve">      - Data Honesty &amp; Context (Limits/Thresholds)</v>
      </c>
      <c r="T45" s="38">
        <f t="shared" si="31"/>
        <v>1</v>
      </c>
      <c r="U45" s="38">
        <f t="shared" si="32"/>
        <v>2</v>
      </c>
      <c r="V45" s="38">
        <f t="shared" si="33"/>
        <v>3</v>
      </c>
      <c r="W45" s="38">
        <f t="shared" si="34"/>
        <v>1</v>
      </c>
      <c r="X45" s="38" t="str">
        <f t="shared" si="35"/>
        <v/>
      </c>
      <c r="Y45" s="38" t="str">
        <f t="shared" si="22"/>
        <v/>
      </c>
      <c r="Z45" s="38">
        <f t="shared" si="36"/>
        <v>2</v>
      </c>
      <c r="AA45" s="38">
        <f t="shared" si="23"/>
        <v>1</v>
      </c>
      <c r="AB45" s="38" t="str">
        <f t="shared" si="37"/>
        <v/>
      </c>
      <c r="AC45" s="38">
        <f t="shared" si="38"/>
        <v>1</v>
      </c>
      <c r="AD45" s="38" t="b">
        <f t="shared" si="39"/>
        <v>1</v>
      </c>
      <c r="AE45" s="44" t="b">
        <f t="shared" si="40"/>
        <v>1</v>
      </c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5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s="1" customFormat="1" ht="12.75" customHeight="1" x14ac:dyDescent="0.25">
      <c r="A46" s="15">
        <v>2</v>
      </c>
      <c r="B46" s="15" t="s">
        <v>217</v>
      </c>
      <c r="C46" s="45" t="s">
        <v>56</v>
      </c>
      <c r="D46" s="45">
        <v>2</v>
      </c>
      <c r="E46" s="45">
        <v>3</v>
      </c>
      <c r="F46" s="45">
        <v>1</v>
      </c>
      <c r="G46" s="46">
        <v>1</v>
      </c>
      <c r="H46" s="47">
        <f t="shared" si="24"/>
        <v>1</v>
      </c>
      <c r="I46" s="41" t="str">
        <f t="shared" si="25"/>
        <v>OK</v>
      </c>
      <c r="J46" s="38" t="str">
        <f t="shared" si="26"/>
        <v/>
      </c>
      <c r="K46" s="38" t="b">
        <f t="shared" si="27"/>
        <v>1</v>
      </c>
      <c r="L46" s="38" t="str">
        <f t="shared" si="28"/>
        <v/>
      </c>
      <c r="M46" s="38" t="str">
        <f t="shared" si="29"/>
        <v/>
      </c>
      <c r="N46" s="42" t="str">
        <f t="shared" si="30"/>
        <v/>
      </c>
      <c r="O46"/>
      <c r="P46" s="43" t="str">
        <f>IF(AND(ISTEXT(B46),AA46=0),MAX($P$17:P45)+1,"")</f>
        <v/>
      </c>
      <c r="Q46" s="38">
        <f>IF(AND(ISTEXT(B46),AA46=1),MAX(P$18:$Q45)+1,"")</f>
        <v>28</v>
      </c>
      <c r="R46" s="38">
        <f t="shared" si="41"/>
        <v>28</v>
      </c>
      <c r="S46" s="38" t="str">
        <f t="shared" ref="S46:S50" si="42">CONCATENATE(VLOOKUP(A46,$E$65:$F$67,2,FALSE),B46)</f>
        <v xml:space="preserve">      - Data Honesty &amp; Context (Limits/Thresholds)</v>
      </c>
      <c r="T46" s="38">
        <f t="shared" ref="T46:T50" si="43">IF(AE46,F46,"")</f>
        <v>1</v>
      </c>
      <c r="U46" s="38">
        <f t="shared" ref="U46:U50" si="44">IF(AE46,D46,"")</f>
        <v>2</v>
      </c>
      <c r="V46" s="38">
        <f t="shared" ref="V46:V50" si="45">IF(AND(AE46,ISNUMBER(D46)),E46,"")</f>
        <v>3</v>
      </c>
      <c r="W46" s="38">
        <f t="shared" ref="W46:W50" si="46">IF(OR(NOT(AE46),D46="NG",F46=0,C46="Airmanship"),"",G46)</f>
        <v>1</v>
      </c>
      <c r="X46" s="38" t="str">
        <f t="shared" ref="X46:X50" si="47">IF(OR(NOT(AE46),D46="NG",F46=0,C46&lt;&gt;"Airmanship"),"",G46)</f>
        <v/>
      </c>
      <c r="Y46" s="38" t="str">
        <f t="shared" ref="Y46:Y50" si="48">IF(A46&lt;A47,2,"")</f>
        <v/>
      </c>
      <c r="Z46" s="38">
        <f t="shared" ref="Z46:Z50" si="49">A46</f>
        <v>2</v>
      </c>
      <c r="AA46" s="38">
        <f t="shared" ref="AA46:AA50" si="50">IF(OR(C46="Airmanship",B46="",AND(Y46=2,C47="Airmanship")),0,1)</f>
        <v>1</v>
      </c>
      <c r="AB46" s="38" t="str">
        <f t="shared" ref="AB46:AB50" si="51">IF(OR(NOT(AE46),D46="NG",C46="Airmanship",F46&lt;&gt;0),"",G46)</f>
        <v/>
      </c>
      <c r="AC46" s="38">
        <f t="shared" ref="AC46:AC50" si="52">IF(OR(NOT(AE46),D46="NG"),"",IF(F46=0,0,H46))</f>
        <v>1</v>
      </c>
      <c r="AD46" s="38" t="b">
        <f t="shared" ref="AD46:AD50" si="53">IF(AE46,IF(ISBLANK(C46),FALSE,IF(AND(J46:N46),TRUE,FALSE)),"")</f>
        <v>1</v>
      </c>
      <c r="AE46" s="44" t="b">
        <f t="shared" ref="AE46:AE50" si="54">IF(OR(B46="",NOT(Y46="")),FALSE,TRUE)</f>
        <v>1</v>
      </c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5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s="1" customFormat="1" ht="12.75" customHeight="1" x14ac:dyDescent="0.25">
      <c r="A47" s="15">
        <v>2</v>
      </c>
      <c r="B47" s="15" t="s">
        <v>217</v>
      </c>
      <c r="C47" s="45" t="s">
        <v>56</v>
      </c>
      <c r="D47" s="45">
        <v>2</v>
      </c>
      <c r="E47" s="45">
        <v>3</v>
      </c>
      <c r="F47" s="45">
        <v>1</v>
      </c>
      <c r="G47" s="46">
        <v>1</v>
      </c>
      <c r="H47" s="47">
        <f t="shared" si="24"/>
        <v>1</v>
      </c>
      <c r="I47" s="41" t="str">
        <f t="shared" si="25"/>
        <v>OK</v>
      </c>
      <c r="J47" s="38" t="str">
        <f t="shared" si="26"/>
        <v/>
      </c>
      <c r="K47" s="38" t="b">
        <f t="shared" si="27"/>
        <v>1</v>
      </c>
      <c r="L47" s="38" t="str">
        <f t="shared" si="28"/>
        <v/>
      </c>
      <c r="M47" s="38" t="str">
        <f t="shared" si="29"/>
        <v/>
      </c>
      <c r="N47" s="42" t="str">
        <f t="shared" si="30"/>
        <v/>
      </c>
      <c r="O47"/>
      <c r="P47" s="43" t="str">
        <f>IF(AND(ISTEXT(B47),AA47=0),MAX($P$17:P46)+1,"")</f>
        <v/>
      </c>
      <c r="Q47" s="38">
        <f>IF(AND(ISTEXT(B47),AA47=1),MAX(P$18:$Q46)+1,"")</f>
        <v>29</v>
      </c>
      <c r="R47" s="38">
        <f t="shared" si="41"/>
        <v>29</v>
      </c>
      <c r="S47" s="38" t="str">
        <f t="shared" si="42"/>
        <v xml:space="preserve">      - Data Honesty &amp; Context (Limits/Thresholds)</v>
      </c>
      <c r="T47" s="38">
        <f t="shared" si="43"/>
        <v>1</v>
      </c>
      <c r="U47" s="38">
        <f t="shared" si="44"/>
        <v>2</v>
      </c>
      <c r="V47" s="38">
        <f t="shared" si="45"/>
        <v>3</v>
      </c>
      <c r="W47" s="38">
        <f t="shared" si="46"/>
        <v>1</v>
      </c>
      <c r="X47" s="38" t="str">
        <f t="shared" si="47"/>
        <v/>
      </c>
      <c r="Y47" s="38" t="str">
        <f t="shared" si="48"/>
        <v/>
      </c>
      <c r="Z47" s="38">
        <f t="shared" si="49"/>
        <v>2</v>
      </c>
      <c r="AA47" s="38">
        <f t="shared" si="50"/>
        <v>1</v>
      </c>
      <c r="AB47" s="38" t="str">
        <f t="shared" si="51"/>
        <v/>
      </c>
      <c r="AC47" s="38">
        <f t="shared" si="52"/>
        <v>1</v>
      </c>
      <c r="AD47" s="38" t="b">
        <f t="shared" si="53"/>
        <v>1</v>
      </c>
      <c r="AE47" s="44" t="b">
        <f t="shared" si="54"/>
        <v>1</v>
      </c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5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s="1" customFormat="1" ht="12.75" customHeight="1" x14ac:dyDescent="0.25">
      <c r="A48" s="15">
        <v>2</v>
      </c>
      <c r="B48" s="15" t="s">
        <v>217</v>
      </c>
      <c r="C48" s="45" t="s">
        <v>56</v>
      </c>
      <c r="D48" s="45">
        <v>2</v>
      </c>
      <c r="E48" s="45">
        <v>3</v>
      </c>
      <c r="F48" s="45">
        <v>1</v>
      </c>
      <c r="G48" s="46">
        <v>1</v>
      </c>
      <c r="H48" s="47">
        <f t="shared" si="24"/>
        <v>1</v>
      </c>
      <c r="I48" s="41" t="str">
        <f t="shared" si="25"/>
        <v>OK</v>
      </c>
      <c r="J48" s="38" t="str">
        <f t="shared" si="26"/>
        <v/>
      </c>
      <c r="K48" s="38" t="b">
        <f t="shared" si="27"/>
        <v>1</v>
      </c>
      <c r="L48" s="38" t="str">
        <f t="shared" si="28"/>
        <v/>
      </c>
      <c r="M48" s="38" t="str">
        <f t="shared" si="29"/>
        <v/>
      </c>
      <c r="N48" s="42" t="str">
        <f t="shared" si="30"/>
        <v/>
      </c>
      <c r="O48"/>
      <c r="P48" s="43" t="str">
        <f>IF(AND(ISTEXT(B48),AA48=0),MAX($P$17:P47)+1,"")</f>
        <v/>
      </c>
      <c r="Q48" s="38">
        <f>IF(AND(ISTEXT(B48),AA48=1),MAX(P$18:$Q47)+1,"")</f>
        <v>30</v>
      </c>
      <c r="R48" s="38">
        <f t="shared" si="41"/>
        <v>30</v>
      </c>
      <c r="S48" s="38" t="str">
        <f t="shared" si="42"/>
        <v xml:space="preserve">      - Data Honesty &amp; Context (Limits/Thresholds)</v>
      </c>
      <c r="T48" s="38">
        <f t="shared" si="43"/>
        <v>1</v>
      </c>
      <c r="U48" s="38">
        <f t="shared" si="44"/>
        <v>2</v>
      </c>
      <c r="V48" s="38">
        <f t="shared" si="45"/>
        <v>3</v>
      </c>
      <c r="W48" s="38">
        <f t="shared" si="46"/>
        <v>1</v>
      </c>
      <c r="X48" s="38" t="str">
        <f t="shared" si="47"/>
        <v/>
      </c>
      <c r="Y48" s="38" t="str">
        <f t="shared" si="48"/>
        <v/>
      </c>
      <c r="Z48" s="38">
        <f t="shared" si="49"/>
        <v>2</v>
      </c>
      <c r="AA48" s="38">
        <f t="shared" si="50"/>
        <v>1</v>
      </c>
      <c r="AB48" s="38" t="str">
        <f t="shared" si="51"/>
        <v/>
      </c>
      <c r="AC48" s="38">
        <f t="shared" si="52"/>
        <v>1</v>
      </c>
      <c r="AD48" s="38" t="b">
        <f t="shared" si="53"/>
        <v>1</v>
      </c>
      <c r="AE48" s="44" t="b">
        <f t="shared" si="54"/>
        <v>1</v>
      </c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5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s="1" customFormat="1" ht="12.75" customHeight="1" x14ac:dyDescent="0.25">
      <c r="A49" s="15">
        <v>2</v>
      </c>
      <c r="B49" s="15" t="s">
        <v>217</v>
      </c>
      <c r="C49" s="45" t="s">
        <v>56</v>
      </c>
      <c r="D49" s="45">
        <v>2</v>
      </c>
      <c r="E49" s="45">
        <v>3</v>
      </c>
      <c r="F49" s="45">
        <v>1</v>
      </c>
      <c r="G49" s="46">
        <v>1</v>
      </c>
      <c r="H49" s="47">
        <f t="shared" si="24"/>
        <v>1</v>
      </c>
      <c r="I49" s="41" t="str">
        <f t="shared" si="25"/>
        <v>OK</v>
      </c>
      <c r="J49" s="38" t="str">
        <f t="shared" si="26"/>
        <v/>
      </c>
      <c r="K49" s="38" t="b">
        <f t="shared" si="27"/>
        <v>1</v>
      </c>
      <c r="L49" s="38" t="str">
        <f t="shared" si="28"/>
        <v/>
      </c>
      <c r="M49" s="38" t="str">
        <f t="shared" si="29"/>
        <v/>
      </c>
      <c r="N49" s="42" t="str">
        <f t="shared" si="30"/>
        <v/>
      </c>
      <c r="O49"/>
      <c r="P49" s="43" t="str">
        <f>IF(AND(ISTEXT(B49),AA49=0),MAX($P$17:P48)+1,"")</f>
        <v/>
      </c>
      <c r="Q49" s="38">
        <f>IF(AND(ISTEXT(B49),AA49=1),MAX(P$18:$Q48)+1,"")</f>
        <v>31</v>
      </c>
      <c r="R49" s="38">
        <f t="shared" si="41"/>
        <v>31</v>
      </c>
      <c r="S49" s="38" t="str">
        <f t="shared" si="42"/>
        <v xml:space="preserve">      - Data Honesty &amp; Context (Limits/Thresholds)</v>
      </c>
      <c r="T49" s="38">
        <f t="shared" si="43"/>
        <v>1</v>
      </c>
      <c r="U49" s="38">
        <f t="shared" si="44"/>
        <v>2</v>
      </c>
      <c r="V49" s="38">
        <f t="shared" si="45"/>
        <v>3</v>
      </c>
      <c r="W49" s="38">
        <f t="shared" si="46"/>
        <v>1</v>
      </c>
      <c r="X49" s="38" t="str">
        <f t="shared" si="47"/>
        <v/>
      </c>
      <c r="Y49" s="38" t="str">
        <f t="shared" si="48"/>
        <v/>
      </c>
      <c r="Z49" s="38">
        <f t="shared" si="49"/>
        <v>2</v>
      </c>
      <c r="AA49" s="38">
        <f t="shared" si="50"/>
        <v>1</v>
      </c>
      <c r="AB49" s="38" t="str">
        <f t="shared" si="51"/>
        <v/>
      </c>
      <c r="AC49" s="38">
        <f t="shared" si="52"/>
        <v>1</v>
      </c>
      <c r="AD49" s="38" t="b">
        <f t="shared" si="53"/>
        <v>1</v>
      </c>
      <c r="AE49" s="44" t="b">
        <f t="shared" si="54"/>
        <v>1</v>
      </c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5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s="1" customFormat="1" x14ac:dyDescent="0.25">
      <c r="A50" s="15">
        <v>2</v>
      </c>
      <c r="B50" s="15" t="s">
        <v>217</v>
      </c>
      <c r="C50" s="45" t="s">
        <v>56</v>
      </c>
      <c r="D50" s="45">
        <v>2</v>
      </c>
      <c r="E50" s="45">
        <v>3</v>
      </c>
      <c r="F50" s="45">
        <v>1</v>
      </c>
      <c r="G50" s="46">
        <v>1</v>
      </c>
      <c r="H50" s="47">
        <f t="shared" si="24"/>
        <v>1</v>
      </c>
      <c r="I50" s="41" t="str">
        <f t="shared" si="25"/>
        <v>OK</v>
      </c>
      <c r="J50" s="38" t="str">
        <f t="shared" si="26"/>
        <v/>
      </c>
      <c r="K50" s="38" t="b">
        <f t="shared" si="27"/>
        <v>1</v>
      </c>
      <c r="L50" s="38" t="str">
        <f t="shared" si="28"/>
        <v/>
      </c>
      <c r="M50" s="38" t="str">
        <f t="shared" si="29"/>
        <v/>
      </c>
      <c r="N50" s="42" t="str">
        <f t="shared" si="30"/>
        <v/>
      </c>
      <c r="O50"/>
      <c r="P50" s="43" t="str">
        <f>IF(AND(ISTEXT(B50),AA50=0),MAX($P$17:P49)+1,"")</f>
        <v/>
      </c>
      <c r="Q50" s="38">
        <f>IF(AND(ISTEXT(B50),AA50=1),MAX(P$18:$Q49)+1,"")</f>
        <v>32</v>
      </c>
      <c r="R50" s="38">
        <f t="shared" si="41"/>
        <v>32</v>
      </c>
      <c r="S50" s="38" t="str">
        <f t="shared" si="42"/>
        <v xml:space="preserve">      - Data Honesty &amp; Context (Limits/Thresholds)</v>
      </c>
      <c r="T50" s="38">
        <f t="shared" si="43"/>
        <v>1</v>
      </c>
      <c r="U50" s="38">
        <f t="shared" si="44"/>
        <v>2</v>
      </c>
      <c r="V50" s="38">
        <f t="shared" si="45"/>
        <v>3</v>
      </c>
      <c r="W50" s="38">
        <f t="shared" si="46"/>
        <v>1</v>
      </c>
      <c r="X50" s="38" t="str">
        <f t="shared" si="47"/>
        <v/>
      </c>
      <c r="Y50" s="38" t="str">
        <f t="shared" si="48"/>
        <v/>
      </c>
      <c r="Z50" s="38">
        <f t="shared" si="49"/>
        <v>2</v>
      </c>
      <c r="AA50" s="38">
        <f t="shared" si="50"/>
        <v>1</v>
      </c>
      <c r="AB50" s="38" t="str">
        <f t="shared" si="51"/>
        <v/>
      </c>
      <c r="AC50" s="38">
        <f t="shared" si="52"/>
        <v>1</v>
      </c>
      <c r="AD50" s="38" t="b">
        <f t="shared" si="53"/>
        <v>1</v>
      </c>
      <c r="AE50" s="44" t="b">
        <f t="shared" si="54"/>
        <v>1</v>
      </c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5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s="1" customFormat="1" hidden="1" x14ac:dyDescent="0.25">
      <c r="O51"/>
      <c r="AE51" s="1" t="str">
        <f>IF(Z51,IF(AND(E51&gt;=D51,D51&gt;0),TRUE,FALSE),"")</f>
        <v/>
      </c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5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s="1" customFormat="1" hidden="1" x14ac:dyDescent="0.25">
      <c r="A52" s="1" t="s">
        <v>66</v>
      </c>
      <c r="D52" s="1" t="s">
        <v>67</v>
      </c>
      <c r="F52" s="1" t="s">
        <v>68</v>
      </c>
      <c r="O52"/>
      <c r="S52" s="1" t="s">
        <v>69</v>
      </c>
      <c r="T52" s="1" t="b">
        <f>AND(J19:N50)</f>
        <v>1</v>
      </c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5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s="1" customFormat="1" hidden="1" x14ac:dyDescent="0.25">
      <c r="A53" s="1" t="str">
        <f>IF(Flight_CRoom_Sim,D53,"")</f>
        <v/>
      </c>
      <c r="D53" s="1" t="s">
        <v>49</v>
      </c>
      <c r="F53" s="1">
        <v>1</v>
      </c>
      <c r="O53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5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</row>
    <row r="54" spans="1:104" s="1" customFormat="1" hidden="1" x14ac:dyDescent="0.25">
      <c r="A54" s="1" t="str">
        <f>IF(Flight_CRoom_Sim,D54,D54)</f>
        <v>Stud Qual</v>
      </c>
      <c r="D54" s="1" t="s">
        <v>56</v>
      </c>
      <c r="F54" s="1">
        <v>1</v>
      </c>
      <c r="O5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5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s="1" customFormat="1" hidden="1" x14ac:dyDescent="0.25">
      <c r="A55" s="1" t="str">
        <f>IF(Flight_CRoom_Sim,D55,D55)</f>
        <v>Stud Attempt</v>
      </c>
      <c r="D55" s="1" t="s">
        <v>62</v>
      </c>
      <c r="F55" s="1">
        <v>0</v>
      </c>
      <c r="O55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5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s="1" customFormat="1" hidden="1" x14ac:dyDescent="0.25">
      <c r="A56" s="1" t="str">
        <f>IF(Flight_CRoom_Sim,D56,D56)</f>
        <v>Stud Bonus</v>
      </c>
      <c r="D56" s="1" t="s">
        <v>65</v>
      </c>
      <c r="F56" s="1">
        <v>0</v>
      </c>
      <c r="O56"/>
      <c r="T56" s="31"/>
      <c r="U56" s="31"/>
      <c r="V56" s="31"/>
      <c r="Z56" s="31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5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s="1" customFormat="1" hidden="1" x14ac:dyDescent="0.25">
      <c r="A57" s="1" t="str">
        <f>IF(Flight_CRoom_Sim,D57,"")</f>
        <v/>
      </c>
      <c r="D57" s="1" t="s">
        <v>63</v>
      </c>
      <c r="F57" s="1">
        <v>0</v>
      </c>
      <c r="O57"/>
      <c r="T57" s="31"/>
      <c r="U57" s="31"/>
      <c r="V57" s="31"/>
      <c r="Z57" s="31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5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s="1" customFormat="1" hidden="1" x14ac:dyDescent="0.25">
      <c r="A58" s="1" t="str">
        <f>IF(Flight_CRoom_Sim,D58,"")</f>
        <v/>
      </c>
      <c r="D58" s="1" t="s">
        <v>64</v>
      </c>
      <c r="F58" s="1">
        <v>0</v>
      </c>
      <c r="O58"/>
      <c r="T58" s="31"/>
      <c r="U58" s="31"/>
      <c r="V58" s="31"/>
      <c r="Z58" s="31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5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s="1" customFormat="1" hidden="1" x14ac:dyDescent="0.25">
      <c r="O59"/>
      <c r="U59" s="31"/>
      <c r="V59" s="31"/>
      <c r="W59" s="31"/>
      <c r="X59" s="31"/>
      <c r="AA59" s="31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5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s="1" customFormat="1" hidden="1" x14ac:dyDescent="0.25">
      <c r="A60" s="1" t="s">
        <v>70</v>
      </c>
      <c r="B60" s="1" t="b">
        <f>IF(OR(B4="Flight",B4="Control Room",B4="Sim/Lab"),TRUE,FALSE)</f>
        <v>0</v>
      </c>
      <c r="O60"/>
      <c r="U60" s="31"/>
      <c r="V60" s="31"/>
      <c r="W60" s="31"/>
      <c r="X60" s="31"/>
      <c r="AA60" s="31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5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s="1" customFormat="1" hidden="1" x14ac:dyDescent="0.25">
      <c r="O61"/>
      <c r="U61" s="31"/>
      <c r="V61" s="31"/>
      <c r="W61" s="31"/>
      <c r="X61" s="31"/>
      <c r="AA61" s="31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5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s="1" customFormat="1" hidden="1" x14ac:dyDescent="0.25">
      <c r="B62" s="1" t="str">
        <f>CONCATENATE("(",IF(ISTEXT(B6),B6,""),(IF(ISTEXT(B7),CONCATENATE(", ",B7),"")),(IF(ISTEXT(B8),CONCATENATE(", ",B8),"")),(IF(ISTEXT(B9),CONCATENATE(", ",B9),"")),(IF(ISTEXT(B10),CONCATENATE(", ",B10),"")),")")</f>
        <v>(, FTE, ABM, RPA, CSO)</v>
      </c>
      <c r="O62"/>
      <c r="U62" s="31"/>
      <c r="V62" s="31"/>
      <c r="W62" s="31"/>
      <c r="X62" s="31"/>
      <c r="AA62" s="31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5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s="1" customFormat="1" hidden="1" x14ac:dyDescent="0.25">
      <c r="O63"/>
      <c r="U63" s="31"/>
      <c r="V63" s="31"/>
      <c r="W63" s="31"/>
      <c r="X63" s="31"/>
      <c r="AA63" s="31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5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s="1" customFormat="1" hidden="1" x14ac:dyDescent="0.25">
      <c r="A64" s="7" t="s">
        <v>71</v>
      </c>
      <c r="E64" s="7"/>
      <c r="F64" s="7"/>
      <c r="H64" s="7" t="s">
        <v>226</v>
      </c>
      <c r="L64" s="31"/>
      <c r="M64" s="31"/>
      <c r="N64" s="31"/>
      <c r="O64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5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5" s="1" customFormat="1" hidden="1" x14ac:dyDescent="0.25">
      <c r="A65" s="1" t="s">
        <v>5</v>
      </c>
      <c r="B65" s="1" t="s">
        <v>72</v>
      </c>
      <c r="E65" s="1">
        <v>0</v>
      </c>
      <c r="F65" s="58" t="s">
        <v>73</v>
      </c>
      <c r="H65" s="1" t="s">
        <v>203</v>
      </c>
      <c r="I65" s="31"/>
      <c r="J65" s="31"/>
      <c r="K65" s="31"/>
      <c r="L65" s="31"/>
      <c r="M65" s="31"/>
      <c r="N65" s="31"/>
      <c r="O65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5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5" s="1" customFormat="1" hidden="1" x14ac:dyDescent="0.25">
      <c r="A66" s="1" t="s">
        <v>74</v>
      </c>
      <c r="B66" s="1" t="s">
        <v>75</v>
      </c>
      <c r="E66" s="1">
        <v>1</v>
      </c>
      <c r="F66" s="58"/>
      <c r="H66" s="1" t="s">
        <v>81</v>
      </c>
      <c r="I66" s="31"/>
      <c r="J66" s="31"/>
      <c r="K66" s="31"/>
      <c r="L66" s="31"/>
      <c r="M66" s="31"/>
      <c r="N66" s="31"/>
      <c r="O66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5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5" s="1" customFormat="1" hidden="1" x14ac:dyDescent="0.25">
      <c r="A67" s="1" t="s">
        <v>76</v>
      </c>
      <c r="B67" s="1" t="s">
        <v>77</v>
      </c>
      <c r="E67" s="1">
        <v>2</v>
      </c>
      <c r="F67" s="58" t="s">
        <v>78</v>
      </c>
      <c r="H67" s="1" t="s">
        <v>84</v>
      </c>
      <c r="I67" s="31"/>
      <c r="J67" s="31"/>
      <c r="K67" s="31"/>
      <c r="L67" s="31"/>
      <c r="M67" s="31"/>
      <c r="N67" s="31"/>
      <c r="O67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5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5" s="1" customFormat="1" hidden="1" x14ac:dyDescent="0.25">
      <c r="A68" s="1" t="s">
        <v>79</v>
      </c>
      <c r="B68" s="1" t="s">
        <v>80</v>
      </c>
      <c r="H68" s="1" t="s">
        <v>204</v>
      </c>
      <c r="I68" s="31"/>
      <c r="J68" s="31"/>
      <c r="K68" s="31"/>
      <c r="L68" s="31"/>
      <c r="M68" s="31"/>
      <c r="N68" s="31"/>
      <c r="O68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5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5" s="1" customFormat="1" hidden="1" x14ac:dyDescent="0.25">
      <c r="A69" s="1" t="s">
        <v>82</v>
      </c>
      <c r="B69" s="1" t="s">
        <v>83</v>
      </c>
      <c r="H69" s="1" t="s">
        <v>205</v>
      </c>
      <c r="L69" s="31"/>
      <c r="M69" s="31"/>
      <c r="N69" s="31"/>
      <c r="O69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5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5" s="1" customFormat="1" hidden="1" x14ac:dyDescent="0.25">
      <c r="H70" s="1" t="s">
        <v>227</v>
      </c>
      <c r="L70" s="31"/>
      <c r="M70" s="31"/>
      <c r="N70" s="31"/>
      <c r="O70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5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5" s="1" customFormat="1" hidden="1" x14ac:dyDescent="0.25">
      <c r="A71" s="7" t="s">
        <v>85</v>
      </c>
      <c r="E71" s="7" t="s">
        <v>86</v>
      </c>
      <c r="M71" s="7" t="s">
        <v>87</v>
      </c>
      <c r="O71"/>
      <c r="S71" s="31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5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5" s="1" customFormat="1" hidden="1" x14ac:dyDescent="0.25">
      <c r="A72" s="16" t="s">
        <v>88</v>
      </c>
      <c r="B72" s="1" t="s">
        <v>89</v>
      </c>
      <c r="E72" s="16" t="s">
        <v>88</v>
      </c>
      <c r="F72" s="1" t="s">
        <v>89</v>
      </c>
      <c r="M72" s="16" t="s">
        <v>88</v>
      </c>
      <c r="N72" s="1" t="s">
        <v>90</v>
      </c>
      <c r="O72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5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5" s="1" customFormat="1" hidden="1" x14ac:dyDescent="0.25">
      <c r="A73" s="1">
        <v>0</v>
      </c>
      <c r="B73" s="1" t="s">
        <v>91</v>
      </c>
      <c r="E73" s="1">
        <v>0</v>
      </c>
      <c r="F73" s="1" t="s">
        <v>92</v>
      </c>
      <c r="M73" s="1">
        <v>0</v>
      </c>
      <c r="N73" s="1" t="s">
        <v>92</v>
      </c>
      <c r="O73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5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5" s="1" customFormat="1" hidden="1" x14ac:dyDescent="0.25">
      <c r="A74" s="1">
        <v>1</v>
      </c>
      <c r="B74" s="1" t="s">
        <v>93</v>
      </c>
      <c r="E74" s="16">
        <v>1</v>
      </c>
      <c r="F74" s="1" t="s">
        <v>94</v>
      </c>
      <c r="M74" s="16">
        <v>1</v>
      </c>
      <c r="N74" s="1" t="s">
        <v>94</v>
      </c>
      <c r="O7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5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5" s="1" customFormat="1" hidden="1" x14ac:dyDescent="0.25">
      <c r="A75" s="1">
        <v>2</v>
      </c>
      <c r="B75" s="1" t="s">
        <v>95</v>
      </c>
      <c r="E75" s="16">
        <v>2</v>
      </c>
      <c r="F75" s="1" t="s">
        <v>95</v>
      </c>
      <c r="M75" s="16">
        <v>2</v>
      </c>
      <c r="N75" s="1" t="s">
        <v>95</v>
      </c>
      <c r="O75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5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5" s="1" customFormat="1" hidden="1" x14ac:dyDescent="0.25">
      <c r="A76" s="1">
        <v>3</v>
      </c>
      <c r="B76" s="1" t="s">
        <v>96</v>
      </c>
      <c r="E76" s="16">
        <v>3</v>
      </c>
      <c r="F76" s="1" t="s">
        <v>96</v>
      </c>
      <c r="M76" s="16">
        <v>3</v>
      </c>
      <c r="N76" s="1" t="s">
        <v>96</v>
      </c>
      <c r="O76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5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5" s="1" customFormat="1" hidden="1" x14ac:dyDescent="0.25">
      <c r="A77" s="1">
        <v>4</v>
      </c>
      <c r="B77" s="1" t="s">
        <v>11</v>
      </c>
      <c r="E77" s="16">
        <v>4</v>
      </c>
      <c r="F77" s="1" t="s">
        <v>11</v>
      </c>
      <c r="M77" s="16">
        <v>4</v>
      </c>
      <c r="N77" s="1" t="s">
        <v>11</v>
      </c>
      <c r="O77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5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5" ht="15.75" thickBot="1" x14ac:dyDescent="0.3">
      <c r="CQ78" s="60"/>
      <c r="CR78" s="60"/>
      <c r="CS78" s="62"/>
    </row>
    <row r="79" spans="1:105" ht="13.5" customHeight="1" thickTop="1" x14ac:dyDescent="0.25">
      <c r="AN79" s="241" t="s">
        <v>97</v>
      </c>
      <c r="AO79" s="242"/>
      <c r="AP79" s="242"/>
      <c r="AQ79" s="242"/>
      <c r="AR79" s="242"/>
      <c r="AS79" s="243"/>
      <c r="AT79" s="244" t="str">
        <f>title</f>
        <v>FQ 9503R Sim Flying Qualities Practical Exam Written Report</v>
      </c>
      <c r="AU79" s="245"/>
      <c r="AV79" s="245"/>
      <c r="AW79" s="245"/>
      <c r="AX79" s="245"/>
      <c r="AY79" s="245"/>
      <c r="AZ79" s="246"/>
      <c r="BA79" s="247" t="s">
        <v>98</v>
      </c>
      <c r="BB79" s="248"/>
      <c r="BC79" s="247" t="s">
        <v>99</v>
      </c>
      <c r="BD79" s="249"/>
      <c r="BE79" s="64"/>
      <c r="BF79" s="65"/>
      <c r="BG79" s="65"/>
      <c r="BH79" s="65"/>
      <c r="BI79" s="65"/>
      <c r="BJ79" s="65"/>
      <c r="BK79" s="65"/>
      <c r="BL79" s="65"/>
      <c r="BM79" s="65"/>
      <c r="BN79" s="65"/>
      <c r="BO79" s="65"/>
      <c r="BP79" s="65"/>
      <c r="BQ79" s="65"/>
      <c r="BR79" s="65"/>
      <c r="BS79" s="65"/>
      <c r="BT79" s="65"/>
      <c r="BU79" s="66"/>
      <c r="BV79" s="65"/>
      <c r="BW79" s="65"/>
      <c r="BX79" s="65"/>
      <c r="BY79" s="65"/>
      <c r="BZ79" s="65"/>
      <c r="CA79" s="65"/>
      <c r="CB79" s="65"/>
      <c r="CC79" s="4"/>
      <c r="CD79" s="4"/>
      <c r="CI79" s="60" t="s">
        <v>100</v>
      </c>
      <c r="CJ79" s="60" t="s">
        <v>101</v>
      </c>
      <c r="CK79" s="60" t="s">
        <v>102</v>
      </c>
      <c r="CL79" s="60" t="s">
        <v>103</v>
      </c>
      <c r="CM79" s="60" t="s">
        <v>104</v>
      </c>
      <c r="CN79" s="60" t="s">
        <v>105</v>
      </c>
      <c r="CQ79" s="60"/>
      <c r="CR79" s="60"/>
      <c r="CS79" s="62"/>
    </row>
    <row r="80" spans="1:105" s="67" customFormat="1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N80" s="266" t="str">
        <f>CONCATENATE(VLOOKUP(B4,A65:B69,2,FALSE),IF(input_test," (EXAM)",""))</f>
        <v>WRITTEN REPORT GRADE SHEET</v>
      </c>
      <c r="AO80" s="267"/>
      <c r="AP80" s="267"/>
      <c r="AQ80" s="267"/>
      <c r="AR80" s="267"/>
      <c r="AS80" s="268"/>
      <c r="AT80" s="269" t="str">
        <f>studs</f>
        <v>(, FTE, ABM, RPA, CSO)</v>
      </c>
      <c r="AU80" s="270"/>
      <c r="AV80" s="270"/>
      <c r="AW80" s="270"/>
      <c r="AX80" s="270"/>
      <c r="AY80" s="270"/>
      <c r="AZ80" s="271"/>
      <c r="BA80" s="272"/>
      <c r="BB80" s="273"/>
      <c r="BC80" s="274"/>
      <c r="BD80" s="275"/>
      <c r="BE80" s="68"/>
      <c r="BF80" s="69"/>
      <c r="BG80" s="69"/>
      <c r="BH80" s="69"/>
      <c r="BI80" s="69"/>
      <c r="BJ80" s="69"/>
      <c r="BK80" s="69"/>
      <c r="BL80" s="69"/>
      <c r="BM80" s="69"/>
      <c r="BN80" s="69"/>
      <c r="BO80" s="69"/>
      <c r="BP80" s="69"/>
      <c r="BQ80" s="69"/>
      <c r="BR80" s="69"/>
      <c r="BS80" s="69"/>
      <c r="BT80" s="69"/>
      <c r="BU80" s="70"/>
      <c r="BV80" s="69"/>
      <c r="BW80" s="69"/>
      <c r="BX80" s="69"/>
      <c r="BY80" s="69"/>
      <c r="BZ80" s="69"/>
      <c r="CA80" s="69"/>
      <c r="CB80" s="69"/>
      <c r="CC80" s="71"/>
      <c r="CD80" s="71"/>
      <c r="CE80" s="72"/>
      <c r="CF80" s="73" t="s">
        <v>106</v>
      </c>
      <c r="CG80" s="74" t="b">
        <f>OR(B4=A65,B4=A66,B4=A67)</f>
        <v>0</v>
      </c>
      <c r="CH80" s="72">
        <f>B11</f>
        <v>0</v>
      </c>
      <c r="CI80" s="72" t="b">
        <f>IF(ISERR(OR(CI84:CI115)),"UNK",IF(AND(graded_aca_events&gt;=1,input_test),FALSE,OR(CI84:CI115)))</f>
        <v>0</v>
      </c>
      <c r="CJ80" s="72" t="b">
        <f>IF(ISERR(OR(CJ84:CJ115)),"UNK",IF(AND(graded_aca_events&gt;=1,input_test),FALSE,OR(CJ84:CJ115)))</f>
        <v>1</v>
      </c>
      <c r="CK80" s="72" t="b">
        <f>IF(ISERR(OR(CK84:CK115)),"UNK",OR(CK84:CK115))</f>
        <v>0</v>
      </c>
      <c r="CL80" s="72" t="b">
        <f>IF(ISERR(OR(CL84:CL115)),"UNK",OR(CL84:CL115))</f>
        <v>0</v>
      </c>
      <c r="CM80" s="72" t="b">
        <f>IF(ISERR(OR(CM84:CM115)),"UNK",OR(CM84:CM115))</f>
        <v>0</v>
      </c>
      <c r="CN80" s="72" t="b">
        <f>IF(ISERR(OR(CN84:CN115)),"UNK",OR(CN84:CN115))</f>
        <v>0</v>
      </c>
      <c r="CO80" s="75" t="b">
        <f>OR(CO84:CO115)</f>
        <v>0</v>
      </c>
      <c r="CP80" s="75" t="b">
        <f>OR(CP84:CP115)</f>
        <v>0</v>
      </c>
      <c r="CQ80" s="75" t="b">
        <f>OR(CQ84:CQ115)</f>
        <v>0</v>
      </c>
      <c r="CR80" s="75"/>
      <c r="CS80" s="72"/>
      <c r="CT80" s="231" t="s">
        <v>107</v>
      </c>
      <c r="CU80" s="231"/>
      <c r="CV80" s="231"/>
      <c r="CW80" s="231"/>
      <c r="CX80" s="232" t="s">
        <v>108</v>
      </c>
      <c r="CY80" s="232"/>
      <c r="CZ80" s="232"/>
      <c r="DA80" s="63"/>
    </row>
    <row r="81" spans="1:111" s="64" customFormat="1" ht="7.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N81" s="233" t="s">
        <v>109</v>
      </c>
      <c r="AO81" s="234"/>
      <c r="AP81" s="234"/>
      <c r="AQ81" s="235"/>
      <c r="AR81" s="236" t="s">
        <v>110</v>
      </c>
      <c r="AS81" s="235"/>
      <c r="AT81" s="236" t="s">
        <v>111</v>
      </c>
      <c r="AU81" s="234"/>
      <c r="AV81" s="234"/>
      <c r="AW81" s="234"/>
      <c r="AX81" s="235"/>
      <c r="AY81" s="237" t="s">
        <v>112</v>
      </c>
      <c r="AZ81" s="238"/>
      <c r="BA81" s="250" t="s">
        <v>113</v>
      </c>
      <c r="BB81" s="251"/>
      <c r="BC81" s="236" t="str">
        <f>IF(CG117=0,"GRADE","GRADE (inc. bonus)")</f>
        <v>GRADE</v>
      </c>
      <c r="BD81" s="252"/>
      <c r="BF81" s="65"/>
      <c r="BG81" s="65"/>
      <c r="BH81" s="65"/>
      <c r="BI81" s="65"/>
      <c r="BJ81" s="65"/>
      <c r="BK81" s="65"/>
      <c r="BL81" s="65"/>
      <c r="BM81" s="65"/>
      <c r="BN81" s="65"/>
      <c r="BO81" s="65"/>
      <c r="BP81" s="65"/>
      <c r="BQ81" s="65"/>
      <c r="BR81" s="65"/>
      <c r="BS81" s="65"/>
      <c r="BT81" s="65"/>
      <c r="BU81" s="66"/>
      <c r="BV81" s="65"/>
      <c r="BW81" s="65"/>
      <c r="BX81" s="65"/>
      <c r="BY81" s="65"/>
      <c r="BZ81" s="65"/>
      <c r="CA81" s="65"/>
      <c r="CB81" s="65"/>
      <c r="CC81" s="65"/>
      <c r="CD81" s="65"/>
      <c r="CE81" s="65"/>
      <c r="CF81" s="65"/>
      <c r="CG81" s="65"/>
      <c r="CH81" s="65"/>
      <c r="CI81" s="65"/>
      <c r="CJ81" s="65"/>
      <c r="CK81" s="65"/>
      <c r="CL81" s="65"/>
      <c r="CM81" s="65"/>
      <c r="CN81" s="65"/>
      <c r="CO81" s="65"/>
      <c r="CP81" s="65"/>
      <c r="CQ81" s="65"/>
      <c r="CR81" s="65"/>
      <c r="CS81" s="65"/>
      <c r="CT81" s="231"/>
      <c r="CU81" s="231"/>
      <c r="CV81" s="231"/>
      <c r="CW81" s="231"/>
      <c r="CX81" s="232"/>
      <c r="CY81" s="232"/>
      <c r="CZ81" s="232"/>
      <c r="DA81" s="76"/>
    </row>
    <row r="82" spans="1:111" s="67" customFormat="1" ht="15.75" customHeight="1" thickBo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N82" s="253"/>
      <c r="AO82" s="254"/>
      <c r="AP82" s="254"/>
      <c r="AQ82" s="255"/>
      <c r="AR82" s="256" t="s">
        <v>15</v>
      </c>
      <c r="AS82" s="257"/>
      <c r="AT82" s="258"/>
      <c r="AU82" s="259"/>
      <c r="AV82" s="259"/>
      <c r="AW82" s="259"/>
      <c r="AX82" s="257"/>
      <c r="AY82" s="260"/>
      <c r="AZ82" s="261"/>
      <c r="BA82" s="262"/>
      <c r="BB82" s="263"/>
      <c r="BC82" s="264" t="str">
        <f>IF((graded_aca_events+graded_amn_events)&lt;1,"---",IF(ISERROR(CD122),"",IF(AR117&lt;&gt;"COMPLETE","INCOMPLETE",CD122)))</f>
        <v>---</v>
      </c>
      <c r="BD82" s="265"/>
      <c r="BE82" s="59"/>
      <c r="BF82" s="72"/>
      <c r="BG82" s="72">
        <v>2</v>
      </c>
      <c r="BH82" s="72">
        <v>3</v>
      </c>
      <c r="BI82" s="72">
        <v>6</v>
      </c>
      <c r="BJ82" s="72">
        <v>7</v>
      </c>
      <c r="BK82" s="72">
        <v>11</v>
      </c>
      <c r="BL82" s="72">
        <v>8</v>
      </c>
      <c r="BM82" s="77">
        <v>9</v>
      </c>
      <c r="BN82" s="77">
        <v>10</v>
      </c>
      <c r="BO82" s="77">
        <v>5</v>
      </c>
      <c r="BP82" s="77">
        <v>4</v>
      </c>
      <c r="BQ82" s="77">
        <v>12</v>
      </c>
      <c r="BR82" s="77">
        <v>13</v>
      </c>
      <c r="BS82" s="77"/>
      <c r="BT82" s="77"/>
      <c r="BU82" s="78"/>
      <c r="BV82" s="79"/>
      <c r="BW82" s="79"/>
      <c r="BX82" s="79"/>
      <c r="BY82" s="79" t="b">
        <f>IF(COUNT(BY84:BY115)&gt;0,TRUE,FALSE)</f>
        <v>0</v>
      </c>
      <c r="BZ82" s="79" t="b">
        <f>IF(COUNT(BZ84:BZ115)&gt;0,TRUE,FALSE)</f>
        <v>0</v>
      </c>
      <c r="CA82" s="72"/>
      <c r="CB82" s="72"/>
      <c r="CC82" s="71"/>
      <c r="CD82" s="71"/>
      <c r="CE82" s="72"/>
      <c r="CF82" s="80">
        <f>0.01*amnshp_pct</f>
        <v>0.2</v>
      </c>
      <c r="CG82" s="72"/>
      <c r="CH82" s="81">
        <f>0.01*input_maxb</f>
        <v>0</v>
      </c>
      <c r="CI82" s="82" t="s">
        <v>114</v>
      </c>
      <c r="CJ82" s="83"/>
      <c r="CK82" s="82" t="s">
        <v>115</v>
      </c>
      <c r="CL82" s="83"/>
      <c r="CM82" s="84" t="s">
        <v>116</v>
      </c>
      <c r="CN82" s="84"/>
      <c r="CO82" s="82" t="s">
        <v>117</v>
      </c>
      <c r="CP82" s="84"/>
      <c r="CQ82" s="85"/>
      <c r="CR82" s="86"/>
      <c r="CS82" s="72" t="s">
        <v>118</v>
      </c>
      <c r="CT82" s="231"/>
      <c r="CU82" s="231"/>
      <c r="CV82" s="231"/>
      <c r="CW82" s="231"/>
      <c r="CX82" s="232"/>
      <c r="CY82" s="232"/>
      <c r="CZ82" s="232"/>
      <c r="DA82" s="63"/>
    </row>
    <row r="83" spans="1:111" ht="27" customHeight="1" thickBot="1" x14ac:dyDescent="0.3">
      <c r="B83" s="1" t="s">
        <v>119</v>
      </c>
      <c r="AN83" s="215" t="s">
        <v>120</v>
      </c>
      <c r="AO83" s="216"/>
      <c r="AP83" s="216"/>
      <c r="AQ83" s="216"/>
      <c r="AR83" s="217"/>
      <c r="AS83" s="87" t="s">
        <v>25</v>
      </c>
      <c r="AT83" s="88" t="s">
        <v>121</v>
      </c>
      <c r="AU83" s="89" t="s">
        <v>122</v>
      </c>
      <c r="AV83" s="90" t="s">
        <v>123</v>
      </c>
      <c r="AW83" s="91" t="s">
        <v>124</v>
      </c>
      <c r="AX83" s="218" t="s">
        <v>125</v>
      </c>
      <c r="AY83" s="216"/>
      <c r="AZ83" s="216"/>
      <c r="BA83" s="216"/>
      <c r="BB83" s="216"/>
      <c r="BC83" s="216"/>
      <c r="BD83" s="219"/>
      <c r="BE83"/>
      <c r="BF83" s="92" t="s">
        <v>126</v>
      </c>
      <c r="BG83" s="92"/>
      <c r="BH83" s="92" t="s">
        <v>127</v>
      </c>
      <c r="BI83" s="92" t="s">
        <v>128</v>
      </c>
      <c r="BJ83" s="92" t="s">
        <v>129</v>
      </c>
      <c r="BK83" s="92" t="s">
        <v>130</v>
      </c>
      <c r="BL83" s="92" t="s">
        <v>131</v>
      </c>
      <c r="BM83" s="92" t="s">
        <v>132</v>
      </c>
      <c r="BN83" s="92" t="s">
        <v>133</v>
      </c>
      <c r="BO83" s="92" t="s">
        <v>134</v>
      </c>
      <c r="BP83" s="92" t="s">
        <v>135</v>
      </c>
      <c r="BQ83" s="92" t="s">
        <v>136</v>
      </c>
      <c r="BR83" s="92" t="s">
        <v>28</v>
      </c>
      <c r="BS83" s="92" t="s">
        <v>137</v>
      </c>
      <c r="BT83" s="92" t="s">
        <v>138</v>
      </c>
      <c r="BU83" s="93" t="s">
        <v>139</v>
      </c>
      <c r="BV83" s="94" t="s">
        <v>140</v>
      </c>
      <c r="BW83" s="95" t="s">
        <v>141</v>
      </c>
      <c r="BX83" s="95" t="s">
        <v>142</v>
      </c>
      <c r="BY83" s="95" t="s">
        <v>143</v>
      </c>
      <c r="BZ83" s="95" t="s">
        <v>144</v>
      </c>
      <c r="CA83" s="94" t="s">
        <v>145</v>
      </c>
      <c r="CB83" s="94" t="s">
        <v>146</v>
      </c>
      <c r="CC83" s="96" t="s">
        <v>147</v>
      </c>
      <c r="CD83" s="97" t="s">
        <v>148</v>
      </c>
      <c r="CE83" s="96" t="s">
        <v>149</v>
      </c>
      <c r="CF83" s="97" t="s">
        <v>148</v>
      </c>
      <c r="CG83" s="96" t="s">
        <v>41</v>
      </c>
      <c r="CH83" s="98" t="s">
        <v>150</v>
      </c>
      <c r="CI83" s="99" t="s">
        <v>151</v>
      </c>
      <c r="CJ83" s="100" t="s">
        <v>152</v>
      </c>
      <c r="CK83" s="99" t="s">
        <v>153</v>
      </c>
      <c r="CL83" s="100" t="s">
        <v>154</v>
      </c>
      <c r="CM83" s="101" t="s">
        <v>155</v>
      </c>
      <c r="CN83" s="101" t="s">
        <v>156</v>
      </c>
      <c r="CO83" s="102" t="s">
        <v>157</v>
      </c>
      <c r="CP83" s="103" t="s">
        <v>158</v>
      </c>
      <c r="CQ83" s="104" t="s">
        <v>159</v>
      </c>
      <c r="CR83" s="105" t="s">
        <v>160</v>
      </c>
      <c r="CS83" s="62"/>
      <c r="CT83" s="62" t="s">
        <v>161</v>
      </c>
      <c r="CU83" s="62" t="s">
        <v>162</v>
      </c>
      <c r="CV83" s="92" t="s">
        <v>163</v>
      </c>
      <c r="CW83" s="62" t="s">
        <v>164</v>
      </c>
      <c r="CX83" s="62" t="s">
        <v>161</v>
      </c>
      <c r="CY83" s="62" t="s">
        <v>162</v>
      </c>
      <c r="CZ83" s="62" t="s">
        <v>164</v>
      </c>
    </row>
    <row r="84" spans="1:111" ht="12.95" customHeight="1" x14ac:dyDescent="0.25">
      <c r="B84" s="1" t="s">
        <v>165</v>
      </c>
      <c r="C84" s="1" t="s">
        <v>166</v>
      </c>
      <c r="AN84" s="106" t="str">
        <f>IF(ISNA(BL84),"",IF(OR(BL84=1,BL84=2),"",1))</f>
        <v/>
      </c>
      <c r="AO84" s="220" t="str">
        <f t="shared" ref="AO84:AO112" si="55">IF(ISNA(BL84),"",CONCATENATE($BG84,IF(ISNUMBER(BU84),TEXT(ROUND($BU84,3)," (0.0%)"),""),IF(CG84&gt;0," Bonus","")))</f>
        <v>Structure &amp; Logic (11.5%)</v>
      </c>
      <c r="AP84" s="220"/>
      <c r="AQ84" s="220"/>
      <c r="AR84" s="221"/>
      <c r="AS84" s="107" t="str">
        <f t="shared" ref="AS84:AS115" si="56">CT84</f>
        <v/>
      </c>
      <c r="AT84" s="108" t="str">
        <f t="shared" ref="AT84:AU115" si="57">CV84</f>
        <v/>
      </c>
      <c r="AU84" s="109" t="str">
        <f t="shared" si="57"/>
        <v/>
      </c>
      <c r="AV84" s="110" t="s">
        <v>73</v>
      </c>
      <c r="AW84" s="111" t="s">
        <v>73</v>
      </c>
      <c r="AX84" s="222"/>
      <c r="AY84" s="223"/>
      <c r="AZ84" s="223"/>
      <c r="BA84" s="223"/>
      <c r="BB84" s="223"/>
      <c r="BC84" s="223"/>
      <c r="BD84" s="224"/>
      <c r="BF84" s="60">
        <v>1</v>
      </c>
      <c r="BG84" s="60" t="str">
        <f t="shared" ref="BG84:BR99" si="58">VLOOKUP($BF84,crit_input_data,BG$82,FALSE)</f>
        <v>Structure &amp; Logic</v>
      </c>
      <c r="BH84" s="112" t="str">
        <f t="shared" si="58"/>
        <v/>
      </c>
      <c r="BI84" s="112" t="str">
        <f>VLOOKUP($BF84,crit_input_data,BI$82,FALSE)</f>
        <v/>
      </c>
      <c r="BJ84" s="112" t="str">
        <f>VLOOKUP($BF84,crit_input_data,BJ$82,FALSE)</f>
        <v/>
      </c>
      <c r="BK84" s="112" t="str">
        <f t="shared" si="58"/>
        <v/>
      </c>
      <c r="BL84" s="112">
        <f t="shared" si="58"/>
        <v>2</v>
      </c>
      <c r="BM84" s="112">
        <f t="shared" si="58"/>
        <v>1</v>
      </c>
      <c r="BN84" s="112">
        <f t="shared" si="58"/>
        <v>1</v>
      </c>
      <c r="BO84" s="112" t="str">
        <f t="shared" si="58"/>
        <v/>
      </c>
      <c r="BP84" s="112" t="str">
        <f t="shared" si="58"/>
        <v/>
      </c>
      <c r="BQ84" s="112" t="str">
        <f t="shared" si="58"/>
        <v/>
      </c>
      <c r="BR84" s="112" t="str">
        <f t="shared" si="58"/>
        <v/>
      </c>
      <c r="BS84" s="112" t="str">
        <f t="shared" ref="BS84:BS115" si="59">IF(CrewSoloQual="Yes",$BO84,$BP84)</f>
        <v/>
      </c>
      <c r="BT84" s="112" t="str">
        <f t="shared" ref="BT84:BT115" si="60">IF(ISNUMBER(BO84),IF(CrewSoloQual="Yes",$BO84-1,$BP84-1),"")</f>
        <v/>
      </c>
      <c r="BU84" s="113">
        <f>IF(NOT(OR(BL84=1,BL84=2)),IF(CC84&gt;0,$CD$120*CC84/SUMIF($CC$84:$CC$115,"&gt;0"),IF(CG84&gt;0,$CH$120*CG84/SUMIF($CG$84:$CG$115,"&gt;0"),IF(CE84&gt;0,$CF$120*CE84/SUMIF($CE$84:$CE$115,"&gt;0"),""))),IF(SUMIF(BV85:$BV$115,"=" &amp; BV84,BU85:$BU$115)=0,"",SUMIF(BV85:$BV$115,"=" &amp; BV84,BU85:$BU$115)))</f>
        <v>0.11538461538461539</v>
      </c>
      <c r="BV84" s="114">
        <f>0</f>
        <v>0</v>
      </c>
      <c r="BW84" s="112" t="str">
        <f>CU84</f>
        <v/>
      </c>
      <c r="BX84" s="112" t="str">
        <f>IF(ISBLANK(AW84),"",AW84)</f>
        <v/>
      </c>
      <c r="BY84" s="112" t="str">
        <f>IF(ISNUMBER(BW84),IF(ISNUMBER(BX84),1,""),"")</f>
        <v/>
      </c>
      <c r="BZ84" s="112" t="str">
        <f t="shared" ref="BZ84:BZ112" si="61">IF(ISNUMBER(BT84),IF(AND(BN84=0,ISNUMBER(BO84),ISNUMBER(BX84)),1,""),"")</f>
        <v/>
      </c>
      <c r="CA84" s="112" t="str">
        <f t="shared" ref="CA84:CA115" si="62">IF(BN84=0,IF(CrewSoloQual="No",CU84,CW84),"")</f>
        <v/>
      </c>
      <c r="CB84" s="112" t="str">
        <f t="shared" ref="CB84:CB115" si="63">IF(ISNA(BL84),"",IF(AND(ISNUMBER(AN84),AS84&gt;=1,AT84&lt;&gt;"NG"),IF(AW84&lt;CW84,TRUE,FALSE),IF(AND(AS84&gt;=1,AV84="NA"),TRUE,IF(AND(BY84=1,AS84=0,BX84&lt;CU84),TRUE,""))))</f>
        <v/>
      </c>
      <c r="CC84" s="115">
        <f>IF(ISNA(BL84),0,IF(OR(AV84="NA",BI84="",BN84=0),0,BI84))</f>
        <v>0</v>
      </c>
      <c r="CD84" s="116" t="str">
        <f t="shared" ref="CD84:CD115" si="64">IF(ISNA(BL84),"",IF(AND(NOT(OR(BL84=1,BL84=2,BW84="NG",BN84=0)),IF(ISNUMBER(BX84),BX84&gt;=0,FALSE)),VLOOKUP((10*BP84+BO84),$CC$126:$CH$134,2+BX84,FALSE),IF(AND(input_test=TRUE,ISNUMBER(BP84),BH84&lt;&gt;0),VLOOKUP((10*BP84+BO84),$CC$126:$CH$134,2,FALSE),"")))</f>
        <v/>
      </c>
      <c r="CE84" s="117">
        <f>IF(ISNA(BL84),0,IF(OR(AV84="NA",BJ84="",BN84=1),0,BJ84))</f>
        <v>0</v>
      </c>
      <c r="CF84" s="116" t="str">
        <f t="shared" ref="CF84:CF115" si="65">IF(ISNA(BL84),"",IF(AND(NOT(OR(BL84=1,BL84=2,BW84="NG",BN84=1)),IF(ISNUMBER(BX84),BX84&gt;=0,FALSE)),VLOOKUP((10*BT84+BS84),$CC$126:$CH$134,2+BX84,FALSE),IF(AND(input_test=TRUE,ISNUMBER(BP84),BH84&lt;&gt;0),VLOOKUP((10*BT84+BS84),$CC$126:$CH$134,2,FALSE),"")))</f>
        <v/>
      </c>
      <c r="CG84" s="118">
        <f t="shared" ref="CG84:CG115" si="66">IF(ISNA(BL84),0,IF(OR(AV84="NA",BK84=""),0,BK84))</f>
        <v>0</v>
      </c>
      <c r="CH84" s="119" t="str">
        <f t="shared" ref="CH84:CH115" si="67">CD84</f>
        <v/>
      </c>
      <c r="CI84" s="118" t="b">
        <f t="shared" ref="CI84:CI115" si="68">IF(ISNA(BL84),FALSE,IF(OR(BN84=1,AS84=0,BL84=1,BL84=2),FALSE,IF(OR(AV84="NA",AV84&gt;=AS84),FALSE,TRUE)))</f>
        <v>0</v>
      </c>
      <c r="CJ84" s="120" t="b">
        <f t="shared" ref="CJ84:CJ115" si="69">IF(ISNA(BL84),FALSE,IF(OR(BN84=0,AS84=0,BL84=1,BL84=2,AV84="NA"),FALSE,IF(BW84="NG",IF(NOT(ISBLANK(AW84)),FALSE,TRUE),IF(AV84&gt;=AS84,FALSE,TRUE))))</f>
        <v>0</v>
      </c>
      <c r="CK84" s="118" t="b">
        <f t="shared" ref="CK84:CK115" si="70">IF(ISNA(BL84),FALSE,IF(OR(BN84=1,AS84&lt;1,BL84=1,BL84=2,BQ84=0,ISBLANK(AW84)),FALSE,IF(OR(AV84="NA",AW84&gt;=CU84),FALSE,TRUE)))</f>
        <v>0</v>
      </c>
      <c r="CL84" s="120" t="b">
        <f t="shared" ref="CL84:CL115" si="71">IF(ISNA(BL84),FALSE,IF(OR(BN84=0,AS84=0,BL84=1,BL84=2,BQ84=0,CU84="NG",AW84="",ISBLANK(AW84)),FALSE,IF(OR(AV84="NA",AW84&gt;=BW84),FALSE,TRUE)))</f>
        <v>0</v>
      </c>
      <c r="CM84" s="112" t="b">
        <f t="shared" ref="CM84:CM115" si="72">IF(ISNA(BL84),FALSE,IF(OR(BN84=1,AS84&lt;1,BL84=1,BL84=2,BQ84=0),FALSE,IF(AV84="NA",TRUE,FALSE)))</f>
        <v>0</v>
      </c>
      <c r="CN84" s="112" t="b">
        <f t="shared" ref="CN84:CN115" si="73">IF(ISNA(BL84),FALSE,IF(OR(BN84=0,AS84=0,BL84=1,BL84=2),FALSE,IF(AV84="NA",TRUE,FALSE)))</f>
        <v>0</v>
      </c>
      <c r="CO84" s="118" t="b">
        <f t="shared" ref="CO84:CO115" si="74">IF(OR(ISNA($BL84),ISNUMBER($BL84),NOT(ISNUMBER($AV84)),AW84="D"),FALSE,IF(AND(NOT(ISNUMBER($AW84)),AV84&gt;0),TRUE,FALSE))</f>
        <v>0</v>
      </c>
      <c r="CP84" s="121" t="b">
        <f>IF(OR(ISNA($BL84),ISNUMBER($BL84),NOT(ISNUMBER(AW84))),FALSE,OR(NOT(ISNUMBER(AV84)),AV84=0,AND(AV84=0,AW84&lt;&gt;0)))</f>
        <v>0</v>
      </c>
      <c r="CQ84" s="120" t="b">
        <f t="shared" ref="CQ84:CQ97" si="75">IF(OR(ISNA($BL84),AW84&lt;&gt;"D"),FALSE,IF(OR(AND(AT84="NG",AV84=0),AND(AT84&lt;&gt;"NG",NOT(OR(AV84="NA",AV84=0)))),TRUE,FALSE))</f>
        <v>0</v>
      </c>
      <c r="CR84" s="122" t="b">
        <f t="shared" ref="CR84:CR106" si="76">IF(OR(ISNA($BL84),AT84&lt;&gt;"NG"),FALSE,IF(AND(AV84="NA",AW84&lt;&gt;""),TRUE,FALSE))</f>
        <v>0</v>
      </c>
      <c r="CS84" s="123" t="b">
        <f t="shared" ref="CS84:CS97" si="77">IF(ISNA($BL84),"NA",IF(OR(CL84,CK84,CJ84,CI84,CB84,CM84,CN84),TRUE,FALSE))</f>
        <v>0</v>
      </c>
      <c r="CT84" s="124" t="str">
        <f>IF(ISNA($BL84),"",IF(OR($BL84=1,$BL84=2),"",$BH84))</f>
        <v/>
      </c>
      <c r="CU84" s="123" t="str">
        <f t="shared" ref="CU84:CU115" si="78">IF(ISNA($BL84),"",IF(OR($BL84=1,$BL84=2,$AS84=""),"",IF(BN84=0,BT84,$BP84)))</f>
        <v/>
      </c>
      <c r="CV84" s="123" t="str">
        <f t="shared" ref="CV84:CV115" si="79">IF(ISNA(BQ84),"",IF(OR(BL84=1,BL84=2),"",IF(OR(BQ84=0,BP84="NG"),TEXT(CU84,"0"),CONCATENATE(TEXT(CU84,"0"),"*"))))</f>
        <v/>
      </c>
      <c r="CW84" s="123" t="str">
        <f t="shared" ref="CW84:CW115" si="80">IF(ISNA($BL84),"",IF(OR($BL84=1,$BL84=2,$AS84=""),"",IF(BN84=0,BS84,$BO84)))</f>
        <v/>
      </c>
      <c r="CX84" s="124" t="str">
        <f>IF(ISBLANK(CT84),"",IF(CT84=0,"",CT84))</f>
        <v/>
      </c>
      <c r="CY84" s="123" t="str">
        <f t="shared" ref="CY84:CY115" si="81">IF($CT84=0,"",IF($CU84="NG","D",$CU84))</f>
        <v/>
      </c>
      <c r="CZ84" s="123" t="str">
        <f t="shared" ref="CZ84:CZ115" si="82">IF(ISNA(BG84),"",IF($CT84=0,"",IF($CU84="NG","D",CW84)))</f>
        <v/>
      </c>
      <c r="DA84" s="125" t="str">
        <f>G2</f>
        <v>Grading Rubric</v>
      </c>
      <c r="DB84" s="126"/>
    </row>
    <row r="85" spans="1:111" s="67" customFormat="1" ht="12.95" customHeight="1" x14ac:dyDescent="0.25">
      <c r="A85" s="1"/>
      <c r="B85" s="28">
        <v>2.6</v>
      </c>
      <c r="C85" s="1" t="s">
        <v>167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N85" s="127">
        <f>IF(ISNA(BL85),"",IF(OR(BL85=1,BL85=2),"    ",MAX($AN$84:AN84)+1))</f>
        <v>1</v>
      </c>
      <c r="AO85" s="182" t="str">
        <f t="shared" si="55"/>
        <v xml:space="preserve">      - Executive Summary (3.8%)</v>
      </c>
      <c r="AP85" s="182"/>
      <c r="AQ85" s="182"/>
      <c r="AR85" s="183"/>
      <c r="AS85" s="107">
        <f t="shared" si="56"/>
        <v>1</v>
      </c>
      <c r="AT85" s="108" t="str">
        <f t="shared" si="57"/>
        <v>2*</v>
      </c>
      <c r="AU85" s="128">
        <f t="shared" si="57"/>
        <v>3</v>
      </c>
      <c r="AV85" s="129"/>
      <c r="AW85" s="130"/>
      <c r="AX85" s="225"/>
      <c r="AY85" s="226"/>
      <c r="AZ85" s="226"/>
      <c r="BA85" s="226"/>
      <c r="BB85" s="226"/>
      <c r="BC85" s="226"/>
      <c r="BD85" s="227"/>
      <c r="BF85" s="72">
        <v>2</v>
      </c>
      <c r="BG85" s="60" t="str">
        <f t="shared" si="58"/>
        <v xml:space="preserve">      - Executive Summary</v>
      </c>
      <c r="BH85" s="112">
        <f t="shared" si="58"/>
        <v>1</v>
      </c>
      <c r="BI85" s="112">
        <f t="shared" si="58"/>
        <v>1</v>
      </c>
      <c r="BJ85" s="112" t="str">
        <f t="shared" si="58"/>
        <v/>
      </c>
      <c r="BK85" s="112" t="str">
        <f t="shared" si="58"/>
        <v/>
      </c>
      <c r="BL85" s="121" t="str">
        <f t="shared" si="58"/>
        <v/>
      </c>
      <c r="BM85" s="121">
        <f t="shared" si="58"/>
        <v>2</v>
      </c>
      <c r="BN85" s="121">
        <f t="shared" si="58"/>
        <v>1</v>
      </c>
      <c r="BO85" s="112">
        <f t="shared" si="58"/>
        <v>3</v>
      </c>
      <c r="BP85" s="112">
        <f t="shared" si="58"/>
        <v>2</v>
      </c>
      <c r="BQ85" s="112">
        <f t="shared" si="58"/>
        <v>1</v>
      </c>
      <c r="BR85" s="112" t="b">
        <f t="shared" si="58"/>
        <v>1</v>
      </c>
      <c r="BS85" s="112">
        <f t="shared" si="59"/>
        <v>2</v>
      </c>
      <c r="BT85" s="112">
        <f t="shared" si="60"/>
        <v>1</v>
      </c>
      <c r="BU85" s="113">
        <f>IF(NOT(OR(BL85=1,BL85=2)),IF(CC85&gt;0,$CD$120*CC85/SUMIF($CC$84:$CC$115,"&gt;0"),IF(CG85&gt;0,$CH$120*CG85/SUMIF($CG$84:$CG$115,"&gt;0"),IF(CE85&gt;0,$CF$120*CE85/SUMIF($CE$84:$CE$115,"&gt;0"),""))),IF(SUMIF(BV86:$BV$115,"=" &amp; BV85,BU86:$BU$115)=0,"",SUMIF(BV86:$BV$115,"=" &amp; BV85,BU86:$BU$115)))</f>
        <v>3.8461538461538464E-2</v>
      </c>
      <c r="BV85" s="114">
        <f>IF(OR(BL85=1,BL85=2,BM85&lt;BM84),BV84+1,BV84)</f>
        <v>0</v>
      </c>
      <c r="BW85" s="112">
        <f t="shared" ref="BW85:BW115" si="83">CU85</f>
        <v>2</v>
      </c>
      <c r="BX85" s="121" t="str">
        <f t="shared" ref="BX85:BX115" si="84">IF(ISBLANK(AW85),"",AW85)</f>
        <v/>
      </c>
      <c r="BY85" s="121" t="str">
        <f>IF(ISNUMBER(BW85),IF(ISNUMBER(BX85),1,""),"")</f>
        <v/>
      </c>
      <c r="BZ85" s="121" t="str">
        <f t="shared" si="61"/>
        <v/>
      </c>
      <c r="CA85" s="121" t="str">
        <f t="shared" si="62"/>
        <v/>
      </c>
      <c r="CB85" s="112" t="b">
        <f>IF(ISNA(BL85),"",IF(AND(ISNUMBER(AN85),AS85&gt;=1,AT85&lt;&gt;"NG"),IF(AW85&lt;CW85,TRUE,FALSE),IF(AND(AS85&gt;=1,AV85="NA"),TRUE,IF(AND(BY85=1,AS85=0,BX85&lt;CU85),TRUE,""))))</f>
        <v>1</v>
      </c>
      <c r="CC85" s="115">
        <f t="shared" ref="CC85:CC115" si="85">IF(ISNA(BL85),0,IF(OR(AV85="NA",BI85="",BN85=0),0,BI85))</f>
        <v>1</v>
      </c>
      <c r="CD85" s="116" t="str">
        <f>IF(ISNA(BL85),"",IF(AND(NOT(OR(BL85=1,BL85=2,BW85="NG",BN85=0)),IF(ISNUMBER(BX85),BX85&gt;=0,FALSE)),VLOOKUP((10*BP85+BO85),$CC$126:$CH$134,2+BX85,FALSE),IF(AND(input_test=TRUE,ISNUMBER(BP85),BH85&lt;&gt;0),VLOOKUP((10*BP85+BO85),$CC$126:$CH$134,2,FALSE),"")))</f>
        <v/>
      </c>
      <c r="CE85" s="117">
        <f t="shared" ref="CE85:CE115" si="86">IF(ISNA(BL85),0,IF(OR(AV85="NA",BJ85="",BN85=1),0,BJ85))</f>
        <v>0</v>
      </c>
      <c r="CF85" s="116" t="str">
        <f>IF(ISNA(BL85),"",IF(AND(NOT(OR(BL85=1,BL85=2,BW85="NG",BN85=1)),IF(ISNUMBER(BX85),BX85&gt;=0,FALSE)),VLOOKUP((10*BT85+BS85),$CC$126:$CH$134,2+BX85,FALSE),IF(AND(input_test=TRUE,ISNUMBER(BP85),BH85&lt;&gt;0),VLOOKUP((10*BT85+BS85),$CC$126:$CH$134,2,FALSE),"")))</f>
        <v/>
      </c>
      <c r="CG85" s="118">
        <f t="shared" si="66"/>
        <v>0</v>
      </c>
      <c r="CH85" s="119" t="str">
        <f t="shared" si="67"/>
        <v/>
      </c>
      <c r="CI85" s="118" t="b">
        <f t="shared" si="68"/>
        <v>0</v>
      </c>
      <c r="CJ85" s="120" t="b">
        <f t="shared" si="69"/>
        <v>1</v>
      </c>
      <c r="CK85" s="118" t="b">
        <f t="shared" si="70"/>
        <v>0</v>
      </c>
      <c r="CL85" s="120" t="b">
        <f t="shared" si="71"/>
        <v>0</v>
      </c>
      <c r="CM85" s="112" t="b">
        <f t="shared" si="72"/>
        <v>0</v>
      </c>
      <c r="CN85" s="112" t="b">
        <f t="shared" si="73"/>
        <v>0</v>
      </c>
      <c r="CO85" s="118" t="b">
        <f t="shared" si="74"/>
        <v>0</v>
      </c>
      <c r="CP85" s="121" t="b">
        <f t="shared" ref="CP85:CP115" si="87">IF(OR(ISNA($BL85),ISNUMBER($BL85),NOT(ISNUMBER(AW85))),FALSE,OR(NOT(ISNUMBER(AV85)),AV85=0,AND(AV85=0,AW85&lt;&gt;0)))</f>
        <v>0</v>
      </c>
      <c r="CQ85" s="120" t="b">
        <f t="shared" si="75"/>
        <v>0</v>
      </c>
      <c r="CR85" s="122" t="b">
        <f t="shared" si="76"/>
        <v>0</v>
      </c>
      <c r="CS85" s="123" t="b">
        <f t="shared" si="77"/>
        <v>1</v>
      </c>
      <c r="CT85" s="123">
        <f t="shared" ref="CT85:CT115" si="88">IF(ISNA($BL85),"",IF(OR($BL85=1,$BL85=2),"",$BH85))</f>
        <v>1</v>
      </c>
      <c r="CU85" s="123">
        <f t="shared" si="78"/>
        <v>2</v>
      </c>
      <c r="CV85" s="123" t="str">
        <f t="shared" si="79"/>
        <v>2*</v>
      </c>
      <c r="CW85" s="123">
        <f t="shared" si="80"/>
        <v>3</v>
      </c>
      <c r="CX85" s="124">
        <f t="shared" ref="CX85:CX115" si="89">IF(ISBLANK(CT85),"",IF(CT85=0,"",CT85))</f>
        <v>1</v>
      </c>
      <c r="CY85" s="123">
        <f t="shared" si="81"/>
        <v>2</v>
      </c>
      <c r="CZ85" s="123">
        <f t="shared" si="82"/>
        <v>3</v>
      </c>
      <c r="DA85" s="131" t="str">
        <f t="shared" ref="DA85:DB90" si="90">G4</f>
        <v>D</v>
      </c>
      <c r="DB85" s="132" t="str">
        <f t="shared" si="90"/>
        <v>N/A</v>
      </c>
    </row>
    <row r="86" spans="1:111" s="67" customFormat="1" ht="12.95" customHeight="1" x14ac:dyDescent="0.25">
      <c r="A86" s="1"/>
      <c r="B86" s="28">
        <v>2.7</v>
      </c>
      <c r="C86" s="1" t="s">
        <v>168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N86" s="127">
        <f>IF(ISNA(BL86),"",IF(OR(BL86=1,BL86=2),"    ",MAX($AN$84:AN85)+1))</f>
        <v>2</v>
      </c>
      <c r="AO86" s="182" t="str">
        <f t="shared" si="55"/>
        <v xml:space="preserve">      - Report Organization &amp; Structure (3.8%)</v>
      </c>
      <c r="AP86" s="182"/>
      <c r="AQ86" s="182"/>
      <c r="AR86" s="183"/>
      <c r="AS86" s="107">
        <f t="shared" si="56"/>
        <v>1</v>
      </c>
      <c r="AT86" s="108" t="str">
        <f t="shared" si="57"/>
        <v>2*</v>
      </c>
      <c r="AU86" s="128">
        <f t="shared" si="57"/>
        <v>3</v>
      </c>
      <c r="AV86" s="133"/>
      <c r="AW86" s="130"/>
      <c r="AX86" s="225"/>
      <c r="AY86" s="226"/>
      <c r="AZ86" s="226"/>
      <c r="BA86" s="226"/>
      <c r="BB86" s="226"/>
      <c r="BC86" s="226"/>
      <c r="BD86" s="227"/>
      <c r="BF86" s="72">
        <v>3</v>
      </c>
      <c r="BG86" s="60" t="str">
        <f t="shared" si="58"/>
        <v xml:space="preserve">      - Report Organization &amp; Structure</v>
      </c>
      <c r="BH86" s="112">
        <f t="shared" si="58"/>
        <v>1</v>
      </c>
      <c r="BI86" s="112">
        <f t="shared" si="58"/>
        <v>1</v>
      </c>
      <c r="BJ86" s="112" t="str">
        <f t="shared" si="58"/>
        <v/>
      </c>
      <c r="BK86" s="112" t="str">
        <f t="shared" si="58"/>
        <v/>
      </c>
      <c r="BL86" s="121" t="str">
        <f t="shared" si="58"/>
        <v/>
      </c>
      <c r="BM86" s="121">
        <f t="shared" si="58"/>
        <v>2</v>
      </c>
      <c r="BN86" s="121">
        <f t="shared" si="58"/>
        <v>1</v>
      </c>
      <c r="BO86" s="112">
        <f t="shared" si="58"/>
        <v>3</v>
      </c>
      <c r="BP86" s="112">
        <f t="shared" si="58"/>
        <v>2</v>
      </c>
      <c r="BQ86" s="112">
        <f t="shared" si="58"/>
        <v>1</v>
      </c>
      <c r="BR86" s="112" t="b">
        <f t="shared" si="58"/>
        <v>1</v>
      </c>
      <c r="BS86" s="112">
        <f t="shared" si="59"/>
        <v>2</v>
      </c>
      <c r="BT86" s="112">
        <f t="shared" si="60"/>
        <v>1</v>
      </c>
      <c r="BU86" s="113">
        <f>IF(NOT(OR(BL86=1,BL86=2)),IF(CC86&gt;0,$CD$120*CC86/SUMIF($CC$84:$CC$115,"&gt;0"),IF(CG86&gt;0,$CH$120*CG86/SUMIF($CG$84:$CG$115,"&gt;0"),IF(CE86&gt;0,$CF$120*CE86/SUMIF($CE$84:$CE$115,"&gt;0"),""))),IF(SUMIF(BV87:$BV$115,"=" &amp; BV86,BU87:$BU$115)=0,"",SUMIF(BV87:$BV$115,"=" &amp; BV86,BU87:$BU$115)))</f>
        <v>3.8461538461538464E-2</v>
      </c>
      <c r="BV86" s="114">
        <f t="shared" ref="BV86:BV115" si="91">IF(OR(BL86=1,BL86=2,BM86&lt;BM85),BV85+1,BV85)</f>
        <v>0</v>
      </c>
      <c r="BW86" s="112">
        <f t="shared" si="83"/>
        <v>2</v>
      </c>
      <c r="BX86" s="121" t="str">
        <f t="shared" si="84"/>
        <v/>
      </c>
      <c r="BY86" s="121" t="str">
        <f t="shared" ref="BY86:BY115" si="92">IF(ISNUMBER(BW86),IF(ISNUMBER(BX86),1,""),"")</f>
        <v/>
      </c>
      <c r="BZ86" s="121" t="str">
        <f t="shared" si="61"/>
        <v/>
      </c>
      <c r="CA86" s="121" t="str">
        <f t="shared" si="62"/>
        <v/>
      </c>
      <c r="CB86" s="112" t="b">
        <f t="shared" si="63"/>
        <v>1</v>
      </c>
      <c r="CC86" s="115">
        <f t="shared" si="85"/>
        <v>1</v>
      </c>
      <c r="CD86" s="116" t="str">
        <f t="shared" si="64"/>
        <v/>
      </c>
      <c r="CE86" s="117">
        <f t="shared" si="86"/>
        <v>0</v>
      </c>
      <c r="CF86" s="116" t="str">
        <f t="shared" si="65"/>
        <v/>
      </c>
      <c r="CG86" s="118">
        <f t="shared" si="66"/>
        <v>0</v>
      </c>
      <c r="CH86" s="119" t="str">
        <f t="shared" si="67"/>
        <v/>
      </c>
      <c r="CI86" s="118" t="b">
        <f t="shared" si="68"/>
        <v>0</v>
      </c>
      <c r="CJ86" s="120" t="b">
        <f t="shared" si="69"/>
        <v>1</v>
      </c>
      <c r="CK86" s="118" t="b">
        <f t="shared" si="70"/>
        <v>0</v>
      </c>
      <c r="CL86" s="120" t="b">
        <f t="shared" si="71"/>
        <v>0</v>
      </c>
      <c r="CM86" s="112" t="b">
        <f t="shared" si="72"/>
        <v>0</v>
      </c>
      <c r="CN86" s="112" t="b">
        <f t="shared" si="73"/>
        <v>0</v>
      </c>
      <c r="CO86" s="118" t="b">
        <f t="shared" si="74"/>
        <v>0</v>
      </c>
      <c r="CP86" s="121" t="b">
        <f t="shared" si="87"/>
        <v>0</v>
      </c>
      <c r="CQ86" s="120" t="b">
        <f t="shared" si="75"/>
        <v>0</v>
      </c>
      <c r="CR86" s="122" t="b">
        <f t="shared" si="76"/>
        <v>0</v>
      </c>
      <c r="CS86" s="123" t="b">
        <f t="shared" si="77"/>
        <v>1</v>
      </c>
      <c r="CT86" s="123">
        <f t="shared" si="88"/>
        <v>1</v>
      </c>
      <c r="CU86" s="123">
        <f t="shared" si="78"/>
        <v>2</v>
      </c>
      <c r="CV86" s="123" t="str">
        <f t="shared" si="79"/>
        <v>2*</v>
      </c>
      <c r="CW86" s="123">
        <f t="shared" si="80"/>
        <v>3</v>
      </c>
      <c r="CX86" s="124">
        <f t="shared" si="89"/>
        <v>1</v>
      </c>
      <c r="CY86" s="123">
        <f t="shared" si="81"/>
        <v>2</v>
      </c>
      <c r="CZ86" s="123">
        <f t="shared" si="82"/>
        <v>3</v>
      </c>
      <c r="DA86" s="131">
        <f t="shared" si="90"/>
        <v>0</v>
      </c>
      <c r="DB86" s="132" t="str">
        <f t="shared" si="90"/>
        <v>Omitted</v>
      </c>
    </row>
    <row r="87" spans="1:111" s="67" customFormat="1" ht="12.9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N87" s="127">
        <f>IF(ISNA(BL87),"",IF(OR(BL87=1,BL87=2),"    ",MAX($AN$84:AN86)+1))</f>
        <v>3</v>
      </c>
      <c r="AO87" s="182" t="str">
        <f t="shared" si="55"/>
        <v xml:space="preserve">      - The "Logical Chain of Reasoning" (3.8%)</v>
      </c>
      <c r="AP87" s="182"/>
      <c r="AQ87" s="182"/>
      <c r="AR87" s="183"/>
      <c r="AS87" s="107">
        <f t="shared" si="56"/>
        <v>1</v>
      </c>
      <c r="AT87" s="108" t="str">
        <f t="shared" si="57"/>
        <v>2*</v>
      </c>
      <c r="AU87" s="128">
        <f t="shared" si="57"/>
        <v>3</v>
      </c>
      <c r="AV87" s="133"/>
      <c r="AW87" s="130"/>
      <c r="AX87" s="225"/>
      <c r="AY87" s="226"/>
      <c r="AZ87" s="226"/>
      <c r="BA87" s="226"/>
      <c r="BB87" s="226"/>
      <c r="BC87" s="226"/>
      <c r="BD87" s="227"/>
      <c r="BF87" s="72">
        <v>4</v>
      </c>
      <c r="BG87" s="60" t="str">
        <f t="shared" si="58"/>
        <v xml:space="preserve">      - The "Logical Chain of Reasoning"</v>
      </c>
      <c r="BH87" s="112">
        <f t="shared" si="58"/>
        <v>1</v>
      </c>
      <c r="BI87" s="112">
        <f t="shared" si="58"/>
        <v>1</v>
      </c>
      <c r="BJ87" s="112" t="str">
        <f t="shared" si="58"/>
        <v/>
      </c>
      <c r="BK87" s="112" t="str">
        <f t="shared" si="58"/>
        <v/>
      </c>
      <c r="BL87" s="121" t="str">
        <f t="shared" si="58"/>
        <v/>
      </c>
      <c r="BM87" s="121">
        <f t="shared" si="58"/>
        <v>2</v>
      </c>
      <c r="BN87" s="121">
        <f t="shared" si="58"/>
        <v>1</v>
      </c>
      <c r="BO87" s="112">
        <f t="shared" si="58"/>
        <v>3</v>
      </c>
      <c r="BP87" s="112">
        <f t="shared" si="58"/>
        <v>2</v>
      </c>
      <c r="BQ87" s="112">
        <f t="shared" si="58"/>
        <v>1</v>
      </c>
      <c r="BR87" s="112" t="b">
        <f t="shared" si="58"/>
        <v>1</v>
      </c>
      <c r="BS87" s="112">
        <f t="shared" si="59"/>
        <v>2</v>
      </c>
      <c r="BT87" s="112">
        <f t="shared" si="60"/>
        <v>1</v>
      </c>
      <c r="BU87" s="113">
        <f>IF(NOT(OR(BL87=1,BL87=2)),IF(CC87&gt;0,$CD$120*CC87/SUMIF($CC$84:$CC$115,"&gt;0"),IF(CG87&gt;0,$CH$120*CG87/SUMIF($CG$84:$CG$115,"&gt;0"),IF(CE87&gt;0,$CF$120*CE87/SUMIF($CE$84:$CE$115,"&gt;0"),""))),IF(SUMIF(BV88:$BV$115,"=" &amp; BV87,BU88:$BU$115)=0,"",SUMIF(BV88:$BV$115,"=" &amp; BV87,BU88:$BU$115)))</f>
        <v>3.8461538461538464E-2</v>
      </c>
      <c r="BV87" s="114">
        <f t="shared" si="91"/>
        <v>0</v>
      </c>
      <c r="BW87" s="112">
        <f t="shared" si="83"/>
        <v>2</v>
      </c>
      <c r="BX87" s="121" t="str">
        <f t="shared" si="84"/>
        <v/>
      </c>
      <c r="BY87" s="121" t="str">
        <f t="shared" si="92"/>
        <v/>
      </c>
      <c r="BZ87" s="121" t="str">
        <f t="shared" si="61"/>
        <v/>
      </c>
      <c r="CA87" s="121" t="str">
        <f t="shared" si="62"/>
        <v/>
      </c>
      <c r="CB87" s="112" t="b">
        <f t="shared" si="63"/>
        <v>1</v>
      </c>
      <c r="CC87" s="115">
        <f t="shared" si="85"/>
        <v>1</v>
      </c>
      <c r="CD87" s="116" t="str">
        <f t="shared" si="64"/>
        <v/>
      </c>
      <c r="CE87" s="117">
        <f t="shared" si="86"/>
        <v>0</v>
      </c>
      <c r="CF87" s="116" t="str">
        <f t="shared" si="65"/>
        <v/>
      </c>
      <c r="CG87" s="118">
        <f t="shared" si="66"/>
        <v>0</v>
      </c>
      <c r="CH87" s="119" t="str">
        <f t="shared" si="67"/>
        <v/>
      </c>
      <c r="CI87" s="118" t="b">
        <f t="shared" si="68"/>
        <v>0</v>
      </c>
      <c r="CJ87" s="120" t="b">
        <f t="shared" si="69"/>
        <v>1</v>
      </c>
      <c r="CK87" s="118" t="b">
        <f t="shared" si="70"/>
        <v>0</v>
      </c>
      <c r="CL87" s="120" t="b">
        <f t="shared" si="71"/>
        <v>0</v>
      </c>
      <c r="CM87" s="112" t="b">
        <f t="shared" si="72"/>
        <v>0</v>
      </c>
      <c r="CN87" s="112" t="b">
        <f t="shared" si="73"/>
        <v>0</v>
      </c>
      <c r="CO87" s="118" t="b">
        <f t="shared" si="74"/>
        <v>0</v>
      </c>
      <c r="CP87" s="121" t="b">
        <f t="shared" si="87"/>
        <v>0</v>
      </c>
      <c r="CQ87" s="120" t="b">
        <f t="shared" si="75"/>
        <v>0</v>
      </c>
      <c r="CR87" s="122" t="b">
        <f t="shared" si="76"/>
        <v>0</v>
      </c>
      <c r="CS87" s="123" t="b">
        <f t="shared" si="77"/>
        <v>1</v>
      </c>
      <c r="CT87" s="123">
        <f t="shared" si="88"/>
        <v>1</v>
      </c>
      <c r="CU87" s="123">
        <f t="shared" si="78"/>
        <v>2</v>
      </c>
      <c r="CV87" s="123" t="str">
        <f t="shared" si="79"/>
        <v>2*</v>
      </c>
      <c r="CW87" s="123">
        <f t="shared" si="80"/>
        <v>3</v>
      </c>
      <c r="CX87" s="124">
        <f t="shared" si="89"/>
        <v>1</v>
      </c>
      <c r="CY87" s="123">
        <f t="shared" si="81"/>
        <v>2</v>
      </c>
      <c r="CZ87" s="123">
        <f t="shared" si="82"/>
        <v>3</v>
      </c>
      <c r="DA87" s="131">
        <f t="shared" si="90"/>
        <v>1</v>
      </c>
      <c r="DB87" s="132" t="str">
        <f t="shared" si="90"/>
        <v>Unable: Most requirements not met, many errors</v>
      </c>
    </row>
    <row r="88" spans="1:111" s="67" customFormat="1" ht="12.9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N88" s="127" t="str">
        <f>IF(ISNA(BL88),"",IF(OR(BL88=1,BL88=2),"    ",MAX($AN$84:AN87)+1))</f>
        <v xml:space="preserve">    </v>
      </c>
      <c r="AO88" s="182" t="str">
        <f t="shared" si="55"/>
        <v>Content &amp; Analysis (Obj 1) (15.4%)</v>
      </c>
      <c r="AP88" s="182"/>
      <c r="AQ88" s="182"/>
      <c r="AR88" s="183"/>
      <c r="AS88" s="107" t="str">
        <f t="shared" si="56"/>
        <v/>
      </c>
      <c r="AT88" s="108" t="str">
        <f t="shared" si="57"/>
        <v/>
      </c>
      <c r="AU88" s="128" t="str">
        <f t="shared" si="57"/>
        <v/>
      </c>
      <c r="AV88" s="133"/>
      <c r="AW88" s="130"/>
      <c r="AX88" s="225"/>
      <c r="AY88" s="226"/>
      <c r="AZ88" s="226"/>
      <c r="BA88" s="226"/>
      <c r="BB88" s="226"/>
      <c r="BC88" s="226"/>
      <c r="BD88" s="227"/>
      <c r="BF88" s="72">
        <v>5</v>
      </c>
      <c r="BG88" s="60" t="str">
        <f t="shared" si="58"/>
        <v>Content &amp; Analysis (Obj 1)</v>
      </c>
      <c r="BH88" s="112" t="str">
        <f t="shared" si="58"/>
        <v/>
      </c>
      <c r="BI88" s="112" t="str">
        <f t="shared" si="58"/>
        <v/>
      </c>
      <c r="BJ88" s="112" t="str">
        <f t="shared" si="58"/>
        <v/>
      </c>
      <c r="BK88" s="112" t="str">
        <f t="shared" si="58"/>
        <v/>
      </c>
      <c r="BL88" s="121">
        <f t="shared" si="58"/>
        <v>2</v>
      </c>
      <c r="BM88" s="121">
        <f t="shared" si="58"/>
        <v>1</v>
      </c>
      <c r="BN88" s="121">
        <f t="shared" si="58"/>
        <v>1</v>
      </c>
      <c r="BO88" s="112" t="str">
        <f t="shared" si="58"/>
        <v/>
      </c>
      <c r="BP88" s="112" t="str">
        <f t="shared" si="58"/>
        <v/>
      </c>
      <c r="BQ88" s="112" t="str">
        <f t="shared" si="58"/>
        <v/>
      </c>
      <c r="BR88" s="112" t="str">
        <f t="shared" si="58"/>
        <v/>
      </c>
      <c r="BS88" s="112" t="str">
        <f t="shared" si="59"/>
        <v/>
      </c>
      <c r="BT88" s="112" t="str">
        <f t="shared" si="60"/>
        <v/>
      </c>
      <c r="BU88" s="113">
        <f>IF(NOT(OR(BL88=1,BL88=2)),IF(CC88&gt;0,$CD$120*CC88/SUMIF($CC$84:$CC$115,"&gt;0"),IF(CG88&gt;0,$CH$120*CG88/SUMIF($CG$84:$CG$115,"&gt;0"),IF(CE88&gt;0,$CF$120*CE88/SUMIF($CE$84:$CE$115,"&gt;0"),""))),IF(SUMIF(BV89:$BV$115,"=" &amp; BV88,BU89:$BU$115)=0,"",SUMIF(BV89:$BV$115,"=" &amp; BV88,BU89:$BU$115)))</f>
        <v>0.15384615384615385</v>
      </c>
      <c r="BV88" s="114">
        <f t="shared" si="91"/>
        <v>1</v>
      </c>
      <c r="BW88" s="112" t="str">
        <f t="shared" si="83"/>
        <v/>
      </c>
      <c r="BX88" s="121" t="str">
        <f t="shared" si="84"/>
        <v/>
      </c>
      <c r="BY88" s="121" t="str">
        <f t="shared" si="92"/>
        <v/>
      </c>
      <c r="BZ88" s="121" t="str">
        <f t="shared" si="61"/>
        <v/>
      </c>
      <c r="CA88" s="121" t="str">
        <f t="shared" si="62"/>
        <v/>
      </c>
      <c r="CB88" s="112" t="str">
        <f t="shared" si="63"/>
        <v/>
      </c>
      <c r="CC88" s="115">
        <f t="shared" si="85"/>
        <v>0</v>
      </c>
      <c r="CD88" s="116" t="str">
        <f t="shared" si="64"/>
        <v/>
      </c>
      <c r="CE88" s="117">
        <f t="shared" si="86"/>
        <v>0</v>
      </c>
      <c r="CF88" s="116" t="str">
        <f t="shared" si="65"/>
        <v/>
      </c>
      <c r="CG88" s="118">
        <f t="shared" si="66"/>
        <v>0</v>
      </c>
      <c r="CH88" s="119" t="str">
        <f t="shared" si="67"/>
        <v/>
      </c>
      <c r="CI88" s="118" t="b">
        <f t="shared" si="68"/>
        <v>0</v>
      </c>
      <c r="CJ88" s="120" t="b">
        <f t="shared" si="69"/>
        <v>0</v>
      </c>
      <c r="CK88" s="118" t="b">
        <f t="shared" si="70"/>
        <v>0</v>
      </c>
      <c r="CL88" s="120" t="b">
        <f t="shared" si="71"/>
        <v>0</v>
      </c>
      <c r="CM88" s="112" t="b">
        <f t="shared" si="72"/>
        <v>0</v>
      </c>
      <c r="CN88" s="112" t="b">
        <f t="shared" si="73"/>
        <v>0</v>
      </c>
      <c r="CO88" s="118" t="b">
        <f t="shared" si="74"/>
        <v>0</v>
      </c>
      <c r="CP88" s="121" t="b">
        <f t="shared" si="87"/>
        <v>0</v>
      </c>
      <c r="CQ88" s="120" t="b">
        <f t="shared" si="75"/>
        <v>0</v>
      </c>
      <c r="CR88" s="122" t="b">
        <f t="shared" si="76"/>
        <v>0</v>
      </c>
      <c r="CS88" s="123" t="b">
        <f t="shared" si="77"/>
        <v>0</v>
      </c>
      <c r="CT88" s="123" t="str">
        <f t="shared" si="88"/>
        <v/>
      </c>
      <c r="CU88" s="123" t="str">
        <f t="shared" si="78"/>
        <v/>
      </c>
      <c r="CV88" s="123" t="str">
        <f t="shared" si="79"/>
        <v/>
      </c>
      <c r="CW88" s="123" t="str">
        <f t="shared" si="80"/>
        <v/>
      </c>
      <c r="CX88" s="124" t="str">
        <f t="shared" si="89"/>
        <v/>
      </c>
      <c r="CY88" s="123" t="str">
        <f t="shared" si="81"/>
        <v/>
      </c>
      <c r="CZ88" s="123" t="str">
        <f t="shared" si="82"/>
        <v/>
      </c>
      <c r="DA88" s="131">
        <f t="shared" si="90"/>
        <v>2</v>
      </c>
      <c r="DB88" s="132" t="str">
        <f t="shared" si="90"/>
        <v>Minimally Proficient: Most requirements met with many errors</v>
      </c>
    </row>
    <row r="89" spans="1:111" s="67" customFormat="1" ht="12.9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N89" s="127">
        <f>IF(ISNA(BL89),"",IF(OR(BL89=1,BL89=2),"    ",MAX($AN$84:AN88)+1))</f>
        <v>4</v>
      </c>
      <c r="AO89" s="182" t="str">
        <f t="shared" si="55"/>
        <v xml:space="preserve">      - Test Methods and Conditions (3.8%)</v>
      </c>
      <c r="AP89" s="182"/>
      <c r="AQ89" s="182"/>
      <c r="AR89" s="183"/>
      <c r="AS89" s="107">
        <f t="shared" si="56"/>
        <v>1</v>
      </c>
      <c r="AT89" s="108" t="str">
        <f t="shared" si="57"/>
        <v>2*</v>
      </c>
      <c r="AU89" s="128">
        <f t="shared" si="57"/>
        <v>3</v>
      </c>
      <c r="AV89" s="133"/>
      <c r="AW89" s="130"/>
      <c r="AX89" s="225"/>
      <c r="AY89" s="226"/>
      <c r="AZ89" s="226"/>
      <c r="BA89" s="226"/>
      <c r="BB89" s="226"/>
      <c r="BC89" s="226"/>
      <c r="BD89" s="227"/>
      <c r="BF89" s="72">
        <v>6</v>
      </c>
      <c r="BG89" s="60" t="str">
        <f t="shared" si="58"/>
        <v xml:space="preserve">      - Test Methods and Conditions</v>
      </c>
      <c r="BH89" s="112">
        <f t="shared" si="58"/>
        <v>1</v>
      </c>
      <c r="BI89" s="112">
        <f t="shared" si="58"/>
        <v>1</v>
      </c>
      <c r="BJ89" s="112" t="str">
        <f t="shared" si="58"/>
        <v/>
      </c>
      <c r="BK89" s="112" t="str">
        <f t="shared" si="58"/>
        <v/>
      </c>
      <c r="BL89" s="121" t="str">
        <f t="shared" si="58"/>
        <v/>
      </c>
      <c r="BM89" s="121">
        <f t="shared" si="58"/>
        <v>2</v>
      </c>
      <c r="BN89" s="121">
        <f t="shared" si="58"/>
        <v>1</v>
      </c>
      <c r="BO89" s="112">
        <f t="shared" si="58"/>
        <v>3</v>
      </c>
      <c r="BP89" s="112">
        <f t="shared" si="58"/>
        <v>2</v>
      </c>
      <c r="BQ89" s="112">
        <f t="shared" si="58"/>
        <v>1</v>
      </c>
      <c r="BR89" s="112" t="b">
        <f t="shared" si="58"/>
        <v>1</v>
      </c>
      <c r="BS89" s="112">
        <f t="shared" si="59"/>
        <v>2</v>
      </c>
      <c r="BT89" s="112">
        <f t="shared" si="60"/>
        <v>1</v>
      </c>
      <c r="BU89" s="113">
        <f>IF(NOT(OR(BL89=1,BL89=2)),IF(CC89&gt;0,$CD$120*CC89/SUMIF($CC$84:$CC$115,"&gt;0"),IF(CG89&gt;0,$CH$120*CG89/SUMIF($CG$84:$CG$115,"&gt;0"),IF(CE89&gt;0,$CF$120*CE89/SUMIF($CE$84:$CE$115,"&gt;0"),""))),IF(SUMIF(BV90:$BV$115,"=" &amp; BV89,BU90:$BU$115)=0,"",SUMIF(BV90:$BV$115,"=" &amp; BV89,BU90:$BU$115)))</f>
        <v>3.8461538461538464E-2</v>
      </c>
      <c r="BV89" s="114">
        <f t="shared" si="91"/>
        <v>1</v>
      </c>
      <c r="BW89" s="112">
        <f t="shared" si="83"/>
        <v>2</v>
      </c>
      <c r="BX89" s="121" t="str">
        <f t="shared" si="84"/>
        <v/>
      </c>
      <c r="BY89" s="121" t="str">
        <f t="shared" si="92"/>
        <v/>
      </c>
      <c r="BZ89" s="121" t="str">
        <f t="shared" si="61"/>
        <v/>
      </c>
      <c r="CA89" s="121" t="str">
        <f t="shared" si="62"/>
        <v/>
      </c>
      <c r="CB89" s="112" t="b">
        <f t="shared" si="63"/>
        <v>1</v>
      </c>
      <c r="CC89" s="115">
        <f t="shared" si="85"/>
        <v>1</v>
      </c>
      <c r="CD89" s="116" t="str">
        <f t="shared" si="64"/>
        <v/>
      </c>
      <c r="CE89" s="117">
        <f t="shared" si="86"/>
        <v>0</v>
      </c>
      <c r="CF89" s="116" t="str">
        <f t="shared" si="65"/>
        <v/>
      </c>
      <c r="CG89" s="118">
        <f t="shared" si="66"/>
        <v>0</v>
      </c>
      <c r="CH89" s="119" t="str">
        <f t="shared" si="67"/>
        <v/>
      </c>
      <c r="CI89" s="118" t="b">
        <f t="shared" si="68"/>
        <v>0</v>
      </c>
      <c r="CJ89" s="120" t="b">
        <f t="shared" si="69"/>
        <v>1</v>
      </c>
      <c r="CK89" s="118" t="b">
        <f t="shared" si="70"/>
        <v>0</v>
      </c>
      <c r="CL89" s="120" t="b">
        <f t="shared" si="71"/>
        <v>0</v>
      </c>
      <c r="CM89" s="112" t="b">
        <f t="shared" si="72"/>
        <v>0</v>
      </c>
      <c r="CN89" s="112" t="b">
        <f t="shared" si="73"/>
        <v>0</v>
      </c>
      <c r="CO89" s="118" t="b">
        <f t="shared" si="74"/>
        <v>0</v>
      </c>
      <c r="CP89" s="121" t="b">
        <f t="shared" si="87"/>
        <v>0</v>
      </c>
      <c r="CQ89" s="120" t="b">
        <f t="shared" si="75"/>
        <v>0</v>
      </c>
      <c r="CR89" s="122" t="b">
        <f t="shared" si="76"/>
        <v>0</v>
      </c>
      <c r="CS89" s="123" t="b">
        <f t="shared" si="77"/>
        <v>1</v>
      </c>
      <c r="CT89" s="123">
        <f t="shared" si="88"/>
        <v>1</v>
      </c>
      <c r="CU89" s="123">
        <f t="shared" si="78"/>
        <v>2</v>
      </c>
      <c r="CV89" s="123" t="str">
        <f t="shared" si="79"/>
        <v>2*</v>
      </c>
      <c r="CW89" s="123">
        <f t="shared" si="80"/>
        <v>3</v>
      </c>
      <c r="CX89" s="124">
        <f t="shared" si="89"/>
        <v>1</v>
      </c>
      <c r="CY89" s="123">
        <f t="shared" si="81"/>
        <v>2</v>
      </c>
      <c r="CZ89" s="123">
        <f t="shared" si="82"/>
        <v>3</v>
      </c>
      <c r="DA89" s="131">
        <f t="shared" si="90"/>
        <v>3</v>
      </c>
      <c r="DB89" s="132" t="str">
        <f t="shared" si="90"/>
        <v>Proficient: Most requirements met with few errors</v>
      </c>
    </row>
    <row r="90" spans="1:111" s="67" customFormat="1" ht="12.9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N90" s="127">
        <f>IF(ISNA(BL90),"",IF(OR(BL90=1,BL90=2),"    ",MAX($AN$84:AN89)+1))</f>
        <v>5</v>
      </c>
      <c r="AO90" s="182" t="str">
        <f t="shared" si="55"/>
        <v xml:space="preserve">      - Objective Results (3.8%)</v>
      </c>
      <c r="AP90" s="182"/>
      <c r="AQ90" s="182"/>
      <c r="AR90" s="183"/>
      <c r="AS90" s="107">
        <f t="shared" si="56"/>
        <v>1</v>
      </c>
      <c r="AT90" s="108" t="str">
        <f t="shared" si="57"/>
        <v>2*</v>
      </c>
      <c r="AU90" s="128">
        <f t="shared" si="57"/>
        <v>3</v>
      </c>
      <c r="AV90" s="133"/>
      <c r="AW90" s="130"/>
      <c r="AX90" s="225"/>
      <c r="AY90" s="226"/>
      <c r="AZ90" s="226"/>
      <c r="BA90" s="226"/>
      <c r="BB90" s="226"/>
      <c r="BC90" s="226"/>
      <c r="BD90" s="227"/>
      <c r="BF90" s="72">
        <v>7</v>
      </c>
      <c r="BG90" s="60" t="str">
        <f t="shared" si="58"/>
        <v xml:space="preserve">      - Objective Results</v>
      </c>
      <c r="BH90" s="112">
        <f t="shared" si="58"/>
        <v>1</v>
      </c>
      <c r="BI90" s="112">
        <f t="shared" si="58"/>
        <v>1</v>
      </c>
      <c r="BJ90" s="112" t="str">
        <f t="shared" si="58"/>
        <v/>
      </c>
      <c r="BK90" s="112" t="str">
        <f t="shared" si="58"/>
        <v/>
      </c>
      <c r="BL90" s="121" t="str">
        <f t="shared" si="58"/>
        <v/>
      </c>
      <c r="BM90" s="121">
        <f t="shared" si="58"/>
        <v>2</v>
      </c>
      <c r="BN90" s="121">
        <f t="shared" si="58"/>
        <v>1</v>
      </c>
      <c r="BO90" s="112">
        <f t="shared" si="58"/>
        <v>3</v>
      </c>
      <c r="BP90" s="112">
        <f t="shared" si="58"/>
        <v>2</v>
      </c>
      <c r="BQ90" s="112">
        <f t="shared" si="58"/>
        <v>1</v>
      </c>
      <c r="BR90" s="112" t="b">
        <f t="shared" si="58"/>
        <v>1</v>
      </c>
      <c r="BS90" s="112">
        <f t="shared" si="59"/>
        <v>2</v>
      </c>
      <c r="BT90" s="112">
        <f t="shared" si="60"/>
        <v>1</v>
      </c>
      <c r="BU90" s="113">
        <f>IF(NOT(OR(BL90=1,BL90=2)),IF(CC90&gt;0,$CD$120*CC90/SUMIF($CC$84:$CC$115,"&gt;0"),IF(CG90&gt;0,$CH$120*CG90/SUMIF($CG$84:$CG$115,"&gt;0"),IF(CE90&gt;0,$CF$120*CE90/SUMIF($CE$84:$CE$115,"&gt;0"),""))),IF(SUMIF(BV91:$BV$115,"=" &amp; BV90,BU91:$BU$115)=0,"",SUMIF(BV91:$BV$115,"=" &amp; BV90,BU91:$BU$115)))</f>
        <v>3.8461538461538464E-2</v>
      </c>
      <c r="BV90" s="114">
        <f t="shared" si="91"/>
        <v>1</v>
      </c>
      <c r="BW90" s="112">
        <f t="shared" si="83"/>
        <v>2</v>
      </c>
      <c r="BX90" s="121" t="str">
        <f t="shared" si="84"/>
        <v/>
      </c>
      <c r="BY90" s="121" t="str">
        <f t="shared" si="92"/>
        <v/>
      </c>
      <c r="BZ90" s="121" t="str">
        <f t="shared" si="61"/>
        <v/>
      </c>
      <c r="CA90" s="121" t="str">
        <f t="shared" si="62"/>
        <v/>
      </c>
      <c r="CB90" s="112" t="b">
        <f t="shared" si="63"/>
        <v>1</v>
      </c>
      <c r="CC90" s="115">
        <f t="shared" si="85"/>
        <v>1</v>
      </c>
      <c r="CD90" s="116" t="str">
        <f t="shared" si="64"/>
        <v/>
      </c>
      <c r="CE90" s="117">
        <f t="shared" si="86"/>
        <v>0</v>
      </c>
      <c r="CF90" s="116" t="str">
        <f t="shared" si="65"/>
        <v/>
      </c>
      <c r="CG90" s="118">
        <f t="shared" si="66"/>
        <v>0</v>
      </c>
      <c r="CH90" s="119" t="str">
        <f t="shared" si="67"/>
        <v/>
      </c>
      <c r="CI90" s="118" t="b">
        <f t="shared" si="68"/>
        <v>0</v>
      </c>
      <c r="CJ90" s="120" t="b">
        <f t="shared" si="69"/>
        <v>1</v>
      </c>
      <c r="CK90" s="118" t="b">
        <f t="shared" si="70"/>
        <v>0</v>
      </c>
      <c r="CL90" s="120" t="b">
        <f t="shared" si="71"/>
        <v>0</v>
      </c>
      <c r="CM90" s="112" t="b">
        <f t="shared" si="72"/>
        <v>0</v>
      </c>
      <c r="CN90" s="112" t="b">
        <f t="shared" si="73"/>
        <v>0</v>
      </c>
      <c r="CO90" s="118" t="b">
        <f t="shared" si="74"/>
        <v>0</v>
      </c>
      <c r="CP90" s="121" t="b">
        <f t="shared" si="87"/>
        <v>0</v>
      </c>
      <c r="CQ90" s="120" t="b">
        <f t="shared" si="75"/>
        <v>0</v>
      </c>
      <c r="CR90" s="122" t="b">
        <f t="shared" si="76"/>
        <v>0</v>
      </c>
      <c r="CS90" s="123" t="b">
        <f t="shared" si="77"/>
        <v>1</v>
      </c>
      <c r="CT90" s="123">
        <f t="shared" si="88"/>
        <v>1</v>
      </c>
      <c r="CU90" s="123">
        <f t="shared" si="78"/>
        <v>2</v>
      </c>
      <c r="CV90" s="123" t="str">
        <f t="shared" si="79"/>
        <v>2*</v>
      </c>
      <c r="CW90" s="123">
        <f t="shared" si="80"/>
        <v>3</v>
      </c>
      <c r="CX90" s="124">
        <f t="shared" si="89"/>
        <v>1</v>
      </c>
      <c r="CY90" s="123">
        <f t="shared" si="81"/>
        <v>2</v>
      </c>
      <c r="CZ90" s="123">
        <f t="shared" si="82"/>
        <v>3</v>
      </c>
      <c r="DA90" s="131">
        <f t="shared" si="90"/>
        <v>4</v>
      </c>
      <c r="DB90" s="132" t="str">
        <f t="shared" si="90"/>
        <v>Highly Proficient: All requirements met with few errors</v>
      </c>
    </row>
    <row r="91" spans="1:111" s="67" customFormat="1" ht="12.9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N91" s="127">
        <f>IF(ISNA(BL91),"",IF(OR(BL91=1,BL91=2),"    ",MAX($AN$84:AN90)+1))</f>
        <v>6</v>
      </c>
      <c r="AO91" s="182" t="str">
        <f t="shared" si="55"/>
        <v xml:space="preserve">      - Engineering Analysis &amp; Operational Impact (3.8%)</v>
      </c>
      <c r="AP91" s="182"/>
      <c r="AQ91" s="182"/>
      <c r="AR91" s="183"/>
      <c r="AS91" s="107">
        <f t="shared" si="56"/>
        <v>1</v>
      </c>
      <c r="AT91" s="108" t="str">
        <f t="shared" si="57"/>
        <v>2*</v>
      </c>
      <c r="AU91" s="128">
        <f t="shared" si="57"/>
        <v>3</v>
      </c>
      <c r="AV91" s="133"/>
      <c r="AW91" s="130"/>
      <c r="AX91" s="225"/>
      <c r="AY91" s="226"/>
      <c r="AZ91" s="226"/>
      <c r="BA91" s="226"/>
      <c r="BB91" s="226"/>
      <c r="BC91" s="226"/>
      <c r="BD91" s="227"/>
      <c r="BF91" s="72">
        <v>8</v>
      </c>
      <c r="BG91" s="60" t="str">
        <f t="shared" si="58"/>
        <v xml:space="preserve">      - Engineering Analysis &amp; Operational Impact</v>
      </c>
      <c r="BH91" s="112">
        <f t="shared" si="58"/>
        <v>1</v>
      </c>
      <c r="BI91" s="112">
        <f t="shared" si="58"/>
        <v>1</v>
      </c>
      <c r="BJ91" s="112" t="str">
        <f t="shared" si="58"/>
        <v/>
      </c>
      <c r="BK91" s="112" t="str">
        <f t="shared" si="58"/>
        <v/>
      </c>
      <c r="BL91" s="121" t="str">
        <f t="shared" si="58"/>
        <v/>
      </c>
      <c r="BM91" s="121">
        <f t="shared" si="58"/>
        <v>2</v>
      </c>
      <c r="BN91" s="121">
        <f t="shared" si="58"/>
        <v>1</v>
      </c>
      <c r="BO91" s="112">
        <f t="shared" si="58"/>
        <v>3</v>
      </c>
      <c r="BP91" s="112">
        <f t="shared" si="58"/>
        <v>2</v>
      </c>
      <c r="BQ91" s="112">
        <f t="shared" si="58"/>
        <v>1</v>
      </c>
      <c r="BR91" s="112" t="b">
        <f t="shared" si="58"/>
        <v>1</v>
      </c>
      <c r="BS91" s="112">
        <f t="shared" si="59"/>
        <v>2</v>
      </c>
      <c r="BT91" s="112">
        <f t="shared" si="60"/>
        <v>1</v>
      </c>
      <c r="BU91" s="113">
        <f>IF(NOT(OR(BL91=1,BL91=2)),IF(CC91&gt;0,$CD$120*CC91/SUMIF($CC$84:$CC$115,"&gt;0"),IF(CG91&gt;0,$CH$120*CG91/SUMIF($CG$84:$CG$115,"&gt;0"),IF(CE91&gt;0,$CF$120*CE91/SUMIF($CE$84:$CE$115,"&gt;0"),""))),IF(SUMIF(BV92:$BV$115,"=" &amp; BV91,BU92:$BU$115)=0,"",SUMIF(BV92:$BV$115,"=" &amp; BV91,BU92:$BU$115)))</f>
        <v>3.8461538461538464E-2</v>
      </c>
      <c r="BV91" s="114">
        <f t="shared" si="91"/>
        <v>1</v>
      </c>
      <c r="BW91" s="112">
        <f t="shared" si="83"/>
        <v>2</v>
      </c>
      <c r="BX91" s="121" t="str">
        <f t="shared" si="84"/>
        <v/>
      </c>
      <c r="BY91" s="121" t="str">
        <f t="shared" si="92"/>
        <v/>
      </c>
      <c r="BZ91" s="121" t="str">
        <f t="shared" si="61"/>
        <v/>
      </c>
      <c r="CA91" s="121" t="str">
        <f t="shared" si="62"/>
        <v/>
      </c>
      <c r="CB91" s="112" t="b">
        <f t="shared" si="63"/>
        <v>1</v>
      </c>
      <c r="CC91" s="115">
        <f t="shared" si="85"/>
        <v>1</v>
      </c>
      <c r="CD91" s="116" t="str">
        <f t="shared" si="64"/>
        <v/>
      </c>
      <c r="CE91" s="117">
        <f t="shared" si="86"/>
        <v>0</v>
      </c>
      <c r="CF91" s="116" t="str">
        <f t="shared" si="65"/>
        <v/>
      </c>
      <c r="CG91" s="118">
        <f t="shared" si="66"/>
        <v>0</v>
      </c>
      <c r="CH91" s="119" t="str">
        <f t="shared" si="67"/>
        <v/>
      </c>
      <c r="CI91" s="118" t="b">
        <f t="shared" si="68"/>
        <v>0</v>
      </c>
      <c r="CJ91" s="120" t="b">
        <f t="shared" si="69"/>
        <v>1</v>
      </c>
      <c r="CK91" s="118" t="b">
        <f t="shared" si="70"/>
        <v>0</v>
      </c>
      <c r="CL91" s="120" t="b">
        <f t="shared" si="71"/>
        <v>0</v>
      </c>
      <c r="CM91" s="112" t="b">
        <f t="shared" si="72"/>
        <v>0</v>
      </c>
      <c r="CN91" s="112" t="b">
        <f t="shared" si="73"/>
        <v>0</v>
      </c>
      <c r="CO91" s="118" t="b">
        <f t="shared" si="74"/>
        <v>0</v>
      </c>
      <c r="CP91" s="121" t="b">
        <f t="shared" si="87"/>
        <v>0</v>
      </c>
      <c r="CQ91" s="120" t="b">
        <f t="shared" si="75"/>
        <v>0</v>
      </c>
      <c r="CR91" s="122" t="b">
        <f t="shared" si="76"/>
        <v>0</v>
      </c>
      <c r="CS91" s="123" t="b">
        <f t="shared" si="77"/>
        <v>1</v>
      </c>
      <c r="CT91" s="123">
        <f t="shared" si="88"/>
        <v>1</v>
      </c>
      <c r="CU91" s="123">
        <f t="shared" si="78"/>
        <v>2</v>
      </c>
      <c r="CV91" s="123" t="str">
        <f t="shared" si="79"/>
        <v>2*</v>
      </c>
      <c r="CW91" s="123">
        <f t="shared" si="80"/>
        <v>3</v>
      </c>
      <c r="CX91" s="124">
        <f t="shared" si="89"/>
        <v>1</v>
      </c>
      <c r="CY91" s="123">
        <f t="shared" si="81"/>
        <v>2</v>
      </c>
      <c r="CZ91" s="123">
        <f t="shared" si="82"/>
        <v>3</v>
      </c>
      <c r="DA91" s="63"/>
    </row>
    <row r="92" spans="1:111" s="67" customFormat="1" ht="12.9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N92" s="127">
        <f>IF(ISNA(BL92),"",IF(OR(BL92=1,BL92=2),"    ",MAX($AN$84:AN91)+1))</f>
        <v>7</v>
      </c>
      <c r="AO92" s="182" t="str">
        <f t="shared" si="55"/>
        <v xml:space="preserve">      - Conclusions &amp; Recommendations (3.8%)</v>
      </c>
      <c r="AP92" s="182"/>
      <c r="AQ92" s="182"/>
      <c r="AR92" s="183"/>
      <c r="AS92" s="107">
        <f t="shared" si="56"/>
        <v>1</v>
      </c>
      <c r="AT92" s="108" t="str">
        <f t="shared" si="57"/>
        <v>2*</v>
      </c>
      <c r="AU92" s="128">
        <f t="shared" si="57"/>
        <v>3</v>
      </c>
      <c r="AV92" s="133"/>
      <c r="AW92" s="130"/>
      <c r="AX92" s="225"/>
      <c r="AY92" s="226"/>
      <c r="AZ92" s="226"/>
      <c r="BA92" s="226"/>
      <c r="BB92" s="226"/>
      <c r="BC92" s="226"/>
      <c r="BD92" s="227"/>
      <c r="BF92" s="72">
        <v>9</v>
      </c>
      <c r="BG92" s="60" t="str">
        <f t="shared" si="58"/>
        <v xml:space="preserve">      - Conclusions &amp; Recommendations</v>
      </c>
      <c r="BH92" s="112">
        <f t="shared" si="58"/>
        <v>1</v>
      </c>
      <c r="BI92" s="112">
        <f t="shared" si="58"/>
        <v>1</v>
      </c>
      <c r="BJ92" s="112" t="str">
        <f t="shared" si="58"/>
        <v/>
      </c>
      <c r="BK92" s="112" t="str">
        <f t="shared" si="58"/>
        <v/>
      </c>
      <c r="BL92" s="121" t="str">
        <f t="shared" si="58"/>
        <v/>
      </c>
      <c r="BM92" s="121">
        <f t="shared" si="58"/>
        <v>2</v>
      </c>
      <c r="BN92" s="121">
        <f t="shared" si="58"/>
        <v>1</v>
      </c>
      <c r="BO92" s="112">
        <f t="shared" si="58"/>
        <v>3</v>
      </c>
      <c r="BP92" s="112">
        <f t="shared" si="58"/>
        <v>2</v>
      </c>
      <c r="BQ92" s="112">
        <f t="shared" si="58"/>
        <v>1</v>
      </c>
      <c r="BR92" s="112" t="b">
        <f t="shared" si="58"/>
        <v>1</v>
      </c>
      <c r="BS92" s="112">
        <f t="shared" si="59"/>
        <v>2</v>
      </c>
      <c r="BT92" s="112">
        <f t="shared" si="60"/>
        <v>1</v>
      </c>
      <c r="BU92" s="113">
        <f>IF(NOT(OR(BL92=1,BL92=2)),IF(CC92&gt;0,$CD$120*CC92/SUMIF($CC$84:$CC$115,"&gt;0"),IF(CG92&gt;0,$CH$120*CG92/SUMIF($CG$84:$CG$115,"&gt;0"),IF(CE92&gt;0,$CF$120*CE92/SUMIF($CE$84:$CE$115,"&gt;0"),""))),IF(SUMIF(BV93:$BV$115,"=" &amp; BV92,BU93:$BU$115)=0,"",SUMIF(BV93:$BV$115,"=" &amp; BV92,BU93:$BU$115)))</f>
        <v>3.8461538461538464E-2</v>
      </c>
      <c r="BV92" s="114">
        <f t="shared" si="91"/>
        <v>1</v>
      </c>
      <c r="BW92" s="112">
        <f t="shared" si="83"/>
        <v>2</v>
      </c>
      <c r="BX92" s="121" t="str">
        <f t="shared" si="84"/>
        <v/>
      </c>
      <c r="BY92" s="121" t="str">
        <f t="shared" si="92"/>
        <v/>
      </c>
      <c r="BZ92" s="121" t="str">
        <f t="shared" si="61"/>
        <v/>
      </c>
      <c r="CA92" s="121" t="str">
        <f t="shared" si="62"/>
        <v/>
      </c>
      <c r="CB92" s="112" t="b">
        <f t="shared" si="63"/>
        <v>1</v>
      </c>
      <c r="CC92" s="115">
        <f t="shared" si="85"/>
        <v>1</v>
      </c>
      <c r="CD92" s="116" t="str">
        <f t="shared" si="64"/>
        <v/>
      </c>
      <c r="CE92" s="117">
        <f t="shared" si="86"/>
        <v>0</v>
      </c>
      <c r="CF92" s="116" t="str">
        <f t="shared" si="65"/>
        <v/>
      </c>
      <c r="CG92" s="118">
        <f t="shared" si="66"/>
        <v>0</v>
      </c>
      <c r="CH92" s="119" t="str">
        <f t="shared" si="67"/>
        <v/>
      </c>
      <c r="CI92" s="118" t="b">
        <f t="shared" si="68"/>
        <v>0</v>
      </c>
      <c r="CJ92" s="120" t="b">
        <f t="shared" si="69"/>
        <v>1</v>
      </c>
      <c r="CK92" s="118" t="b">
        <f t="shared" si="70"/>
        <v>0</v>
      </c>
      <c r="CL92" s="120" t="b">
        <f t="shared" si="71"/>
        <v>0</v>
      </c>
      <c r="CM92" s="112" t="b">
        <f t="shared" si="72"/>
        <v>0</v>
      </c>
      <c r="CN92" s="112" t="b">
        <f t="shared" si="73"/>
        <v>0</v>
      </c>
      <c r="CO92" s="118" t="b">
        <f t="shared" si="74"/>
        <v>0</v>
      </c>
      <c r="CP92" s="121" t="b">
        <f t="shared" si="87"/>
        <v>0</v>
      </c>
      <c r="CQ92" s="120" t="b">
        <f t="shared" si="75"/>
        <v>0</v>
      </c>
      <c r="CR92" s="122" t="b">
        <f t="shared" si="76"/>
        <v>0</v>
      </c>
      <c r="CS92" s="123" t="b">
        <f t="shared" si="77"/>
        <v>1</v>
      </c>
      <c r="CT92" s="123">
        <f t="shared" si="88"/>
        <v>1</v>
      </c>
      <c r="CU92" s="123">
        <f t="shared" si="78"/>
        <v>2</v>
      </c>
      <c r="CV92" s="123" t="str">
        <f t="shared" si="79"/>
        <v>2*</v>
      </c>
      <c r="CW92" s="123">
        <f t="shared" si="80"/>
        <v>3</v>
      </c>
      <c r="CX92" s="124">
        <f t="shared" si="89"/>
        <v>1</v>
      </c>
      <c r="CY92" s="123">
        <f t="shared" si="81"/>
        <v>2</v>
      </c>
      <c r="CZ92" s="123">
        <f t="shared" si="82"/>
        <v>3</v>
      </c>
      <c r="DA92" s="131"/>
      <c r="DB92" s="134"/>
    </row>
    <row r="93" spans="1:111" s="67" customFormat="1" ht="12.9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N93" s="127" t="str">
        <f>IF(ISNA(BL93),"",IF(OR(BL93=1,BL93=2),"    ",MAX($AN$84:AN92)+1))</f>
        <v xml:space="preserve">    </v>
      </c>
      <c r="AO93" s="182" t="str">
        <f t="shared" si="55"/>
        <v>Content &amp; Analysis (Obj 2) (15.4%)</v>
      </c>
      <c r="AP93" s="182"/>
      <c r="AQ93" s="182"/>
      <c r="AR93" s="183"/>
      <c r="AS93" s="107" t="str">
        <f t="shared" si="56"/>
        <v/>
      </c>
      <c r="AT93" s="108" t="str">
        <f t="shared" si="57"/>
        <v/>
      </c>
      <c r="AU93" s="128" t="str">
        <f t="shared" si="57"/>
        <v/>
      </c>
      <c r="AV93" s="133"/>
      <c r="AW93" s="130"/>
      <c r="AX93" s="225"/>
      <c r="AY93" s="226"/>
      <c r="AZ93" s="226"/>
      <c r="BA93" s="226"/>
      <c r="BB93" s="226"/>
      <c r="BC93" s="226"/>
      <c r="BD93" s="227"/>
      <c r="BF93" s="72">
        <v>10</v>
      </c>
      <c r="BG93" s="60" t="str">
        <f t="shared" si="58"/>
        <v>Content &amp; Analysis (Obj 2)</v>
      </c>
      <c r="BH93" s="112" t="str">
        <f t="shared" si="58"/>
        <v/>
      </c>
      <c r="BI93" s="112" t="str">
        <f t="shared" si="58"/>
        <v/>
      </c>
      <c r="BJ93" s="112" t="str">
        <f t="shared" si="58"/>
        <v/>
      </c>
      <c r="BK93" s="112" t="str">
        <f t="shared" si="58"/>
        <v/>
      </c>
      <c r="BL93" s="121">
        <f t="shared" si="58"/>
        <v>2</v>
      </c>
      <c r="BM93" s="121">
        <f t="shared" si="58"/>
        <v>1</v>
      </c>
      <c r="BN93" s="121">
        <f t="shared" si="58"/>
        <v>1</v>
      </c>
      <c r="BO93" s="112" t="str">
        <f t="shared" si="58"/>
        <v/>
      </c>
      <c r="BP93" s="112" t="str">
        <f t="shared" si="58"/>
        <v/>
      </c>
      <c r="BQ93" s="112" t="str">
        <f t="shared" si="58"/>
        <v/>
      </c>
      <c r="BR93" s="112" t="str">
        <f t="shared" si="58"/>
        <v/>
      </c>
      <c r="BS93" s="112" t="str">
        <f t="shared" si="59"/>
        <v/>
      </c>
      <c r="BT93" s="112" t="str">
        <f t="shared" si="60"/>
        <v/>
      </c>
      <c r="BU93" s="113">
        <f>IF(NOT(OR(BL93=1,BL93=2)),IF(CC93&gt;0,$CD$120*CC93/SUMIF($CC$84:$CC$115,"&gt;0"),IF(CG93&gt;0,$CH$120*CG93/SUMIF($CG$84:$CG$115,"&gt;0"),IF(CE93&gt;0,$CF$120*CE93/SUMIF($CE$84:$CE$115,"&gt;0"),""))),IF(SUMIF(BV94:$BV$115,"=" &amp; BV93,BU94:$BU$115)=0,"",SUMIF(BV94:$BV$115,"=" &amp; BV93,BU94:$BU$115)))</f>
        <v>0.15384615384615385</v>
      </c>
      <c r="BV93" s="114">
        <f t="shared" si="91"/>
        <v>2</v>
      </c>
      <c r="BW93" s="112" t="str">
        <f t="shared" si="83"/>
        <v/>
      </c>
      <c r="BX93" s="121" t="str">
        <f t="shared" si="84"/>
        <v/>
      </c>
      <c r="BY93" s="121" t="str">
        <f t="shared" si="92"/>
        <v/>
      </c>
      <c r="BZ93" s="121" t="str">
        <f t="shared" si="61"/>
        <v/>
      </c>
      <c r="CA93" s="121" t="str">
        <f t="shared" si="62"/>
        <v/>
      </c>
      <c r="CB93" s="112" t="str">
        <f t="shared" si="63"/>
        <v/>
      </c>
      <c r="CC93" s="115">
        <f t="shared" si="85"/>
        <v>0</v>
      </c>
      <c r="CD93" s="116" t="str">
        <f t="shared" si="64"/>
        <v/>
      </c>
      <c r="CE93" s="117">
        <f t="shared" si="86"/>
        <v>0</v>
      </c>
      <c r="CF93" s="116" t="str">
        <f t="shared" si="65"/>
        <v/>
      </c>
      <c r="CG93" s="118">
        <f t="shared" si="66"/>
        <v>0</v>
      </c>
      <c r="CH93" s="119" t="str">
        <f t="shared" si="67"/>
        <v/>
      </c>
      <c r="CI93" s="118" t="b">
        <f t="shared" si="68"/>
        <v>0</v>
      </c>
      <c r="CJ93" s="120" t="b">
        <f t="shared" si="69"/>
        <v>0</v>
      </c>
      <c r="CK93" s="118" t="b">
        <f t="shared" si="70"/>
        <v>0</v>
      </c>
      <c r="CL93" s="120" t="b">
        <f t="shared" si="71"/>
        <v>0</v>
      </c>
      <c r="CM93" s="112" t="b">
        <f t="shared" si="72"/>
        <v>0</v>
      </c>
      <c r="CN93" s="112" t="b">
        <f t="shared" si="73"/>
        <v>0</v>
      </c>
      <c r="CO93" s="118" t="b">
        <f t="shared" si="74"/>
        <v>0</v>
      </c>
      <c r="CP93" s="121" t="b">
        <f t="shared" si="87"/>
        <v>0</v>
      </c>
      <c r="CQ93" s="120" t="b">
        <f t="shared" si="75"/>
        <v>0</v>
      </c>
      <c r="CR93" s="122" t="b">
        <f t="shared" si="76"/>
        <v>0</v>
      </c>
      <c r="CS93" s="123" t="b">
        <f t="shared" si="77"/>
        <v>0</v>
      </c>
      <c r="CT93" s="123" t="str">
        <f t="shared" si="88"/>
        <v/>
      </c>
      <c r="CU93" s="123" t="str">
        <f t="shared" si="78"/>
        <v/>
      </c>
      <c r="CV93" s="123" t="str">
        <f t="shared" si="79"/>
        <v/>
      </c>
      <c r="CW93" s="123" t="str">
        <f t="shared" si="80"/>
        <v/>
      </c>
      <c r="CX93" s="124" t="str">
        <f t="shared" si="89"/>
        <v/>
      </c>
      <c r="CY93" s="123" t="str">
        <f t="shared" si="81"/>
        <v/>
      </c>
      <c r="CZ93" s="123" t="str">
        <f t="shared" si="82"/>
        <v/>
      </c>
      <c r="DA93" s="63"/>
    </row>
    <row r="94" spans="1:111" s="67" customFormat="1" ht="12.9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N94" s="127">
        <f>IF(ISNA(BL94),"",IF(OR(BL94=1,BL94=2),"    ",MAX($AN$84:AN93)+1))</f>
        <v>8</v>
      </c>
      <c r="AO94" s="182" t="str">
        <f t="shared" si="55"/>
        <v xml:space="preserve">      - Test Methods and Conditions (3.8%)</v>
      </c>
      <c r="AP94" s="182"/>
      <c r="AQ94" s="182"/>
      <c r="AR94" s="183"/>
      <c r="AS94" s="107">
        <f t="shared" si="56"/>
        <v>1</v>
      </c>
      <c r="AT94" s="108" t="str">
        <f t="shared" si="57"/>
        <v>2*</v>
      </c>
      <c r="AU94" s="128">
        <f t="shared" si="57"/>
        <v>3</v>
      </c>
      <c r="AV94" s="133"/>
      <c r="AW94" s="130"/>
      <c r="AX94" s="225"/>
      <c r="AY94" s="226"/>
      <c r="AZ94" s="226"/>
      <c r="BA94" s="226"/>
      <c r="BB94" s="226"/>
      <c r="BC94" s="226"/>
      <c r="BD94" s="227"/>
      <c r="BF94" s="72">
        <v>11</v>
      </c>
      <c r="BG94" s="60" t="str">
        <f t="shared" ref="BG94:BR109" si="93">VLOOKUP($BF94,crit_input_data,BG$82,FALSE)</f>
        <v xml:space="preserve">      - Test Methods and Conditions</v>
      </c>
      <c r="BH94" s="112">
        <f t="shared" si="93"/>
        <v>1</v>
      </c>
      <c r="BI94" s="112">
        <f t="shared" si="93"/>
        <v>1</v>
      </c>
      <c r="BJ94" s="112" t="str">
        <f t="shared" si="58"/>
        <v/>
      </c>
      <c r="BK94" s="112" t="str">
        <f t="shared" si="93"/>
        <v/>
      </c>
      <c r="BL94" s="121" t="str">
        <f t="shared" si="93"/>
        <v/>
      </c>
      <c r="BM94" s="121">
        <f t="shared" si="93"/>
        <v>2</v>
      </c>
      <c r="BN94" s="121">
        <f t="shared" si="93"/>
        <v>1</v>
      </c>
      <c r="BO94" s="112">
        <f t="shared" si="93"/>
        <v>3</v>
      </c>
      <c r="BP94" s="112">
        <f t="shared" si="93"/>
        <v>2</v>
      </c>
      <c r="BQ94" s="112">
        <f t="shared" si="93"/>
        <v>1</v>
      </c>
      <c r="BR94" s="112" t="b">
        <f t="shared" si="58"/>
        <v>1</v>
      </c>
      <c r="BS94" s="112">
        <f t="shared" si="59"/>
        <v>2</v>
      </c>
      <c r="BT94" s="112">
        <f t="shared" si="60"/>
        <v>1</v>
      </c>
      <c r="BU94" s="113">
        <f>IF(NOT(OR(BL94=1,BL94=2)),IF(CC94&gt;0,$CD$120*CC94/SUMIF($CC$84:$CC$115,"&gt;0"),IF(CG94&gt;0,$CH$120*CG94/SUMIF($CG$84:$CG$115,"&gt;0"),IF(CE94&gt;0,$CF$120*CE94/SUMIF($CE$84:$CE$115,"&gt;0"),""))),IF(SUMIF(BV95:$BV$115,"=" &amp; BV94,BU95:$BU$115)=0,"",SUMIF(BV95:$BV$115,"=" &amp; BV94,BU95:$BU$115)))</f>
        <v>3.8461538461538464E-2</v>
      </c>
      <c r="BV94" s="114">
        <f t="shared" si="91"/>
        <v>2</v>
      </c>
      <c r="BW94" s="112">
        <f t="shared" si="83"/>
        <v>2</v>
      </c>
      <c r="BX94" s="121" t="str">
        <f t="shared" si="84"/>
        <v/>
      </c>
      <c r="BY94" s="121" t="str">
        <f t="shared" si="92"/>
        <v/>
      </c>
      <c r="BZ94" s="121" t="str">
        <f t="shared" si="61"/>
        <v/>
      </c>
      <c r="CA94" s="121" t="str">
        <f t="shared" si="62"/>
        <v/>
      </c>
      <c r="CB94" s="112" t="b">
        <f t="shared" si="63"/>
        <v>1</v>
      </c>
      <c r="CC94" s="115">
        <f t="shared" si="85"/>
        <v>1</v>
      </c>
      <c r="CD94" s="116" t="str">
        <f t="shared" si="64"/>
        <v/>
      </c>
      <c r="CE94" s="117">
        <f t="shared" si="86"/>
        <v>0</v>
      </c>
      <c r="CF94" s="116" t="str">
        <f t="shared" si="65"/>
        <v/>
      </c>
      <c r="CG94" s="118">
        <f t="shared" si="66"/>
        <v>0</v>
      </c>
      <c r="CH94" s="119" t="str">
        <f t="shared" si="67"/>
        <v/>
      </c>
      <c r="CI94" s="118" t="b">
        <f t="shared" si="68"/>
        <v>0</v>
      </c>
      <c r="CJ94" s="120" t="b">
        <f t="shared" si="69"/>
        <v>1</v>
      </c>
      <c r="CK94" s="118" t="b">
        <f t="shared" si="70"/>
        <v>0</v>
      </c>
      <c r="CL94" s="120" t="b">
        <f t="shared" si="71"/>
        <v>0</v>
      </c>
      <c r="CM94" s="112" t="b">
        <f t="shared" si="72"/>
        <v>0</v>
      </c>
      <c r="CN94" s="112" t="b">
        <f t="shared" si="73"/>
        <v>0</v>
      </c>
      <c r="CO94" s="118" t="b">
        <f t="shared" si="74"/>
        <v>0</v>
      </c>
      <c r="CP94" s="121" t="b">
        <f t="shared" si="87"/>
        <v>0</v>
      </c>
      <c r="CQ94" s="120" t="b">
        <f t="shared" si="75"/>
        <v>0</v>
      </c>
      <c r="CR94" s="122" t="b">
        <f t="shared" si="76"/>
        <v>0</v>
      </c>
      <c r="CS94" s="123" t="b">
        <f t="shared" si="77"/>
        <v>1</v>
      </c>
      <c r="CT94" s="123">
        <f t="shared" si="88"/>
        <v>1</v>
      </c>
      <c r="CU94" s="123">
        <f t="shared" si="78"/>
        <v>2</v>
      </c>
      <c r="CV94" s="123" t="str">
        <f t="shared" si="79"/>
        <v>2*</v>
      </c>
      <c r="CW94" s="123">
        <f t="shared" si="80"/>
        <v>3</v>
      </c>
      <c r="CX94" s="124">
        <f t="shared" si="89"/>
        <v>1</v>
      </c>
      <c r="CY94" s="123">
        <f t="shared" si="81"/>
        <v>2</v>
      </c>
      <c r="CZ94" s="123">
        <f t="shared" si="82"/>
        <v>3</v>
      </c>
      <c r="DA94" s="135"/>
      <c r="DB94" s="134" t="s">
        <v>48</v>
      </c>
      <c r="DC94" s="136"/>
      <c r="DD94" s="136"/>
      <c r="DE94" s="136"/>
      <c r="DF94" s="136"/>
      <c r="DG94" s="136"/>
    </row>
    <row r="95" spans="1:111" s="67" customFormat="1" ht="12.9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N95" s="127">
        <f>IF(ISNA(BL95),"",IF(OR(BL95=1,BL95=2),"    ",MAX($AN$84:AN94)+1))</f>
        <v>9</v>
      </c>
      <c r="AO95" s="182" t="str">
        <f t="shared" si="55"/>
        <v xml:space="preserve">      - Objective Results (3.8%)</v>
      </c>
      <c r="AP95" s="182"/>
      <c r="AQ95" s="182"/>
      <c r="AR95" s="183"/>
      <c r="AS95" s="107">
        <f t="shared" si="56"/>
        <v>1</v>
      </c>
      <c r="AT95" s="108" t="str">
        <f t="shared" si="57"/>
        <v>2*</v>
      </c>
      <c r="AU95" s="128">
        <f t="shared" si="57"/>
        <v>3</v>
      </c>
      <c r="AV95" s="133"/>
      <c r="AW95" s="130"/>
      <c r="AX95" s="225"/>
      <c r="AY95" s="226"/>
      <c r="AZ95" s="226"/>
      <c r="BA95" s="226"/>
      <c r="BB95" s="226"/>
      <c r="BC95" s="226"/>
      <c r="BD95" s="227"/>
      <c r="BF95" s="72">
        <v>12</v>
      </c>
      <c r="BG95" s="60" t="str">
        <f t="shared" si="93"/>
        <v xml:space="preserve">      - Objective Results</v>
      </c>
      <c r="BH95" s="112">
        <f t="shared" si="93"/>
        <v>1</v>
      </c>
      <c r="BI95" s="112">
        <f t="shared" si="93"/>
        <v>1</v>
      </c>
      <c r="BJ95" s="112" t="str">
        <f t="shared" si="58"/>
        <v/>
      </c>
      <c r="BK95" s="112" t="str">
        <f t="shared" si="93"/>
        <v/>
      </c>
      <c r="BL95" s="121" t="str">
        <f t="shared" si="93"/>
        <v/>
      </c>
      <c r="BM95" s="121">
        <f t="shared" si="93"/>
        <v>2</v>
      </c>
      <c r="BN95" s="121">
        <f t="shared" si="93"/>
        <v>1</v>
      </c>
      <c r="BO95" s="112">
        <f t="shared" si="93"/>
        <v>3</v>
      </c>
      <c r="BP95" s="112">
        <f t="shared" si="93"/>
        <v>2</v>
      </c>
      <c r="BQ95" s="112">
        <f t="shared" si="93"/>
        <v>1</v>
      </c>
      <c r="BR95" s="112" t="b">
        <f t="shared" si="58"/>
        <v>1</v>
      </c>
      <c r="BS95" s="112">
        <f t="shared" si="59"/>
        <v>2</v>
      </c>
      <c r="BT95" s="112">
        <f t="shared" si="60"/>
        <v>1</v>
      </c>
      <c r="BU95" s="113">
        <f>IF(NOT(OR(BL95=1,BL95=2)),IF(CC95&gt;0,$CD$120*CC95/SUMIF($CC$84:$CC$115,"&gt;0"),IF(CG95&gt;0,$CH$120*CG95/SUMIF($CG$84:$CG$115,"&gt;0"),IF(CE95&gt;0,$CF$120*CE95/SUMIF($CE$84:$CE$115,"&gt;0"),""))),IF(SUMIF(BV96:$BV$115,"=" &amp; BV95,BU96:$BU$115)=0,"",SUMIF(BV96:$BV$115,"=" &amp; BV95,BU96:$BU$115)))</f>
        <v>3.8461538461538464E-2</v>
      </c>
      <c r="BV95" s="114">
        <f t="shared" si="91"/>
        <v>2</v>
      </c>
      <c r="BW95" s="112">
        <f t="shared" si="83"/>
        <v>2</v>
      </c>
      <c r="BX95" s="121" t="str">
        <f t="shared" si="84"/>
        <v/>
      </c>
      <c r="BY95" s="121" t="str">
        <f t="shared" si="92"/>
        <v/>
      </c>
      <c r="BZ95" s="121" t="str">
        <f t="shared" si="61"/>
        <v/>
      </c>
      <c r="CA95" s="121" t="str">
        <f t="shared" si="62"/>
        <v/>
      </c>
      <c r="CB95" s="112" t="b">
        <f t="shared" si="63"/>
        <v>1</v>
      </c>
      <c r="CC95" s="115">
        <f t="shared" si="85"/>
        <v>1</v>
      </c>
      <c r="CD95" s="116" t="str">
        <f t="shared" si="64"/>
        <v/>
      </c>
      <c r="CE95" s="117">
        <f t="shared" si="86"/>
        <v>0</v>
      </c>
      <c r="CF95" s="116" t="str">
        <f t="shared" si="65"/>
        <v/>
      </c>
      <c r="CG95" s="118">
        <f t="shared" si="66"/>
        <v>0</v>
      </c>
      <c r="CH95" s="119" t="str">
        <f t="shared" si="67"/>
        <v/>
      </c>
      <c r="CI95" s="118" t="b">
        <f t="shared" si="68"/>
        <v>0</v>
      </c>
      <c r="CJ95" s="120" t="b">
        <f t="shared" si="69"/>
        <v>1</v>
      </c>
      <c r="CK95" s="118" t="b">
        <f t="shared" si="70"/>
        <v>0</v>
      </c>
      <c r="CL95" s="120" t="b">
        <f t="shared" si="71"/>
        <v>0</v>
      </c>
      <c r="CM95" s="112" t="b">
        <f t="shared" si="72"/>
        <v>0</v>
      </c>
      <c r="CN95" s="112" t="b">
        <f t="shared" si="73"/>
        <v>0</v>
      </c>
      <c r="CO95" s="118" t="b">
        <f t="shared" si="74"/>
        <v>0</v>
      </c>
      <c r="CP95" s="121" t="b">
        <f t="shared" si="87"/>
        <v>0</v>
      </c>
      <c r="CQ95" s="120" t="b">
        <f t="shared" si="75"/>
        <v>0</v>
      </c>
      <c r="CR95" s="122" t="b">
        <f t="shared" si="76"/>
        <v>0</v>
      </c>
      <c r="CS95" s="123" t="b">
        <f t="shared" si="77"/>
        <v>1</v>
      </c>
      <c r="CT95" s="123">
        <f t="shared" si="88"/>
        <v>1</v>
      </c>
      <c r="CU95" s="123">
        <f t="shared" si="78"/>
        <v>2</v>
      </c>
      <c r="CV95" s="123" t="str">
        <f t="shared" si="79"/>
        <v>2*</v>
      </c>
      <c r="CW95" s="123">
        <f t="shared" si="80"/>
        <v>3</v>
      </c>
      <c r="CX95" s="124">
        <f t="shared" si="89"/>
        <v>1</v>
      </c>
      <c r="CY95" s="123">
        <f t="shared" si="81"/>
        <v>2</v>
      </c>
      <c r="CZ95" s="123">
        <f t="shared" si="82"/>
        <v>3</v>
      </c>
      <c r="DA95" s="135"/>
      <c r="DB95" s="126"/>
      <c r="DC95" s="214" t="s">
        <v>50</v>
      </c>
      <c r="DD95" s="214"/>
      <c r="DE95" s="214"/>
      <c r="DF95" s="214"/>
      <c r="DG95" s="214"/>
    </row>
    <row r="96" spans="1:111" s="67" customFormat="1" ht="12.9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N96" s="127">
        <f>IF(ISNA(BL96),"",IF(OR(BL96=1,BL96=2),"    ",MAX($AN$84:AN95)+1))</f>
        <v>10</v>
      </c>
      <c r="AO96" s="182" t="str">
        <f t="shared" si="55"/>
        <v xml:space="preserve">      - Engineering Analysis &amp; Operational Impact (3.8%)</v>
      </c>
      <c r="AP96" s="182"/>
      <c r="AQ96" s="182"/>
      <c r="AR96" s="183"/>
      <c r="AS96" s="107">
        <f t="shared" si="56"/>
        <v>1</v>
      </c>
      <c r="AT96" s="108" t="str">
        <f t="shared" si="57"/>
        <v>2*</v>
      </c>
      <c r="AU96" s="128">
        <f t="shared" si="57"/>
        <v>3</v>
      </c>
      <c r="AV96" s="133"/>
      <c r="AW96" s="130"/>
      <c r="AX96" s="225"/>
      <c r="AY96" s="226"/>
      <c r="AZ96" s="226"/>
      <c r="BA96" s="226"/>
      <c r="BB96" s="226"/>
      <c r="BC96" s="226"/>
      <c r="BD96" s="227"/>
      <c r="BF96" s="72">
        <v>13</v>
      </c>
      <c r="BG96" s="60" t="str">
        <f t="shared" si="93"/>
        <v xml:space="preserve">      - Engineering Analysis &amp; Operational Impact</v>
      </c>
      <c r="BH96" s="112">
        <f t="shared" si="93"/>
        <v>1</v>
      </c>
      <c r="BI96" s="112">
        <f t="shared" si="93"/>
        <v>1</v>
      </c>
      <c r="BJ96" s="112" t="str">
        <f t="shared" si="58"/>
        <v/>
      </c>
      <c r="BK96" s="112" t="str">
        <f t="shared" si="93"/>
        <v/>
      </c>
      <c r="BL96" s="121" t="str">
        <f t="shared" si="93"/>
        <v/>
      </c>
      <c r="BM96" s="121">
        <f t="shared" si="93"/>
        <v>2</v>
      </c>
      <c r="BN96" s="121">
        <f t="shared" si="93"/>
        <v>1</v>
      </c>
      <c r="BO96" s="112">
        <f t="shared" si="93"/>
        <v>3</v>
      </c>
      <c r="BP96" s="112">
        <f t="shared" si="93"/>
        <v>2</v>
      </c>
      <c r="BQ96" s="112">
        <f t="shared" si="93"/>
        <v>1</v>
      </c>
      <c r="BR96" s="112" t="b">
        <f t="shared" si="58"/>
        <v>1</v>
      </c>
      <c r="BS96" s="112">
        <f t="shared" si="59"/>
        <v>2</v>
      </c>
      <c r="BT96" s="112">
        <f t="shared" si="60"/>
        <v>1</v>
      </c>
      <c r="BU96" s="113">
        <f>IF(NOT(OR(BL96=1,BL96=2)),IF(CC96&gt;0,$CD$120*CC96/SUMIF($CC$84:$CC$115,"&gt;0"),IF(CG96&gt;0,$CH$120*CG96/SUMIF($CG$84:$CG$115,"&gt;0"),IF(CE96&gt;0,$CF$120*CE96/SUMIF($CE$84:$CE$115,"&gt;0"),""))),IF(SUMIF(BV97:$BV$115,"=" &amp; BV96,BU97:$BU$115)=0,"",SUMIF(BV97:$BV$115,"=" &amp; BV96,BU97:$BU$115)))</f>
        <v>3.8461538461538464E-2</v>
      </c>
      <c r="BV96" s="114">
        <f t="shared" si="91"/>
        <v>2</v>
      </c>
      <c r="BW96" s="112">
        <f t="shared" si="83"/>
        <v>2</v>
      </c>
      <c r="BX96" s="121" t="str">
        <f t="shared" si="84"/>
        <v/>
      </c>
      <c r="BY96" s="121" t="str">
        <f t="shared" si="92"/>
        <v/>
      </c>
      <c r="BZ96" s="121" t="str">
        <f t="shared" si="61"/>
        <v/>
      </c>
      <c r="CA96" s="121" t="str">
        <f t="shared" si="62"/>
        <v/>
      </c>
      <c r="CB96" s="112" t="b">
        <f t="shared" si="63"/>
        <v>1</v>
      </c>
      <c r="CC96" s="115">
        <f t="shared" si="85"/>
        <v>1</v>
      </c>
      <c r="CD96" s="116" t="str">
        <f t="shared" si="64"/>
        <v/>
      </c>
      <c r="CE96" s="117">
        <f t="shared" si="86"/>
        <v>0</v>
      </c>
      <c r="CF96" s="116" t="str">
        <f t="shared" si="65"/>
        <v/>
      </c>
      <c r="CG96" s="118">
        <f t="shared" si="66"/>
        <v>0</v>
      </c>
      <c r="CH96" s="119" t="str">
        <f t="shared" si="67"/>
        <v/>
      </c>
      <c r="CI96" s="118" t="b">
        <f t="shared" si="68"/>
        <v>0</v>
      </c>
      <c r="CJ96" s="120" t="b">
        <f t="shared" si="69"/>
        <v>1</v>
      </c>
      <c r="CK96" s="118" t="b">
        <f t="shared" si="70"/>
        <v>0</v>
      </c>
      <c r="CL96" s="120" t="b">
        <f t="shared" si="71"/>
        <v>0</v>
      </c>
      <c r="CM96" s="112" t="b">
        <f t="shared" si="72"/>
        <v>0</v>
      </c>
      <c r="CN96" s="112" t="b">
        <f t="shared" si="73"/>
        <v>0</v>
      </c>
      <c r="CO96" s="118" t="b">
        <f t="shared" si="74"/>
        <v>0</v>
      </c>
      <c r="CP96" s="121" t="b">
        <f t="shared" si="87"/>
        <v>0</v>
      </c>
      <c r="CQ96" s="120" t="b">
        <f t="shared" si="75"/>
        <v>0</v>
      </c>
      <c r="CR96" s="122" t="b">
        <f t="shared" si="76"/>
        <v>0</v>
      </c>
      <c r="CS96" s="123" t="b">
        <f t="shared" si="77"/>
        <v>1</v>
      </c>
      <c r="CT96" s="123">
        <f t="shared" si="88"/>
        <v>1</v>
      </c>
      <c r="CU96" s="123">
        <f t="shared" si="78"/>
        <v>2</v>
      </c>
      <c r="CV96" s="123" t="str">
        <f t="shared" si="79"/>
        <v>2*</v>
      </c>
      <c r="CW96" s="123">
        <f t="shared" si="80"/>
        <v>3</v>
      </c>
      <c r="CX96" s="124">
        <f t="shared" si="89"/>
        <v>1</v>
      </c>
      <c r="CY96" s="123">
        <f t="shared" si="81"/>
        <v>2</v>
      </c>
      <c r="CZ96" s="123">
        <f t="shared" si="82"/>
        <v>3</v>
      </c>
      <c r="DA96" s="135"/>
      <c r="DB96" s="135"/>
      <c r="DC96" s="135">
        <v>0</v>
      </c>
      <c r="DD96" s="135">
        <v>1</v>
      </c>
      <c r="DE96" s="135">
        <v>2</v>
      </c>
      <c r="DF96" s="135">
        <v>3</v>
      </c>
      <c r="DG96" s="135">
        <v>4</v>
      </c>
    </row>
    <row r="97" spans="1:113" s="67" customFormat="1" ht="12.9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N97" s="127">
        <f>IF(ISNA(BL97),"",IF(OR(BL97=1,BL97=2),"    ",MAX($AN$84:AN96)+1))</f>
        <v>11</v>
      </c>
      <c r="AO97" s="182" t="str">
        <f t="shared" si="55"/>
        <v xml:space="preserve">      - Conclusions &amp; Recommendations (3.8%)</v>
      </c>
      <c r="AP97" s="182"/>
      <c r="AQ97" s="182"/>
      <c r="AR97" s="183"/>
      <c r="AS97" s="107">
        <f t="shared" si="56"/>
        <v>1</v>
      </c>
      <c r="AT97" s="108" t="str">
        <f t="shared" si="57"/>
        <v>2*</v>
      </c>
      <c r="AU97" s="128">
        <f t="shared" si="57"/>
        <v>3</v>
      </c>
      <c r="AV97" s="133"/>
      <c r="AW97" s="130"/>
      <c r="AX97" s="225"/>
      <c r="AY97" s="226"/>
      <c r="AZ97" s="226"/>
      <c r="BA97" s="226"/>
      <c r="BB97" s="226"/>
      <c r="BC97" s="226"/>
      <c r="BD97" s="227"/>
      <c r="BF97" s="72">
        <v>14</v>
      </c>
      <c r="BG97" s="60" t="str">
        <f t="shared" si="93"/>
        <v xml:space="preserve">      - Conclusions &amp; Recommendations</v>
      </c>
      <c r="BH97" s="112">
        <f t="shared" si="93"/>
        <v>1</v>
      </c>
      <c r="BI97" s="112">
        <f t="shared" si="93"/>
        <v>1</v>
      </c>
      <c r="BJ97" s="112" t="str">
        <f t="shared" si="58"/>
        <v/>
      </c>
      <c r="BK97" s="112" t="str">
        <f t="shared" si="93"/>
        <v/>
      </c>
      <c r="BL97" s="121" t="str">
        <f t="shared" si="93"/>
        <v/>
      </c>
      <c r="BM97" s="121">
        <f t="shared" si="93"/>
        <v>2</v>
      </c>
      <c r="BN97" s="121">
        <f t="shared" si="93"/>
        <v>1</v>
      </c>
      <c r="BO97" s="112">
        <f t="shared" si="93"/>
        <v>3</v>
      </c>
      <c r="BP97" s="112">
        <f t="shared" si="93"/>
        <v>2</v>
      </c>
      <c r="BQ97" s="112">
        <f t="shared" si="93"/>
        <v>1</v>
      </c>
      <c r="BR97" s="112" t="b">
        <f t="shared" si="58"/>
        <v>1</v>
      </c>
      <c r="BS97" s="112">
        <f t="shared" si="59"/>
        <v>2</v>
      </c>
      <c r="BT97" s="112">
        <f t="shared" si="60"/>
        <v>1</v>
      </c>
      <c r="BU97" s="113">
        <f>IF(NOT(OR(BL97=1,BL97=2)),IF(CC97&gt;0,$CD$120*CC97/SUMIF($CC$84:$CC$115,"&gt;0"),IF(CG97&gt;0,$CH$120*CG97/SUMIF($CG$84:$CG$115,"&gt;0"),IF(CE97&gt;0,$CF$120*CE97/SUMIF($CE$84:$CE$115,"&gt;0"),""))),IF(SUMIF(BV98:$BV$115,"=" &amp; BV97,BU98:$BU$115)=0,"",SUMIF(BV98:$BV$115,"=" &amp; BV97,BU98:$BU$115)))</f>
        <v>3.8461538461538464E-2</v>
      </c>
      <c r="BV97" s="114">
        <f t="shared" si="91"/>
        <v>2</v>
      </c>
      <c r="BW97" s="112">
        <f t="shared" si="83"/>
        <v>2</v>
      </c>
      <c r="BX97" s="121" t="str">
        <f t="shared" si="84"/>
        <v/>
      </c>
      <c r="BY97" s="121" t="str">
        <f t="shared" si="92"/>
        <v/>
      </c>
      <c r="BZ97" s="121" t="str">
        <f t="shared" si="61"/>
        <v/>
      </c>
      <c r="CA97" s="121" t="str">
        <f t="shared" si="62"/>
        <v/>
      </c>
      <c r="CB97" s="112" t="b">
        <f t="shared" si="63"/>
        <v>1</v>
      </c>
      <c r="CC97" s="115">
        <f t="shared" si="85"/>
        <v>1</v>
      </c>
      <c r="CD97" s="116" t="str">
        <f t="shared" si="64"/>
        <v/>
      </c>
      <c r="CE97" s="117">
        <f t="shared" si="86"/>
        <v>0</v>
      </c>
      <c r="CF97" s="116" t="str">
        <f t="shared" si="65"/>
        <v/>
      </c>
      <c r="CG97" s="118">
        <f t="shared" si="66"/>
        <v>0</v>
      </c>
      <c r="CH97" s="119" t="str">
        <f t="shared" si="67"/>
        <v/>
      </c>
      <c r="CI97" s="118" t="b">
        <f t="shared" si="68"/>
        <v>0</v>
      </c>
      <c r="CJ97" s="120" t="b">
        <f t="shared" si="69"/>
        <v>1</v>
      </c>
      <c r="CK97" s="118" t="b">
        <f t="shared" si="70"/>
        <v>0</v>
      </c>
      <c r="CL97" s="120" t="b">
        <f t="shared" si="71"/>
        <v>0</v>
      </c>
      <c r="CM97" s="112" t="b">
        <f t="shared" si="72"/>
        <v>0</v>
      </c>
      <c r="CN97" s="112" t="b">
        <f t="shared" si="73"/>
        <v>0</v>
      </c>
      <c r="CO97" s="118" t="b">
        <f t="shared" si="74"/>
        <v>0</v>
      </c>
      <c r="CP97" s="121" t="b">
        <f t="shared" si="87"/>
        <v>0</v>
      </c>
      <c r="CQ97" s="120" t="b">
        <f t="shared" si="75"/>
        <v>0</v>
      </c>
      <c r="CR97" s="122" t="b">
        <f t="shared" si="76"/>
        <v>0</v>
      </c>
      <c r="CS97" s="123" t="b">
        <f t="shared" si="77"/>
        <v>1</v>
      </c>
      <c r="CT97" s="123">
        <f t="shared" si="88"/>
        <v>1</v>
      </c>
      <c r="CU97" s="123">
        <f t="shared" si="78"/>
        <v>2</v>
      </c>
      <c r="CV97" s="123" t="str">
        <f t="shared" si="79"/>
        <v>2*</v>
      </c>
      <c r="CW97" s="123">
        <f t="shared" si="80"/>
        <v>3</v>
      </c>
      <c r="CX97" s="124">
        <f t="shared" si="89"/>
        <v>1</v>
      </c>
      <c r="CY97" s="123">
        <f t="shared" si="81"/>
        <v>2</v>
      </c>
      <c r="CZ97" s="123">
        <f t="shared" si="82"/>
        <v>3</v>
      </c>
      <c r="DA97" s="213" t="s">
        <v>51</v>
      </c>
      <c r="DB97" s="135" t="s">
        <v>52</v>
      </c>
      <c r="DC97" s="137">
        <f t="shared" ref="DC97:DG105" si="94">CD126</f>
        <v>0.7</v>
      </c>
      <c r="DD97" s="138">
        <f t="shared" si="94"/>
        <v>0.9</v>
      </c>
      <c r="DE97" s="138">
        <f t="shared" si="94"/>
        <v>0.93330000000000002</v>
      </c>
      <c r="DF97" s="138">
        <f t="shared" si="94"/>
        <v>0.9667</v>
      </c>
      <c r="DG97" s="139">
        <f t="shared" si="94"/>
        <v>1</v>
      </c>
      <c r="DH97" s="7"/>
      <c r="DI97" s="1"/>
    </row>
    <row r="98" spans="1:113" s="67" customFormat="1" ht="12.9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N98" s="127" t="str">
        <f>IF(ISNA(BL98),"",IF(OR(BL98=1,BL98=2),"    ",MAX($AN$84:AN97)+1))</f>
        <v xml:space="preserve">    </v>
      </c>
      <c r="AO98" s="182" t="str">
        <f t="shared" si="55"/>
        <v>Content &amp; Analysis (Obj 6) (15.4%)</v>
      </c>
      <c r="AP98" s="182"/>
      <c r="AQ98" s="182"/>
      <c r="AR98" s="183"/>
      <c r="AS98" s="107" t="str">
        <f t="shared" si="56"/>
        <v/>
      </c>
      <c r="AT98" s="108" t="str">
        <f t="shared" si="57"/>
        <v/>
      </c>
      <c r="AU98" s="128" t="str">
        <f t="shared" si="57"/>
        <v/>
      </c>
      <c r="AV98" s="133"/>
      <c r="AW98" s="130"/>
      <c r="AX98" s="225"/>
      <c r="AY98" s="226"/>
      <c r="AZ98" s="226"/>
      <c r="BA98" s="226"/>
      <c r="BB98" s="226"/>
      <c r="BC98" s="226"/>
      <c r="BD98" s="227"/>
      <c r="BF98" s="72">
        <v>15</v>
      </c>
      <c r="BG98" s="60" t="str">
        <f t="shared" si="93"/>
        <v>Content &amp; Analysis (Obj 6)</v>
      </c>
      <c r="BH98" s="112" t="str">
        <f t="shared" si="93"/>
        <v/>
      </c>
      <c r="BI98" s="112" t="str">
        <f t="shared" si="93"/>
        <v/>
      </c>
      <c r="BJ98" s="112" t="str">
        <f t="shared" si="58"/>
        <v/>
      </c>
      <c r="BK98" s="112" t="str">
        <f t="shared" si="93"/>
        <v/>
      </c>
      <c r="BL98" s="121">
        <f t="shared" si="93"/>
        <v>2</v>
      </c>
      <c r="BM98" s="121">
        <f t="shared" si="93"/>
        <v>1</v>
      </c>
      <c r="BN98" s="121">
        <f t="shared" si="93"/>
        <v>1</v>
      </c>
      <c r="BO98" s="112" t="str">
        <f t="shared" si="93"/>
        <v/>
      </c>
      <c r="BP98" s="112" t="str">
        <f t="shared" si="93"/>
        <v/>
      </c>
      <c r="BQ98" s="112" t="str">
        <f t="shared" si="93"/>
        <v/>
      </c>
      <c r="BR98" s="112" t="str">
        <f t="shared" si="58"/>
        <v/>
      </c>
      <c r="BS98" s="112" t="str">
        <f t="shared" si="59"/>
        <v/>
      </c>
      <c r="BT98" s="112" t="str">
        <f t="shared" si="60"/>
        <v/>
      </c>
      <c r="BU98" s="113">
        <f>IF(NOT(OR(BL98=1,BL98=2)),IF(CC98&gt;0,$CD$120*CC98/SUMIF($CC$84:$CC$115,"&gt;0"),IF(CG98&gt;0,$CH$120*CG98/SUMIF($CG$84:$CG$115,"&gt;0"),IF(CE98&gt;0,$CF$120*CE98/SUMIF($CE$84:$CE$115,"&gt;0"),""))),IF(SUMIF(BV99:$BV$115,"=" &amp; BV98,BU99:$BU$115)=0,"",SUMIF(BV99:$BV$115,"=" &amp; BV98,BU99:$BU$115)))</f>
        <v>0.15384615384615385</v>
      </c>
      <c r="BV98" s="114">
        <f t="shared" si="91"/>
        <v>3</v>
      </c>
      <c r="BW98" s="112" t="str">
        <f t="shared" si="83"/>
        <v/>
      </c>
      <c r="BX98" s="121" t="str">
        <f t="shared" si="84"/>
        <v/>
      </c>
      <c r="BY98" s="121" t="str">
        <f t="shared" si="92"/>
        <v/>
      </c>
      <c r="BZ98" s="121" t="str">
        <f t="shared" si="61"/>
        <v/>
      </c>
      <c r="CA98" s="121" t="str">
        <f t="shared" si="62"/>
        <v/>
      </c>
      <c r="CB98" s="112" t="str">
        <f t="shared" si="63"/>
        <v/>
      </c>
      <c r="CC98" s="115">
        <f t="shared" si="85"/>
        <v>0</v>
      </c>
      <c r="CD98" s="116" t="str">
        <f t="shared" si="64"/>
        <v/>
      </c>
      <c r="CE98" s="117">
        <f t="shared" si="86"/>
        <v>0</v>
      </c>
      <c r="CF98" s="116" t="str">
        <f t="shared" si="65"/>
        <v/>
      </c>
      <c r="CG98" s="118">
        <f t="shared" si="66"/>
        <v>0</v>
      </c>
      <c r="CH98" s="119" t="str">
        <f t="shared" si="67"/>
        <v/>
      </c>
      <c r="CI98" s="118" t="b">
        <f t="shared" si="68"/>
        <v>0</v>
      </c>
      <c r="CJ98" s="120" t="b">
        <f t="shared" si="69"/>
        <v>0</v>
      </c>
      <c r="CK98" s="118" t="b">
        <f t="shared" si="70"/>
        <v>0</v>
      </c>
      <c r="CL98" s="120" t="b">
        <f t="shared" si="71"/>
        <v>0</v>
      </c>
      <c r="CM98" s="112" t="b">
        <f t="shared" si="72"/>
        <v>0</v>
      </c>
      <c r="CN98" s="112" t="b">
        <f t="shared" si="73"/>
        <v>0</v>
      </c>
      <c r="CO98" s="118" t="b">
        <f t="shared" si="74"/>
        <v>0</v>
      </c>
      <c r="CP98" s="121" t="b">
        <f t="shared" si="87"/>
        <v>0</v>
      </c>
      <c r="CQ98" s="120" t="b">
        <f>IF(OR(ISNA($BL98),AW98&lt;&gt;"D"),FALSE,IF(OR(AND(AT98="NG",AV98=0),AND(AT98&lt;&gt;"NG",NOT(OR(AV98="NA",AV98=0)))),TRUE,FALSE))</f>
        <v>0</v>
      </c>
      <c r="CR98" s="122" t="b">
        <f t="shared" si="76"/>
        <v>0</v>
      </c>
      <c r="CS98" s="123" t="b">
        <f>IF(ISNA($BL98),"NA",IF(OR(CL98,CK98,CJ98,CI98,CB98,CM98,CN98),TRUE,FALSE))</f>
        <v>0</v>
      </c>
      <c r="CT98" s="123" t="str">
        <f t="shared" si="88"/>
        <v/>
      </c>
      <c r="CU98" s="123" t="str">
        <f t="shared" si="78"/>
        <v/>
      </c>
      <c r="CV98" s="123" t="str">
        <f t="shared" si="79"/>
        <v/>
      </c>
      <c r="CW98" s="123" t="str">
        <f t="shared" si="80"/>
        <v/>
      </c>
      <c r="CX98" s="124" t="str">
        <f t="shared" si="89"/>
        <v/>
      </c>
      <c r="CY98" s="123" t="str">
        <f t="shared" si="81"/>
        <v/>
      </c>
      <c r="CZ98" s="123" t="str">
        <f t="shared" si="82"/>
        <v/>
      </c>
      <c r="DA98" s="213"/>
      <c r="DB98" s="135" t="s">
        <v>53</v>
      </c>
      <c r="DC98" s="140">
        <f t="shared" si="94"/>
        <v>0.7</v>
      </c>
      <c r="DD98" s="141">
        <f t="shared" si="94"/>
        <v>0.8</v>
      </c>
      <c r="DE98" s="141">
        <f t="shared" si="94"/>
        <v>0.9</v>
      </c>
      <c r="DF98" s="141">
        <f t="shared" si="94"/>
        <v>0.95</v>
      </c>
      <c r="DG98" s="142">
        <f t="shared" si="94"/>
        <v>1</v>
      </c>
      <c r="DH98" s="1"/>
      <c r="DI98" s="11"/>
    </row>
    <row r="99" spans="1:113" s="67" customFormat="1" ht="12.9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N99" s="127">
        <f>IF(ISNA(BL99),"",IF(OR(BL99=1,BL99=2),"    ",MAX($AN$84:AN98)+1))</f>
        <v>12</v>
      </c>
      <c r="AO99" s="182" t="str">
        <f t="shared" si="55"/>
        <v xml:space="preserve">      - Test Methods and Conditions (3.8%)</v>
      </c>
      <c r="AP99" s="182"/>
      <c r="AQ99" s="182"/>
      <c r="AR99" s="183"/>
      <c r="AS99" s="107">
        <f t="shared" si="56"/>
        <v>1</v>
      </c>
      <c r="AT99" s="108" t="str">
        <f t="shared" si="57"/>
        <v>2*</v>
      </c>
      <c r="AU99" s="128">
        <f t="shared" si="57"/>
        <v>3</v>
      </c>
      <c r="AV99" s="133"/>
      <c r="AW99" s="130"/>
      <c r="AX99" s="225"/>
      <c r="AY99" s="226"/>
      <c r="AZ99" s="226"/>
      <c r="BA99" s="226"/>
      <c r="BB99" s="226"/>
      <c r="BC99" s="226"/>
      <c r="BD99" s="227"/>
      <c r="BF99" s="72">
        <v>16</v>
      </c>
      <c r="BG99" s="60" t="str">
        <f t="shared" si="93"/>
        <v xml:space="preserve">      - Test Methods and Conditions</v>
      </c>
      <c r="BH99" s="112">
        <f t="shared" si="93"/>
        <v>1</v>
      </c>
      <c r="BI99" s="112">
        <f t="shared" si="93"/>
        <v>1</v>
      </c>
      <c r="BJ99" s="112" t="str">
        <f t="shared" si="58"/>
        <v/>
      </c>
      <c r="BK99" s="112" t="str">
        <f t="shared" si="93"/>
        <v/>
      </c>
      <c r="BL99" s="121" t="str">
        <f t="shared" si="93"/>
        <v/>
      </c>
      <c r="BM99" s="121">
        <f t="shared" si="93"/>
        <v>2</v>
      </c>
      <c r="BN99" s="121">
        <f t="shared" si="93"/>
        <v>1</v>
      </c>
      <c r="BO99" s="112">
        <f t="shared" si="93"/>
        <v>3</v>
      </c>
      <c r="BP99" s="112">
        <f t="shared" si="93"/>
        <v>2</v>
      </c>
      <c r="BQ99" s="112">
        <f t="shared" si="93"/>
        <v>1</v>
      </c>
      <c r="BR99" s="112" t="b">
        <f t="shared" si="58"/>
        <v>1</v>
      </c>
      <c r="BS99" s="112">
        <f t="shared" si="59"/>
        <v>2</v>
      </c>
      <c r="BT99" s="112">
        <f t="shared" si="60"/>
        <v>1</v>
      </c>
      <c r="BU99" s="113">
        <f>IF(NOT(OR(BL99=1,BL99=2)),IF(CC99&gt;0,$CD$120*CC99/SUMIF($CC$84:$CC$115,"&gt;0"),IF(CG99&gt;0,$CH$120*CG99/SUMIF($CG$84:$CG$115,"&gt;0"),IF(CE99&gt;0,$CF$120*CE99/SUMIF($CE$84:$CE$115,"&gt;0"),""))),IF(SUMIF(BV100:$BV$115,"=" &amp; BV99,BU100:$BU$115)=0,"",SUMIF(BV100:$BV$115,"=" &amp; BV99,BU100:$BU$115)))</f>
        <v>3.8461538461538464E-2</v>
      </c>
      <c r="BV99" s="114">
        <f t="shared" si="91"/>
        <v>3</v>
      </c>
      <c r="BW99" s="112">
        <f t="shared" si="83"/>
        <v>2</v>
      </c>
      <c r="BX99" s="121" t="str">
        <f t="shared" si="84"/>
        <v/>
      </c>
      <c r="BY99" s="121" t="str">
        <f t="shared" si="92"/>
        <v/>
      </c>
      <c r="BZ99" s="121" t="str">
        <f t="shared" si="61"/>
        <v/>
      </c>
      <c r="CA99" s="121" t="str">
        <f t="shared" si="62"/>
        <v/>
      </c>
      <c r="CB99" s="112" t="b">
        <f t="shared" si="63"/>
        <v>1</v>
      </c>
      <c r="CC99" s="115">
        <f t="shared" si="85"/>
        <v>1</v>
      </c>
      <c r="CD99" s="116" t="str">
        <f t="shared" si="64"/>
        <v/>
      </c>
      <c r="CE99" s="117">
        <f t="shared" si="86"/>
        <v>0</v>
      </c>
      <c r="CF99" s="116" t="str">
        <f t="shared" si="65"/>
        <v/>
      </c>
      <c r="CG99" s="118">
        <f t="shared" si="66"/>
        <v>0</v>
      </c>
      <c r="CH99" s="119" t="str">
        <f t="shared" si="67"/>
        <v/>
      </c>
      <c r="CI99" s="118" t="b">
        <f t="shared" si="68"/>
        <v>0</v>
      </c>
      <c r="CJ99" s="120" t="b">
        <f t="shared" si="69"/>
        <v>1</v>
      </c>
      <c r="CK99" s="118" t="b">
        <f t="shared" si="70"/>
        <v>0</v>
      </c>
      <c r="CL99" s="120" t="b">
        <f t="shared" si="71"/>
        <v>0</v>
      </c>
      <c r="CM99" s="112" t="b">
        <f t="shared" si="72"/>
        <v>0</v>
      </c>
      <c r="CN99" s="112" t="b">
        <f t="shared" si="73"/>
        <v>0</v>
      </c>
      <c r="CO99" s="118" t="b">
        <f t="shared" si="74"/>
        <v>0</v>
      </c>
      <c r="CP99" s="121" t="b">
        <f t="shared" si="87"/>
        <v>0</v>
      </c>
      <c r="CQ99" s="120" t="b">
        <f t="shared" ref="CQ99:CQ115" si="95">IF(OR(ISNA($BL99),AW99&lt;&gt;"D"),FALSE,IF(OR(AND(AT99="NG",AV99=0),AND(AT99&lt;&gt;"NG",NOT(OR(AV99="NA",AV99=0)))),TRUE,FALSE))</f>
        <v>0</v>
      </c>
      <c r="CR99" s="122" t="b">
        <f t="shared" si="76"/>
        <v>0</v>
      </c>
      <c r="CS99" s="123" t="b">
        <f t="shared" ref="CS99:CS115" si="96">IF(ISNA($BL99),"NA",IF(OR(CL99,CK99,CJ99,CI99,CB99,CM99,CN99),TRUE,FALSE))</f>
        <v>1</v>
      </c>
      <c r="CT99" s="123">
        <f t="shared" si="88"/>
        <v>1</v>
      </c>
      <c r="CU99" s="123">
        <f t="shared" si="78"/>
        <v>2</v>
      </c>
      <c r="CV99" s="123" t="str">
        <f t="shared" si="79"/>
        <v>2*</v>
      </c>
      <c r="CW99" s="123">
        <f t="shared" si="80"/>
        <v>3</v>
      </c>
      <c r="CX99" s="124">
        <f t="shared" si="89"/>
        <v>1</v>
      </c>
      <c r="CY99" s="123">
        <f t="shared" si="81"/>
        <v>2</v>
      </c>
      <c r="CZ99" s="123">
        <f t="shared" si="82"/>
        <v>3</v>
      </c>
      <c r="DA99" s="213"/>
      <c r="DB99" s="135" t="s">
        <v>54</v>
      </c>
      <c r="DC99" s="140">
        <f t="shared" si="94"/>
        <v>0.7</v>
      </c>
      <c r="DD99" s="141">
        <f t="shared" si="94"/>
        <v>0.76670000000000005</v>
      </c>
      <c r="DE99" s="141">
        <f t="shared" si="94"/>
        <v>0.83330000000000004</v>
      </c>
      <c r="DF99" s="141">
        <f t="shared" si="94"/>
        <v>0.9</v>
      </c>
      <c r="DG99" s="142">
        <f t="shared" si="94"/>
        <v>1</v>
      </c>
      <c r="DH99" s="1"/>
      <c r="DI99" s="11"/>
    </row>
    <row r="100" spans="1:113" s="67" customFormat="1" ht="12.9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N100" s="127">
        <f>IF(ISNA(BL100),"",IF(OR(BL100=1,BL100=2),"    ",MAX($AN$84:AN99)+1))</f>
        <v>13</v>
      </c>
      <c r="AO100" s="182" t="str">
        <f t="shared" si="55"/>
        <v xml:space="preserve">      - Objective Results (3.8%)</v>
      </c>
      <c r="AP100" s="182"/>
      <c r="AQ100" s="182"/>
      <c r="AR100" s="183"/>
      <c r="AS100" s="107">
        <f t="shared" si="56"/>
        <v>1</v>
      </c>
      <c r="AT100" s="108" t="str">
        <f t="shared" si="57"/>
        <v>2*</v>
      </c>
      <c r="AU100" s="128">
        <f t="shared" si="57"/>
        <v>3</v>
      </c>
      <c r="AV100" s="133"/>
      <c r="AW100" s="130"/>
      <c r="AX100" s="225"/>
      <c r="AY100" s="226"/>
      <c r="AZ100" s="226"/>
      <c r="BA100" s="226"/>
      <c r="BB100" s="226"/>
      <c r="BC100" s="226"/>
      <c r="BD100" s="227"/>
      <c r="BF100" s="72">
        <v>17</v>
      </c>
      <c r="BG100" s="60" t="str">
        <f t="shared" si="93"/>
        <v xml:space="preserve">      - Objective Results</v>
      </c>
      <c r="BH100" s="112">
        <f t="shared" si="93"/>
        <v>1</v>
      </c>
      <c r="BI100" s="112">
        <f t="shared" si="93"/>
        <v>1</v>
      </c>
      <c r="BJ100" s="112" t="str">
        <f t="shared" si="93"/>
        <v/>
      </c>
      <c r="BK100" s="112" t="str">
        <f t="shared" si="93"/>
        <v/>
      </c>
      <c r="BL100" s="121" t="str">
        <f t="shared" si="93"/>
        <v/>
      </c>
      <c r="BM100" s="121">
        <f t="shared" si="93"/>
        <v>2</v>
      </c>
      <c r="BN100" s="121">
        <f t="shared" si="93"/>
        <v>1</v>
      </c>
      <c r="BO100" s="112">
        <f t="shared" si="93"/>
        <v>3</v>
      </c>
      <c r="BP100" s="112">
        <f t="shared" si="93"/>
        <v>2</v>
      </c>
      <c r="BQ100" s="112">
        <f t="shared" si="93"/>
        <v>1</v>
      </c>
      <c r="BR100" s="112" t="b">
        <f t="shared" si="93"/>
        <v>1</v>
      </c>
      <c r="BS100" s="112">
        <f t="shared" si="59"/>
        <v>2</v>
      </c>
      <c r="BT100" s="112">
        <f t="shared" si="60"/>
        <v>1</v>
      </c>
      <c r="BU100" s="113">
        <f>IF(NOT(OR(BL100=1,BL100=2)),IF(CC100&gt;0,$CD$120*CC100/SUMIF($CC$84:$CC$115,"&gt;0"),IF(CG100&gt;0,$CH$120*CG100/SUMIF($CG$84:$CG$115,"&gt;0"),IF(CE100&gt;0,$CF$120*CE100/SUMIF($CE$84:$CE$115,"&gt;0"),""))),IF(SUMIF(BV101:$BV$115,"=" &amp; BV100,BU101:$BU$115)=0,"",SUMIF(BV101:$BV$115,"=" &amp; BV100,BU101:$BU$115)))</f>
        <v>3.8461538461538464E-2</v>
      </c>
      <c r="BV100" s="114">
        <f t="shared" si="91"/>
        <v>3</v>
      </c>
      <c r="BW100" s="112">
        <f t="shared" si="83"/>
        <v>2</v>
      </c>
      <c r="BX100" s="121" t="str">
        <f t="shared" si="84"/>
        <v/>
      </c>
      <c r="BY100" s="121" t="str">
        <f t="shared" si="92"/>
        <v/>
      </c>
      <c r="BZ100" s="121" t="str">
        <f t="shared" si="61"/>
        <v/>
      </c>
      <c r="CA100" s="121" t="str">
        <f t="shared" si="62"/>
        <v/>
      </c>
      <c r="CB100" s="112" t="b">
        <f t="shared" si="63"/>
        <v>1</v>
      </c>
      <c r="CC100" s="115">
        <f t="shared" si="85"/>
        <v>1</v>
      </c>
      <c r="CD100" s="116" t="str">
        <f t="shared" si="64"/>
        <v/>
      </c>
      <c r="CE100" s="117">
        <f t="shared" si="86"/>
        <v>0</v>
      </c>
      <c r="CF100" s="116" t="str">
        <f t="shared" si="65"/>
        <v/>
      </c>
      <c r="CG100" s="118">
        <f t="shared" si="66"/>
        <v>0</v>
      </c>
      <c r="CH100" s="119" t="str">
        <f t="shared" si="67"/>
        <v/>
      </c>
      <c r="CI100" s="118" t="b">
        <f t="shared" si="68"/>
        <v>0</v>
      </c>
      <c r="CJ100" s="120" t="b">
        <f t="shared" si="69"/>
        <v>1</v>
      </c>
      <c r="CK100" s="118" t="b">
        <f t="shared" si="70"/>
        <v>0</v>
      </c>
      <c r="CL100" s="120" t="b">
        <f t="shared" si="71"/>
        <v>0</v>
      </c>
      <c r="CM100" s="112" t="b">
        <f t="shared" si="72"/>
        <v>0</v>
      </c>
      <c r="CN100" s="112" t="b">
        <f t="shared" si="73"/>
        <v>0</v>
      </c>
      <c r="CO100" s="118" t="b">
        <f t="shared" si="74"/>
        <v>0</v>
      </c>
      <c r="CP100" s="121" t="b">
        <f t="shared" si="87"/>
        <v>0</v>
      </c>
      <c r="CQ100" s="120" t="b">
        <f t="shared" si="95"/>
        <v>0</v>
      </c>
      <c r="CR100" s="122" t="b">
        <f t="shared" si="76"/>
        <v>0</v>
      </c>
      <c r="CS100" s="123" t="b">
        <f t="shared" si="96"/>
        <v>1</v>
      </c>
      <c r="CT100" s="123">
        <f t="shared" si="88"/>
        <v>1</v>
      </c>
      <c r="CU100" s="123">
        <f t="shared" si="78"/>
        <v>2</v>
      </c>
      <c r="CV100" s="123" t="str">
        <f t="shared" si="79"/>
        <v>2*</v>
      </c>
      <c r="CW100" s="123">
        <f t="shared" si="80"/>
        <v>3</v>
      </c>
      <c r="CX100" s="124">
        <f t="shared" si="89"/>
        <v>1</v>
      </c>
      <c r="CY100" s="123">
        <f t="shared" si="81"/>
        <v>2</v>
      </c>
      <c r="CZ100" s="123">
        <f t="shared" si="82"/>
        <v>3</v>
      </c>
      <c r="DA100" s="213"/>
      <c r="DB100" s="135" t="s">
        <v>55</v>
      </c>
      <c r="DC100" s="140">
        <f t="shared" si="94"/>
        <v>0.6</v>
      </c>
      <c r="DD100" s="141">
        <f t="shared" si="94"/>
        <v>0.9</v>
      </c>
      <c r="DE100" s="141">
        <f t="shared" si="94"/>
        <v>0.93330000000000002</v>
      </c>
      <c r="DF100" s="141">
        <f t="shared" si="94"/>
        <v>0.9667</v>
      </c>
      <c r="DG100" s="142">
        <f t="shared" si="94"/>
        <v>1</v>
      </c>
      <c r="DH100" s="1"/>
      <c r="DI100" s="11"/>
    </row>
    <row r="101" spans="1:113" s="67" customFormat="1" ht="12.9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N101" s="127">
        <f>IF(ISNA(BL101),"",IF(OR(BL101=1,BL101=2),"    ",MAX($AN$84:AN100)+1))</f>
        <v>14</v>
      </c>
      <c r="AO101" s="182" t="str">
        <f t="shared" si="55"/>
        <v xml:space="preserve">      - Engineering Analysis &amp; Operational Impact (3.8%)</v>
      </c>
      <c r="AP101" s="182"/>
      <c r="AQ101" s="182"/>
      <c r="AR101" s="183"/>
      <c r="AS101" s="107">
        <f t="shared" si="56"/>
        <v>1</v>
      </c>
      <c r="AT101" s="108" t="str">
        <f t="shared" si="57"/>
        <v>2*</v>
      </c>
      <c r="AU101" s="128">
        <f t="shared" si="57"/>
        <v>3</v>
      </c>
      <c r="AV101" s="133"/>
      <c r="AW101" s="130"/>
      <c r="AX101" s="225"/>
      <c r="AY101" s="226"/>
      <c r="AZ101" s="226"/>
      <c r="BA101" s="226"/>
      <c r="BB101" s="226"/>
      <c r="BC101" s="226"/>
      <c r="BD101" s="227"/>
      <c r="BF101" s="72">
        <v>18</v>
      </c>
      <c r="BG101" s="60" t="str">
        <f t="shared" si="93"/>
        <v xml:space="preserve">      - Engineering Analysis &amp; Operational Impact</v>
      </c>
      <c r="BH101" s="112">
        <f t="shared" si="93"/>
        <v>1</v>
      </c>
      <c r="BI101" s="112">
        <f t="shared" si="93"/>
        <v>1</v>
      </c>
      <c r="BJ101" s="112" t="str">
        <f t="shared" si="93"/>
        <v/>
      </c>
      <c r="BK101" s="112" t="str">
        <f t="shared" si="93"/>
        <v/>
      </c>
      <c r="BL101" s="121" t="str">
        <f t="shared" si="93"/>
        <v/>
      </c>
      <c r="BM101" s="121">
        <f t="shared" si="93"/>
        <v>2</v>
      </c>
      <c r="BN101" s="121">
        <f t="shared" si="93"/>
        <v>1</v>
      </c>
      <c r="BO101" s="112">
        <f t="shared" si="93"/>
        <v>3</v>
      </c>
      <c r="BP101" s="112">
        <f t="shared" si="93"/>
        <v>2</v>
      </c>
      <c r="BQ101" s="112">
        <f t="shared" si="93"/>
        <v>1</v>
      </c>
      <c r="BR101" s="112" t="b">
        <f t="shared" si="93"/>
        <v>1</v>
      </c>
      <c r="BS101" s="112">
        <f t="shared" si="59"/>
        <v>2</v>
      </c>
      <c r="BT101" s="112">
        <f t="shared" si="60"/>
        <v>1</v>
      </c>
      <c r="BU101" s="113">
        <f>IF(NOT(OR(BL101=1,BL101=2)),IF(CC101&gt;0,$CD$120*CC101/SUMIF($CC$84:$CC$115,"&gt;0"),IF(CG101&gt;0,$CH$120*CG101/SUMIF($CG$84:$CG$115,"&gt;0"),IF(CE101&gt;0,$CF$120*CE101/SUMIF($CE$84:$CE$115,"&gt;0"),""))),IF(SUMIF(BV102:$BV$115,"=" &amp; BV101,BU102:$BU$115)=0,"",SUMIF(BV102:$BV$115,"=" &amp; BV101,BU102:$BU$115)))</f>
        <v>3.8461538461538464E-2</v>
      </c>
      <c r="BV101" s="114">
        <f t="shared" si="91"/>
        <v>3</v>
      </c>
      <c r="BW101" s="112">
        <f t="shared" si="83"/>
        <v>2</v>
      </c>
      <c r="BX101" s="121" t="str">
        <f t="shared" si="84"/>
        <v/>
      </c>
      <c r="BY101" s="121" t="str">
        <f t="shared" si="92"/>
        <v/>
      </c>
      <c r="BZ101" s="121" t="str">
        <f t="shared" si="61"/>
        <v/>
      </c>
      <c r="CA101" s="121" t="str">
        <f t="shared" si="62"/>
        <v/>
      </c>
      <c r="CB101" s="112" t="b">
        <f t="shared" si="63"/>
        <v>1</v>
      </c>
      <c r="CC101" s="115">
        <f t="shared" si="85"/>
        <v>1</v>
      </c>
      <c r="CD101" s="116" t="str">
        <f t="shared" si="64"/>
        <v/>
      </c>
      <c r="CE101" s="117">
        <f t="shared" si="86"/>
        <v>0</v>
      </c>
      <c r="CF101" s="116" t="str">
        <f t="shared" si="65"/>
        <v/>
      </c>
      <c r="CG101" s="118">
        <f t="shared" si="66"/>
        <v>0</v>
      </c>
      <c r="CH101" s="119" t="str">
        <f t="shared" si="67"/>
        <v/>
      </c>
      <c r="CI101" s="118" t="b">
        <f t="shared" si="68"/>
        <v>0</v>
      </c>
      <c r="CJ101" s="120" t="b">
        <f t="shared" si="69"/>
        <v>1</v>
      </c>
      <c r="CK101" s="118" t="b">
        <f t="shared" si="70"/>
        <v>0</v>
      </c>
      <c r="CL101" s="120" t="b">
        <f t="shared" si="71"/>
        <v>0</v>
      </c>
      <c r="CM101" s="112" t="b">
        <f t="shared" si="72"/>
        <v>0</v>
      </c>
      <c r="CN101" s="112" t="b">
        <f t="shared" si="73"/>
        <v>0</v>
      </c>
      <c r="CO101" s="118" t="b">
        <f t="shared" si="74"/>
        <v>0</v>
      </c>
      <c r="CP101" s="121" t="b">
        <f t="shared" si="87"/>
        <v>0</v>
      </c>
      <c r="CQ101" s="120" t="b">
        <f t="shared" si="95"/>
        <v>0</v>
      </c>
      <c r="CR101" s="122" t="b">
        <f t="shared" si="76"/>
        <v>0</v>
      </c>
      <c r="CS101" s="123" t="b">
        <f t="shared" si="96"/>
        <v>1</v>
      </c>
      <c r="CT101" s="123">
        <f t="shared" si="88"/>
        <v>1</v>
      </c>
      <c r="CU101" s="123">
        <f t="shared" si="78"/>
        <v>2</v>
      </c>
      <c r="CV101" s="123" t="str">
        <f t="shared" si="79"/>
        <v>2*</v>
      </c>
      <c r="CW101" s="123">
        <f t="shared" si="80"/>
        <v>3</v>
      </c>
      <c r="CX101" s="124">
        <f t="shared" si="89"/>
        <v>1</v>
      </c>
      <c r="CY101" s="123">
        <f t="shared" si="81"/>
        <v>2</v>
      </c>
      <c r="CZ101" s="123">
        <f t="shared" si="82"/>
        <v>3</v>
      </c>
      <c r="DA101" s="213"/>
      <c r="DB101" s="135" t="s">
        <v>57</v>
      </c>
      <c r="DC101" s="140">
        <f t="shared" si="94"/>
        <v>0.6</v>
      </c>
      <c r="DD101" s="141">
        <f t="shared" si="94"/>
        <v>0.7</v>
      </c>
      <c r="DE101" s="141">
        <f t="shared" si="94"/>
        <v>0.9</v>
      </c>
      <c r="DF101" s="141">
        <f t="shared" si="94"/>
        <v>0.95</v>
      </c>
      <c r="DG101" s="142">
        <f t="shared" si="94"/>
        <v>1</v>
      </c>
      <c r="DH101" s="1"/>
      <c r="DI101" s="11"/>
    </row>
    <row r="102" spans="1:113" s="67" customFormat="1" ht="12.9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N102" s="127">
        <f>IF(ISNA(BL102),"",IF(OR(BL102=1,BL102=2),"    ",MAX($AN$84:AN101)+1))</f>
        <v>15</v>
      </c>
      <c r="AO102" s="182" t="str">
        <f t="shared" si="55"/>
        <v xml:space="preserve">      - Conclusions &amp; Recommendations (3.8%)</v>
      </c>
      <c r="AP102" s="182"/>
      <c r="AQ102" s="182"/>
      <c r="AR102" s="183"/>
      <c r="AS102" s="107">
        <f t="shared" si="56"/>
        <v>1</v>
      </c>
      <c r="AT102" s="108" t="str">
        <f t="shared" si="57"/>
        <v>2*</v>
      </c>
      <c r="AU102" s="128">
        <f t="shared" si="57"/>
        <v>3</v>
      </c>
      <c r="AV102" s="133"/>
      <c r="AW102" s="130"/>
      <c r="AX102" s="225"/>
      <c r="AY102" s="226"/>
      <c r="AZ102" s="226"/>
      <c r="BA102" s="226"/>
      <c r="BB102" s="226"/>
      <c r="BC102" s="226"/>
      <c r="BD102" s="227"/>
      <c r="BF102" s="72">
        <v>19</v>
      </c>
      <c r="BG102" s="60" t="str">
        <f t="shared" si="93"/>
        <v xml:space="preserve">      - Conclusions &amp; Recommendations</v>
      </c>
      <c r="BH102" s="112">
        <f t="shared" si="93"/>
        <v>1</v>
      </c>
      <c r="BI102" s="112">
        <f t="shared" si="93"/>
        <v>1</v>
      </c>
      <c r="BJ102" s="112" t="str">
        <f t="shared" si="93"/>
        <v/>
      </c>
      <c r="BK102" s="112" t="str">
        <f t="shared" si="93"/>
        <v/>
      </c>
      <c r="BL102" s="121" t="str">
        <f t="shared" si="93"/>
        <v/>
      </c>
      <c r="BM102" s="121">
        <f t="shared" si="93"/>
        <v>2</v>
      </c>
      <c r="BN102" s="121">
        <f t="shared" si="93"/>
        <v>1</v>
      </c>
      <c r="BO102" s="112">
        <f t="shared" si="93"/>
        <v>3</v>
      </c>
      <c r="BP102" s="112">
        <f t="shared" si="93"/>
        <v>2</v>
      </c>
      <c r="BQ102" s="112">
        <f t="shared" si="93"/>
        <v>1</v>
      </c>
      <c r="BR102" s="112" t="b">
        <f t="shared" si="93"/>
        <v>1</v>
      </c>
      <c r="BS102" s="112">
        <f t="shared" si="59"/>
        <v>2</v>
      </c>
      <c r="BT102" s="112">
        <f t="shared" si="60"/>
        <v>1</v>
      </c>
      <c r="BU102" s="113">
        <f>IF(NOT(OR(BL102=1,BL102=2)),IF(CC102&gt;0,$CD$120*CC102/SUMIF($CC$84:$CC$115,"&gt;0"),IF(CG102&gt;0,$CH$120*CG102/SUMIF($CG$84:$CG$115,"&gt;0"),IF(CE102&gt;0,$CF$120*CE102/SUMIF($CE$84:$CE$115,"&gt;0"),""))),IF(SUMIF(BV103:$BV$115,"=" &amp; BV102,BU103:$BU$115)=0,"",SUMIF(BV103:$BV$115,"=" &amp; BV102,BU103:$BU$115)))</f>
        <v>3.8461538461538464E-2</v>
      </c>
      <c r="BV102" s="114">
        <f t="shared" si="91"/>
        <v>3</v>
      </c>
      <c r="BW102" s="112">
        <f t="shared" si="83"/>
        <v>2</v>
      </c>
      <c r="BX102" s="121" t="str">
        <f t="shared" si="84"/>
        <v/>
      </c>
      <c r="BY102" s="121" t="str">
        <f t="shared" si="92"/>
        <v/>
      </c>
      <c r="BZ102" s="121" t="str">
        <f t="shared" si="61"/>
        <v/>
      </c>
      <c r="CA102" s="121" t="str">
        <f t="shared" si="62"/>
        <v/>
      </c>
      <c r="CB102" s="112" t="b">
        <f t="shared" si="63"/>
        <v>1</v>
      </c>
      <c r="CC102" s="115">
        <f t="shared" si="85"/>
        <v>1</v>
      </c>
      <c r="CD102" s="116" t="str">
        <f t="shared" si="64"/>
        <v/>
      </c>
      <c r="CE102" s="117">
        <f t="shared" si="86"/>
        <v>0</v>
      </c>
      <c r="CF102" s="116" t="str">
        <f t="shared" si="65"/>
        <v/>
      </c>
      <c r="CG102" s="118">
        <f t="shared" si="66"/>
        <v>0</v>
      </c>
      <c r="CH102" s="119" t="str">
        <f t="shared" si="67"/>
        <v/>
      </c>
      <c r="CI102" s="118" t="b">
        <f t="shared" si="68"/>
        <v>0</v>
      </c>
      <c r="CJ102" s="120" t="b">
        <f t="shared" si="69"/>
        <v>1</v>
      </c>
      <c r="CK102" s="118" t="b">
        <f t="shared" si="70"/>
        <v>0</v>
      </c>
      <c r="CL102" s="120" t="b">
        <f t="shared" si="71"/>
        <v>0</v>
      </c>
      <c r="CM102" s="112" t="b">
        <f t="shared" si="72"/>
        <v>0</v>
      </c>
      <c r="CN102" s="112" t="b">
        <f t="shared" si="73"/>
        <v>0</v>
      </c>
      <c r="CO102" s="118" t="b">
        <f t="shared" si="74"/>
        <v>0</v>
      </c>
      <c r="CP102" s="121" t="b">
        <f t="shared" si="87"/>
        <v>0</v>
      </c>
      <c r="CQ102" s="120" t="b">
        <f t="shared" si="95"/>
        <v>0</v>
      </c>
      <c r="CR102" s="122" t="b">
        <f t="shared" si="76"/>
        <v>0</v>
      </c>
      <c r="CS102" s="123" t="b">
        <f t="shared" si="96"/>
        <v>1</v>
      </c>
      <c r="CT102" s="123">
        <f t="shared" si="88"/>
        <v>1</v>
      </c>
      <c r="CU102" s="123">
        <f t="shared" si="78"/>
        <v>2</v>
      </c>
      <c r="CV102" s="123" t="str">
        <f t="shared" si="79"/>
        <v>2*</v>
      </c>
      <c r="CW102" s="123">
        <f t="shared" si="80"/>
        <v>3</v>
      </c>
      <c r="CX102" s="124">
        <f t="shared" si="89"/>
        <v>1</v>
      </c>
      <c r="CY102" s="123">
        <f t="shared" si="81"/>
        <v>2</v>
      </c>
      <c r="CZ102" s="123">
        <f t="shared" si="82"/>
        <v>3</v>
      </c>
      <c r="DA102" s="213"/>
      <c r="DB102" s="135" t="s">
        <v>58</v>
      </c>
      <c r="DC102" s="140">
        <f t="shared" si="94"/>
        <v>0.6</v>
      </c>
      <c r="DD102" s="141">
        <f t="shared" si="94"/>
        <v>0.7</v>
      </c>
      <c r="DE102" s="141">
        <f t="shared" si="94"/>
        <v>0.8</v>
      </c>
      <c r="DF102" s="141">
        <f t="shared" si="94"/>
        <v>0.9</v>
      </c>
      <c r="DG102" s="142">
        <f t="shared" si="94"/>
        <v>1</v>
      </c>
    </row>
    <row r="103" spans="1:113" s="67" customFormat="1" ht="12.9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N103" s="127" t="str">
        <f>IF(ISNA(BL103),"",IF(OR(BL103=1,BL103=2),"    ",MAX($AN$84:AN102)+1))</f>
        <v xml:space="preserve">    </v>
      </c>
      <c r="AO103" s="182" t="str">
        <f t="shared" si="55"/>
        <v>Clarity &amp; Precision (Mechanics) (11.5%)</v>
      </c>
      <c r="AP103" s="182"/>
      <c r="AQ103" s="182"/>
      <c r="AR103" s="183"/>
      <c r="AS103" s="107" t="str">
        <f t="shared" si="56"/>
        <v/>
      </c>
      <c r="AT103" s="108" t="str">
        <f t="shared" si="57"/>
        <v/>
      </c>
      <c r="AU103" s="128" t="str">
        <f t="shared" si="57"/>
        <v/>
      </c>
      <c r="AV103" s="133"/>
      <c r="AW103" s="130"/>
      <c r="AX103" s="225"/>
      <c r="AY103" s="226"/>
      <c r="AZ103" s="226"/>
      <c r="BA103" s="226"/>
      <c r="BB103" s="226"/>
      <c r="BC103" s="226"/>
      <c r="BD103" s="227"/>
      <c r="BF103" s="72">
        <v>20</v>
      </c>
      <c r="BG103" s="60" t="str">
        <f t="shared" si="93"/>
        <v>Clarity &amp; Precision (Mechanics)</v>
      </c>
      <c r="BH103" s="112" t="str">
        <f t="shared" si="93"/>
        <v/>
      </c>
      <c r="BI103" s="112" t="str">
        <f t="shared" si="93"/>
        <v/>
      </c>
      <c r="BJ103" s="112" t="str">
        <f t="shared" si="93"/>
        <v/>
      </c>
      <c r="BK103" s="112" t="str">
        <f t="shared" si="93"/>
        <v/>
      </c>
      <c r="BL103" s="121">
        <f t="shared" si="93"/>
        <v>2</v>
      </c>
      <c r="BM103" s="121">
        <f t="shared" si="93"/>
        <v>1</v>
      </c>
      <c r="BN103" s="121">
        <f t="shared" si="93"/>
        <v>1</v>
      </c>
      <c r="BO103" s="112" t="str">
        <f t="shared" si="93"/>
        <v/>
      </c>
      <c r="BP103" s="112" t="str">
        <f t="shared" si="93"/>
        <v/>
      </c>
      <c r="BQ103" s="112" t="str">
        <f t="shared" si="93"/>
        <v/>
      </c>
      <c r="BR103" s="112" t="str">
        <f t="shared" si="93"/>
        <v/>
      </c>
      <c r="BS103" s="112" t="str">
        <f t="shared" si="59"/>
        <v/>
      </c>
      <c r="BT103" s="112" t="str">
        <f t="shared" si="60"/>
        <v/>
      </c>
      <c r="BU103" s="113">
        <f>IF(NOT(OR(BL103=1,BL103=2)),IF(CC103&gt;0,$CD$120*CC103/SUMIF($CC$84:$CC$115,"&gt;0"),IF(CG103&gt;0,$CH$120*CG103/SUMIF($CG$84:$CG$115,"&gt;0"),IF(CE103&gt;0,$CF$120*CE103/SUMIF($CE$84:$CE$115,"&gt;0"),""))),IF(SUMIF(BV104:$BV$115,"=" &amp; BV103,BU104:$BU$115)=0,"",SUMIF(BV104:$BV$115,"=" &amp; BV103,BU104:$BU$115)))</f>
        <v>0.11538461538461539</v>
      </c>
      <c r="BV103" s="114">
        <f t="shared" si="91"/>
        <v>4</v>
      </c>
      <c r="BW103" s="112" t="str">
        <f t="shared" si="83"/>
        <v/>
      </c>
      <c r="BX103" s="121" t="str">
        <f t="shared" si="84"/>
        <v/>
      </c>
      <c r="BY103" s="121" t="str">
        <f t="shared" si="92"/>
        <v/>
      </c>
      <c r="BZ103" s="121" t="str">
        <f t="shared" si="61"/>
        <v/>
      </c>
      <c r="CA103" s="121" t="str">
        <f t="shared" si="62"/>
        <v/>
      </c>
      <c r="CB103" s="112" t="str">
        <f t="shared" si="63"/>
        <v/>
      </c>
      <c r="CC103" s="115">
        <f t="shared" si="85"/>
        <v>0</v>
      </c>
      <c r="CD103" s="116" t="str">
        <f t="shared" si="64"/>
        <v/>
      </c>
      <c r="CE103" s="117">
        <f t="shared" si="86"/>
        <v>0</v>
      </c>
      <c r="CF103" s="116" t="str">
        <f t="shared" si="65"/>
        <v/>
      </c>
      <c r="CG103" s="118">
        <f t="shared" si="66"/>
        <v>0</v>
      </c>
      <c r="CH103" s="119" t="str">
        <f t="shared" si="67"/>
        <v/>
      </c>
      <c r="CI103" s="118" t="b">
        <f t="shared" si="68"/>
        <v>0</v>
      </c>
      <c r="CJ103" s="120" t="b">
        <f t="shared" si="69"/>
        <v>0</v>
      </c>
      <c r="CK103" s="118" t="b">
        <f t="shared" si="70"/>
        <v>0</v>
      </c>
      <c r="CL103" s="120" t="b">
        <f t="shared" si="71"/>
        <v>0</v>
      </c>
      <c r="CM103" s="112" t="b">
        <f t="shared" si="72"/>
        <v>0</v>
      </c>
      <c r="CN103" s="112" t="b">
        <f t="shared" si="73"/>
        <v>0</v>
      </c>
      <c r="CO103" s="118" t="b">
        <f t="shared" si="74"/>
        <v>0</v>
      </c>
      <c r="CP103" s="121" t="b">
        <f t="shared" si="87"/>
        <v>0</v>
      </c>
      <c r="CQ103" s="120" t="b">
        <f t="shared" si="95"/>
        <v>0</v>
      </c>
      <c r="CR103" s="122" t="b">
        <f t="shared" si="76"/>
        <v>0</v>
      </c>
      <c r="CS103" s="123" t="b">
        <f t="shared" si="96"/>
        <v>0</v>
      </c>
      <c r="CT103" s="123" t="str">
        <f t="shared" si="88"/>
        <v/>
      </c>
      <c r="CU103" s="123" t="str">
        <f t="shared" si="78"/>
        <v/>
      </c>
      <c r="CV103" s="123" t="str">
        <f t="shared" si="79"/>
        <v/>
      </c>
      <c r="CW103" s="123" t="str">
        <f t="shared" si="80"/>
        <v/>
      </c>
      <c r="CX103" s="124" t="str">
        <f t="shared" si="89"/>
        <v/>
      </c>
      <c r="CY103" s="123" t="str">
        <f t="shared" si="81"/>
        <v/>
      </c>
      <c r="CZ103" s="123" t="str">
        <f t="shared" si="82"/>
        <v/>
      </c>
      <c r="DA103" s="213"/>
      <c r="DB103" s="135" t="s">
        <v>59</v>
      </c>
      <c r="DC103" s="140">
        <f t="shared" si="94"/>
        <v>0.3</v>
      </c>
      <c r="DD103" s="141">
        <f t="shared" si="94"/>
        <v>0.6</v>
      </c>
      <c r="DE103" s="141">
        <f t="shared" si="94"/>
        <v>0.9</v>
      </c>
      <c r="DF103" s="141">
        <f t="shared" si="94"/>
        <v>0.95</v>
      </c>
      <c r="DG103" s="142">
        <f t="shared" si="94"/>
        <v>1</v>
      </c>
    </row>
    <row r="104" spans="1:113" s="67" customFormat="1" ht="12.9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N104" s="127">
        <f>IF(ISNA(BL104),"",IF(OR(BL104=1,BL104=2),"    ",MAX($AN$84:AN103)+1))</f>
        <v>16</v>
      </c>
      <c r="AO104" s="182" t="str">
        <f t="shared" si="55"/>
        <v xml:space="preserve">      - Grammar &amp; Syntax (3.8%)</v>
      </c>
      <c r="AP104" s="182"/>
      <c r="AQ104" s="182"/>
      <c r="AR104" s="183"/>
      <c r="AS104" s="107">
        <f t="shared" si="56"/>
        <v>1</v>
      </c>
      <c r="AT104" s="108" t="str">
        <f t="shared" si="57"/>
        <v>2*</v>
      </c>
      <c r="AU104" s="128">
        <f t="shared" si="57"/>
        <v>3</v>
      </c>
      <c r="AV104" s="133"/>
      <c r="AW104" s="130"/>
      <c r="AX104" s="225"/>
      <c r="AY104" s="226"/>
      <c r="AZ104" s="226"/>
      <c r="BA104" s="226"/>
      <c r="BB104" s="226"/>
      <c r="BC104" s="226"/>
      <c r="BD104" s="227"/>
      <c r="BF104" s="72">
        <v>21</v>
      </c>
      <c r="BG104" s="60" t="str">
        <f t="shared" ref="BG104:BR115" si="97">VLOOKUP($BF104,crit_input_data,BG$82,FALSE)</f>
        <v xml:space="preserve">      - Grammar &amp; Syntax</v>
      </c>
      <c r="BH104" s="112">
        <f t="shared" si="97"/>
        <v>1</v>
      </c>
      <c r="BI104" s="112">
        <f t="shared" si="97"/>
        <v>1</v>
      </c>
      <c r="BJ104" s="112" t="str">
        <f t="shared" si="93"/>
        <v/>
      </c>
      <c r="BK104" s="112" t="str">
        <f t="shared" si="97"/>
        <v/>
      </c>
      <c r="BL104" s="121" t="str">
        <f t="shared" si="97"/>
        <v/>
      </c>
      <c r="BM104" s="121">
        <f t="shared" si="97"/>
        <v>2</v>
      </c>
      <c r="BN104" s="121">
        <f t="shared" si="97"/>
        <v>1</v>
      </c>
      <c r="BO104" s="112">
        <f t="shared" si="97"/>
        <v>3</v>
      </c>
      <c r="BP104" s="112">
        <f t="shared" si="97"/>
        <v>2</v>
      </c>
      <c r="BQ104" s="112">
        <f t="shared" si="97"/>
        <v>1</v>
      </c>
      <c r="BR104" s="112" t="b">
        <f t="shared" si="93"/>
        <v>1</v>
      </c>
      <c r="BS104" s="112">
        <f t="shared" si="59"/>
        <v>2</v>
      </c>
      <c r="BT104" s="112">
        <f t="shared" si="60"/>
        <v>1</v>
      </c>
      <c r="BU104" s="113">
        <f>IF(NOT(OR(BL104=1,BL104=2)),IF(CC104&gt;0,$CD$120*CC104/SUMIF($CC$84:$CC$115,"&gt;0"),IF(CG104&gt;0,$CH$120*CG104/SUMIF($CG$84:$CG$115,"&gt;0"),IF(CE104&gt;0,$CF$120*CE104/SUMIF($CE$84:$CE$115,"&gt;0"),""))),IF(SUMIF(BV105:$BV$115,"=" &amp; BV104,BU105:$BU$115)=0,"",SUMIF(BV105:$BV$115,"=" &amp; BV104,BU105:$BU$115)))</f>
        <v>3.8461538461538464E-2</v>
      </c>
      <c r="BV104" s="114">
        <f t="shared" si="91"/>
        <v>4</v>
      </c>
      <c r="BW104" s="112">
        <f t="shared" si="83"/>
        <v>2</v>
      </c>
      <c r="BX104" s="121" t="str">
        <f t="shared" si="84"/>
        <v/>
      </c>
      <c r="BY104" s="121" t="str">
        <f t="shared" si="92"/>
        <v/>
      </c>
      <c r="BZ104" s="121" t="str">
        <f t="shared" si="61"/>
        <v/>
      </c>
      <c r="CA104" s="121" t="str">
        <f t="shared" si="62"/>
        <v/>
      </c>
      <c r="CB104" s="112" t="b">
        <f t="shared" si="63"/>
        <v>1</v>
      </c>
      <c r="CC104" s="115">
        <f t="shared" si="85"/>
        <v>1</v>
      </c>
      <c r="CD104" s="116" t="str">
        <f t="shared" si="64"/>
        <v/>
      </c>
      <c r="CE104" s="117">
        <f t="shared" si="86"/>
        <v>0</v>
      </c>
      <c r="CF104" s="116" t="str">
        <f t="shared" si="65"/>
        <v/>
      </c>
      <c r="CG104" s="118">
        <f t="shared" si="66"/>
        <v>0</v>
      </c>
      <c r="CH104" s="119" t="str">
        <f t="shared" si="67"/>
        <v/>
      </c>
      <c r="CI104" s="118" t="b">
        <f t="shared" si="68"/>
        <v>0</v>
      </c>
      <c r="CJ104" s="120" t="b">
        <f t="shared" si="69"/>
        <v>1</v>
      </c>
      <c r="CK104" s="118" t="b">
        <f t="shared" si="70"/>
        <v>0</v>
      </c>
      <c r="CL104" s="120" t="b">
        <f t="shared" si="71"/>
        <v>0</v>
      </c>
      <c r="CM104" s="112" t="b">
        <f t="shared" si="72"/>
        <v>0</v>
      </c>
      <c r="CN104" s="112" t="b">
        <f t="shared" si="73"/>
        <v>0</v>
      </c>
      <c r="CO104" s="118" t="b">
        <f t="shared" si="74"/>
        <v>0</v>
      </c>
      <c r="CP104" s="121" t="b">
        <f t="shared" si="87"/>
        <v>0</v>
      </c>
      <c r="CQ104" s="120" t="b">
        <f t="shared" si="95"/>
        <v>0</v>
      </c>
      <c r="CR104" s="122" t="b">
        <f t="shared" si="76"/>
        <v>0</v>
      </c>
      <c r="CS104" s="123" t="b">
        <f t="shared" si="96"/>
        <v>1</v>
      </c>
      <c r="CT104" s="123">
        <f t="shared" si="88"/>
        <v>1</v>
      </c>
      <c r="CU104" s="123">
        <f t="shared" si="78"/>
        <v>2</v>
      </c>
      <c r="CV104" s="123" t="str">
        <f t="shared" si="79"/>
        <v>2*</v>
      </c>
      <c r="CW104" s="123">
        <f t="shared" si="80"/>
        <v>3</v>
      </c>
      <c r="CX104" s="124">
        <f t="shared" si="89"/>
        <v>1</v>
      </c>
      <c r="CY104" s="123">
        <f t="shared" si="81"/>
        <v>2</v>
      </c>
      <c r="CZ104" s="123">
        <f t="shared" si="82"/>
        <v>3</v>
      </c>
      <c r="DA104" s="213"/>
      <c r="DB104" s="135" t="s">
        <v>60</v>
      </c>
      <c r="DC104" s="140">
        <f t="shared" si="94"/>
        <v>0.3</v>
      </c>
      <c r="DD104" s="141">
        <f t="shared" si="94"/>
        <v>0.6</v>
      </c>
      <c r="DE104" s="141">
        <f t="shared" si="94"/>
        <v>0.7</v>
      </c>
      <c r="DF104" s="141">
        <f t="shared" si="94"/>
        <v>0.9</v>
      </c>
      <c r="DG104" s="142">
        <f t="shared" si="94"/>
        <v>1</v>
      </c>
    </row>
    <row r="105" spans="1:113" s="67" customFormat="1" ht="12.9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N105" s="127">
        <f>IF(ISNA(BL105),"",IF(OR(BL105=1,BL105=2),"    ",MAX($AN$84:AN104)+1))</f>
        <v>17</v>
      </c>
      <c r="AO105" s="182" t="str">
        <f t="shared" si="55"/>
        <v xml:space="preserve">      - Punctuation Acronyms &amp; Formatting (3.8%)</v>
      </c>
      <c r="AP105" s="182"/>
      <c r="AQ105" s="182"/>
      <c r="AR105" s="183"/>
      <c r="AS105" s="107">
        <f t="shared" si="56"/>
        <v>1</v>
      </c>
      <c r="AT105" s="108" t="str">
        <f t="shared" si="57"/>
        <v>2*</v>
      </c>
      <c r="AU105" s="128">
        <f t="shared" si="57"/>
        <v>3</v>
      </c>
      <c r="AV105" s="133"/>
      <c r="AW105" s="130"/>
      <c r="AX105" s="225"/>
      <c r="AY105" s="226"/>
      <c r="AZ105" s="226"/>
      <c r="BA105" s="226"/>
      <c r="BB105" s="226"/>
      <c r="BC105" s="226"/>
      <c r="BD105" s="227"/>
      <c r="BF105" s="72">
        <v>22</v>
      </c>
      <c r="BG105" s="60" t="str">
        <f t="shared" si="97"/>
        <v xml:space="preserve">      - Punctuation Acronyms &amp; Formatting</v>
      </c>
      <c r="BH105" s="112">
        <f t="shared" si="97"/>
        <v>1</v>
      </c>
      <c r="BI105" s="112">
        <f t="shared" si="97"/>
        <v>1</v>
      </c>
      <c r="BJ105" s="112" t="str">
        <f t="shared" si="93"/>
        <v/>
      </c>
      <c r="BK105" s="112" t="str">
        <f t="shared" si="97"/>
        <v/>
      </c>
      <c r="BL105" s="121" t="str">
        <f t="shared" si="97"/>
        <v/>
      </c>
      <c r="BM105" s="121">
        <f t="shared" si="97"/>
        <v>2</v>
      </c>
      <c r="BN105" s="121">
        <f t="shared" si="97"/>
        <v>1</v>
      </c>
      <c r="BO105" s="112">
        <f t="shared" si="97"/>
        <v>3</v>
      </c>
      <c r="BP105" s="112">
        <f t="shared" si="97"/>
        <v>2</v>
      </c>
      <c r="BQ105" s="112">
        <f t="shared" si="97"/>
        <v>1</v>
      </c>
      <c r="BR105" s="112" t="b">
        <f t="shared" si="93"/>
        <v>1</v>
      </c>
      <c r="BS105" s="112">
        <f t="shared" si="59"/>
        <v>2</v>
      </c>
      <c r="BT105" s="112">
        <f t="shared" si="60"/>
        <v>1</v>
      </c>
      <c r="BU105" s="113">
        <f>IF(NOT(OR(BL105=1,BL105=2)),IF(CC105&gt;0,$CD$120*CC105/SUMIF($CC$84:$CC$115,"&gt;0"),IF(CG105&gt;0,$CH$120*CG105/SUMIF($CG$84:$CG$115,"&gt;0"),IF(CE105&gt;0,$CF$120*CE105/SUMIF($CE$84:$CE$115,"&gt;0"),""))),IF(SUMIF(BV106:$BV$115,"=" &amp; BV105,BU106:$BU$115)=0,"",SUMIF(BV106:$BV$115,"=" &amp; BV105,BU106:$BU$115)))</f>
        <v>3.8461538461538464E-2</v>
      </c>
      <c r="BV105" s="114">
        <f t="shared" si="91"/>
        <v>4</v>
      </c>
      <c r="BW105" s="112">
        <f t="shared" si="83"/>
        <v>2</v>
      </c>
      <c r="BX105" s="121" t="str">
        <f t="shared" si="84"/>
        <v/>
      </c>
      <c r="BY105" s="121" t="str">
        <f t="shared" si="92"/>
        <v/>
      </c>
      <c r="BZ105" s="121" t="str">
        <f t="shared" si="61"/>
        <v/>
      </c>
      <c r="CA105" s="121" t="str">
        <f t="shared" si="62"/>
        <v/>
      </c>
      <c r="CB105" s="112" t="b">
        <f t="shared" si="63"/>
        <v>1</v>
      </c>
      <c r="CC105" s="115">
        <f t="shared" si="85"/>
        <v>1</v>
      </c>
      <c r="CD105" s="116" t="str">
        <f t="shared" si="64"/>
        <v/>
      </c>
      <c r="CE105" s="117">
        <f t="shared" si="86"/>
        <v>0</v>
      </c>
      <c r="CF105" s="116" t="str">
        <f t="shared" si="65"/>
        <v/>
      </c>
      <c r="CG105" s="118">
        <f t="shared" si="66"/>
        <v>0</v>
      </c>
      <c r="CH105" s="119" t="str">
        <f t="shared" si="67"/>
        <v/>
      </c>
      <c r="CI105" s="118" t="b">
        <f t="shared" si="68"/>
        <v>0</v>
      </c>
      <c r="CJ105" s="120" t="b">
        <f t="shared" si="69"/>
        <v>1</v>
      </c>
      <c r="CK105" s="118" t="b">
        <f t="shared" si="70"/>
        <v>0</v>
      </c>
      <c r="CL105" s="120" t="b">
        <f t="shared" si="71"/>
        <v>0</v>
      </c>
      <c r="CM105" s="112" t="b">
        <f t="shared" si="72"/>
        <v>0</v>
      </c>
      <c r="CN105" s="112" t="b">
        <f t="shared" si="73"/>
        <v>0</v>
      </c>
      <c r="CO105" s="118" t="b">
        <f t="shared" si="74"/>
        <v>0</v>
      </c>
      <c r="CP105" s="121" t="b">
        <f t="shared" si="87"/>
        <v>0</v>
      </c>
      <c r="CQ105" s="120" t="b">
        <f t="shared" si="95"/>
        <v>0</v>
      </c>
      <c r="CR105" s="122" t="b">
        <f t="shared" si="76"/>
        <v>0</v>
      </c>
      <c r="CS105" s="123" t="b">
        <f t="shared" si="96"/>
        <v>1</v>
      </c>
      <c r="CT105" s="123">
        <f t="shared" si="88"/>
        <v>1</v>
      </c>
      <c r="CU105" s="123">
        <f t="shared" si="78"/>
        <v>2</v>
      </c>
      <c r="CV105" s="123" t="str">
        <f t="shared" si="79"/>
        <v>2*</v>
      </c>
      <c r="CW105" s="123">
        <f t="shared" si="80"/>
        <v>3</v>
      </c>
      <c r="CX105" s="124">
        <f t="shared" si="89"/>
        <v>1</v>
      </c>
      <c r="CY105" s="123">
        <f t="shared" si="81"/>
        <v>2</v>
      </c>
      <c r="CZ105" s="123">
        <f t="shared" si="82"/>
        <v>3</v>
      </c>
      <c r="DA105" s="213"/>
      <c r="DB105" s="135" t="s">
        <v>61</v>
      </c>
      <c r="DC105" s="143">
        <f t="shared" si="94"/>
        <v>0</v>
      </c>
      <c r="DD105" s="144">
        <f t="shared" si="94"/>
        <v>0.3</v>
      </c>
      <c r="DE105" s="144">
        <f t="shared" si="94"/>
        <v>0.6</v>
      </c>
      <c r="DF105" s="144">
        <f t="shared" si="94"/>
        <v>0.9</v>
      </c>
      <c r="DG105" s="145">
        <f t="shared" si="94"/>
        <v>1</v>
      </c>
    </row>
    <row r="106" spans="1:113" s="67" customFormat="1" ht="12.9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N106" s="127">
        <f>IF(ISNA(BL106),"",IF(OR(BL106=1,BL106=2),"    ",MAX($AN$84:AN105)+1))</f>
        <v>18</v>
      </c>
      <c r="AO106" s="182" t="str">
        <f t="shared" si="55"/>
        <v xml:space="preserve">      - Professional Tone &amp; Word Choice (3.8%)</v>
      </c>
      <c r="AP106" s="182"/>
      <c r="AQ106" s="182"/>
      <c r="AR106" s="183"/>
      <c r="AS106" s="107">
        <f t="shared" si="56"/>
        <v>1</v>
      </c>
      <c r="AT106" s="108" t="str">
        <f t="shared" si="57"/>
        <v>2*</v>
      </c>
      <c r="AU106" s="128">
        <f t="shared" si="57"/>
        <v>3</v>
      </c>
      <c r="AV106" s="133"/>
      <c r="AW106" s="130"/>
      <c r="AX106" s="225"/>
      <c r="AY106" s="226"/>
      <c r="AZ106" s="226"/>
      <c r="BA106" s="226"/>
      <c r="BB106" s="226"/>
      <c r="BC106" s="226"/>
      <c r="BD106" s="227"/>
      <c r="BF106" s="72">
        <v>23</v>
      </c>
      <c r="BG106" s="60" t="str">
        <f t="shared" si="97"/>
        <v xml:space="preserve">      - Professional Tone &amp; Word Choice</v>
      </c>
      <c r="BH106" s="112">
        <f t="shared" si="97"/>
        <v>1</v>
      </c>
      <c r="BI106" s="112">
        <f t="shared" si="97"/>
        <v>1</v>
      </c>
      <c r="BJ106" s="112" t="str">
        <f t="shared" si="93"/>
        <v/>
      </c>
      <c r="BK106" s="112" t="str">
        <f t="shared" si="97"/>
        <v/>
      </c>
      <c r="BL106" s="121" t="str">
        <f t="shared" si="97"/>
        <v/>
      </c>
      <c r="BM106" s="121">
        <f t="shared" si="97"/>
        <v>2</v>
      </c>
      <c r="BN106" s="121">
        <f t="shared" si="97"/>
        <v>1</v>
      </c>
      <c r="BO106" s="112">
        <f t="shared" si="97"/>
        <v>3</v>
      </c>
      <c r="BP106" s="112">
        <f t="shared" si="97"/>
        <v>2</v>
      </c>
      <c r="BQ106" s="112">
        <f t="shared" si="97"/>
        <v>1</v>
      </c>
      <c r="BR106" s="112" t="b">
        <f t="shared" si="93"/>
        <v>1</v>
      </c>
      <c r="BS106" s="112">
        <f t="shared" si="59"/>
        <v>2</v>
      </c>
      <c r="BT106" s="112">
        <f t="shared" si="60"/>
        <v>1</v>
      </c>
      <c r="BU106" s="113">
        <f>IF(NOT(OR(BL106=1,BL106=2)),IF(CC106&gt;0,$CD$120*CC106/SUMIF($CC$84:$CC$115,"&gt;0"),IF(CG106&gt;0,$CH$120*CG106/SUMIF($CG$84:$CG$115,"&gt;0"),IF(CE106&gt;0,$CF$120*CE106/SUMIF($CE$84:$CE$115,"&gt;0"),""))),IF(SUMIF(BV107:$BV$115,"=" &amp; BV106,BU107:$BU$115)=0,"",SUMIF(BV107:$BV$115,"=" &amp; BV106,BU107:$BU$115)))</f>
        <v>3.8461538461538464E-2</v>
      </c>
      <c r="BV106" s="114">
        <f t="shared" si="91"/>
        <v>4</v>
      </c>
      <c r="BW106" s="112">
        <f t="shared" si="83"/>
        <v>2</v>
      </c>
      <c r="BX106" s="121" t="str">
        <f t="shared" si="84"/>
        <v/>
      </c>
      <c r="BY106" s="121" t="str">
        <f t="shared" si="92"/>
        <v/>
      </c>
      <c r="BZ106" s="121" t="str">
        <f t="shared" si="61"/>
        <v/>
      </c>
      <c r="CA106" s="121" t="str">
        <f t="shared" si="62"/>
        <v/>
      </c>
      <c r="CB106" s="112" t="b">
        <f t="shared" si="63"/>
        <v>1</v>
      </c>
      <c r="CC106" s="115">
        <f t="shared" si="85"/>
        <v>1</v>
      </c>
      <c r="CD106" s="116" t="str">
        <f t="shared" si="64"/>
        <v/>
      </c>
      <c r="CE106" s="117">
        <f t="shared" si="86"/>
        <v>0</v>
      </c>
      <c r="CF106" s="116" t="str">
        <f t="shared" si="65"/>
        <v/>
      </c>
      <c r="CG106" s="118">
        <f t="shared" si="66"/>
        <v>0</v>
      </c>
      <c r="CH106" s="119" t="str">
        <f t="shared" si="67"/>
        <v/>
      </c>
      <c r="CI106" s="118" t="b">
        <f t="shared" si="68"/>
        <v>0</v>
      </c>
      <c r="CJ106" s="120" t="b">
        <f t="shared" si="69"/>
        <v>1</v>
      </c>
      <c r="CK106" s="118" t="b">
        <f t="shared" si="70"/>
        <v>0</v>
      </c>
      <c r="CL106" s="120" t="b">
        <f t="shared" si="71"/>
        <v>0</v>
      </c>
      <c r="CM106" s="112" t="b">
        <f t="shared" si="72"/>
        <v>0</v>
      </c>
      <c r="CN106" s="112" t="b">
        <f t="shared" si="73"/>
        <v>0</v>
      </c>
      <c r="CO106" s="118" t="b">
        <f t="shared" si="74"/>
        <v>0</v>
      </c>
      <c r="CP106" s="121" t="b">
        <f t="shared" si="87"/>
        <v>0</v>
      </c>
      <c r="CQ106" s="120" t="b">
        <f t="shared" si="95"/>
        <v>0</v>
      </c>
      <c r="CR106" s="122" t="b">
        <f t="shared" si="76"/>
        <v>0</v>
      </c>
      <c r="CS106" s="123" t="b">
        <f t="shared" si="96"/>
        <v>1</v>
      </c>
      <c r="CT106" s="123">
        <f t="shared" si="88"/>
        <v>1</v>
      </c>
      <c r="CU106" s="123">
        <f t="shared" si="78"/>
        <v>2</v>
      </c>
      <c r="CV106" s="123" t="str">
        <f t="shared" si="79"/>
        <v>2*</v>
      </c>
      <c r="CW106" s="123">
        <f t="shared" si="80"/>
        <v>3</v>
      </c>
      <c r="CX106" s="124">
        <f t="shared" si="89"/>
        <v>1</v>
      </c>
      <c r="CY106" s="123">
        <f t="shared" si="81"/>
        <v>2</v>
      </c>
      <c r="CZ106" s="123">
        <f t="shared" si="82"/>
        <v>3</v>
      </c>
      <c r="DA106" s="63"/>
    </row>
    <row r="107" spans="1:113" s="67" customFormat="1" ht="12.9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N107" s="127" t="str">
        <f>IF(ISNA(BL107),"",IF(OR(BL107=1,BL107=2),"    ",MAX($AN$84:AN106)+1))</f>
        <v xml:space="preserve">    </v>
      </c>
      <c r="AO107" s="182" t="str">
        <f t="shared" si="55"/>
        <v>Visual Engineering &amp; Data Presentation (30.8%)</v>
      </c>
      <c r="AP107" s="182"/>
      <c r="AQ107" s="182"/>
      <c r="AR107" s="183"/>
      <c r="AS107" s="107" t="str">
        <f t="shared" si="56"/>
        <v/>
      </c>
      <c r="AT107" s="108" t="str">
        <f t="shared" si="57"/>
        <v/>
      </c>
      <c r="AU107" s="128" t="str">
        <f t="shared" si="57"/>
        <v/>
      </c>
      <c r="AV107" s="133"/>
      <c r="AW107" s="130"/>
      <c r="AX107" s="225"/>
      <c r="AY107" s="226"/>
      <c r="AZ107" s="226"/>
      <c r="BA107" s="226"/>
      <c r="BB107" s="226"/>
      <c r="BC107" s="226"/>
      <c r="BD107" s="227"/>
      <c r="BF107" s="72">
        <v>24</v>
      </c>
      <c r="BG107" s="60" t="str">
        <f t="shared" si="97"/>
        <v>Visual Engineering &amp; Data Presentation</v>
      </c>
      <c r="BH107" s="112" t="str">
        <f t="shared" si="97"/>
        <v/>
      </c>
      <c r="BI107" s="112" t="str">
        <f t="shared" si="97"/>
        <v/>
      </c>
      <c r="BJ107" s="112" t="str">
        <f t="shared" si="93"/>
        <v/>
      </c>
      <c r="BK107" s="112" t="str">
        <f t="shared" si="97"/>
        <v/>
      </c>
      <c r="BL107" s="121">
        <f t="shared" si="97"/>
        <v>2</v>
      </c>
      <c r="BM107" s="121">
        <f t="shared" si="97"/>
        <v>1</v>
      </c>
      <c r="BN107" s="121">
        <f t="shared" si="97"/>
        <v>1</v>
      </c>
      <c r="BO107" s="112" t="str">
        <f t="shared" si="97"/>
        <v/>
      </c>
      <c r="BP107" s="112" t="str">
        <f t="shared" si="97"/>
        <v/>
      </c>
      <c r="BQ107" s="112" t="str">
        <f t="shared" si="97"/>
        <v/>
      </c>
      <c r="BR107" s="112" t="str">
        <f t="shared" si="93"/>
        <v/>
      </c>
      <c r="BS107" s="112" t="str">
        <f t="shared" si="59"/>
        <v/>
      </c>
      <c r="BT107" s="112" t="str">
        <f t="shared" si="60"/>
        <v/>
      </c>
      <c r="BU107" s="113">
        <f>IF(NOT(OR(BL107=1,BL107=2)),IF(CC107&gt;0,$CD$120*CC107/SUMIF($CC$84:$CC$115,"&gt;0"),IF(CG107&gt;0,$CH$120*CG107/SUMIF($CG$84:$CG$115,"&gt;0"),IF(CE107&gt;0,$CF$120*CE107/SUMIF($CE$84:$CE$115,"&gt;0"),""))),IF(SUMIF(BV108:$BV$115,"=" &amp; BV107,BU108:$BU$115)=0,"",SUMIF(BV108:$BV$115,"=" &amp; BV107,BU108:$BU$115)))</f>
        <v>0.30769230769230771</v>
      </c>
      <c r="BV107" s="114">
        <f t="shared" si="91"/>
        <v>5</v>
      </c>
      <c r="BW107" s="112" t="str">
        <f t="shared" si="83"/>
        <v/>
      </c>
      <c r="BX107" s="121" t="str">
        <f t="shared" si="84"/>
        <v/>
      </c>
      <c r="BY107" s="121" t="str">
        <f t="shared" si="92"/>
        <v/>
      </c>
      <c r="BZ107" s="121" t="str">
        <f t="shared" si="61"/>
        <v/>
      </c>
      <c r="CA107" s="121" t="str">
        <f t="shared" si="62"/>
        <v/>
      </c>
      <c r="CB107" s="112" t="str">
        <f t="shared" si="63"/>
        <v/>
      </c>
      <c r="CC107" s="115">
        <f t="shared" si="85"/>
        <v>0</v>
      </c>
      <c r="CD107" s="116" t="str">
        <f t="shared" si="64"/>
        <v/>
      </c>
      <c r="CE107" s="117">
        <f t="shared" si="86"/>
        <v>0</v>
      </c>
      <c r="CF107" s="116" t="str">
        <f t="shared" si="65"/>
        <v/>
      </c>
      <c r="CG107" s="118">
        <f t="shared" si="66"/>
        <v>0</v>
      </c>
      <c r="CH107" s="119" t="str">
        <f t="shared" si="67"/>
        <v/>
      </c>
      <c r="CI107" s="118" t="b">
        <f t="shared" si="68"/>
        <v>0</v>
      </c>
      <c r="CJ107" s="120" t="b">
        <f t="shared" si="69"/>
        <v>0</v>
      </c>
      <c r="CK107" s="118" t="b">
        <f t="shared" si="70"/>
        <v>0</v>
      </c>
      <c r="CL107" s="120" t="b">
        <f t="shared" si="71"/>
        <v>0</v>
      </c>
      <c r="CM107" s="112" t="b">
        <f t="shared" si="72"/>
        <v>0</v>
      </c>
      <c r="CN107" s="112" t="b">
        <f t="shared" si="73"/>
        <v>0</v>
      </c>
      <c r="CO107" s="118" t="b">
        <f t="shared" si="74"/>
        <v>0</v>
      </c>
      <c r="CP107" s="121" t="b">
        <f>IF(OR(ISNA($BL107),ISNUMBER($BL107),NOT(ISNUMBER(AW107))),FALSE,OR(NOT(ISNUMBER(AV107)),AV107=0,AND(AV107=0,AW107&lt;&gt;0)))</f>
        <v>0</v>
      </c>
      <c r="CQ107" s="120" t="b">
        <f t="shared" si="95"/>
        <v>0</v>
      </c>
      <c r="CR107" s="122" t="b">
        <f>IF(OR(ISNA($BL107),AT107&lt;&gt;"NG"),FALSE,IF(AND(AV107="NA",AW107&lt;&gt;""),TRUE,FALSE))</f>
        <v>0</v>
      </c>
      <c r="CS107" s="123" t="b">
        <f t="shared" si="96"/>
        <v>0</v>
      </c>
      <c r="CT107" s="123" t="str">
        <f t="shared" si="88"/>
        <v/>
      </c>
      <c r="CU107" s="123" t="str">
        <f t="shared" si="78"/>
        <v/>
      </c>
      <c r="CV107" s="123" t="str">
        <f t="shared" si="79"/>
        <v/>
      </c>
      <c r="CW107" s="123" t="str">
        <f t="shared" si="80"/>
        <v/>
      </c>
      <c r="CX107" s="124" t="str">
        <f t="shared" si="89"/>
        <v/>
      </c>
      <c r="CY107" s="123" t="str">
        <f t="shared" si="81"/>
        <v/>
      </c>
      <c r="CZ107" s="123" t="str">
        <f t="shared" si="82"/>
        <v/>
      </c>
      <c r="DA107" s="131" t="s">
        <v>169</v>
      </c>
      <c r="DB107" s="136" t="s">
        <v>170</v>
      </c>
    </row>
    <row r="108" spans="1:113" s="67" customFormat="1" ht="12.9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N108" s="127">
        <f>IF(ISNA(BL108),"",IF(OR(BL108=1,BL108=2),"    ",MAX($AN$84:AN107)+1))</f>
        <v>19</v>
      </c>
      <c r="AO108" s="182" t="str">
        <f t="shared" si="55"/>
        <v xml:space="preserve">      - Anatomy of a Valid Plot/Table (3.8%)</v>
      </c>
      <c r="AP108" s="182"/>
      <c r="AQ108" s="182"/>
      <c r="AR108" s="183"/>
      <c r="AS108" s="107">
        <f t="shared" si="56"/>
        <v>1</v>
      </c>
      <c r="AT108" s="108" t="str">
        <f t="shared" si="57"/>
        <v>2*</v>
      </c>
      <c r="AU108" s="128">
        <f t="shared" si="57"/>
        <v>3</v>
      </c>
      <c r="AV108" s="133"/>
      <c r="AW108" s="130"/>
      <c r="AX108" s="225"/>
      <c r="AY108" s="226"/>
      <c r="AZ108" s="226"/>
      <c r="BA108" s="226"/>
      <c r="BB108" s="226"/>
      <c r="BC108" s="226"/>
      <c r="BD108" s="227"/>
      <c r="BF108" s="72">
        <v>25</v>
      </c>
      <c r="BG108" s="60" t="str">
        <f t="shared" si="97"/>
        <v xml:space="preserve">      - Anatomy of a Valid Plot/Table</v>
      </c>
      <c r="BH108" s="112">
        <f t="shared" si="97"/>
        <v>1</v>
      </c>
      <c r="BI108" s="112">
        <f t="shared" si="97"/>
        <v>1</v>
      </c>
      <c r="BJ108" s="112" t="str">
        <f t="shared" si="93"/>
        <v/>
      </c>
      <c r="BK108" s="112" t="str">
        <f t="shared" si="97"/>
        <v/>
      </c>
      <c r="BL108" s="121" t="str">
        <f t="shared" si="97"/>
        <v/>
      </c>
      <c r="BM108" s="121">
        <f t="shared" si="97"/>
        <v>2</v>
      </c>
      <c r="BN108" s="121">
        <f t="shared" si="97"/>
        <v>1</v>
      </c>
      <c r="BO108" s="112">
        <f t="shared" si="97"/>
        <v>3</v>
      </c>
      <c r="BP108" s="112">
        <f t="shared" si="97"/>
        <v>2</v>
      </c>
      <c r="BQ108" s="112">
        <f t="shared" si="97"/>
        <v>1</v>
      </c>
      <c r="BR108" s="112" t="b">
        <f t="shared" si="93"/>
        <v>1</v>
      </c>
      <c r="BS108" s="112">
        <f t="shared" si="59"/>
        <v>2</v>
      </c>
      <c r="BT108" s="112">
        <f t="shared" si="60"/>
        <v>1</v>
      </c>
      <c r="BU108" s="113">
        <f>IF(NOT(OR(BL108=1,BL108=2)),IF(CC108&gt;0,$CD$120*CC108/SUMIF($CC$84:$CC$115,"&gt;0"),IF(CG108&gt;0,$CH$120*CG108/SUMIF($CG$84:$CG$115,"&gt;0"),IF(CE108&gt;0,$CF$120*CE108/SUMIF($CE$84:$CE$115,"&gt;0"),""))),IF(SUMIF(BV109:$BV$115,"=" &amp; BV108,BU109:$BU$115)=0,"",SUMIF(BV109:$BV$115,"=" &amp; BV108,BU109:$BU$115)))</f>
        <v>3.8461538461538464E-2</v>
      </c>
      <c r="BV108" s="114">
        <f t="shared" si="91"/>
        <v>5</v>
      </c>
      <c r="BW108" s="112">
        <f t="shared" si="83"/>
        <v>2</v>
      </c>
      <c r="BX108" s="121" t="str">
        <f t="shared" si="84"/>
        <v/>
      </c>
      <c r="BY108" s="121" t="str">
        <f t="shared" si="92"/>
        <v/>
      </c>
      <c r="BZ108" s="121" t="str">
        <f t="shared" si="61"/>
        <v/>
      </c>
      <c r="CA108" s="121" t="str">
        <f t="shared" si="62"/>
        <v/>
      </c>
      <c r="CB108" s="112" t="b">
        <f t="shared" si="63"/>
        <v>1</v>
      </c>
      <c r="CC108" s="115">
        <f t="shared" si="85"/>
        <v>1</v>
      </c>
      <c r="CD108" s="116" t="str">
        <f t="shared" si="64"/>
        <v/>
      </c>
      <c r="CE108" s="117">
        <f t="shared" si="86"/>
        <v>0</v>
      </c>
      <c r="CF108" s="116" t="str">
        <f t="shared" si="65"/>
        <v/>
      </c>
      <c r="CG108" s="118">
        <f t="shared" si="66"/>
        <v>0</v>
      </c>
      <c r="CH108" s="119" t="str">
        <f t="shared" si="67"/>
        <v/>
      </c>
      <c r="CI108" s="118" t="b">
        <f t="shared" si="68"/>
        <v>0</v>
      </c>
      <c r="CJ108" s="120" t="b">
        <f t="shared" si="69"/>
        <v>1</v>
      </c>
      <c r="CK108" s="118" t="b">
        <f t="shared" si="70"/>
        <v>0</v>
      </c>
      <c r="CL108" s="120" t="b">
        <f t="shared" si="71"/>
        <v>0</v>
      </c>
      <c r="CM108" s="112" t="b">
        <f t="shared" si="72"/>
        <v>0</v>
      </c>
      <c r="CN108" s="112" t="b">
        <f t="shared" si="73"/>
        <v>0</v>
      </c>
      <c r="CO108" s="118" t="b">
        <f t="shared" si="74"/>
        <v>0</v>
      </c>
      <c r="CP108" s="121" t="b">
        <f t="shared" si="87"/>
        <v>0</v>
      </c>
      <c r="CQ108" s="120" t="b">
        <f t="shared" si="95"/>
        <v>0</v>
      </c>
      <c r="CR108" s="122" t="b">
        <f t="shared" ref="CR108:CR115" si="98">IF(OR(ISNA($BL108),AT108&lt;&gt;"NG"),FALSE,IF(AND(AV108="NA",AW108&lt;&gt;""),TRUE,FALSE))</f>
        <v>0</v>
      </c>
      <c r="CS108" s="123" t="b">
        <f t="shared" si="96"/>
        <v>1</v>
      </c>
      <c r="CT108" s="123">
        <f t="shared" si="88"/>
        <v>1</v>
      </c>
      <c r="CU108" s="123">
        <f t="shared" si="78"/>
        <v>2</v>
      </c>
      <c r="CV108" s="123" t="str">
        <f t="shared" si="79"/>
        <v>2*</v>
      </c>
      <c r="CW108" s="123">
        <f t="shared" si="80"/>
        <v>3</v>
      </c>
      <c r="CX108" s="124">
        <f t="shared" si="89"/>
        <v>1</v>
      </c>
      <c r="CY108" s="123">
        <f t="shared" si="81"/>
        <v>2</v>
      </c>
      <c r="CZ108" s="123">
        <f t="shared" si="82"/>
        <v>3</v>
      </c>
      <c r="DA108" s="131" t="s">
        <v>171</v>
      </c>
      <c r="DB108" s="136" t="s">
        <v>172</v>
      </c>
    </row>
    <row r="109" spans="1:113" s="67" customFormat="1" ht="12.9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N109" s="127">
        <f>IF(ISNA(BL109),"",IF(OR(BL109=1,BL109=2),"    ",MAX($AN$84:AN108)+1))</f>
        <v>20</v>
      </c>
      <c r="AO109" s="182" t="str">
        <f t="shared" si="55"/>
        <v xml:space="preserve">      - Data-Ink Ratio &amp; Clarity (3.8%)</v>
      </c>
      <c r="AP109" s="182"/>
      <c r="AQ109" s="182"/>
      <c r="AR109" s="183"/>
      <c r="AS109" s="107">
        <f t="shared" si="56"/>
        <v>1</v>
      </c>
      <c r="AT109" s="108" t="str">
        <f t="shared" si="57"/>
        <v>2*</v>
      </c>
      <c r="AU109" s="128">
        <f t="shared" si="57"/>
        <v>3</v>
      </c>
      <c r="AV109" s="133"/>
      <c r="AW109" s="130"/>
      <c r="AX109" s="225"/>
      <c r="AY109" s="226"/>
      <c r="AZ109" s="226"/>
      <c r="BA109" s="226"/>
      <c r="BB109" s="226"/>
      <c r="BC109" s="226"/>
      <c r="BD109" s="227"/>
      <c r="BF109" s="72">
        <v>26</v>
      </c>
      <c r="BG109" s="60" t="str">
        <f t="shared" si="97"/>
        <v xml:space="preserve">      - Data-Ink Ratio &amp; Clarity</v>
      </c>
      <c r="BH109" s="112">
        <f t="shared" si="97"/>
        <v>1</v>
      </c>
      <c r="BI109" s="112">
        <f t="shared" si="97"/>
        <v>1</v>
      </c>
      <c r="BJ109" s="112" t="str">
        <f t="shared" si="93"/>
        <v/>
      </c>
      <c r="BK109" s="112" t="str">
        <f t="shared" si="97"/>
        <v/>
      </c>
      <c r="BL109" s="121" t="str">
        <f t="shared" si="97"/>
        <v/>
      </c>
      <c r="BM109" s="121">
        <f t="shared" si="97"/>
        <v>2</v>
      </c>
      <c r="BN109" s="121">
        <f t="shared" si="97"/>
        <v>1</v>
      </c>
      <c r="BO109" s="112">
        <f t="shared" si="97"/>
        <v>3</v>
      </c>
      <c r="BP109" s="112">
        <f t="shared" si="97"/>
        <v>2</v>
      </c>
      <c r="BQ109" s="112">
        <f t="shared" si="97"/>
        <v>1</v>
      </c>
      <c r="BR109" s="112" t="b">
        <f t="shared" si="93"/>
        <v>1</v>
      </c>
      <c r="BS109" s="112">
        <f t="shared" si="59"/>
        <v>2</v>
      </c>
      <c r="BT109" s="112">
        <f t="shared" si="60"/>
        <v>1</v>
      </c>
      <c r="BU109" s="113">
        <f>IF(NOT(OR(BL109=1,BL109=2)),IF(CC109&gt;0,$CD$120*CC109/SUMIF($CC$84:$CC$115,"&gt;0"),IF(CG109&gt;0,$CH$120*CG109/SUMIF($CG$84:$CG$115,"&gt;0"),IF(CE109&gt;0,$CF$120*CE109/SUMIF($CE$84:$CE$115,"&gt;0"),""))),IF(SUMIF(BV110:$BV$115,"=" &amp; BV109,BU110:$BU$115)=0,"",SUMIF(BV110:$BV$115,"=" &amp; BV109,BU110:$BU$115)))</f>
        <v>3.8461538461538464E-2</v>
      </c>
      <c r="BV109" s="114">
        <f t="shared" si="91"/>
        <v>5</v>
      </c>
      <c r="BW109" s="112">
        <f t="shared" si="83"/>
        <v>2</v>
      </c>
      <c r="BX109" s="121" t="str">
        <f t="shared" si="84"/>
        <v/>
      </c>
      <c r="BY109" s="121" t="str">
        <f t="shared" si="92"/>
        <v/>
      </c>
      <c r="BZ109" s="121" t="str">
        <f t="shared" si="61"/>
        <v/>
      </c>
      <c r="CA109" s="121" t="str">
        <f t="shared" si="62"/>
        <v/>
      </c>
      <c r="CB109" s="112" t="b">
        <f t="shared" si="63"/>
        <v>1</v>
      </c>
      <c r="CC109" s="115">
        <f t="shared" si="85"/>
        <v>1</v>
      </c>
      <c r="CD109" s="116" t="str">
        <f t="shared" si="64"/>
        <v/>
      </c>
      <c r="CE109" s="117">
        <f t="shared" si="86"/>
        <v>0</v>
      </c>
      <c r="CF109" s="116" t="str">
        <f t="shared" si="65"/>
        <v/>
      </c>
      <c r="CG109" s="118">
        <f t="shared" si="66"/>
        <v>0</v>
      </c>
      <c r="CH109" s="119" t="str">
        <f t="shared" si="67"/>
        <v/>
      </c>
      <c r="CI109" s="118" t="b">
        <f t="shared" si="68"/>
        <v>0</v>
      </c>
      <c r="CJ109" s="120" t="b">
        <f t="shared" si="69"/>
        <v>1</v>
      </c>
      <c r="CK109" s="118" t="b">
        <f t="shared" si="70"/>
        <v>0</v>
      </c>
      <c r="CL109" s="120" t="b">
        <f t="shared" si="71"/>
        <v>0</v>
      </c>
      <c r="CM109" s="112" t="b">
        <f t="shared" si="72"/>
        <v>0</v>
      </c>
      <c r="CN109" s="112" t="b">
        <f t="shared" si="73"/>
        <v>0</v>
      </c>
      <c r="CO109" s="118" t="b">
        <f t="shared" si="74"/>
        <v>0</v>
      </c>
      <c r="CP109" s="121" t="b">
        <f t="shared" si="87"/>
        <v>0</v>
      </c>
      <c r="CQ109" s="120" t="b">
        <f t="shared" si="95"/>
        <v>0</v>
      </c>
      <c r="CR109" s="122" t="b">
        <f t="shared" si="98"/>
        <v>0</v>
      </c>
      <c r="CS109" s="123" t="b">
        <f t="shared" si="96"/>
        <v>1</v>
      </c>
      <c r="CT109" s="123">
        <f t="shared" si="88"/>
        <v>1</v>
      </c>
      <c r="CU109" s="123">
        <f t="shared" si="78"/>
        <v>2</v>
      </c>
      <c r="CV109" s="123" t="str">
        <f t="shared" si="79"/>
        <v>2*</v>
      </c>
      <c r="CW109" s="123">
        <f t="shared" si="80"/>
        <v>3</v>
      </c>
      <c r="CX109" s="124">
        <f t="shared" si="89"/>
        <v>1</v>
      </c>
      <c r="CY109" s="123">
        <f t="shared" si="81"/>
        <v>2</v>
      </c>
      <c r="CZ109" s="123">
        <f t="shared" si="82"/>
        <v>3</v>
      </c>
      <c r="DA109" s="126" t="s">
        <v>173</v>
      </c>
      <c r="DB109" s="136"/>
      <c r="DC109" s="136"/>
      <c r="DD109" s="136"/>
      <c r="DE109" s="136"/>
      <c r="DF109" s="136"/>
      <c r="DG109" s="136"/>
    </row>
    <row r="110" spans="1:113" s="67" customFormat="1" ht="12.9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N110" s="127">
        <f>IF(ISNA(BL110),"",IF(OR(BL110=1,BL110=2),"    ",MAX($AN$84:AN109)+1))</f>
        <v>21</v>
      </c>
      <c r="AO110" s="182" t="str">
        <f t="shared" si="55"/>
        <v xml:space="preserve">      - Data Honesty &amp; Context (Limits/Thresholds) (3.8%)</v>
      </c>
      <c r="AP110" s="182"/>
      <c r="AQ110" s="182"/>
      <c r="AR110" s="183"/>
      <c r="AS110" s="107">
        <f t="shared" si="56"/>
        <v>1</v>
      </c>
      <c r="AT110" s="108" t="str">
        <f t="shared" si="57"/>
        <v>2*</v>
      </c>
      <c r="AU110" s="128">
        <f t="shared" si="57"/>
        <v>3</v>
      </c>
      <c r="AV110" s="133"/>
      <c r="AW110" s="130"/>
      <c r="AX110" s="225"/>
      <c r="AY110" s="226"/>
      <c r="AZ110" s="226"/>
      <c r="BA110" s="226"/>
      <c r="BB110" s="226"/>
      <c r="BC110" s="226"/>
      <c r="BD110" s="227"/>
      <c r="BF110" s="72">
        <v>27</v>
      </c>
      <c r="BG110" s="60" t="str">
        <f t="shared" si="97"/>
        <v xml:space="preserve">      - Data Honesty &amp; Context (Limits/Thresholds)</v>
      </c>
      <c r="BH110" s="112">
        <f t="shared" si="97"/>
        <v>1</v>
      </c>
      <c r="BI110" s="112">
        <f t="shared" si="97"/>
        <v>1</v>
      </c>
      <c r="BJ110" s="112" t="str">
        <f t="shared" si="97"/>
        <v/>
      </c>
      <c r="BK110" s="112" t="str">
        <f t="shared" si="97"/>
        <v/>
      </c>
      <c r="BL110" s="121" t="str">
        <f t="shared" si="97"/>
        <v/>
      </c>
      <c r="BM110" s="121">
        <f t="shared" si="97"/>
        <v>2</v>
      </c>
      <c r="BN110" s="121">
        <f t="shared" si="97"/>
        <v>1</v>
      </c>
      <c r="BO110" s="112">
        <f t="shared" si="97"/>
        <v>3</v>
      </c>
      <c r="BP110" s="112">
        <f t="shared" si="97"/>
        <v>2</v>
      </c>
      <c r="BQ110" s="112">
        <f t="shared" si="97"/>
        <v>1</v>
      </c>
      <c r="BR110" s="112" t="b">
        <f t="shared" si="97"/>
        <v>1</v>
      </c>
      <c r="BS110" s="112">
        <f t="shared" si="59"/>
        <v>2</v>
      </c>
      <c r="BT110" s="112">
        <f t="shared" si="60"/>
        <v>1</v>
      </c>
      <c r="BU110" s="113">
        <f>IF(NOT(OR(BL110=1,BL110=2)),IF(CC110&gt;0,$CD$120*CC110/SUMIF($CC$84:$CC$115,"&gt;0"),IF(CG110&gt;0,$CH$120*CG110/SUMIF($CG$84:$CG$115,"&gt;0"),IF(CE110&gt;0,$CF$120*CE110/SUMIF($CE$84:$CE$115,"&gt;0"),""))),IF(SUMIF(BV111:$BV$115,"=" &amp; BV110,BU111:$BU$115)=0,"",SUMIF(BV111:$BV$115,"=" &amp; BV110,BU111:$BU$115)))</f>
        <v>3.8461538461538464E-2</v>
      </c>
      <c r="BV110" s="114">
        <f t="shared" si="91"/>
        <v>5</v>
      </c>
      <c r="BW110" s="112">
        <f t="shared" si="83"/>
        <v>2</v>
      </c>
      <c r="BX110" s="121" t="str">
        <f t="shared" si="84"/>
        <v/>
      </c>
      <c r="BY110" s="121" t="str">
        <f t="shared" si="92"/>
        <v/>
      </c>
      <c r="BZ110" s="121" t="str">
        <f t="shared" si="61"/>
        <v/>
      </c>
      <c r="CA110" s="121" t="str">
        <f t="shared" si="62"/>
        <v/>
      </c>
      <c r="CB110" s="112" t="b">
        <f t="shared" si="63"/>
        <v>1</v>
      </c>
      <c r="CC110" s="115">
        <f t="shared" si="85"/>
        <v>1</v>
      </c>
      <c r="CD110" s="116" t="str">
        <f t="shared" si="64"/>
        <v/>
      </c>
      <c r="CE110" s="117">
        <f t="shared" si="86"/>
        <v>0</v>
      </c>
      <c r="CF110" s="116" t="str">
        <f t="shared" si="65"/>
        <v/>
      </c>
      <c r="CG110" s="118">
        <f t="shared" si="66"/>
        <v>0</v>
      </c>
      <c r="CH110" s="119" t="str">
        <f t="shared" si="67"/>
        <v/>
      </c>
      <c r="CI110" s="118" t="b">
        <f t="shared" si="68"/>
        <v>0</v>
      </c>
      <c r="CJ110" s="120" t="b">
        <f t="shared" si="69"/>
        <v>1</v>
      </c>
      <c r="CK110" s="118" t="b">
        <f t="shared" si="70"/>
        <v>0</v>
      </c>
      <c r="CL110" s="120" t="b">
        <f t="shared" si="71"/>
        <v>0</v>
      </c>
      <c r="CM110" s="112" t="b">
        <f t="shared" si="72"/>
        <v>0</v>
      </c>
      <c r="CN110" s="112" t="b">
        <f t="shared" si="73"/>
        <v>0</v>
      </c>
      <c r="CO110" s="118" t="b">
        <f t="shared" si="74"/>
        <v>0</v>
      </c>
      <c r="CP110" s="121" t="b">
        <f t="shared" si="87"/>
        <v>0</v>
      </c>
      <c r="CQ110" s="120" t="b">
        <f t="shared" si="95"/>
        <v>0</v>
      </c>
      <c r="CR110" s="122" t="b">
        <f t="shared" si="98"/>
        <v>0</v>
      </c>
      <c r="CS110" s="123" t="b">
        <f t="shared" si="96"/>
        <v>1</v>
      </c>
      <c r="CT110" s="123">
        <f t="shared" si="88"/>
        <v>1</v>
      </c>
      <c r="CU110" s="123">
        <f t="shared" si="78"/>
        <v>2</v>
      </c>
      <c r="CV110" s="123" t="str">
        <f t="shared" si="79"/>
        <v>2*</v>
      </c>
      <c r="CW110" s="123">
        <f t="shared" si="80"/>
        <v>3</v>
      </c>
      <c r="CX110" s="124">
        <f t="shared" si="89"/>
        <v>1</v>
      </c>
      <c r="CY110" s="123">
        <f t="shared" si="81"/>
        <v>2</v>
      </c>
      <c r="CZ110" s="123">
        <f t="shared" si="82"/>
        <v>3</v>
      </c>
      <c r="DA110" s="184" t="str">
        <f>IF(BG120,"","N/A")</f>
        <v>N/A</v>
      </c>
      <c r="DB110" s="185"/>
      <c r="DC110" s="185"/>
      <c r="DD110" s="185"/>
      <c r="DE110" s="185"/>
      <c r="DF110" s="185"/>
      <c r="DG110" s="186"/>
    </row>
    <row r="111" spans="1:113" s="67" customFormat="1" ht="12.9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N111" s="127">
        <f>IF(ISNA(BL111),"",IF(OR(BL111=1,BL111=2),"    ",MAX($AN$84:AN110)+1))</f>
        <v>22</v>
      </c>
      <c r="AO111" s="182" t="str">
        <f t="shared" si="55"/>
        <v xml:space="preserve">      - Data Honesty &amp; Context (Limits/Thresholds) (3.8%)</v>
      </c>
      <c r="AP111" s="182"/>
      <c r="AQ111" s="182"/>
      <c r="AR111" s="183"/>
      <c r="AS111" s="107">
        <f t="shared" si="56"/>
        <v>1</v>
      </c>
      <c r="AT111" s="108" t="str">
        <f t="shared" si="57"/>
        <v>2*</v>
      </c>
      <c r="AU111" s="128">
        <f t="shared" si="57"/>
        <v>3</v>
      </c>
      <c r="AV111" s="133"/>
      <c r="AW111" s="130"/>
      <c r="AX111" s="225"/>
      <c r="AY111" s="226"/>
      <c r="AZ111" s="226"/>
      <c r="BA111" s="226"/>
      <c r="BB111" s="226"/>
      <c r="BC111" s="226"/>
      <c r="BD111" s="227"/>
      <c r="BF111" s="72">
        <v>28</v>
      </c>
      <c r="BG111" s="60" t="str">
        <f t="shared" si="97"/>
        <v xml:space="preserve">      - Data Honesty &amp; Context (Limits/Thresholds)</v>
      </c>
      <c r="BH111" s="112">
        <f t="shared" si="97"/>
        <v>1</v>
      </c>
      <c r="BI111" s="112">
        <f t="shared" si="97"/>
        <v>1</v>
      </c>
      <c r="BJ111" s="112" t="str">
        <f t="shared" si="97"/>
        <v/>
      </c>
      <c r="BK111" s="112" t="str">
        <f t="shared" si="97"/>
        <v/>
      </c>
      <c r="BL111" s="121" t="str">
        <f t="shared" si="97"/>
        <v/>
      </c>
      <c r="BM111" s="121">
        <f t="shared" si="97"/>
        <v>2</v>
      </c>
      <c r="BN111" s="121">
        <f t="shared" si="97"/>
        <v>1</v>
      </c>
      <c r="BO111" s="112">
        <f t="shared" si="97"/>
        <v>3</v>
      </c>
      <c r="BP111" s="112">
        <f t="shared" si="97"/>
        <v>2</v>
      </c>
      <c r="BQ111" s="112">
        <f t="shared" si="97"/>
        <v>1</v>
      </c>
      <c r="BR111" s="112" t="b">
        <f t="shared" si="97"/>
        <v>1</v>
      </c>
      <c r="BS111" s="112">
        <f t="shared" si="59"/>
        <v>2</v>
      </c>
      <c r="BT111" s="112">
        <f t="shared" si="60"/>
        <v>1</v>
      </c>
      <c r="BU111" s="113">
        <f>IF(NOT(OR(BL111=1,BL111=2)),IF(CC111&gt;0,$CD$120*CC111/SUMIF($CC$84:$CC$115,"&gt;0"),IF(CG111&gt;0,$CH$120*CG111/SUMIF($CG$84:$CG$115,"&gt;0"),IF(CE111&gt;0,$CF$120*CE111/SUMIF($CE$84:$CE$115,"&gt;0"),""))),IF(SUMIF(BV112:$BV$115,"=" &amp; BV111,BU112:$BU$115)=0,"",SUMIF(BV112:$BV$115,"=" &amp; BV111,BU112:$BU$115)))</f>
        <v>3.8461538461538464E-2</v>
      </c>
      <c r="BV111" s="114">
        <f t="shared" si="91"/>
        <v>5</v>
      </c>
      <c r="BW111" s="112">
        <f t="shared" si="83"/>
        <v>2</v>
      </c>
      <c r="BX111" s="121" t="str">
        <f t="shared" si="84"/>
        <v/>
      </c>
      <c r="BY111" s="121" t="str">
        <f t="shared" si="92"/>
        <v/>
      </c>
      <c r="BZ111" s="121" t="str">
        <f t="shared" si="61"/>
        <v/>
      </c>
      <c r="CA111" s="121" t="str">
        <f t="shared" si="62"/>
        <v/>
      </c>
      <c r="CB111" s="112" t="b">
        <f t="shared" si="63"/>
        <v>1</v>
      </c>
      <c r="CC111" s="115">
        <f t="shared" si="85"/>
        <v>1</v>
      </c>
      <c r="CD111" s="116" t="str">
        <f t="shared" si="64"/>
        <v/>
      </c>
      <c r="CE111" s="117">
        <f t="shared" si="86"/>
        <v>0</v>
      </c>
      <c r="CF111" s="116" t="str">
        <f t="shared" si="65"/>
        <v/>
      </c>
      <c r="CG111" s="118">
        <f t="shared" si="66"/>
        <v>0</v>
      </c>
      <c r="CH111" s="119" t="str">
        <f t="shared" si="67"/>
        <v/>
      </c>
      <c r="CI111" s="118" t="b">
        <f t="shared" si="68"/>
        <v>0</v>
      </c>
      <c r="CJ111" s="120" t="b">
        <f t="shared" si="69"/>
        <v>1</v>
      </c>
      <c r="CK111" s="118" t="b">
        <f t="shared" si="70"/>
        <v>0</v>
      </c>
      <c r="CL111" s="120" t="b">
        <f t="shared" si="71"/>
        <v>0</v>
      </c>
      <c r="CM111" s="112" t="b">
        <f t="shared" si="72"/>
        <v>0</v>
      </c>
      <c r="CN111" s="112" t="b">
        <f t="shared" si="73"/>
        <v>0</v>
      </c>
      <c r="CO111" s="118" t="b">
        <f t="shared" si="74"/>
        <v>0</v>
      </c>
      <c r="CP111" s="121" t="b">
        <f t="shared" si="87"/>
        <v>0</v>
      </c>
      <c r="CQ111" s="120" t="b">
        <f t="shared" si="95"/>
        <v>0</v>
      </c>
      <c r="CR111" s="122" t="b">
        <f t="shared" si="98"/>
        <v>0</v>
      </c>
      <c r="CS111" s="123" t="b">
        <f t="shared" si="96"/>
        <v>1</v>
      </c>
      <c r="CT111" s="123">
        <f t="shared" si="88"/>
        <v>1</v>
      </c>
      <c r="CU111" s="123">
        <f t="shared" si="78"/>
        <v>2</v>
      </c>
      <c r="CV111" s="123" t="str">
        <f t="shared" si="79"/>
        <v>2*</v>
      </c>
      <c r="CW111" s="123">
        <f t="shared" si="80"/>
        <v>3</v>
      </c>
      <c r="CX111" s="124">
        <f t="shared" si="89"/>
        <v>1</v>
      </c>
      <c r="CY111" s="123">
        <f t="shared" si="81"/>
        <v>2</v>
      </c>
      <c r="CZ111" s="123">
        <f t="shared" si="82"/>
        <v>3</v>
      </c>
      <c r="DA111" s="187"/>
      <c r="DB111" s="188"/>
      <c r="DC111" s="188"/>
      <c r="DD111" s="188"/>
      <c r="DE111" s="188"/>
      <c r="DF111" s="188"/>
      <c r="DG111" s="189"/>
    </row>
    <row r="112" spans="1:113" s="67" customFormat="1" ht="12.9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N112" s="127">
        <f>IF(ISNA(BL112),"",IF(OR(BL112=1,BL112=2),"    ",MAX($AN$84:AN111)+1))</f>
        <v>23</v>
      </c>
      <c r="AO112" s="182" t="str">
        <f t="shared" si="55"/>
        <v xml:space="preserve">      - Data Honesty &amp; Context (Limits/Thresholds) (3.8%)</v>
      </c>
      <c r="AP112" s="182"/>
      <c r="AQ112" s="182"/>
      <c r="AR112" s="183"/>
      <c r="AS112" s="107">
        <f t="shared" si="56"/>
        <v>1</v>
      </c>
      <c r="AT112" s="108" t="str">
        <f t="shared" si="57"/>
        <v>2*</v>
      </c>
      <c r="AU112" s="128">
        <f t="shared" si="57"/>
        <v>3</v>
      </c>
      <c r="AV112" s="133"/>
      <c r="AW112" s="130"/>
      <c r="AX112" s="225"/>
      <c r="AY112" s="226"/>
      <c r="AZ112" s="226"/>
      <c r="BA112" s="226"/>
      <c r="BB112" s="226"/>
      <c r="BC112" s="226"/>
      <c r="BD112" s="227"/>
      <c r="BF112" s="72">
        <v>29</v>
      </c>
      <c r="BG112" s="60" t="str">
        <f t="shared" si="97"/>
        <v xml:space="preserve">      - Data Honesty &amp; Context (Limits/Thresholds)</v>
      </c>
      <c r="BH112" s="112">
        <f t="shared" si="97"/>
        <v>1</v>
      </c>
      <c r="BI112" s="112">
        <f t="shared" si="97"/>
        <v>1</v>
      </c>
      <c r="BJ112" s="112" t="str">
        <f t="shared" si="97"/>
        <v/>
      </c>
      <c r="BK112" s="112" t="str">
        <f t="shared" si="97"/>
        <v/>
      </c>
      <c r="BL112" s="121" t="str">
        <f t="shared" si="97"/>
        <v/>
      </c>
      <c r="BM112" s="121">
        <f t="shared" si="97"/>
        <v>2</v>
      </c>
      <c r="BN112" s="121">
        <f t="shared" si="97"/>
        <v>1</v>
      </c>
      <c r="BO112" s="112">
        <f t="shared" si="97"/>
        <v>3</v>
      </c>
      <c r="BP112" s="112">
        <f t="shared" si="97"/>
        <v>2</v>
      </c>
      <c r="BQ112" s="112">
        <f t="shared" si="97"/>
        <v>1</v>
      </c>
      <c r="BR112" s="112" t="b">
        <f t="shared" si="97"/>
        <v>1</v>
      </c>
      <c r="BS112" s="112">
        <f t="shared" si="59"/>
        <v>2</v>
      </c>
      <c r="BT112" s="112">
        <f t="shared" si="60"/>
        <v>1</v>
      </c>
      <c r="BU112" s="113">
        <f>IF(NOT(OR(BL112=1,BL112=2)),IF(CC112&gt;0,$CD$120*CC112/SUMIF($CC$84:$CC$115,"&gt;0"),IF(CG112&gt;0,$CH$120*CG112/SUMIF($CG$84:$CG$115,"&gt;0"),IF(CE112&gt;0,$CF$120*CE112/SUMIF($CE$84:$CE$115,"&gt;0"),""))),IF(SUMIF(BV113:$BV$115,"=" &amp; BV112,BU113:$BU$115)=0,"",SUMIF(BV113:$BV$115,"=" &amp; BV112,BU113:$BU$115)))</f>
        <v>3.8461538461538464E-2</v>
      </c>
      <c r="BV112" s="114">
        <f t="shared" si="91"/>
        <v>5</v>
      </c>
      <c r="BW112" s="112">
        <f t="shared" si="83"/>
        <v>2</v>
      </c>
      <c r="BX112" s="121" t="str">
        <f t="shared" si="84"/>
        <v/>
      </c>
      <c r="BY112" s="121" t="str">
        <f t="shared" si="92"/>
        <v/>
      </c>
      <c r="BZ112" s="121" t="str">
        <f t="shared" si="61"/>
        <v/>
      </c>
      <c r="CA112" s="121" t="str">
        <f t="shared" si="62"/>
        <v/>
      </c>
      <c r="CB112" s="112" t="b">
        <f t="shared" si="63"/>
        <v>1</v>
      </c>
      <c r="CC112" s="115">
        <f t="shared" si="85"/>
        <v>1</v>
      </c>
      <c r="CD112" s="116" t="str">
        <f t="shared" si="64"/>
        <v/>
      </c>
      <c r="CE112" s="117">
        <f t="shared" si="86"/>
        <v>0</v>
      </c>
      <c r="CF112" s="116" t="str">
        <f t="shared" si="65"/>
        <v/>
      </c>
      <c r="CG112" s="118">
        <f t="shared" si="66"/>
        <v>0</v>
      </c>
      <c r="CH112" s="119" t="str">
        <f t="shared" si="67"/>
        <v/>
      </c>
      <c r="CI112" s="118" t="b">
        <f t="shared" si="68"/>
        <v>0</v>
      </c>
      <c r="CJ112" s="120" t="b">
        <f t="shared" si="69"/>
        <v>1</v>
      </c>
      <c r="CK112" s="118" t="b">
        <f t="shared" si="70"/>
        <v>0</v>
      </c>
      <c r="CL112" s="120" t="b">
        <f t="shared" si="71"/>
        <v>0</v>
      </c>
      <c r="CM112" s="112" t="b">
        <f t="shared" si="72"/>
        <v>0</v>
      </c>
      <c r="CN112" s="112" t="b">
        <f t="shared" si="73"/>
        <v>0</v>
      </c>
      <c r="CO112" s="118" t="b">
        <f t="shared" si="74"/>
        <v>0</v>
      </c>
      <c r="CP112" s="121" t="b">
        <f t="shared" si="87"/>
        <v>0</v>
      </c>
      <c r="CQ112" s="120" t="b">
        <f t="shared" si="95"/>
        <v>0</v>
      </c>
      <c r="CR112" s="122" t="b">
        <f t="shared" si="98"/>
        <v>0</v>
      </c>
      <c r="CS112" s="123" t="b">
        <f t="shared" si="96"/>
        <v>1</v>
      </c>
      <c r="CT112" s="123">
        <f t="shared" si="88"/>
        <v>1</v>
      </c>
      <c r="CU112" s="123">
        <f t="shared" si="78"/>
        <v>2</v>
      </c>
      <c r="CV112" s="123" t="str">
        <f t="shared" si="79"/>
        <v>2*</v>
      </c>
      <c r="CW112" s="123">
        <f t="shared" si="80"/>
        <v>3</v>
      </c>
      <c r="CX112" s="124">
        <f t="shared" si="89"/>
        <v>1</v>
      </c>
      <c r="CY112" s="123">
        <f t="shared" si="81"/>
        <v>2</v>
      </c>
      <c r="CZ112" s="123">
        <f t="shared" si="82"/>
        <v>3</v>
      </c>
      <c r="DA112" s="187"/>
      <c r="DB112" s="188"/>
      <c r="DC112" s="188"/>
      <c r="DD112" s="188"/>
      <c r="DE112" s="188"/>
      <c r="DF112" s="188"/>
      <c r="DG112" s="189"/>
    </row>
    <row r="113" spans="1:111" s="67" customFormat="1" ht="12.9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N113" s="127">
        <f>IF(ISNA(BL113),"",IF(OR(BL113=1,BL113=2),"    ",MAX($AN$84:AN112)+1))</f>
        <v>24</v>
      </c>
      <c r="AO113" s="182" t="str">
        <f>IF(ISNA(BL113),"",CONCATENATE($BG113,IF(ISNUMBER(BU113),TEXT(ROUND($BU113,3)," (0.0%)"),""),IF(CG113&gt;0," Bonus","")))</f>
        <v xml:space="preserve">      - Data Honesty &amp; Context (Limits/Thresholds) (3.8%)</v>
      </c>
      <c r="AP113" s="182"/>
      <c r="AQ113" s="182"/>
      <c r="AR113" s="183"/>
      <c r="AS113" s="107">
        <f t="shared" si="56"/>
        <v>1</v>
      </c>
      <c r="AT113" s="108" t="str">
        <f t="shared" si="57"/>
        <v>2*</v>
      </c>
      <c r="AU113" s="128">
        <f t="shared" si="57"/>
        <v>3</v>
      </c>
      <c r="AV113" s="133"/>
      <c r="AW113" s="130"/>
      <c r="AX113" s="225"/>
      <c r="AY113" s="226"/>
      <c r="AZ113" s="226"/>
      <c r="BA113" s="226"/>
      <c r="BB113" s="226"/>
      <c r="BC113" s="226"/>
      <c r="BD113" s="227"/>
      <c r="BF113" s="72">
        <v>30</v>
      </c>
      <c r="BG113" s="60" t="str">
        <f t="shared" si="97"/>
        <v xml:space="preserve">      - Data Honesty &amp; Context (Limits/Thresholds)</v>
      </c>
      <c r="BH113" s="112">
        <f t="shared" si="97"/>
        <v>1</v>
      </c>
      <c r="BI113" s="112">
        <f t="shared" si="97"/>
        <v>1</v>
      </c>
      <c r="BJ113" s="112" t="str">
        <f t="shared" si="97"/>
        <v/>
      </c>
      <c r="BK113" s="112" t="str">
        <f t="shared" si="97"/>
        <v/>
      </c>
      <c r="BL113" s="121" t="str">
        <f t="shared" si="97"/>
        <v/>
      </c>
      <c r="BM113" s="121">
        <f t="shared" si="97"/>
        <v>2</v>
      </c>
      <c r="BN113" s="121">
        <f t="shared" si="97"/>
        <v>1</v>
      </c>
      <c r="BO113" s="112">
        <f t="shared" si="97"/>
        <v>3</v>
      </c>
      <c r="BP113" s="112">
        <f t="shared" si="97"/>
        <v>2</v>
      </c>
      <c r="BQ113" s="112">
        <f t="shared" si="97"/>
        <v>1</v>
      </c>
      <c r="BR113" s="112" t="b">
        <f t="shared" si="97"/>
        <v>1</v>
      </c>
      <c r="BS113" s="112">
        <f t="shared" si="59"/>
        <v>2</v>
      </c>
      <c r="BT113" s="112">
        <f t="shared" si="60"/>
        <v>1</v>
      </c>
      <c r="BU113" s="113">
        <f>IF(NOT(OR(BL113=1,BL113=2)),IF(CC113&gt;0,$CD$120*CC113/SUMIF($CC$84:$CC$115,"&gt;0"),IF(CG113&gt;0,$CH$120*CG113/SUMIF($CG$84:$CG$115,"&gt;0"),IF(CE113&gt;0,$CF$120*CE113/SUMIF($CE$84:$CE$115,"&gt;0"),""))),IF(SUMIF(BV114:$BV$115,"=" &amp; BV113,BU114:$BU$115)=0,"",SUMIF(BV114:$BV$115,"=" &amp; BV113,BU114:$BU$115)))</f>
        <v>3.8461538461538464E-2</v>
      </c>
      <c r="BV113" s="114">
        <f t="shared" si="91"/>
        <v>5</v>
      </c>
      <c r="BW113" s="112">
        <f t="shared" si="83"/>
        <v>2</v>
      </c>
      <c r="BX113" s="121" t="str">
        <f t="shared" si="84"/>
        <v/>
      </c>
      <c r="BY113" s="121" t="str">
        <f t="shared" si="92"/>
        <v/>
      </c>
      <c r="BZ113" s="121" t="str">
        <f>IF(ISNUMBER(BT113),IF(AND(BN113=0,ISNUMBER(BO113),ISNUMBER(BX113)),1,""),"")</f>
        <v/>
      </c>
      <c r="CA113" s="121" t="str">
        <f t="shared" si="62"/>
        <v/>
      </c>
      <c r="CB113" s="112" t="b">
        <f>IF(ISNA(BL113),"",IF(AND(ISNUMBER(AN113),AS113&gt;=1,AT113&lt;&gt;"NG"),IF(AW113&lt;CW113,TRUE,FALSE),IF(AND(AS113&gt;=1,AV113="NA"),TRUE,IF(AND(BY113=1,AS113=0,BX113&lt;CU113),TRUE,""))))</f>
        <v>1</v>
      </c>
      <c r="CC113" s="115">
        <f>IF(ISNA(BL113),0,IF(OR(AV113="NA",BI113="",BN113=0),0,BI113))</f>
        <v>1</v>
      </c>
      <c r="CD113" s="116" t="str">
        <f t="shared" si="64"/>
        <v/>
      </c>
      <c r="CE113" s="117">
        <f>IF(ISNA(BL113),0,IF(OR(AV113="NA",BJ113="",BN113=1),0,BJ113))</f>
        <v>0</v>
      </c>
      <c r="CF113" s="116" t="str">
        <f t="shared" si="65"/>
        <v/>
      </c>
      <c r="CG113" s="118">
        <f>IF(ISNA(BL113),0,IF(OR(AV113="NA",BK113=""),0,BK113))</f>
        <v>0</v>
      </c>
      <c r="CH113" s="119" t="str">
        <f t="shared" si="67"/>
        <v/>
      </c>
      <c r="CI113" s="118" t="b">
        <f>IF(ISNA(BL113),FALSE,IF(OR(BN113=1,AS113=0,BL113=1,BL113=2),FALSE,IF(OR(AV113="NA",AV113&gt;=AS113),FALSE,TRUE)))</f>
        <v>0</v>
      </c>
      <c r="CJ113" s="120" t="b">
        <f>IF(ISNA(BL113),FALSE,IF(OR(BN113=0,AS113=0,BL113=1,BL113=2,AV113="NA"),FALSE,IF(BW113="NG",IF(NOT(ISBLANK(AW113)),FALSE,TRUE),IF(AV113&gt;=AS113,FALSE,TRUE))))</f>
        <v>1</v>
      </c>
      <c r="CK113" s="118" t="b">
        <f>IF(ISNA(BL113),FALSE,IF(OR(BN113=1,AS113&lt;1,BL113=1,BL113=2,BQ113=0,ISBLANK(AW113)),FALSE,IF(OR(AV113="NA",AW113&gt;=CU113),FALSE,TRUE)))</f>
        <v>0</v>
      </c>
      <c r="CL113" s="120" t="b">
        <f>IF(ISNA(BL113),FALSE,IF(OR(BN113=0,AS113=0,BL113=1,BL113=2,BQ113=0,CU113="NG",AW113="",ISBLANK(AW113)),FALSE,IF(OR(AV113="NA",AW113&gt;=BW113),FALSE,TRUE)))</f>
        <v>0</v>
      </c>
      <c r="CM113" s="112" t="b">
        <f>IF(ISNA(BL113),FALSE,IF(OR(BN113=1,AS113&lt;1,BL113=1,BL113=2,BQ113=0),FALSE,IF(AV113="NA",TRUE,FALSE)))</f>
        <v>0</v>
      </c>
      <c r="CN113" s="112" t="b">
        <f>IF(ISNA(BL113),FALSE,IF(OR(BN113=0,AS113=0,BL113=1,BL113=2),FALSE,IF(AV113="NA",TRUE,FALSE)))</f>
        <v>0</v>
      </c>
      <c r="CO113" s="118" t="b">
        <f>IF(OR(ISNA($BL113),ISNUMBER($BL113),NOT(ISNUMBER($AV113)),AW113="D"),FALSE,IF(AND(NOT(ISNUMBER($AW113)),AV113&gt;0),TRUE,FALSE))</f>
        <v>0</v>
      </c>
      <c r="CP113" s="121" t="b">
        <f>IF(OR(ISNA($BL113),ISNUMBER($BL113),NOT(ISNUMBER(AW113))),FALSE,OR(NOT(ISNUMBER(AV113)),AV113=0,AND(AV113=0,AW113&lt;&gt;0)))</f>
        <v>0</v>
      </c>
      <c r="CQ113" s="120" t="b">
        <f>IF(OR(ISNA($BL113),AW113&lt;&gt;"D"),FALSE,IF(OR(AND(AT113="NG",AV113=0),AND(AT113&lt;&gt;"NG",NOT(OR(AV113="NA",AV113=0)))),TRUE,FALSE))</f>
        <v>0</v>
      </c>
      <c r="CR113" s="122" t="b">
        <f>IF(OR(ISNA($BL113),AT113&lt;&gt;"NG"),FALSE,IF(AND(AV113="NA",AW113&lt;&gt;""),TRUE,FALSE))</f>
        <v>0</v>
      </c>
      <c r="CS113" s="123" t="b">
        <f t="shared" si="96"/>
        <v>1</v>
      </c>
      <c r="CT113" s="123">
        <f t="shared" si="88"/>
        <v>1</v>
      </c>
      <c r="CU113" s="123">
        <f t="shared" si="78"/>
        <v>2</v>
      </c>
      <c r="CV113" s="123" t="str">
        <f t="shared" si="79"/>
        <v>2*</v>
      </c>
      <c r="CW113" s="123">
        <f t="shared" si="80"/>
        <v>3</v>
      </c>
      <c r="CX113" s="124">
        <f t="shared" si="89"/>
        <v>1</v>
      </c>
      <c r="CY113" s="123">
        <f t="shared" si="81"/>
        <v>2</v>
      </c>
      <c r="CZ113" s="123">
        <f t="shared" si="82"/>
        <v>3</v>
      </c>
      <c r="DA113" s="190"/>
      <c r="DB113" s="191"/>
      <c r="DC113" s="191"/>
      <c r="DD113" s="191"/>
      <c r="DE113" s="191"/>
      <c r="DF113" s="191"/>
      <c r="DG113" s="192"/>
    </row>
    <row r="114" spans="1:111" s="67" customFormat="1" ht="12.9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81"/>
      <c r="AI114" s="1"/>
      <c r="AJ114" s="1"/>
      <c r="AK114" s="1"/>
      <c r="AL114" s="1"/>
      <c r="AN114" s="127">
        <f>IF(ISNA(BL114),"",IF(OR(BL114=1,BL114=2),"    ",MAX($AN$84:AN113)+1))</f>
        <v>25</v>
      </c>
      <c r="AO114" s="182" t="str">
        <f t="shared" ref="AO114:AO115" si="99">IF(ISNA(BL114),"",CONCATENATE($BG114,IF(ISNUMBER(BU114),TEXT(ROUND($BU114,3)," (0.0%)"),""),IF(CG114&gt;0," Bonus","")))</f>
        <v xml:space="preserve">      - Data Honesty &amp; Context (Limits/Thresholds) (3.8%)</v>
      </c>
      <c r="AP114" s="182"/>
      <c r="AQ114" s="182"/>
      <c r="AR114" s="183"/>
      <c r="AS114" s="107">
        <f t="shared" si="56"/>
        <v>1</v>
      </c>
      <c r="AT114" s="108" t="str">
        <f t="shared" si="57"/>
        <v>2*</v>
      </c>
      <c r="AU114" s="128">
        <f t="shared" si="57"/>
        <v>3</v>
      </c>
      <c r="AV114" s="133"/>
      <c r="AW114" s="130"/>
      <c r="AX114" s="225"/>
      <c r="AY114" s="226"/>
      <c r="AZ114" s="226"/>
      <c r="BA114" s="226"/>
      <c r="BB114" s="226"/>
      <c r="BC114" s="226"/>
      <c r="BD114" s="227"/>
      <c r="BF114" s="72">
        <v>31</v>
      </c>
      <c r="BG114" s="60" t="str">
        <f t="shared" si="97"/>
        <v xml:space="preserve">      - Data Honesty &amp; Context (Limits/Thresholds)</v>
      </c>
      <c r="BH114" s="112">
        <f t="shared" si="97"/>
        <v>1</v>
      </c>
      <c r="BI114" s="112">
        <f t="shared" si="97"/>
        <v>1</v>
      </c>
      <c r="BJ114" s="112" t="str">
        <f t="shared" si="97"/>
        <v/>
      </c>
      <c r="BK114" s="112" t="str">
        <f t="shared" si="97"/>
        <v/>
      </c>
      <c r="BL114" s="121" t="str">
        <f t="shared" si="97"/>
        <v/>
      </c>
      <c r="BM114" s="121">
        <f t="shared" si="97"/>
        <v>2</v>
      </c>
      <c r="BN114" s="121">
        <f t="shared" si="97"/>
        <v>1</v>
      </c>
      <c r="BO114" s="112">
        <f t="shared" si="97"/>
        <v>3</v>
      </c>
      <c r="BP114" s="112">
        <f t="shared" si="97"/>
        <v>2</v>
      </c>
      <c r="BQ114" s="112">
        <f t="shared" si="97"/>
        <v>1</v>
      </c>
      <c r="BR114" s="112" t="b">
        <f t="shared" si="97"/>
        <v>1</v>
      </c>
      <c r="BS114" s="112">
        <f t="shared" si="59"/>
        <v>2</v>
      </c>
      <c r="BT114" s="112">
        <f t="shared" si="60"/>
        <v>1</v>
      </c>
      <c r="BU114" s="113">
        <f>IF(NOT(OR(BL114=1,BL114=2)),IF(CC114&gt;0,$CD$120*CC114/SUMIF($CC$84:$CC$115,"&gt;0"),IF(CG114&gt;0,$CH$120*CG114/SUMIF($CG$84:$CG$115,"&gt;0"),IF(CE114&gt;0,$CF$120*CE114/SUMIF($CE$84:$CE$115,"&gt;0"),""))),IF(SUMIF(BV115:$BV$115,"=" &amp; BV114,BU115:$BU$115)=0,"",SUMIF(BV115:$BV$115,"=" &amp; BV114,BU115:$BU$115)))</f>
        <v>3.8461538461538464E-2</v>
      </c>
      <c r="BV114" s="114">
        <f t="shared" si="91"/>
        <v>5</v>
      </c>
      <c r="BW114" s="112">
        <f t="shared" si="83"/>
        <v>2</v>
      </c>
      <c r="BX114" s="121" t="str">
        <f t="shared" si="84"/>
        <v/>
      </c>
      <c r="BY114" s="121" t="str">
        <f t="shared" si="92"/>
        <v/>
      </c>
      <c r="BZ114" s="121" t="str">
        <f>IF(ISNUMBER(BT114),IF(AND(BN114=0,ISNUMBER(BO114),ISNUMBER(BX114)),1,""),"")</f>
        <v/>
      </c>
      <c r="CA114" s="121" t="str">
        <f t="shared" si="62"/>
        <v/>
      </c>
      <c r="CB114" s="112" t="b">
        <f>IF(ISNA(BL114),"",IF(AND(ISNUMBER(AN114),AS114&gt;=1,AT114&lt;&gt;"NG"),IF(AW114&lt;CW114,TRUE,FALSE),IF(AND(AS114&gt;=1,AV114="NA"),TRUE,IF(AND(BY114=1,AS114=0,BX114&lt;CU114),TRUE,""))))</f>
        <v>1</v>
      </c>
      <c r="CC114" s="115">
        <f>IF(ISNA(BL114),0,IF(OR(AV114="NA",BI114="",BN114=0),0,BI114))</f>
        <v>1</v>
      </c>
      <c r="CD114" s="116" t="str">
        <f t="shared" si="64"/>
        <v/>
      </c>
      <c r="CE114" s="117">
        <f>IF(ISNA(BL114),0,IF(OR(AV114="NA",BJ114="",BN114=1),0,BJ114))</f>
        <v>0</v>
      </c>
      <c r="CF114" s="116" t="str">
        <f t="shared" si="65"/>
        <v/>
      </c>
      <c r="CG114" s="118">
        <f>IF(ISNA(BL114),0,IF(OR(AV114="NA",BK114=""),0,BK114))</f>
        <v>0</v>
      </c>
      <c r="CH114" s="119" t="str">
        <f t="shared" si="67"/>
        <v/>
      </c>
      <c r="CI114" s="118" t="b">
        <f>IF(ISNA(BL114),FALSE,IF(OR(BN114=1,AS114=0,BL114=1,BL114=2),FALSE,IF(OR(AV114="NA",AV114&gt;=AS114),FALSE,TRUE)))</f>
        <v>0</v>
      </c>
      <c r="CJ114" s="120" t="b">
        <f>IF(ISNA(BL114),FALSE,IF(OR(BN114=0,AS114=0,BL114=1,BL114=2,AV114="NA"),FALSE,IF(BW114="NG",IF(NOT(ISBLANK(AW114)),FALSE,TRUE),IF(AV114&gt;=AS114,FALSE,TRUE))))</f>
        <v>1</v>
      </c>
      <c r="CK114" s="118" t="b">
        <f>IF(ISNA(BL114),FALSE,IF(OR(BN114=1,AS114&lt;1,BL114=1,BL114=2,BQ114=0,ISBLANK(AW114)),FALSE,IF(OR(AV114="NA",AW114&gt;=CU114),FALSE,TRUE)))</f>
        <v>0</v>
      </c>
      <c r="CL114" s="120" t="b">
        <f>IF(ISNA(BL114),FALSE,IF(OR(BN114=0,AS114=0,BL114=1,BL114=2,BQ114=0,CU114="NG",AW114="",ISBLANK(AW114)),FALSE,IF(OR(AV114="NA",AW114&gt;=BW114),FALSE,TRUE)))</f>
        <v>0</v>
      </c>
      <c r="CM114" s="112" t="b">
        <f>IF(ISNA(BL114),FALSE,IF(OR(BN114=1,AS114&lt;1,BL114=1,BL114=2,BQ114=0),FALSE,IF(AV114="NA",TRUE,FALSE)))</f>
        <v>0</v>
      </c>
      <c r="CN114" s="112" t="b">
        <f>IF(ISNA(BL114),FALSE,IF(OR(BN114=0,AS114=0,BL114=1,BL114=2),FALSE,IF(AV114="NA",TRUE,FALSE)))</f>
        <v>0</v>
      </c>
      <c r="CO114" s="118" t="b">
        <f>IF(OR(ISNA($BL114),ISNUMBER($BL114),NOT(ISNUMBER($AV114)),AW114="D"),FALSE,IF(AND(NOT(ISNUMBER($AW114)),AV114&gt;0),TRUE,FALSE))</f>
        <v>0</v>
      </c>
      <c r="CP114" s="121" t="b">
        <f>IF(OR(ISNA($BL114),ISNUMBER($BL114),NOT(ISNUMBER(AW114))),FALSE,OR(NOT(ISNUMBER(AV114)),AV114=0,AND(AV114=0,AW114&lt;&gt;0)))</f>
        <v>0</v>
      </c>
      <c r="CQ114" s="120" t="b">
        <f>IF(OR(ISNA($BL114),AW114&lt;&gt;"D"),FALSE,IF(OR(AND(AT114="NG",AV114=0),AND(AT114&lt;&gt;"NG",NOT(OR(AV114="NA",AV114=0)))),TRUE,FALSE))</f>
        <v>0</v>
      </c>
      <c r="CR114" s="122" t="b">
        <f>IF(OR(ISNA($BL114),AT114&lt;&gt;"NG"),FALSE,IF(AND(AV114="NA",AW114&lt;&gt;""),TRUE,FALSE))</f>
        <v>0</v>
      </c>
      <c r="CS114" s="123" t="b">
        <f t="shared" si="96"/>
        <v>1</v>
      </c>
      <c r="CT114" s="123">
        <f t="shared" si="88"/>
        <v>1</v>
      </c>
      <c r="CU114" s="123">
        <f t="shared" si="78"/>
        <v>2</v>
      </c>
      <c r="CV114" s="123" t="str">
        <f t="shared" si="79"/>
        <v>2*</v>
      </c>
      <c r="CW114" s="123">
        <f t="shared" si="80"/>
        <v>3</v>
      </c>
      <c r="CX114" s="124">
        <f t="shared" si="89"/>
        <v>1</v>
      </c>
      <c r="CY114" s="123">
        <f t="shared" si="81"/>
        <v>2</v>
      </c>
      <c r="CZ114" s="123">
        <f t="shared" si="82"/>
        <v>3</v>
      </c>
      <c r="DA114" s="126" t="s">
        <v>174</v>
      </c>
      <c r="DB114" s="126"/>
      <c r="DC114" s="126"/>
      <c r="DD114" s="126"/>
      <c r="DE114" s="126"/>
      <c r="DF114" s="126"/>
      <c r="DG114" s="126"/>
    </row>
    <row r="115" spans="1:111" s="67" customFormat="1" ht="12.95" customHeight="1" thickBo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81"/>
      <c r="AI115" s="1"/>
      <c r="AJ115" s="1"/>
      <c r="AK115" s="1"/>
      <c r="AL115" s="1"/>
      <c r="AN115" s="127">
        <f>IF(ISNA(BL115),"",IF(OR(BL115=1,BL115=2),"    ",MAX($AN$84:AN114)+1))</f>
        <v>26</v>
      </c>
      <c r="AO115" s="182" t="str">
        <f t="shared" si="99"/>
        <v xml:space="preserve">      - Data Honesty &amp; Context (Limits/Thresholds) (3.8%)</v>
      </c>
      <c r="AP115" s="182"/>
      <c r="AQ115" s="182"/>
      <c r="AR115" s="183"/>
      <c r="AS115" s="146">
        <f t="shared" si="56"/>
        <v>1</v>
      </c>
      <c r="AT115" s="108" t="str">
        <f t="shared" si="57"/>
        <v>2*</v>
      </c>
      <c r="AU115" s="147">
        <f t="shared" si="57"/>
        <v>3</v>
      </c>
      <c r="AV115" s="133"/>
      <c r="AW115" s="130"/>
      <c r="AX115" s="228"/>
      <c r="AY115" s="229"/>
      <c r="AZ115" s="229"/>
      <c r="BA115" s="229"/>
      <c r="BB115" s="229"/>
      <c r="BC115" s="229"/>
      <c r="BD115" s="230"/>
      <c r="BF115" s="72">
        <v>32</v>
      </c>
      <c r="BG115" s="60" t="str">
        <f t="shared" si="97"/>
        <v xml:space="preserve">      - Data Honesty &amp; Context (Limits/Thresholds)</v>
      </c>
      <c r="BH115" s="112">
        <f t="shared" si="97"/>
        <v>1</v>
      </c>
      <c r="BI115" s="112">
        <f t="shared" si="97"/>
        <v>1</v>
      </c>
      <c r="BJ115" s="112" t="str">
        <f t="shared" si="97"/>
        <v/>
      </c>
      <c r="BK115" s="112" t="str">
        <f t="shared" si="97"/>
        <v/>
      </c>
      <c r="BL115" s="121" t="str">
        <f t="shared" si="97"/>
        <v/>
      </c>
      <c r="BM115" s="121">
        <f t="shared" si="97"/>
        <v>2</v>
      </c>
      <c r="BN115" s="121">
        <f t="shared" si="97"/>
        <v>1</v>
      </c>
      <c r="BO115" s="112">
        <f t="shared" si="97"/>
        <v>3</v>
      </c>
      <c r="BP115" s="112">
        <f t="shared" si="97"/>
        <v>2</v>
      </c>
      <c r="BQ115" s="112">
        <f t="shared" si="97"/>
        <v>1</v>
      </c>
      <c r="BR115" s="112" t="b">
        <f t="shared" si="97"/>
        <v>1</v>
      </c>
      <c r="BS115" s="112">
        <f t="shared" si="59"/>
        <v>2</v>
      </c>
      <c r="BT115" s="112">
        <f t="shared" si="60"/>
        <v>1</v>
      </c>
      <c r="BU115" s="113">
        <f>IF(NOT(OR(BL115=1,BL115=2)),IF(CC115&gt;0,$CD$120*CC115/SUMIF($CC$84:$CC$115,"&gt;0"),IF(CG115&gt;0,$CH$120*CG115/SUMIF($CG$84:$CG$115,"&gt;0"),IF(CE115&gt;0,$CF$120*CE115/SUMIF($CE$84:$CE$115,"&gt;0"),""))),IF(SUMIF(BV$115:$BV116,"=" &amp; BV115,BU$115:$BU116)=0,"",SUMIF(BV$115:$BV116,"=" &amp; BV115,BU$115:$BU116)))</f>
        <v>3.8461538461538464E-2</v>
      </c>
      <c r="BV115" s="114">
        <f t="shared" si="91"/>
        <v>5</v>
      </c>
      <c r="BW115" s="112">
        <f t="shared" si="83"/>
        <v>2</v>
      </c>
      <c r="BX115" s="121" t="str">
        <f t="shared" si="84"/>
        <v/>
      </c>
      <c r="BY115" s="121" t="str">
        <f t="shared" si="92"/>
        <v/>
      </c>
      <c r="BZ115" s="121" t="str">
        <f>IF(ISNUMBER(BT115),IF(AND(BN115=0,ISNUMBER(BO115),ISNUMBER(BX115)),1,""),"")</f>
        <v/>
      </c>
      <c r="CA115" s="121" t="str">
        <f t="shared" si="62"/>
        <v/>
      </c>
      <c r="CB115" s="112" t="b">
        <f t="shared" si="63"/>
        <v>1</v>
      </c>
      <c r="CC115" s="115">
        <f t="shared" si="85"/>
        <v>1</v>
      </c>
      <c r="CD115" s="116" t="str">
        <f t="shared" si="64"/>
        <v/>
      </c>
      <c r="CE115" s="117">
        <f t="shared" si="86"/>
        <v>0</v>
      </c>
      <c r="CF115" s="116" t="str">
        <f t="shared" si="65"/>
        <v/>
      </c>
      <c r="CG115" s="118">
        <f t="shared" si="66"/>
        <v>0</v>
      </c>
      <c r="CH115" s="119" t="str">
        <f t="shared" si="67"/>
        <v/>
      </c>
      <c r="CI115" s="118" t="b">
        <f t="shared" si="68"/>
        <v>0</v>
      </c>
      <c r="CJ115" s="120" t="b">
        <f t="shared" si="69"/>
        <v>1</v>
      </c>
      <c r="CK115" s="118" t="b">
        <f t="shared" si="70"/>
        <v>0</v>
      </c>
      <c r="CL115" s="120" t="b">
        <f t="shared" si="71"/>
        <v>0</v>
      </c>
      <c r="CM115" s="112" t="b">
        <f t="shared" si="72"/>
        <v>0</v>
      </c>
      <c r="CN115" s="112" t="b">
        <f t="shared" si="73"/>
        <v>0</v>
      </c>
      <c r="CO115" s="118" t="b">
        <f t="shared" si="74"/>
        <v>0</v>
      </c>
      <c r="CP115" s="121" t="b">
        <f t="shared" si="87"/>
        <v>0</v>
      </c>
      <c r="CQ115" s="120" t="b">
        <f t="shared" si="95"/>
        <v>0</v>
      </c>
      <c r="CR115" s="122" t="b">
        <f t="shared" si="98"/>
        <v>0</v>
      </c>
      <c r="CS115" s="123" t="b">
        <f t="shared" si="96"/>
        <v>1</v>
      </c>
      <c r="CT115" s="123">
        <f t="shared" si="88"/>
        <v>1</v>
      </c>
      <c r="CU115" s="123">
        <f t="shared" si="78"/>
        <v>2</v>
      </c>
      <c r="CV115" s="123" t="str">
        <f t="shared" si="79"/>
        <v>2*</v>
      </c>
      <c r="CW115" s="123">
        <f t="shared" si="80"/>
        <v>3</v>
      </c>
      <c r="CX115" s="123">
        <f t="shared" si="89"/>
        <v>1</v>
      </c>
      <c r="CY115" s="123">
        <f t="shared" si="81"/>
        <v>2</v>
      </c>
      <c r="CZ115" s="123">
        <f t="shared" si="82"/>
        <v>3</v>
      </c>
      <c r="DA115" s="184" t="str">
        <f>IF(BG121,"","N/A")</f>
        <v/>
      </c>
      <c r="DB115" s="185"/>
      <c r="DC115" s="185"/>
      <c r="DD115" s="185"/>
      <c r="DE115" s="185"/>
      <c r="DF115" s="185"/>
      <c r="DG115" s="186"/>
    </row>
    <row r="116" spans="1:111" s="64" customFormat="1" ht="8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N116" s="193" t="s">
        <v>175</v>
      </c>
      <c r="AO116" s="194"/>
      <c r="AP116" s="195"/>
      <c r="AQ116" s="148" t="s">
        <v>176</v>
      </c>
      <c r="AR116" s="196" t="s">
        <v>177</v>
      </c>
      <c r="AS116" s="197"/>
      <c r="AT116" s="197" t="s">
        <v>178</v>
      </c>
      <c r="AU116" s="197"/>
      <c r="AV116" s="201" t="s">
        <v>179</v>
      </c>
      <c r="AW116" s="202"/>
      <c r="AX116" s="149" t="s">
        <v>180</v>
      </c>
      <c r="AY116" s="203" t="s">
        <v>181</v>
      </c>
      <c r="AZ116" s="203"/>
      <c r="BA116" s="204" t="str">
        <f>IF(BG120,"DO REVIEW","DO REV N/A")</f>
        <v>DO REV N/A</v>
      </c>
      <c r="BB116" s="205"/>
      <c r="BC116" s="150" t="str">
        <f>IF(BG121,"ED REVIEW","ED REV N/A")</f>
        <v>ED REVIEW</v>
      </c>
      <c r="BD116" s="151"/>
      <c r="BE116" s="152">
        <v>0</v>
      </c>
      <c r="BU116" s="153"/>
      <c r="BV116" s="65"/>
      <c r="BW116" s="65"/>
      <c r="BX116" s="65"/>
      <c r="BY116" s="65"/>
      <c r="BZ116" s="65"/>
      <c r="CA116" s="62"/>
      <c r="CB116" s="65"/>
      <c r="CC116" s="154"/>
      <c r="CD116" s="65"/>
      <c r="CE116" s="154"/>
      <c r="CF116" s="65"/>
      <c r="CG116" s="154"/>
      <c r="CH116" s="155"/>
      <c r="CI116" s="65"/>
      <c r="CJ116" s="65"/>
      <c r="CK116" s="65"/>
      <c r="CL116" s="65"/>
      <c r="CM116" s="65"/>
      <c r="CN116" s="65"/>
      <c r="CO116" s="65"/>
      <c r="CP116" s="65"/>
      <c r="CQ116" s="65"/>
      <c r="CR116" s="65"/>
      <c r="CS116" s="65"/>
      <c r="CT116" s="62"/>
      <c r="CU116" s="62"/>
      <c r="CV116" s="62"/>
      <c r="CW116" s="62"/>
      <c r="CX116" s="62"/>
      <c r="CY116" s="62"/>
      <c r="CZ116" s="62"/>
      <c r="DA116" s="187"/>
      <c r="DB116" s="188"/>
      <c r="DC116" s="188"/>
      <c r="DD116" s="188"/>
      <c r="DE116" s="188"/>
      <c r="DF116" s="188"/>
      <c r="DG116" s="189"/>
    </row>
    <row r="117" spans="1:111" ht="18.75" customHeight="1" thickBot="1" x14ac:dyDescent="0.3">
      <c r="AN117" s="206" t="str">
        <f>IF(ISERROR(CD122),"",TEXT(CD121,"0.0%"))</f>
        <v>0.0%</v>
      </c>
      <c r="AO117" s="207"/>
      <c r="AP117" s="208"/>
      <c r="AQ117" s="156" t="str">
        <f>IF(CG117=0,"N/A",CONCATENATE(TEXT(CH121,"0.0%")," of ",TEXT(CH120,"0.0%")))</f>
        <v>N/A</v>
      </c>
      <c r="AR117" s="209" t="str">
        <f>IF((graded_aca_events+graded_amn_events)&lt;1,"---",IF(AND(CI80,CJ80),"INCOMPLETE",IF(AND(NOT(CI80),CJ80),"ACA INC",IF(AND(CI80,NOT(CJ80)),"AMN INC","COMPLETE"))))</f>
        <v>---</v>
      </c>
      <c r="AS117" s="209"/>
      <c r="AT117" s="209" t="str">
        <f>IF(CG80,IF(OR(CK80="UNK",NOT(BZ82)),"---",IF(CK80,"UNSAT",IF(AVERAGEIFS(CF84:CF115,CE84:CE115,"&gt;0")&lt;0.9,"MARG","SAT"))),"N/A")</f>
        <v>N/A</v>
      </c>
      <c r="AU117" s="209"/>
      <c r="AV117" s="210" t="str">
        <f>IF(OR(CL80="UNK",NOT(BY82)),"---",IF(OR(CL80,CD121&lt;0.7),"FAIL","PASS"))</f>
        <v>---</v>
      </c>
      <c r="AW117" s="211"/>
      <c r="AX117" s="157"/>
      <c r="AY117" s="212"/>
      <c r="AZ117" s="212"/>
      <c r="BA117" s="198" t="str">
        <f>IF(BG120,"","N/A")</f>
        <v>N/A</v>
      </c>
      <c r="BB117" s="198"/>
      <c r="BC117" s="198" t="str">
        <f>IF(BG121,"","N/A")</f>
        <v/>
      </c>
      <c r="BD117" s="199"/>
      <c r="BE117" s="11"/>
      <c r="BF117" s="72" t="s">
        <v>182</v>
      </c>
      <c r="BG117" s="121" t="s">
        <v>183</v>
      </c>
      <c r="BH117" s="158"/>
      <c r="BI117" s="158"/>
      <c r="BJ117" s="158"/>
      <c r="BK117" s="158"/>
      <c r="BL117" s="158"/>
      <c r="BM117" s="158"/>
      <c r="BN117" s="158"/>
      <c r="BO117" s="158"/>
      <c r="BP117" s="158"/>
      <c r="BQ117" s="158"/>
      <c r="BR117" s="158"/>
      <c r="BS117" s="158"/>
      <c r="BT117" s="158"/>
      <c r="BU117" s="5"/>
      <c r="BV117" s="4"/>
      <c r="BW117" s="158"/>
      <c r="BX117" s="158"/>
      <c r="BY117" s="158">
        <f>SUM(BY84:BY115)</f>
        <v>0</v>
      </c>
      <c r="BZ117" s="158">
        <f>SUM(BZ84:BZ115)</f>
        <v>0</v>
      </c>
      <c r="CA117" s="72"/>
      <c r="CB117" s="4"/>
      <c r="CC117" s="159">
        <f>SUMIF(CC84:CC115,"&gt;0")</f>
        <v>26</v>
      </c>
      <c r="CD117" s="160">
        <f>IF(CC117=0,0,SUMPRODUCT($CC$84:$CC$115,CD84:CD115)/SUM($CC$84:$CC$115))</f>
        <v>0</v>
      </c>
      <c r="CE117" s="161">
        <f>SUMIF(CE84:CE115,"&gt;0")</f>
        <v>0</v>
      </c>
      <c r="CF117" s="160">
        <f>IF(CE117=0,0,SUMPRODUCT($CE$84:$CE$115,CF84:CF115)/SUM($CE$84:$CE$115))</f>
        <v>0</v>
      </c>
      <c r="CG117" s="161">
        <f>SUM(CG85:CG115)</f>
        <v>0</v>
      </c>
      <c r="CH117" s="160">
        <f>IF(CG117=0,0,SUMPRODUCT($CG$84:$CG$115,CH84:CH115)/SUM($CG$84:$CG$115))</f>
        <v>0</v>
      </c>
      <c r="CI117" s="162"/>
      <c r="CJ117" s="162"/>
      <c r="CK117" s="162"/>
      <c r="CL117" s="162"/>
      <c r="CM117" s="162"/>
      <c r="CN117" s="162"/>
      <c r="CO117" s="60" t="s">
        <v>184</v>
      </c>
      <c r="CP117" s="60" t="s">
        <v>185</v>
      </c>
      <c r="CQ117" s="60" t="s">
        <v>186</v>
      </c>
      <c r="CR117" s="60"/>
      <c r="CS117" s="62"/>
      <c r="DA117" s="187"/>
      <c r="DB117" s="188"/>
      <c r="DC117" s="188"/>
      <c r="DD117" s="188"/>
      <c r="DE117" s="188"/>
      <c r="DF117" s="188"/>
      <c r="DG117" s="189"/>
    </row>
    <row r="118" spans="1:111" ht="7.5" customHeight="1" thickTop="1" x14ac:dyDescent="0.25">
      <c r="AX118" s="200" t="str">
        <f>CONCATENATE("Builder Version: ",TEXT(C1,"0.00")," (",D1,"), Gradesheet Version: ",C2," (",D2,")")</f>
        <v>Builder Version: 2.70 (W. Gray), Gradesheet Version: 20251017 (C. Gotwald)</v>
      </c>
      <c r="AY118" s="200"/>
      <c r="AZ118" s="200"/>
      <c r="BA118" s="200"/>
      <c r="BB118" s="200"/>
      <c r="BC118" s="200"/>
      <c r="BD118" s="200"/>
      <c r="CB118" s="158"/>
      <c r="CC118" s="4"/>
      <c r="CD118" s="4"/>
      <c r="CF118" s="160"/>
      <c r="CG118" s="160"/>
      <c r="CH118" s="160"/>
      <c r="CI118" s="4"/>
      <c r="CJ118" s="160"/>
      <c r="CQ118" s="60"/>
      <c r="CR118" s="60"/>
      <c r="DA118" s="190"/>
      <c r="DB118" s="191"/>
      <c r="DC118" s="191"/>
      <c r="DD118" s="191"/>
      <c r="DE118" s="191"/>
      <c r="DF118" s="191"/>
      <c r="DG118" s="192"/>
    </row>
    <row r="119" spans="1:111" ht="30.75" customHeight="1" x14ac:dyDescent="0.25">
      <c r="BF119" s="163" t="s">
        <v>187</v>
      </c>
      <c r="BG119" s="121" t="b">
        <f>IF(exam_event="Yes",TRUE,FALSE)</f>
        <v>0</v>
      </c>
      <c r="BU119" s="61">
        <f ca="1">SUMIF(BV84:$BV$115,"=" &amp; BV84,BU85:$BU$115)</f>
        <v>0.26923076923076927</v>
      </c>
      <c r="BW119" s="62"/>
      <c r="BX119" s="62"/>
      <c r="BY119" s="62"/>
      <c r="BZ119" s="62"/>
      <c r="CA119" s="164"/>
      <c r="CC119" s="62"/>
      <c r="CD119" s="62"/>
      <c r="CE119" s="92" t="s">
        <v>188</v>
      </c>
      <c r="CF119" s="165">
        <f>SUMIF(BJ84:BJ115,"&gt;0")/SUMIF(BI84:BI115,"&gt;0")</f>
        <v>0</v>
      </c>
      <c r="CG119" s="92" t="s">
        <v>189</v>
      </c>
      <c r="CH119" s="166">
        <f>SUMIF(CG84:CG115,"&gt;0")/SUMIF(CC84:CC115,"&gt;0")</f>
        <v>0</v>
      </c>
      <c r="CI119" s="167"/>
      <c r="CK119" s="62"/>
      <c r="CL119" s="62"/>
      <c r="CQ119" s="60" t="b">
        <f>AND(ISBLANK($AW106),AV106&gt;0)</f>
        <v>0</v>
      </c>
      <c r="CR119" s="60"/>
      <c r="CT119" s="60"/>
      <c r="DA119" s="62"/>
      <c r="DB119" s="62"/>
      <c r="DC119" s="63"/>
    </row>
    <row r="120" spans="1:111" ht="30.75" customHeight="1" x14ac:dyDescent="0.25">
      <c r="AV120" s="168"/>
      <c r="BF120" s="169" t="s">
        <v>190</v>
      </c>
      <c r="BG120" s="60" t="b">
        <f>IF(AND(Flight?,OR(CI80,CK80,CM80,CL80,CD121&lt;0.7,AT117="MARG")),TRUE,FALSE)</f>
        <v>0</v>
      </c>
      <c r="BW120" s="62"/>
      <c r="BX120" s="62"/>
      <c r="BY120" s="62"/>
      <c r="BZ120" s="62"/>
      <c r="CA120" s="170"/>
      <c r="CB120" s="62"/>
      <c r="CC120" s="92" t="s">
        <v>191</v>
      </c>
      <c r="CD120" s="171">
        <f>1-CF120</f>
        <v>1</v>
      </c>
      <c r="CE120" s="92" t="s">
        <v>192</v>
      </c>
      <c r="CF120" s="165">
        <f>MIN(CF119,CF82)</f>
        <v>0</v>
      </c>
      <c r="CG120" s="92" t="s">
        <v>193</v>
      </c>
      <c r="CH120" s="172">
        <f>MIN(CH119,CH82)</f>
        <v>0</v>
      </c>
      <c r="CL120" s="62"/>
      <c r="CQ120" s="60"/>
      <c r="CR120" s="60"/>
      <c r="CT120" s="60"/>
      <c r="DA120" s="62"/>
      <c r="DB120" s="62"/>
      <c r="DC120" s="63"/>
    </row>
    <row r="121" spans="1:111" ht="26.25" x14ac:dyDescent="0.25">
      <c r="BF121" s="169" t="s">
        <v>194</v>
      </c>
      <c r="BG121" s="60" t="b">
        <f>IF(OR(CJ80,CK80,CL80,CN80,CD121&lt;0.7),TRUE,FALSE)</f>
        <v>1</v>
      </c>
      <c r="BK121" s="180"/>
      <c r="BW121" s="62"/>
      <c r="BX121" s="62"/>
      <c r="BY121" s="62"/>
      <c r="BZ121" s="62"/>
      <c r="CA121" s="173"/>
      <c r="CB121" s="62"/>
      <c r="CC121" s="92" t="s">
        <v>195</v>
      </c>
      <c r="CD121" s="61">
        <f>CD117*(1-CF120)+(CF117*CF120)</f>
        <v>0</v>
      </c>
      <c r="CG121" s="62" t="s">
        <v>150</v>
      </c>
      <c r="CH121" s="172">
        <f>CH117*CH120</f>
        <v>0</v>
      </c>
      <c r="CK121" s="62"/>
      <c r="CL121" s="62"/>
      <c r="CQ121" s="60"/>
      <c r="CR121" s="60"/>
      <c r="CT121" s="60"/>
      <c r="DA121" s="62"/>
      <c r="DB121" s="62"/>
      <c r="DC121" s="63"/>
    </row>
    <row r="122" spans="1:111" ht="26.25" x14ac:dyDescent="0.25">
      <c r="BF122" s="169" t="s">
        <v>196</v>
      </c>
      <c r="BG122" s="60" t="b">
        <v>0</v>
      </c>
      <c r="BW122" s="62"/>
      <c r="BX122" s="62"/>
      <c r="BY122" s="62"/>
      <c r="BZ122" s="62"/>
      <c r="CA122" s="173"/>
      <c r="CB122" s="62"/>
      <c r="CC122" s="92" t="s">
        <v>197</v>
      </c>
      <c r="CD122" s="172">
        <f>MIN(1,IF(NOT(OR(CK80,CL80)),CD121+CH121,MIN(0.69,CD121+CH121)))</f>
        <v>0</v>
      </c>
      <c r="CK122" s="62"/>
      <c r="CQ122" s="60"/>
      <c r="CR122" s="60"/>
      <c r="CU122" s="60"/>
      <c r="DA122" s="62"/>
      <c r="DB122" s="62"/>
      <c r="DC122" s="63"/>
    </row>
    <row r="123" spans="1:111" x14ac:dyDescent="0.25">
      <c r="BF123" s="169" t="s">
        <v>198</v>
      </c>
      <c r="BG123" s="60" t="b">
        <f>IF(NOT(Flight?),TRUE,NOT(OR(ISBLANK(comments),ISBLANK(hdr_class),ISBLANK(hdr_date),ISBLANK(hdr_stud),ISBLANK(hdr_instr),ISBLANK(hdr_acft),ISBLANK(hdr_time),AR117="---")))</f>
        <v>1</v>
      </c>
      <c r="BW123" s="62"/>
      <c r="BX123" s="62"/>
      <c r="BY123" s="62"/>
      <c r="BZ123" s="62"/>
      <c r="CA123" s="173"/>
      <c r="CB123" s="62"/>
      <c r="CC123" s="62"/>
      <c r="CD123" s="174"/>
      <c r="CE123" s="172"/>
      <c r="CG123" s="62"/>
      <c r="CH123" s="62"/>
      <c r="CI123" s="62"/>
    </row>
    <row r="124" spans="1:111" x14ac:dyDescent="0.25">
      <c r="BF124" s="169" t="s">
        <v>199</v>
      </c>
      <c r="BG124" s="60" t="b">
        <f>IF(Flight?,TRUE,NOT(OR(ISBLANK(comments),ISBLANK(hdr_class),ISBLANK(hdr_date),ISBLANK(hdr_stud),ISBLANK(hdr_instr),AR117="---")))</f>
        <v>0</v>
      </c>
      <c r="BW124" s="62"/>
      <c r="BX124" s="62"/>
      <c r="BY124" s="62"/>
      <c r="BZ124" s="62"/>
      <c r="CA124" s="170"/>
      <c r="CB124" s="4" t="s">
        <v>200</v>
      </c>
      <c r="CC124" s="4"/>
      <c r="CD124" s="4"/>
      <c r="CE124" s="4"/>
      <c r="CF124" s="4"/>
      <c r="CG124" s="62"/>
      <c r="CH124" s="62"/>
      <c r="CI124" s="62"/>
    </row>
    <row r="125" spans="1:111" x14ac:dyDescent="0.25">
      <c r="BF125" s="169" t="s">
        <v>201</v>
      </c>
      <c r="BG125" s="60" t="b">
        <f>AND(BG123:BG124)</f>
        <v>0</v>
      </c>
      <c r="BW125" s="62"/>
      <c r="BX125" s="62"/>
      <c r="BY125" s="62"/>
      <c r="BZ125" s="62"/>
      <c r="CA125" s="170"/>
      <c r="CB125" s="4"/>
      <c r="CC125" s="4"/>
      <c r="CD125" s="4">
        <v>0</v>
      </c>
      <c r="CE125" s="4">
        <v>1</v>
      </c>
      <c r="CF125" s="4">
        <v>2</v>
      </c>
      <c r="CG125" s="4">
        <v>3</v>
      </c>
      <c r="CH125" s="4">
        <v>4</v>
      </c>
      <c r="CI125" s="62"/>
    </row>
    <row r="126" spans="1:111" x14ac:dyDescent="0.25">
      <c r="BW126" s="62"/>
      <c r="BX126" s="62"/>
      <c r="BY126" s="62"/>
      <c r="BZ126" s="62"/>
      <c r="CA126" s="170"/>
      <c r="CB126" s="4" t="s">
        <v>52</v>
      </c>
      <c r="CC126" s="4">
        <v>1</v>
      </c>
      <c r="CD126" s="175">
        <f>AH21</f>
        <v>0.7</v>
      </c>
      <c r="CE126" s="175">
        <f>AI21</f>
        <v>0.9</v>
      </c>
      <c r="CF126" s="175">
        <f>AJ21</f>
        <v>0.93330000000000002</v>
      </c>
      <c r="CG126" s="175">
        <f>AK21</f>
        <v>0.9667</v>
      </c>
      <c r="CH126" s="175">
        <f>AL21</f>
        <v>1</v>
      </c>
      <c r="CI126" s="62"/>
    </row>
    <row r="127" spans="1:111" x14ac:dyDescent="0.25">
      <c r="BW127" s="62"/>
      <c r="BX127" s="62"/>
      <c r="BY127" s="62"/>
      <c r="BZ127" s="62"/>
      <c r="CA127" s="170"/>
      <c r="CB127" s="4" t="s">
        <v>53</v>
      </c>
      <c r="CC127" s="4">
        <v>2</v>
      </c>
      <c r="CD127" s="175">
        <f t="shared" ref="CD127:CH134" si="100">AH22</f>
        <v>0.7</v>
      </c>
      <c r="CE127" s="175">
        <f t="shared" si="100"/>
        <v>0.8</v>
      </c>
      <c r="CF127" s="175">
        <f t="shared" si="100"/>
        <v>0.9</v>
      </c>
      <c r="CG127" s="175">
        <f t="shared" si="100"/>
        <v>0.95</v>
      </c>
      <c r="CH127" s="175">
        <f t="shared" si="100"/>
        <v>1</v>
      </c>
      <c r="CI127" s="62"/>
    </row>
    <row r="128" spans="1:111" x14ac:dyDescent="0.25">
      <c r="BW128" s="62"/>
      <c r="BX128" s="62"/>
      <c r="BY128" s="62"/>
      <c r="BZ128" s="62"/>
      <c r="CA128" s="170"/>
      <c r="CB128" s="4" t="s">
        <v>54</v>
      </c>
      <c r="CC128" s="4">
        <v>3</v>
      </c>
      <c r="CD128" s="175">
        <f t="shared" si="100"/>
        <v>0.7</v>
      </c>
      <c r="CE128" s="175">
        <f t="shared" si="100"/>
        <v>0.76670000000000005</v>
      </c>
      <c r="CF128" s="175">
        <f t="shared" si="100"/>
        <v>0.83330000000000004</v>
      </c>
      <c r="CG128" s="175">
        <f t="shared" si="100"/>
        <v>0.9</v>
      </c>
      <c r="CH128" s="175">
        <f t="shared" si="100"/>
        <v>1</v>
      </c>
      <c r="CI128" s="62"/>
    </row>
    <row r="129" spans="80:94" x14ac:dyDescent="0.25">
      <c r="CB129" s="176" t="s">
        <v>55</v>
      </c>
      <c r="CC129" s="4">
        <v>11</v>
      </c>
      <c r="CD129" s="175">
        <f t="shared" si="100"/>
        <v>0.6</v>
      </c>
      <c r="CE129" s="175">
        <f t="shared" si="100"/>
        <v>0.9</v>
      </c>
      <c r="CF129" s="175">
        <f t="shared" si="100"/>
        <v>0.93330000000000002</v>
      </c>
      <c r="CG129" s="175">
        <f t="shared" si="100"/>
        <v>0.9667</v>
      </c>
      <c r="CH129" s="175">
        <f t="shared" si="100"/>
        <v>1</v>
      </c>
      <c r="CI129" s="62"/>
    </row>
    <row r="130" spans="80:94" x14ac:dyDescent="0.25">
      <c r="CB130" s="176" t="s">
        <v>57</v>
      </c>
      <c r="CC130" s="4">
        <v>12</v>
      </c>
      <c r="CD130" s="175">
        <f t="shared" si="100"/>
        <v>0.6</v>
      </c>
      <c r="CE130" s="175">
        <f t="shared" si="100"/>
        <v>0.7</v>
      </c>
      <c r="CF130" s="175">
        <f t="shared" si="100"/>
        <v>0.9</v>
      </c>
      <c r="CG130" s="175">
        <f t="shared" si="100"/>
        <v>0.95</v>
      </c>
      <c r="CH130" s="175">
        <f t="shared" si="100"/>
        <v>1</v>
      </c>
      <c r="CI130" s="62"/>
    </row>
    <row r="131" spans="80:94" x14ac:dyDescent="0.25">
      <c r="CB131" s="176" t="s">
        <v>58</v>
      </c>
      <c r="CC131" s="4">
        <v>13</v>
      </c>
      <c r="CD131" s="175">
        <f t="shared" si="100"/>
        <v>0.6</v>
      </c>
      <c r="CE131" s="175">
        <f t="shared" si="100"/>
        <v>0.7</v>
      </c>
      <c r="CF131" s="175">
        <f t="shared" si="100"/>
        <v>0.8</v>
      </c>
      <c r="CG131" s="175">
        <f t="shared" si="100"/>
        <v>0.9</v>
      </c>
      <c r="CH131" s="175">
        <f t="shared" si="100"/>
        <v>1</v>
      </c>
      <c r="CI131" s="62"/>
    </row>
    <row r="132" spans="80:94" x14ac:dyDescent="0.25">
      <c r="CB132" s="176" t="s">
        <v>59</v>
      </c>
      <c r="CC132" s="4">
        <v>22</v>
      </c>
      <c r="CD132" s="175">
        <f t="shared" si="100"/>
        <v>0.3</v>
      </c>
      <c r="CE132" s="175">
        <f t="shared" si="100"/>
        <v>0.6</v>
      </c>
      <c r="CF132" s="175">
        <f t="shared" si="100"/>
        <v>0.9</v>
      </c>
      <c r="CG132" s="175">
        <f t="shared" si="100"/>
        <v>0.95</v>
      </c>
      <c r="CH132" s="175">
        <f t="shared" si="100"/>
        <v>1</v>
      </c>
      <c r="CI132" s="62"/>
    </row>
    <row r="133" spans="80:94" x14ac:dyDescent="0.25">
      <c r="CB133" s="176" t="s">
        <v>60</v>
      </c>
      <c r="CC133" s="4">
        <v>23</v>
      </c>
      <c r="CD133" s="175">
        <f t="shared" si="100"/>
        <v>0.3</v>
      </c>
      <c r="CE133" s="175">
        <f t="shared" si="100"/>
        <v>0.6</v>
      </c>
      <c r="CF133" s="175">
        <f t="shared" si="100"/>
        <v>0.7</v>
      </c>
      <c r="CG133" s="175">
        <f t="shared" si="100"/>
        <v>0.9</v>
      </c>
      <c r="CH133" s="175">
        <f t="shared" si="100"/>
        <v>1</v>
      </c>
      <c r="CI133" s="62"/>
    </row>
    <row r="134" spans="80:94" x14ac:dyDescent="0.25">
      <c r="CB134" s="176" t="s">
        <v>61</v>
      </c>
      <c r="CC134" s="4">
        <v>33</v>
      </c>
      <c r="CD134" s="175">
        <f t="shared" si="100"/>
        <v>0</v>
      </c>
      <c r="CE134" s="175">
        <f t="shared" si="100"/>
        <v>0.3</v>
      </c>
      <c r="CF134" s="175">
        <f t="shared" si="100"/>
        <v>0.6</v>
      </c>
      <c r="CG134" s="175">
        <f t="shared" si="100"/>
        <v>0.9</v>
      </c>
      <c r="CH134" s="175">
        <f t="shared" si="100"/>
        <v>1</v>
      </c>
      <c r="CI134" s="177"/>
      <c r="CJ134" s="178"/>
      <c r="CO134" s="178"/>
      <c r="CP134" s="178"/>
    </row>
    <row r="135" spans="80:94" x14ac:dyDescent="0.25">
      <c r="CB135" s="62"/>
      <c r="CC135" s="62"/>
      <c r="CD135" s="62"/>
      <c r="CE135" s="62"/>
      <c r="CF135" s="62"/>
      <c r="CG135" s="62"/>
      <c r="CH135" s="62"/>
      <c r="CI135" s="178"/>
      <c r="CJ135" s="178"/>
      <c r="CO135" s="178"/>
      <c r="CP135" s="178"/>
    </row>
    <row r="136" spans="80:94" x14ac:dyDescent="0.25">
      <c r="CB136" s="178"/>
      <c r="CC136" s="177"/>
      <c r="CD136" s="178"/>
      <c r="CE136" s="178"/>
      <c r="CF136" s="178"/>
      <c r="CG136" s="178"/>
      <c r="CH136" s="178"/>
      <c r="CI136" s="177"/>
      <c r="CJ136" s="177"/>
      <c r="CO136" s="178"/>
      <c r="CP136" s="178"/>
    </row>
    <row r="137" spans="80:94" x14ac:dyDescent="0.25">
      <c r="CB137" s="179"/>
      <c r="CC137" s="177"/>
      <c r="CD137" s="178"/>
      <c r="CE137" s="178"/>
      <c r="CF137" s="178"/>
      <c r="CG137" s="178"/>
      <c r="CH137" s="178"/>
      <c r="CI137" s="177"/>
      <c r="CJ137" s="177"/>
      <c r="CO137" s="178"/>
      <c r="CP137" s="178"/>
    </row>
    <row r="138" spans="80:94" x14ac:dyDescent="0.25">
      <c r="CB138" s="177"/>
      <c r="CC138" s="177"/>
      <c r="CD138" s="178"/>
      <c r="CE138" s="178"/>
      <c r="CF138" s="178"/>
      <c r="CG138" s="178"/>
      <c r="CH138" s="178"/>
      <c r="CI138" s="177"/>
      <c r="CJ138" s="177"/>
      <c r="CO138" s="178"/>
      <c r="CP138" s="178"/>
    </row>
    <row r="139" spans="80:94" x14ac:dyDescent="0.25">
      <c r="CB139" s="177"/>
      <c r="CC139" s="177"/>
      <c r="CD139" s="178"/>
      <c r="CE139" s="178"/>
      <c r="CF139" s="178"/>
      <c r="CG139" s="178"/>
      <c r="CH139" s="178"/>
      <c r="CI139" s="177"/>
      <c r="CJ139" s="178"/>
      <c r="CO139" s="178"/>
      <c r="CP139" s="178"/>
    </row>
    <row r="140" spans="80:94" x14ac:dyDescent="0.25">
      <c r="CB140" s="177"/>
      <c r="CC140" s="177"/>
      <c r="CD140" s="178"/>
      <c r="CE140" s="178"/>
      <c r="CF140" s="178"/>
      <c r="CG140" s="178"/>
      <c r="CH140" s="178"/>
      <c r="CI140" s="177"/>
      <c r="CJ140" s="178"/>
      <c r="CO140" s="178"/>
      <c r="CP140" s="178"/>
    </row>
    <row r="141" spans="80:94" x14ac:dyDescent="0.25">
      <c r="CB141" s="177"/>
      <c r="CC141" s="177"/>
      <c r="CD141" s="178"/>
      <c r="CE141" s="178"/>
      <c r="CF141" s="178"/>
      <c r="CG141" s="178"/>
      <c r="CH141" s="178"/>
    </row>
    <row r="142" spans="80:94" x14ac:dyDescent="0.25">
      <c r="CB142" s="177"/>
      <c r="CC142" s="177"/>
      <c r="CD142" s="178"/>
      <c r="CE142" s="178"/>
      <c r="CF142" s="178"/>
      <c r="CG142" s="178"/>
      <c r="CH142" s="178"/>
    </row>
  </sheetData>
  <customSheetViews>
    <customSheetView guid="{260A4A42-DC1D-4D31-BD57-1656952E0E95}" showGridLines="0" showRowCol="0" hiddenRows="1" hiddenColumns="1" topLeftCell="AM75">
      <selection activeCell="DJ112" sqref="DJ112"/>
      <pageMargins left="0.7" right="0.7" top="0.75" bottom="0.75" header="0.3" footer="0.3"/>
    </customSheetView>
    <customSheetView guid="{02167FE6-14A1-41F9-8E10-ABA62C3090BE}" showGridLines="0" showRowCol="0" hiddenRows="1" hiddenColumns="1">
      <selection activeCell="AH9" sqref="AH9"/>
      <pageMargins left="0.7" right="0.7" top="0.75" bottom="0.75" header="0.3" footer="0.3"/>
    </customSheetView>
  </customSheetViews>
  <mergeCells count="111">
    <mergeCell ref="D1:E1"/>
    <mergeCell ref="D2:E2"/>
    <mergeCell ref="C4:E4"/>
    <mergeCell ref="C5:E5"/>
    <mergeCell ref="A6:A10"/>
    <mergeCell ref="C6:E10"/>
    <mergeCell ref="N15:N16"/>
    <mergeCell ref="P15:P16"/>
    <mergeCell ref="Q15:Q16"/>
    <mergeCell ref="R15:R16"/>
    <mergeCell ref="S15:S16"/>
    <mergeCell ref="T15:T16"/>
    <mergeCell ref="C11:E11"/>
    <mergeCell ref="I14:N14"/>
    <mergeCell ref="F15:F16"/>
    <mergeCell ref="G15:G16"/>
    <mergeCell ref="H15:H16"/>
    <mergeCell ref="I15:I16"/>
    <mergeCell ref="J15:J16"/>
    <mergeCell ref="K15:K16"/>
    <mergeCell ref="L15:L16"/>
    <mergeCell ref="M15:M16"/>
    <mergeCell ref="AA15:AA16"/>
    <mergeCell ref="AB15:AB16"/>
    <mergeCell ref="AC15:AC16"/>
    <mergeCell ref="AD15:AD16"/>
    <mergeCell ref="AE15:AE16"/>
    <mergeCell ref="AG16:AL16"/>
    <mergeCell ref="U15:U16"/>
    <mergeCell ref="V15:V16"/>
    <mergeCell ref="W15:W16"/>
    <mergeCell ref="X15:X16"/>
    <mergeCell ref="Y15:Y16"/>
    <mergeCell ref="Z15:Z16"/>
    <mergeCell ref="CT80:CW82"/>
    <mergeCell ref="CX80:CZ82"/>
    <mergeCell ref="AN81:AQ81"/>
    <mergeCell ref="AR81:AS81"/>
    <mergeCell ref="AT81:AX81"/>
    <mergeCell ref="AY81:AZ81"/>
    <mergeCell ref="AH19:AL19"/>
    <mergeCell ref="AF21:AF29"/>
    <mergeCell ref="AN79:AS79"/>
    <mergeCell ref="AT79:AZ79"/>
    <mergeCell ref="BA79:BB79"/>
    <mergeCell ref="BC79:BD79"/>
    <mergeCell ref="BA81:BB81"/>
    <mergeCell ref="BC81:BD81"/>
    <mergeCell ref="AN82:AQ82"/>
    <mergeCell ref="AR82:AS82"/>
    <mergeCell ref="AT82:AX82"/>
    <mergeCell ref="AY82:AZ82"/>
    <mergeCell ref="BA82:BB82"/>
    <mergeCell ref="BC82:BD82"/>
    <mergeCell ref="AN80:AS80"/>
    <mergeCell ref="AT80:AZ80"/>
    <mergeCell ref="BA80:BB80"/>
    <mergeCell ref="BC80:BD80"/>
    <mergeCell ref="AO91:AR91"/>
    <mergeCell ref="AO92:AR92"/>
    <mergeCell ref="AO93:AR93"/>
    <mergeCell ref="AO94:AR94"/>
    <mergeCell ref="AO95:AR95"/>
    <mergeCell ref="DC95:DG95"/>
    <mergeCell ref="AN83:AR83"/>
    <mergeCell ref="AX83:BD83"/>
    <mergeCell ref="AO84:AR84"/>
    <mergeCell ref="AX84:BD115"/>
    <mergeCell ref="AO85:AR85"/>
    <mergeCell ref="AO86:AR86"/>
    <mergeCell ref="AO87:AR87"/>
    <mergeCell ref="AO88:AR88"/>
    <mergeCell ref="AO89:AR89"/>
    <mergeCell ref="AO90:AR90"/>
    <mergeCell ref="AO105:AR105"/>
    <mergeCell ref="AO106:AR106"/>
    <mergeCell ref="AO107:AR107"/>
    <mergeCell ref="AO108:AR108"/>
    <mergeCell ref="AO109:AR109"/>
    <mergeCell ref="AO110:AR110"/>
    <mergeCell ref="AO96:AR96"/>
    <mergeCell ref="AO97:AR97"/>
    <mergeCell ref="DA97:DA105"/>
    <mergeCell ref="AO98:AR98"/>
    <mergeCell ref="AO99:AR99"/>
    <mergeCell ref="AO100:AR100"/>
    <mergeCell ref="AO101:AR101"/>
    <mergeCell ref="AO102:AR102"/>
    <mergeCell ref="AO103:AR103"/>
    <mergeCell ref="AO104:AR104"/>
    <mergeCell ref="DA110:DG113"/>
    <mergeCell ref="AO111:AR111"/>
    <mergeCell ref="AO112:AR112"/>
    <mergeCell ref="AO113:AR113"/>
    <mergeCell ref="AO114:AR114"/>
    <mergeCell ref="AO115:AR115"/>
    <mergeCell ref="DA115:DG118"/>
    <mergeCell ref="AN116:AP116"/>
    <mergeCell ref="AR116:AS116"/>
    <mergeCell ref="AT116:AU116"/>
    <mergeCell ref="BC117:BD117"/>
    <mergeCell ref="AX118:BD118"/>
    <mergeCell ref="AV116:AW116"/>
    <mergeCell ref="AY116:AZ116"/>
    <mergeCell ref="BA116:BB116"/>
    <mergeCell ref="AN117:AP117"/>
    <mergeCell ref="AR117:AS117"/>
    <mergeCell ref="AT117:AU117"/>
    <mergeCell ref="AV117:AW117"/>
    <mergeCell ref="AY117:AZ117"/>
    <mergeCell ref="BA117:BB117"/>
  </mergeCells>
  <conditionalFormatting sqref="BA80:BD80 AT82:BB82 AN82">
    <cfRule type="containsBlanks" dxfId="24" priority="15">
      <formula>LEN(TRIM(AN80))=0</formula>
    </cfRule>
  </conditionalFormatting>
  <conditionalFormatting sqref="AT116:AU117">
    <cfRule type="expression" dxfId="23" priority="12" stopIfTrue="1">
      <formula>IF($AT$117="N/A",TRUE,FALSE)</formula>
    </cfRule>
  </conditionalFormatting>
  <conditionalFormatting sqref="AR82:AS82">
    <cfRule type="cellIs" dxfId="22" priority="13" operator="equal">
      <formula>""</formula>
    </cfRule>
  </conditionalFormatting>
  <conditionalFormatting sqref="I18:I50 P18:Q50">
    <cfRule type="cellIs" dxfId="21" priority="8" operator="equal">
      <formula>"ERROR"</formula>
    </cfRule>
    <cfRule type="cellIs" dxfId="20" priority="9" operator="equal">
      <formula>"OK"</formula>
    </cfRule>
  </conditionalFormatting>
  <conditionalFormatting sqref="R17:R50">
    <cfRule type="expression" dxfId="19" priority="10">
      <formula>IF(#REF!&gt;32,TRUE,FALSE)</formula>
    </cfRule>
  </conditionalFormatting>
  <conditionalFormatting sqref="E19:E50">
    <cfRule type="expression" dxfId="18" priority="7">
      <formula>IF(OR($C19="Req'd Demo",$C19="Opt Demo"),TRUE,FALSE)</formula>
    </cfRule>
  </conditionalFormatting>
  <conditionalFormatting sqref="H19:H50">
    <cfRule type="expression" dxfId="17" priority="11">
      <formula>IF($F19=0,TRUE,FALSE)</formula>
    </cfRule>
  </conditionalFormatting>
  <conditionalFormatting sqref="J19:N50">
    <cfRule type="expression" dxfId="16" priority="6">
      <formula>IF(NOT(J19),TRUE,FALSE)</formula>
    </cfRule>
  </conditionalFormatting>
  <conditionalFormatting sqref="AS84:AW115">
    <cfRule type="expression" dxfId="15" priority="16" stopIfTrue="1">
      <formula>IF($BL84=1,TRUE,FALSE)</formula>
    </cfRule>
    <cfRule type="expression" dxfId="14" priority="17" stopIfTrue="1">
      <formula>IF($BL84=2,TRUE,FALSE)</formula>
    </cfRule>
  </conditionalFormatting>
  <conditionalFormatting sqref="AN84:AR115">
    <cfRule type="expression" dxfId="13" priority="18" stopIfTrue="1">
      <formula>IF($BL84=1,TRUE,FALSE)</formula>
    </cfRule>
    <cfRule type="expression" dxfId="12" priority="19">
      <formula>IF($BL84=2,TRUE,FALSE)</formula>
    </cfRule>
  </conditionalFormatting>
  <conditionalFormatting sqref="AT84:AT115">
    <cfRule type="expression" dxfId="11" priority="20" stopIfTrue="1">
      <formula>IF($BN84=0,TRUE,FALSE)</formula>
    </cfRule>
  </conditionalFormatting>
  <conditionalFormatting sqref="AV84:AW115">
    <cfRule type="expression" dxfId="10" priority="21" stopIfTrue="1">
      <formula>IF(ISNA($BL84),TRUE,FALSE)</formula>
    </cfRule>
  </conditionalFormatting>
  <conditionalFormatting sqref="AR81:AS82 AY81:BB82">
    <cfRule type="expression" dxfId="9" priority="14" stopIfTrue="1">
      <formula>NOT($CG$80)</formula>
    </cfRule>
  </conditionalFormatting>
  <conditionalFormatting sqref="AO84:AR115">
    <cfRule type="expression" dxfId="8" priority="5" stopIfTrue="1">
      <formula>IF($BR84=FALSE,TRUE,FALSE)</formula>
    </cfRule>
  </conditionalFormatting>
  <conditionalFormatting sqref="AX117">
    <cfRule type="expression" dxfId="7" priority="4">
      <formula>NOT($BG$125)</formula>
    </cfRule>
  </conditionalFormatting>
  <conditionalFormatting sqref="AW84:AW115">
    <cfRule type="expression" dxfId="6" priority="22">
      <formula>IF(OR($BL84=1,$BL84=2),FALSE,OR($CO84,$CQ84,$CR84))</formula>
    </cfRule>
  </conditionalFormatting>
  <conditionalFormatting sqref="AO84:AR115 AV84:AW115">
    <cfRule type="expression" dxfId="5" priority="23">
      <formula>IF($BL84=1,FALSE,OR($CI84,$CJ84,$CK84,$CL84))</formula>
    </cfRule>
  </conditionalFormatting>
  <conditionalFormatting sqref="AV84:AV115">
    <cfRule type="expression" dxfId="4" priority="24">
      <formula>IF($BL84=1,FALSE,OR($CQ84,$CP84))</formula>
    </cfRule>
  </conditionalFormatting>
  <conditionalFormatting sqref="A13:E13 C14:E14">
    <cfRule type="expression" dxfId="3" priority="3">
      <formula>NOT(Flight?)</formula>
    </cfRule>
  </conditionalFormatting>
  <conditionalFormatting sqref="C19:F50">
    <cfRule type="expression" dxfId="2" priority="25" stopIfTrue="1">
      <formula>IF(OR($Y19=1,$Y19=2,$Y19=3),TRUE,FALSE)</formula>
    </cfRule>
  </conditionalFormatting>
  <conditionalFormatting sqref="G19:H50">
    <cfRule type="expression" dxfId="1" priority="1">
      <formula>IF(OR($C19="Req'd Demo",$C19="Opt Demo"),TRUE,FALSE)</formula>
    </cfRule>
  </conditionalFormatting>
  <conditionalFormatting sqref="G19:H50">
    <cfRule type="expression" dxfId="0" priority="2" stopIfTrue="1">
      <formula>IF(OR($Y19=1,$Y19=2,$Y19=3),TRUE,FALSE)</formula>
    </cfRule>
  </conditionalFormatting>
  <dataValidations count="21">
    <dataValidation type="whole" showInputMessage="1" showErrorMessage="1" promptTitle="Airmanship Percentage" prompt="Percentage of airmanship for the overall score." sqref="B13" xr:uid="{8351ABB4-0D01-4052-81CB-6AA026FE43C0}">
      <formula1>0</formula1>
      <formula2>20</formula2>
    </dataValidation>
    <dataValidation type="date" allowBlank="1" showInputMessage="1" showErrorMessage="1" sqref="BC80:BD80" xr:uid="{1A020227-C504-45DF-B355-5E81CEC6EF50}">
      <formula1>41151</formula1>
      <formula2>77433</formula2>
    </dataValidation>
    <dataValidation type="decimal" allowBlank="1" showInputMessage="1" showErrorMessage="1" sqref="BA82:BB82" xr:uid="{5B4F9172-40FE-42B9-A2F6-3FE6E5FEA7CD}">
      <formula1>0</formula1>
      <formula2>10</formula2>
    </dataValidation>
    <dataValidation type="custom" showInputMessage="1" showErrorMessage="1" sqref="BA117:BD117" xr:uid="{697717DF-67E0-4D52-8EF2-19C2AB903ED5}">
      <formula1>IF(OR(BA117="N/A",BA117="",ISBLANK(BA117)),FALSE,TRUE)</formula1>
    </dataValidation>
    <dataValidation type="list" showInputMessage="1" showErrorMessage="1" promptTitle="Optional Bonus" prompt="Maximum possible bonus score, as a percentage. (20% max)" sqref="B12" xr:uid="{50610BBF-CF2F-4141-9D2A-CF667A8E263E}">
      <formula1>"Yes,No"</formula1>
    </dataValidation>
    <dataValidation type="whole" showInputMessage="1" showErrorMessage="1" promptTitle="Indent Level" prompt="1=Header, not graded if followed by a '2'_x000a_2=Always graded" sqref="A19:A50" xr:uid="{B44D9C5F-1FB9-4721-8731-BA3CAE630837}">
      <formula1>1</formula1>
      <formula2>2</formula2>
    </dataValidation>
    <dataValidation type="whole" allowBlank="1" showInputMessage="1" showErrorMessage="1" promptTitle="Task Type" prompt="'0' for airmanship event, '1' for academic event" sqref="C17" xr:uid="{AE72BDAD-9F92-44BB-9A9F-CC7DF0BAD31A}">
      <formula1>0</formula1>
      <formula2>1</formula2>
    </dataValidation>
    <dataValidation allowBlank="1" showInputMessage="1" showErrorMessage="1" promptTitle="Score Weight" prompt="Weights are relative to each other. i.e. '2' is worth twice as much is '1'. All academic events must have a score weight &gt;0. Airmanship events are pass/fail, so score weight is ignored." sqref="G17" xr:uid="{840EBC7C-291E-4875-827A-0BA25E8F649C}"/>
    <dataValidation type="whole" allowBlank="1" showInputMessage="1" showErrorMessage="1" promptTitle="Min Required" prompt="The mininum number of times the student must accomplish the task to complete the ride. If min=0 for an Aca. item, then the task becomes a bonus event." sqref="F19:F50" xr:uid="{43407B83-53AA-4E18-9407-3E5BBBCC48A7}">
      <formula1>0</formula1>
      <formula2>10</formula2>
    </dataValidation>
    <dataValidation type="custom" allowBlank="1" showInputMessage="1" showErrorMessage="1" promptTitle="Score Weight" prompt="Weights are relative to each other. i.e. '2' is worth twice as much is '1'. All academic and airmanship events must have a score weight &gt;0." sqref="G19:G50" xr:uid="{9BE86CB7-7587-4CF2-B31C-5175252F5265}">
      <formula1>IF(AND(G19&gt;=0,ISNUMBER(G19)),TRUE,FALSE)</formula1>
    </dataValidation>
    <dataValidation allowBlank="1" showInputMessage="1" showErrorMessage="1" promptTitle="Task Title" prompt="Check the gradesheet to ensure the task title is not too long." sqref="B19:B50" xr:uid="{951435B2-4AA1-4A5C-AB53-21729432C956}"/>
    <dataValidation type="list" allowBlank="1" showInputMessage="1" showErrorMessage="1" sqref="B6:B10" xr:uid="{3062AA69-7A2A-4616-825B-483BFF60E854}">
      <formula1>student</formula1>
    </dataValidation>
    <dataValidation type="list" allowBlank="1" showInputMessage="1" showErrorMessage="1" sqref="B4" xr:uid="{497B4BCC-975B-4073-8EEC-F486C1BBB750}">
      <formula1>events</formula1>
    </dataValidation>
    <dataValidation type="whole" allowBlank="1" showInputMessage="1" showErrorMessage="1" promptTitle="Optional Bonus" prompt="Maximum possible bonus score, as a percentage." sqref="B11" xr:uid="{A3080B81-1B56-4300-B6D2-B4E9F63CA1E6}">
      <formula1>0</formula1>
      <formula2>10</formula2>
    </dataValidation>
    <dataValidation type="list" allowBlank="1" showInputMessage="1" showErrorMessage="1" promptTitle="Basic/Min Score" prompt="Mouse over header rows for instructions." sqref="D19:D50" xr:uid="{5DA76811-1E0D-4CF3-8C0E-90C1DB129284}">
      <formula1>"NG,0,1,2,3"</formula1>
    </dataValidation>
    <dataValidation type="list" allowBlank="1" showInputMessage="1" showErrorMessage="1" promptTitle="Crew Solo/Desired Score" prompt="Mouse over header row for instructions." sqref="E19:E50" xr:uid="{7C4C88AC-DE03-49C8-AFF9-031BA9B4B2CF}">
      <formula1>$A$74:$A$76</formula1>
    </dataValidation>
    <dataValidation type="list" allowBlank="1" showDropDown="1" showInputMessage="1" showErrorMessage="1" sqref="H19:H50" xr:uid="{0C6EBDB2-3CE3-467E-BBDA-F9306B61C565}">
      <formula1>"0,1"</formula1>
    </dataValidation>
    <dataValidation type="list" allowBlank="1" showInputMessage="1" showErrorMessage="1" promptTitle="Task Options" prompt="Use only &quot;airmanship&quot; for CF items." sqref="C19:C50" xr:uid="{CEE85F22-CB3F-44DF-B16E-A1530469A8B7}">
      <formula1>task_options</formula1>
    </dataValidation>
    <dataValidation type="list" allowBlank="1" showInputMessage="1" showErrorMessage="1" sqref="AW84:AW115" xr:uid="{E45AB24F-B99F-4A57-972B-F597434C1DAC}">
      <formula1>"D,0,1,2,3,4"</formula1>
    </dataValidation>
    <dataValidation type="list" allowBlank="1" showInputMessage="1" showErrorMessage="1" sqref="AV84:AV115" xr:uid="{771AF5F4-56DA-4F2D-B129-215DD2201C26}">
      <formula1>"NA,0,1,2,3,4,5,6,7,8,9,10,11,12,13,14,15"</formula1>
    </dataValidation>
    <dataValidation type="list" allowBlank="1" showInputMessage="1" showErrorMessage="1" sqref="AR82:AS82" xr:uid="{C81E008F-3350-4973-8A21-86C50378954C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_create_gradesheet">
                <anchor moveWithCells="1" sizeWithCells="1">
                  <from>
                    <xdr:col>51</xdr:col>
                    <xdr:colOff>123825</xdr:colOff>
                    <xdr:row>118</xdr:row>
                    <xdr:rowOff>95250</xdr:rowOff>
                  </from>
                  <to>
                    <xdr:col>55</xdr:col>
                    <xdr:colOff>333375</xdr:colOff>
                    <xdr:row>119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gotogradesheet_Click">
                <anchor moveWithCells="1" sizeWithCells="1">
                  <from>
                    <xdr:col>1</xdr:col>
                    <xdr:colOff>704850</xdr:colOff>
                    <xdr:row>13</xdr:row>
                    <xdr:rowOff>257175</xdr:rowOff>
                  </from>
                  <to>
                    <xdr:col>1</xdr:col>
                    <xdr:colOff>1895475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gotobuilder_Click">
                <anchor moveWithCells="1" sizeWithCells="1">
                  <from>
                    <xdr:col>42</xdr:col>
                    <xdr:colOff>438150</xdr:colOff>
                    <xdr:row>118</xdr:row>
                    <xdr:rowOff>95250</xdr:rowOff>
                  </from>
                  <to>
                    <xdr:col>45</xdr:col>
                    <xdr:colOff>114300</xdr:colOff>
                    <xdr:row>119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Logic_Checks_click">
                <anchor moveWithCells="1" sizeWithCells="1">
                  <from>
                    <xdr:col>0</xdr:col>
                    <xdr:colOff>333375</xdr:colOff>
                    <xdr:row>13</xdr:row>
                    <xdr:rowOff>266700</xdr:rowOff>
                  </from>
                  <to>
                    <xdr:col>1</xdr:col>
                    <xdr:colOff>495300</xdr:colOff>
                    <xdr:row>14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37adc8ff-f4a3-4a14-9c0d-84b4985de0d2}" enabled="1" method="Privileged" siteId="{8331b18d-2d87-48ef-a35f-ac8818ebf9b4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Gradesheet</vt:lpstr>
      <vt:lpstr>Gradesheet!amnshp_pct</vt:lpstr>
      <vt:lpstr>c_no_grade</vt:lpstr>
      <vt:lpstr>CandS</vt:lpstr>
      <vt:lpstr>comment_mand</vt:lpstr>
      <vt:lpstr>Gradesheet!comments</vt:lpstr>
      <vt:lpstr>Gradesheet!CrewSoloQual</vt:lpstr>
      <vt:lpstr>Gradesheet!crit_input_data</vt:lpstr>
      <vt:lpstr>D_and_count</vt:lpstr>
      <vt:lpstr>desds</vt:lpstr>
      <vt:lpstr>DO_comments</vt:lpstr>
      <vt:lpstr>DO_sig</vt:lpstr>
      <vt:lpstr>ED_comments</vt:lpstr>
      <vt:lpstr>ED_sig</vt:lpstr>
      <vt:lpstr>Gradesheet!events</vt:lpstr>
      <vt:lpstr>Gradesheet!exam_event</vt:lpstr>
      <vt:lpstr>Gradesheet!Flight?</vt:lpstr>
      <vt:lpstr>Gradesheet!Flight_CRoom_Sim</vt:lpstr>
      <vt:lpstr>g_no_count</vt:lpstr>
      <vt:lpstr>grade</vt:lpstr>
      <vt:lpstr>Gradesheet!graded_aca_events</vt:lpstr>
      <vt:lpstr>Gradesheet!graded_amn_events</vt:lpstr>
      <vt:lpstr>GS_Logic</vt:lpstr>
      <vt:lpstr>Gradesheet!hdr_acft</vt:lpstr>
      <vt:lpstr>Gradesheet!hdr_class</vt:lpstr>
      <vt:lpstr>Gradesheet!hdr_date</vt:lpstr>
      <vt:lpstr>Gradesheet!hdr_instr</vt:lpstr>
      <vt:lpstr>Gradesheet!hdr_stud</vt:lpstr>
      <vt:lpstr>Gradesheet!hdr_time</vt:lpstr>
      <vt:lpstr>input_data</vt:lpstr>
      <vt:lpstr>input_max_amnshp</vt:lpstr>
      <vt:lpstr>Gradesheet!input_maxb</vt:lpstr>
      <vt:lpstr>input_rubric</vt:lpstr>
      <vt:lpstr>input_sc2g</vt:lpstr>
      <vt:lpstr>input_studs</vt:lpstr>
      <vt:lpstr>Gradesheet!input_test</vt:lpstr>
      <vt:lpstr>input_title</vt:lpstr>
      <vt:lpstr>input_type</vt:lpstr>
      <vt:lpstr>input_version</vt:lpstr>
      <vt:lpstr>IP_sig</vt:lpstr>
      <vt:lpstr>levels</vt:lpstr>
      <vt:lpstr>line_numbers</vt:lpstr>
      <vt:lpstr>Locked</vt:lpstr>
      <vt:lpstr>Made</vt:lpstr>
      <vt:lpstr>mins</vt:lpstr>
      <vt:lpstr>numreq</vt:lpstr>
      <vt:lpstr>Pilot</vt:lpstr>
      <vt:lpstr>Print_Area</vt:lpstr>
      <vt:lpstr>ready_for_sig</vt:lpstr>
      <vt:lpstr>scores</vt:lpstr>
      <vt:lpstr>stud_sig</vt:lpstr>
      <vt:lpstr>Gradesheet!student</vt:lpstr>
      <vt:lpstr>Gradesheet!studs</vt:lpstr>
      <vt:lpstr>Gradesheet!task_options</vt:lpstr>
      <vt:lpstr>Gradesheet!task_prefills</vt:lpstr>
      <vt:lpstr>task_type</vt:lpstr>
      <vt:lpstr>Gradesheet!title</vt:lpstr>
      <vt:lpstr>ulstart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GOTWALD, CARL A Lt Col USAF AFMC USAF TPS/DF Faculty (Dean) (SOLO)</dc:creator>
  <cp:lastModifiedBy>DUEDE, JACOB Z Maj USAF AFMC USAF TPS/DFAT Test Founda</cp:lastModifiedBy>
  <dcterms:created xsi:type="dcterms:W3CDTF">2025-10-17T15:58:40Z</dcterms:created>
  <dcterms:modified xsi:type="dcterms:W3CDTF">2026-02-20T18:16:23Z</dcterms:modified>
</cp:coreProperties>
</file>